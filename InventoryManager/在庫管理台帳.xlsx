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fileSharing readOnlyRecommended="1"/>
  <workbookPr/>
  <mc:AlternateContent xmlns:mc="http://schemas.openxmlformats.org/markup-compatibility/2006">
    <mc:Choice Requires="x15">
      <x15ac:absPath xmlns:x15ac="http://schemas.microsoft.com/office/spreadsheetml/2010/11/ac" url="E:\LocalAppsWorks\InventoryManager\"/>
    </mc:Choice>
  </mc:AlternateContent>
  <xr:revisionPtr revIDLastSave="0" documentId="8_{ECD18B6C-79D3-482C-B241-D71D46E1BA58}" xr6:coauthVersionLast="47" xr6:coauthVersionMax="47" xr10:uidLastSave="{00000000-0000-0000-0000-000000000000}"/>
  <workbookProtection workbookAlgorithmName="SHA-512" workbookHashValue="REO3/9Hn2zSkoHXyfAAPrL1g0+RTN2SVFpWv+nm6JY1Wag94HZmEedrb5HQRUetMv1QA4SptTGQ/rbktvqjBiA==" workbookSaltValue="3aDh/gqa1OwLwCeVGa2RLg==" workbookSpinCount="100000" lockStructure="1"/>
  <bookViews>
    <workbookView xWindow="-28920" yWindow="-3030" windowWidth="29040" windowHeight="15990" activeTab="4" xr2:uid="{00000000-000D-0000-FFFF-FFFF00000000}"/>
  </bookViews>
  <sheets>
    <sheet name="説明" sheetId="1" r:id="rId1"/>
    <sheet name="業務フロー" sheetId="2" r:id="rId2"/>
    <sheet name="V_充足確認" sheetId="3" r:id="rId3"/>
    <sheet name="V_在庫内訳" sheetId="4" r:id="rId4"/>
    <sheet name="T_台帳" sheetId="5" r:id="rId5"/>
    <sheet name="T_納期計画" sheetId="6" r:id="rId6"/>
    <sheet name="M_品番" sheetId="7" r:id="rId7"/>
    <sheet name="M_リスト" sheetId="8" r:id="rId8"/>
  </sheets>
  <definedNames>
    <definedName name="_xlnm._FilterDatabase" localSheetId="3" hidden="1">V_在庫内訳!$A$1:$N$301</definedName>
    <definedName name="_xlnm._FilterDatabase" localSheetId="2" hidden="1">V_充足確認!$A$1:$L$301</definedName>
    <definedName name="localId一覧">OFFSET(M_品番!$A$2,0,0,MAX(1,COUNTA(M_品番!$A:$A)-1),1)</definedName>
    <definedName name="リスト_イベント種類">M_リスト!$A$2:$A$16</definedName>
    <definedName name="リスト_計画状態">M_リスト!$C$2:$C$3</definedName>
    <definedName name="リスト_工程パターン">M_リスト!$D$2:$D$5</definedName>
    <definedName name="リスト_状態">M_リスト!$B$2:$B$11</definedName>
    <definedName name="リスト_納期先">OFFSET(M_リスト!$F$2,0,0,MAX(1,COUNTA(M_リスト!$F:$F)-1),1)</definedName>
    <definedName name="品番一覧">OFFSET(M_品番!$B$2,0,0,MAX(1,COUNTA(M_品番!$B:$B)-1),1)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6" l="1"/>
  <c r="A5" i="6"/>
  <c r="B4" i="6"/>
  <c r="A4" i="6" s="1"/>
  <c r="B3" i="6"/>
  <c r="A3" i="6"/>
  <c r="B2" i="6"/>
  <c r="A2" i="6" s="1"/>
  <c r="B2" i="4" s="1"/>
  <c r="I404" i="4"/>
  <c r="G404" i="4"/>
  <c r="D404" i="4"/>
  <c r="C404" i="4"/>
  <c r="N403" i="4"/>
  <c r="L403" i="4"/>
  <c r="J403" i="4"/>
  <c r="I403" i="4"/>
  <c r="F403" i="4"/>
  <c r="E403" i="4"/>
  <c r="D403" i="4"/>
  <c r="C403" i="4"/>
  <c r="K403" i="4" s="1"/>
  <c r="A403" i="4"/>
  <c r="M402" i="4"/>
  <c r="K402" i="4"/>
  <c r="G402" i="4"/>
  <c r="F402" i="4"/>
  <c r="E402" i="4"/>
  <c r="C402" i="4"/>
  <c r="J402" i="4" s="1"/>
  <c r="A402" i="4"/>
  <c r="L401" i="4"/>
  <c r="J401" i="4"/>
  <c r="D401" i="4"/>
  <c r="C401" i="4"/>
  <c r="G401" i="4" s="1"/>
  <c r="A401" i="4"/>
  <c r="K400" i="4"/>
  <c r="I400" i="4"/>
  <c r="D400" i="4"/>
  <c r="C400" i="4"/>
  <c r="N399" i="4"/>
  <c r="L399" i="4"/>
  <c r="J399" i="4"/>
  <c r="I399" i="4"/>
  <c r="F399" i="4"/>
  <c r="E399" i="4"/>
  <c r="D399" i="4"/>
  <c r="C399" i="4"/>
  <c r="K399" i="4" s="1"/>
  <c r="A399" i="4"/>
  <c r="M398" i="4"/>
  <c r="K398" i="4"/>
  <c r="G398" i="4"/>
  <c r="F398" i="4"/>
  <c r="E398" i="4"/>
  <c r="C398" i="4"/>
  <c r="J398" i="4" s="1"/>
  <c r="A398" i="4"/>
  <c r="C397" i="4"/>
  <c r="I396" i="4"/>
  <c r="G396" i="4"/>
  <c r="D396" i="4"/>
  <c r="C396" i="4"/>
  <c r="N395" i="4"/>
  <c r="L395" i="4"/>
  <c r="J395" i="4"/>
  <c r="I395" i="4"/>
  <c r="F395" i="4"/>
  <c r="E395" i="4"/>
  <c r="D395" i="4"/>
  <c r="C395" i="4"/>
  <c r="K395" i="4" s="1"/>
  <c r="A395" i="4"/>
  <c r="M394" i="4"/>
  <c r="K394" i="4"/>
  <c r="G394" i="4"/>
  <c r="F394" i="4"/>
  <c r="E394" i="4"/>
  <c r="C394" i="4"/>
  <c r="J394" i="4" s="1"/>
  <c r="A394" i="4"/>
  <c r="L393" i="4"/>
  <c r="J393" i="4"/>
  <c r="D393" i="4"/>
  <c r="C393" i="4"/>
  <c r="G393" i="4" s="1"/>
  <c r="A393" i="4"/>
  <c r="C392" i="4"/>
  <c r="N391" i="4"/>
  <c r="L391" i="4"/>
  <c r="J391" i="4"/>
  <c r="I391" i="4"/>
  <c r="F391" i="4"/>
  <c r="E391" i="4"/>
  <c r="D391" i="4"/>
  <c r="C391" i="4"/>
  <c r="K391" i="4" s="1"/>
  <c r="A391" i="4"/>
  <c r="M390" i="4"/>
  <c r="K390" i="4"/>
  <c r="G390" i="4"/>
  <c r="F390" i="4"/>
  <c r="E390" i="4"/>
  <c r="C390" i="4"/>
  <c r="J390" i="4" s="1"/>
  <c r="A390" i="4"/>
  <c r="L389" i="4"/>
  <c r="D389" i="4"/>
  <c r="C389" i="4"/>
  <c r="A389" i="4"/>
  <c r="I388" i="4"/>
  <c r="G388" i="4"/>
  <c r="D388" i="4"/>
  <c r="C388" i="4"/>
  <c r="N387" i="4"/>
  <c r="L387" i="4"/>
  <c r="J387" i="4"/>
  <c r="I387" i="4"/>
  <c r="F387" i="4"/>
  <c r="E387" i="4"/>
  <c r="D387" i="4"/>
  <c r="C387" i="4"/>
  <c r="K387" i="4" s="1"/>
  <c r="A387" i="4"/>
  <c r="M386" i="4"/>
  <c r="K386" i="4"/>
  <c r="G386" i="4"/>
  <c r="F386" i="4"/>
  <c r="E386" i="4"/>
  <c r="C386" i="4"/>
  <c r="J386" i="4" s="1"/>
  <c r="A386" i="4"/>
  <c r="L385" i="4"/>
  <c r="J385" i="4"/>
  <c r="D385" i="4"/>
  <c r="C385" i="4"/>
  <c r="G385" i="4" s="1"/>
  <c r="A385" i="4"/>
  <c r="D384" i="4"/>
  <c r="C384" i="4"/>
  <c r="N383" i="4"/>
  <c r="L383" i="4"/>
  <c r="J383" i="4"/>
  <c r="I383" i="4"/>
  <c r="F383" i="4"/>
  <c r="E383" i="4"/>
  <c r="D383" i="4"/>
  <c r="C383" i="4"/>
  <c r="K383" i="4" s="1"/>
  <c r="A383" i="4"/>
  <c r="M382" i="4"/>
  <c r="K382" i="4"/>
  <c r="G382" i="4"/>
  <c r="F382" i="4"/>
  <c r="E382" i="4"/>
  <c r="C382" i="4"/>
  <c r="J382" i="4" s="1"/>
  <c r="A382" i="4"/>
  <c r="C381" i="4"/>
  <c r="A381" i="4"/>
  <c r="I380" i="4"/>
  <c r="G380" i="4"/>
  <c r="D380" i="4"/>
  <c r="C380" i="4"/>
  <c r="N379" i="4"/>
  <c r="L379" i="4"/>
  <c r="J379" i="4"/>
  <c r="I379" i="4"/>
  <c r="F379" i="4"/>
  <c r="E379" i="4"/>
  <c r="D379" i="4"/>
  <c r="C379" i="4"/>
  <c r="K379" i="4" s="1"/>
  <c r="A379" i="4"/>
  <c r="M378" i="4"/>
  <c r="K378" i="4"/>
  <c r="G378" i="4"/>
  <c r="F378" i="4"/>
  <c r="E378" i="4"/>
  <c r="C378" i="4"/>
  <c r="J378" i="4" s="1"/>
  <c r="A378" i="4"/>
  <c r="L377" i="4"/>
  <c r="J377" i="4"/>
  <c r="D377" i="4"/>
  <c r="C377" i="4"/>
  <c r="G377" i="4" s="1"/>
  <c r="A377" i="4"/>
  <c r="C376" i="4"/>
  <c r="A376" i="4"/>
  <c r="C375" i="4"/>
  <c r="N374" i="4"/>
  <c r="L374" i="4"/>
  <c r="J374" i="4"/>
  <c r="I374" i="4"/>
  <c r="F374" i="4"/>
  <c r="E374" i="4"/>
  <c r="D374" i="4"/>
  <c r="C374" i="4"/>
  <c r="K374" i="4" s="1"/>
  <c r="A374" i="4"/>
  <c r="G373" i="4"/>
  <c r="C373" i="4"/>
  <c r="I373" i="4" s="1"/>
  <c r="L372" i="4"/>
  <c r="J372" i="4"/>
  <c r="H372" i="4"/>
  <c r="C372" i="4"/>
  <c r="A372" i="4"/>
  <c r="C371" i="4"/>
  <c r="M370" i="4"/>
  <c r="I370" i="4"/>
  <c r="F370" i="4"/>
  <c r="D370" i="4"/>
  <c r="C370" i="4"/>
  <c r="I369" i="4"/>
  <c r="E369" i="4"/>
  <c r="C369" i="4"/>
  <c r="J368" i="4"/>
  <c r="H368" i="4"/>
  <c r="D368" i="4"/>
  <c r="C368" i="4"/>
  <c r="A368" i="4"/>
  <c r="I367" i="4"/>
  <c r="G367" i="4"/>
  <c r="E367" i="4"/>
  <c r="C367" i="4"/>
  <c r="M367" i="4" s="1"/>
  <c r="N366" i="4"/>
  <c r="M366" i="4"/>
  <c r="C366" i="4"/>
  <c r="C365" i="4"/>
  <c r="K365" i="4" s="1"/>
  <c r="N364" i="4"/>
  <c r="L364" i="4"/>
  <c r="H364" i="4"/>
  <c r="F364" i="4"/>
  <c r="D364" i="4"/>
  <c r="C364" i="4"/>
  <c r="M364" i="4" s="1"/>
  <c r="A364" i="4"/>
  <c r="G363" i="4"/>
  <c r="C363" i="4"/>
  <c r="I363" i="4" s="1"/>
  <c r="C362" i="4"/>
  <c r="M362" i="4" s="1"/>
  <c r="E361" i="4"/>
  <c r="C361" i="4"/>
  <c r="J360" i="4"/>
  <c r="H360" i="4"/>
  <c r="F360" i="4"/>
  <c r="C360" i="4"/>
  <c r="A360" i="4"/>
  <c r="M359" i="4"/>
  <c r="E359" i="4"/>
  <c r="C359" i="4"/>
  <c r="N358" i="4"/>
  <c r="L358" i="4"/>
  <c r="J358" i="4"/>
  <c r="I358" i="4"/>
  <c r="F358" i="4"/>
  <c r="E358" i="4"/>
  <c r="D358" i="4"/>
  <c r="C358" i="4"/>
  <c r="K358" i="4" s="1"/>
  <c r="A358" i="4"/>
  <c r="C357" i="4"/>
  <c r="K357" i="4" s="1"/>
  <c r="J356" i="4"/>
  <c r="H356" i="4"/>
  <c r="D356" i="4"/>
  <c r="C356" i="4"/>
  <c r="A356" i="4"/>
  <c r="G355" i="4"/>
  <c r="C355" i="4"/>
  <c r="K355" i="4" s="1"/>
  <c r="N354" i="4"/>
  <c r="L354" i="4"/>
  <c r="J354" i="4"/>
  <c r="I354" i="4"/>
  <c r="F354" i="4"/>
  <c r="E354" i="4"/>
  <c r="D354" i="4"/>
  <c r="C354" i="4"/>
  <c r="K354" i="4" s="1"/>
  <c r="A354" i="4"/>
  <c r="M353" i="4"/>
  <c r="I353" i="4"/>
  <c r="C353" i="4"/>
  <c r="N352" i="4"/>
  <c r="L352" i="4"/>
  <c r="H352" i="4"/>
  <c r="F352" i="4"/>
  <c r="D352" i="4"/>
  <c r="C352" i="4"/>
  <c r="M352" i="4" s="1"/>
  <c r="A352" i="4"/>
  <c r="C351" i="4"/>
  <c r="N350" i="4"/>
  <c r="M350" i="4"/>
  <c r="C350" i="4"/>
  <c r="K349" i="4"/>
  <c r="I349" i="4"/>
  <c r="F349" i="4"/>
  <c r="C349" i="4"/>
  <c r="K348" i="4"/>
  <c r="H348" i="4"/>
  <c r="C348" i="4"/>
  <c r="C347" i="4"/>
  <c r="K347" i="4" s="1"/>
  <c r="C346" i="4"/>
  <c r="K345" i="4"/>
  <c r="C345" i="4"/>
  <c r="C344" i="4"/>
  <c r="C343" i="4"/>
  <c r="I342" i="4"/>
  <c r="H342" i="4"/>
  <c r="E342" i="4"/>
  <c r="C342" i="4"/>
  <c r="I341" i="4"/>
  <c r="F341" i="4"/>
  <c r="C341" i="4"/>
  <c r="K341" i="4" s="1"/>
  <c r="C340" i="4"/>
  <c r="C339" i="4"/>
  <c r="K339" i="4" s="1"/>
  <c r="N338" i="4"/>
  <c r="M338" i="4"/>
  <c r="J338" i="4"/>
  <c r="H338" i="4"/>
  <c r="E338" i="4"/>
  <c r="D338" i="4"/>
  <c r="C338" i="4"/>
  <c r="K337" i="4"/>
  <c r="C337" i="4"/>
  <c r="C336" i="4"/>
  <c r="I335" i="4"/>
  <c r="G335" i="4"/>
  <c r="E335" i="4"/>
  <c r="C335" i="4"/>
  <c r="M335" i="4" s="1"/>
  <c r="L334" i="4"/>
  <c r="J334" i="4"/>
  <c r="C334" i="4"/>
  <c r="C333" i="4"/>
  <c r="N332" i="4"/>
  <c r="I332" i="4"/>
  <c r="H332" i="4"/>
  <c r="D332" i="4"/>
  <c r="C332" i="4"/>
  <c r="M331" i="4"/>
  <c r="G331" i="4"/>
  <c r="E331" i="4"/>
  <c r="C331" i="4"/>
  <c r="I331" i="4" s="1"/>
  <c r="N330" i="4"/>
  <c r="J330" i="4"/>
  <c r="F330" i="4"/>
  <c r="D330" i="4"/>
  <c r="C330" i="4"/>
  <c r="C329" i="4"/>
  <c r="I329" i="4" s="1"/>
  <c r="N328" i="4"/>
  <c r="L328" i="4"/>
  <c r="J328" i="4"/>
  <c r="I328" i="4"/>
  <c r="F328" i="4"/>
  <c r="E328" i="4"/>
  <c r="D328" i="4"/>
  <c r="C328" i="4"/>
  <c r="K328" i="4" s="1"/>
  <c r="A328" i="4"/>
  <c r="M327" i="4"/>
  <c r="G327" i="4"/>
  <c r="C327" i="4"/>
  <c r="A327" i="4"/>
  <c r="D326" i="4"/>
  <c r="C326" i="4"/>
  <c r="C325" i="4"/>
  <c r="M324" i="4"/>
  <c r="I324" i="4"/>
  <c r="C324" i="4"/>
  <c r="M323" i="4"/>
  <c r="G323" i="4"/>
  <c r="C323" i="4"/>
  <c r="A323" i="4" s="1"/>
  <c r="N322" i="4"/>
  <c r="K322" i="4"/>
  <c r="J322" i="4"/>
  <c r="F322" i="4"/>
  <c r="E322" i="4"/>
  <c r="D322" i="4"/>
  <c r="C322" i="4"/>
  <c r="H322" i="4" s="1"/>
  <c r="A322" i="4"/>
  <c r="N321" i="4"/>
  <c r="J321" i="4"/>
  <c r="C321" i="4"/>
  <c r="C320" i="4"/>
  <c r="L319" i="4"/>
  <c r="I319" i="4"/>
  <c r="C319" i="4"/>
  <c r="N318" i="4"/>
  <c r="L318" i="4"/>
  <c r="J318" i="4"/>
  <c r="I318" i="4"/>
  <c r="F318" i="4"/>
  <c r="E318" i="4"/>
  <c r="D318" i="4"/>
  <c r="C318" i="4"/>
  <c r="K318" i="4" s="1"/>
  <c r="A318" i="4"/>
  <c r="C317" i="4"/>
  <c r="H316" i="4"/>
  <c r="G316" i="4"/>
  <c r="C316" i="4"/>
  <c r="C315" i="4"/>
  <c r="N314" i="4"/>
  <c r="L314" i="4"/>
  <c r="J314" i="4"/>
  <c r="I314" i="4"/>
  <c r="F314" i="4"/>
  <c r="E314" i="4"/>
  <c r="D314" i="4"/>
  <c r="C314" i="4"/>
  <c r="K314" i="4" s="1"/>
  <c r="A314" i="4"/>
  <c r="J313" i="4"/>
  <c r="G313" i="4"/>
  <c r="C313" i="4"/>
  <c r="A313" i="4"/>
  <c r="C312" i="4"/>
  <c r="C311" i="4"/>
  <c r="M310" i="4"/>
  <c r="I310" i="4"/>
  <c r="E310" i="4"/>
  <c r="D310" i="4"/>
  <c r="C310" i="4"/>
  <c r="C309" i="4"/>
  <c r="L308" i="4"/>
  <c r="K308" i="4"/>
  <c r="F308" i="4"/>
  <c r="C308" i="4"/>
  <c r="G308" i="4" s="1"/>
  <c r="A308" i="4"/>
  <c r="C307" i="4"/>
  <c r="I307" i="4" s="1"/>
  <c r="M306" i="4"/>
  <c r="I306" i="4"/>
  <c r="H306" i="4"/>
  <c r="F306" i="4"/>
  <c r="C306" i="4"/>
  <c r="A306" i="4"/>
  <c r="C305" i="4"/>
  <c r="E305" i="4" s="1"/>
  <c r="M301" i="3" a="1"/>
  <c r="M301" i="3"/>
  <c r="A301" i="3"/>
  <c r="M300" i="3" a="1"/>
  <c r="M300" i="3" s="1"/>
  <c r="K300" i="3"/>
  <c r="H300" i="3"/>
  <c r="B300" i="3"/>
  <c r="A300" i="3"/>
  <c r="M299" i="3" a="1"/>
  <c r="M299" i="3"/>
  <c r="L299" i="3"/>
  <c r="H299" i="3"/>
  <c r="A299" i="3"/>
  <c r="O298" i="3" a="1"/>
  <c r="O298" i="3" s="1"/>
  <c r="M298" i="3" a="1"/>
  <c r="M298" i="3" s="1"/>
  <c r="L298" i="3"/>
  <c r="H298" i="3"/>
  <c r="E298" i="3"/>
  <c r="A298" i="3"/>
  <c r="D298" i="3" s="1"/>
  <c r="M297" i="3" a="1"/>
  <c r="M297" i="3"/>
  <c r="E297" i="3"/>
  <c r="A297" i="3"/>
  <c r="F297" i="3" s="1"/>
  <c r="M296" i="3" a="1"/>
  <c r="M296" i="3" s="1"/>
  <c r="L296" i="3"/>
  <c r="J296" i="3"/>
  <c r="B296" i="3"/>
  <c r="A296" i="3"/>
  <c r="N295" i="3"/>
  <c r="M295" i="3" a="1"/>
  <c r="M295" i="3"/>
  <c r="L295" i="3"/>
  <c r="K295" i="3"/>
  <c r="G295" i="3"/>
  <c r="D295" i="3"/>
  <c r="C295" i="3"/>
  <c r="A295" i="3"/>
  <c r="J295" i="3" s="1"/>
  <c r="M294" i="3" a="1"/>
  <c r="M294" i="3"/>
  <c r="H294" i="3"/>
  <c r="A294" i="3"/>
  <c r="M293" i="3" a="1"/>
  <c r="M293" i="3"/>
  <c r="A293" i="3"/>
  <c r="M292" i="3" a="1"/>
  <c r="M292" i="3" s="1"/>
  <c r="L292" i="3"/>
  <c r="A292" i="3"/>
  <c r="J292" i="3" s="1"/>
  <c r="N291" i="3"/>
  <c r="M291" i="3" a="1"/>
  <c r="M291" i="3"/>
  <c r="L291" i="3"/>
  <c r="K291" i="3"/>
  <c r="G291" i="3"/>
  <c r="D291" i="3"/>
  <c r="C291" i="3"/>
  <c r="A291" i="3"/>
  <c r="J291" i="3" s="1"/>
  <c r="O290" i="3" a="1"/>
  <c r="O290" i="3" s="1"/>
  <c r="M290" i="3" a="1"/>
  <c r="M290" i="3"/>
  <c r="H290" i="3"/>
  <c r="E290" i="3"/>
  <c r="D290" i="3"/>
  <c r="A290" i="3"/>
  <c r="L290" i="3" s="1"/>
  <c r="M289" i="3" a="1"/>
  <c r="M289" i="3" s="1"/>
  <c r="E289" i="3"/>
  <c r="A289" i="3"/>
  <c r="F289" i="3" s="1"/>
  <c r="N288" i="3"/>
  <c r="M288" i="3" a="1"/>
  <c r="M288" i="3" s="1"/>
  <c r="L288" i="3"/>
  <c r="J288" i="3"/>
  <c r="H288" i="3"/>
  <c r="G288" i="3"/>
  <c r="D288" i="3"/>
  <c r="C288" i="3"/>
  <c r="B288" i="3"/>
  <c r="A288" i="3"/>
  <c r="O288" i="3" s="1" a="1"/>
  <c r="O288" i="3" s="1"/>
  <c r="N287" i="3"/>
  <c r="M287" i="3" a="1"/>
  <c r="M287" i="3"/>
  <c r="H287" i="3"/>
  <c r="G287" i="3"/>
  <c r="C287" i="3"/>
  <c r="A287" i="3"/>
  <c r="M286" i="3" a="1"/>
  <c r="M286" i="3"/>
  <c r="H286" i="3"/>
  <c r="A286" i="3"/>
  <c r="M285" i="3" a="1"/>
  <c r="M285" i="3" s="1"/>
  <c r="A285" i="3"/>
  <c r="N284" i="3"/>
  <c r="M284" i="3" a="1"/>
  <c r="M284" i="3" s="1"/>
  <c r="L284" i="3"/>
  <c r="J284" i="3"/>
  <c r="H284" i="3"/>
  <c r="G284" i="3"/>
  <c r="D284" i="3"/>
  <c r="C284" i="3"/>
  <c r="B284" i="3"/>
  <c r="A284" i="3"/>
  <c r="O284" i="3" s="1" a="1"/>
  <c r="O284" i="3" s="1"/>
  <c r="M283" i="3" a="1"/>
  <c r="M283" i="3"/>
  <c r="A283" i="3"/>
  <c r="K283" i="3" s="1"/>
  <c r="M282" i="3" a="1"/>
  <c r="M282" i="3"/>
  <c r="A282" i="3"/>
  <c r="D282" i="3" s="1"/>
  <c r="M281" i="3" a="1"/>
  <c r="M281" i="3" s="1"/>
  <c r="A281" i="3"/>
  <c r="N280" i="3"/>
  <c r="M280" i="3" a="1"/>
  <c r="M280" i="3" s="1"/>
  <c r="G280" i="3"/>
  <c r="D280" i="3"/>
  <c r="A280" i="3"/>
  <c r="N279" i="3"/>
  <c r="M279" i="3" a="1"/>
  <c r="M279" i="3"/>
  <c r="L279" i="3"/>
  <c r="K279" i="3"/>
  <c r="G279" i="3"/>
  <c r="D279" i="3"/>
  <c r="C279" i="3"/>
  <c r="A279" i="3"/>
  <c r="J279" i="3" s="1"/>
  <c r="O278" i="3" a="1"/>
  <c r="O278" i="3" s="1"/>
  <c r="M278" i="3" a="1"/>
  <c r="M278" i="3"/>
  <c r="A278" i="3"/>
  <c r="M277" i="3" a="1"/>
  <c r="M277" i="3"/>
  <c r="A277" i="3"/>
  <c r="N276" i="3"/>
  <c r="M276" i="3" a="1"/>
  <c r="M276" i="3" s="1"/>
  <c r="A276" i="3"/>
  <c r="N275" i="3"/>
  <c r="M275" i="3" a="1"/>
  <c r="M275" i="3"/>
  <c r="L275" i="3"/>
  <c r="K275" i="3"/>
  <c r="G275" i="3"/>
  <c r="D275" i="3"/>
  <c r="C275" i="3"/>
  <c r="A275" i="3"/>
  <c r="J275" i="3" s="1"/>
  <c r="O274" i="3" a="1"/>
  <c r="O274" i="3" s="1"/>
  <c r="M274" i="3" a="1"/>
  <c r="M274" i="3"/>
  <c r="H274" i="3"/>
  <c r="E274" i="3"/>
  <c r="D274" i="3"/>
  <c r="A274" i="3"/>
  <c r="L274" i="3" s="1"/>
  <c r="M273" i="3" a="1"/>
  <c r="M273" i="3"/>
  <c r="E273" i="3"/>
  <c r="A273" i="3"/>
  <c r="F273" i="3" s="1"/>
  <c r="N272" i="3"/>
  <c r="M272" i="3" a="1"/>
  <c r="M272" i="3" s="1"/>
  <c r="L272" i="3"/>
  <c r="J272" i="3"/>
  <c r="H272" i="3"/>
  <c r="G272" i="3"/>
  <c r="D272" i="3"/>
  <c r="C272" i="3"/>
  <c r="B272" i="3"/>
  <c r="A272" i="3"/>
  <c r="O272" i="3" s="1" a="1"/>
  <c r="O272" i="3" s="1"/>
  <c r="M271" i="3" a="1"/>
  <c r="M271" i="3"/>
  <c r="A271" i="3"/>
  <c r="M270" i="3" a="1"/>
  <c r="M270" i="3" s="1"/>
  <c r="K270" i="3"/>
  <c r="G270" i="3"/>
  <c r="A270" i="3"/>
  <c r="M269" i="3" a="1"/>
  <c r="M269" i="3" s="1"/>
  <c r="A269" i="3"/>
  <c r="M268" i="3" a="1"/>
  <c r="M268" i="3" s="1"/>
  <c r="H268" i="3"/>
  <c r="F268" i="3"/>
  <c r="B268" i="3"/>
  <c r="A268" i="3"/>
  <c r="M267" i="3" a="1"/>
  <c r="M267" i="3" s="1"/>
  <c r="A267" i="3"/>
  <c r="L267" i="3" s="1"/>
  <c r="N266" i="3"/>
  <c r="M266" i="3" a="1"/>
  <c r="M266" i="3" s="1"/>
  <c r="H266" i="3"/>
  <c r="D266" i="3"/>
  <c r="A266" i="3"/>
  <c r="N265" i="3"/>
  <c r="M265" i="3" a="1"/>
  <c r="M265" i="3" s="1"/>
  <c r="K265" i="3"/>
  <c r="G265" i="3"/>
  <c r="C265" i="3"/>
  <c r="A265" i="3"/>
  <c r="J265" i="3" s="1"/>
  <c r="M264" i="3" a="1"/>
  <c r="M264" i="3" s="1"/>
  <c r="L264" i="3"/>
  <c r="J264" i="3"/>
  <c r="F264" i="3"/>
  <c r="D264" i="3"/>
  <c r="B264" i="3"/>
  <c r="A264" i="3"/>
  <c r="N264" i="3" s="1"/>
  <c r="M263" i="3" a="1"/>
  <c r="M263" i="3" s="1"/>
  <c r="A263" i="3"/>
  <c r="L263" i="3" s="1"/>
  <c r="M262" i="3" a="1"/>
  <c r="M262" i="3" s="1"/>
  <c r="L262" i="3"/>
  <c r="K262" i="3"/>
  <c r="H262" i="3"/>
  <c r="F262" i="3"/>
  <c r="C262" i="3"/>
  <c r="B262" i="3"/>
  <c r="A262" i="3"/>
  <c r="M261" i="3" a="1"/>
  <c r="M261" i="3"/>
  <c r="A261" i="3"/>
  <c r="M260" i="3" a="1"/>
  <c r="M260" i="3" s="1"/>
  <c r="A260" i="3"/>
  <c r="M259" i="3" a="1"/>
  <c r="M259" i="3" s="1"/>
  <c r="A259" i="3"/>
  <c r="L259" i="3" s="1"/>
  <c r="M258" i="3" a="1"/>
  <c r="M258" i="3" s="1"/>
  <c r="J258" i="3"/>
  <c r="C258" i="3"/>
  <c r="A258" i="3"/>
  <c r="N257" i="3"/>
  <c r="M257" i="3" a="1"/>
  <c r="M257" i="3" s="1"/>
  <c r="K257" i="3"/>
  <c r="G257" i="3"/>
  <c r="C257" i="3"/>
  <c r="A257" i="3"/>
  <c r="J257" i="3" s="1"/>
  <c r="M256" i="3" a="1"/>
  <c r="M256" i="3" s="1"/>
  <c r="L256" i="3"/>
  <c r="J256" i="3"/>
  <c r="F256" i="3"/>
  <c r="D256" i="3"/>
  <c r="B256" i="3"/>
  <c r="A256" i="3"/>
  <c r="N256" i="3" s="1"/>
  <c r="M255" i="3" a="1"/>
  <c r="M255" i="3"/>
  <c r="A255" i="3"/>
  <c r="L255" i="3" s="1"/>
  <c r="M254" i="3" a="1"/>
  <c r="M254" i="3" s="1"/>
  <c r="H254" i="3"/>
  <c r="G254" i="3"/>
  <c r="A254" i="3"/>
  <c r="M253" i="3" a="1"/>
  <c r="M253" i="3"/>
  <c r="K253" i="3"/>
  <c r="C253" i="3"/>
  <c r="A253" i="3"/>
  <c r="M252" i="3" a="1"/>
  <c r="M252" i="3" s="1"/>
  <c r="J252" i="3"/>
  <c r="H252" i="3"/>
  <c r="B252" i="3"/>
  <c r="A252" i="3"/>
  <c r="M251" i="3" a="1"/>
  <c r="M251" i="3" s="1"/>
  <c r="A251" i="3"/>
  <c r="L251" i="3" s="1"/>
  <c r="N250" i="3"/>
  <c r="M250" i="3" a="1"/>
  <c r="M250" i="3" s="1"/>
  <c r="H250" i="3"/>
  <c r="F250" i="3"/>
  <c r="A250" i="3"/>
  <c r="N249" i="3"/>
  <c r="M249" i="3" a="1"/>
  <c r="M249" i="3" s="1"/>
  <c r="K249" i="3"/>
  <c r="G249" i="3"/>
  <c r="C249" i="3"/>
  <c r="A249" i="3"/>
  <c r="J249" i="3" s="1"/>
  <c r="M248" i="3" a="1"/>
  <c r="M248" i="3" s="1"/>
  <c r="L248" i="3"/>
  <c r="J248" i="3"/>
  <c r="F248" i="3"/>
  <c r="D248" i="3"/>
  <c r="B248" i="3"/>
  <c r="A248" i="3"/>
  <c r="N248" i="3" s="1"/>
  <c r="M247" i="3" a="1"/>
  <c r="M247" i="3" s="1"/>
  <c r="A247" i="3"/>
  <c r="L247" i="3" s="1"/>
  <c r="M246" i="3" a="1"/>
  <c r="M246" i="3" s="1"/>
  <c r="L246" i="3"/>
  <c r="A246" i="3"/>
  <c r="H246" i="3" s="1"/>
  <c r="M245" i="3" a="1"/>
  <c r="M245" i="3" s="1"/>
  <c r="C245" i="3"/>
  <c r="A245" i="3"/>
  <c r="M244" i="3" a="1"/>
  <c r="M244" i="3" s="1"/>
  <c r="J244" i="3"/>
  <c r="H244" i="3"/>
  <c r="F244" i="3"/>
  <c r="A244" i="3"/>
  <c r="M243" i="3" a="1"/>
  <c r="M243" i="3" s="1"/>
  <c r="A243" i="3"/>
  <c r="L243" i="3" s="1"/>
  <c r="M242" i="3" a="1"/>
  <c r="M242" i="3" s="1"/>
  <c r="K242" i="3"/>
  <c r="J242" i="3"/>
  <c r="F242" i="3"/>
  <c r="D242" i="3"/>
  <c r="C242" i="3"/>
  <c r="A242" i="3"/>
  <c r="N241" i="3"/>
  <c r="M241" i="3" a="1"/>
  <c r="M241" i="3" s="1"/>
  <c r="K241" i="3"/>
  <c r="G241" i="3"/>
  <c r="C241" i="3"/>
  <c r="A241" i="3"/>
  <c r="J241" i="3" s="1"/>
  <c r="M240" i="3" a="1"/>
  <c r="M240" i="3" s="1"/>
  <c r="L240" i="3"/>
  <c r="J240" i="3"/>
  <c r="F240" i="3"/>
  <c r="D240" i="3"/>
  <c r="B240" i="3"/>
  <c r="A240" i="3"/>
  <c r="N240" i="3" s="1"/>
  <c r="M239" i="3" a="1"/>
  <c r="M239" i="3" s="1"/>
  <c r="A239" i="3"/>
  <c r="L239" i="3" s="1"/>
  <c r="M238" i="3" a="1"/>
  <c r="M238" i="3" s="1"/>
  <c r="A238" i="3"/>
  <c r="M237" i="3" a="1"/>
  <c r="M237" i="3" s="1"/>
  <c r="A237" i="3"/>
  <c r="C237" i="3" s="1"/>
  <c r="M236" i="3" a="1"/>
  <c r="M236" i="3" s="1"/>
  <c r="H236" i="3"/>
  <c r="F236" i="3"/>
  <c r="A236" i="3"/>
  <c r="M235" i="3" a="1"/>
  <c r="M235" i="3" s="1"/>
  <c r="A235" i="3"/>
  <c r="L235" i="3" s="1"/>
  <c r="M234" i="3" a="1"/>
  <c r="M234" i="3" s="1"/>
  <c r="K234" i="3"/>
  <c r="J234" i="3"/>
  <c r="F234" i="3"/>
  <c r="D234" i="3"/>
  <c r="C234" i="3"/>
  <c r="A234" i="3"/>
  <c r="N233" i="3"/>
  <c r="M233" i="3" a="1"/>
  <c r="M233" i="3" s="1"/>
  <c r="K233" i="3"/>
  <c r="G233" i="3"/>
  <c r="C233" i="3"/>
  <c r="A233" i="3"/>
  <c r="J233" i="3" s="1"/>
  <c r="M232" i="3" a="1"/>
  <c r="M232" i="3" s="1"/>
  <c r="L232" i="3"/>
  <c r="J232" i="3"/>
  <c r="F232" i="3"/>
  <c r="D232" i="3"/>
  <c r="B232" i="3"/>
  <c r="A232" i="3"/>
  <c r="N232" i="3" s="1"/>
  <c r="M231" i="3" a="1"/>
  <c r="M231" i="3"/>
  <c r="A231" i="3"/>
  <c r="L231" i="3" s="1"/>
  <c r="M230" i="3" a="1"/>
  <c r="M230" i="3" s="1"/>
  <c r="L230" i="3"/>
  <c r="K230" i="3"/>
  <c r="F230" i="3"/>
  <c r="C230" i="3"/>
  <c r="A230" i="3"/>
  <c r="M229" i="3" a="1"/>
  <c r="M229" i="3"/>
  <c r="A229" i="3"/>
  <c r="M228" i="3" a="1"/>
  <c r="M228" i="3" s="1"/>
  <c r="H228" i="3"/>
  <c r="F228" i="3"/>
  <c r="B228" i="3"/>
  <c r="A228" i="3"/>
  <c r="M227" i="3" a="1"/>
  <c r="M227" i="3" s="1"/>
  <c r="A227" i="3"/>
  <c r="L227" i="3" s="1"/>
  <c r="N226" i="3"/>
  <c r="M226" i="3" a="1"/>
  <c r="M226" i="3" s="1"/>
  <c r="J226" i="3"/>
  <c r="H226" i="3"/>
  <c r="C226" i="3"/>
  <c r="A226" i="3"/>
  <c r="N225" i="3"/>
  <c r="M225" i="3" a="1"/>
  <c r="M225" i="3" s="1"/>
  <c r="K225" i="3"/>
  <c r="G225" i="3"/>
  <c r="C225" i="3"/>
  <c r="A225" i="3"/>
  <c r="J225" i="3" s="1"/>
  <c r="M224" i="3" a="1"/>
  <c r="M224" i="3" s="1"/>
  <c r="L224" i="3"/>
  <c r="J224" i="3"/>
  <c r="F224" i="3"/>
  <c r="D224" i="3"/>
  <c r="B224" i="3"/>
  <c r="A224" i="3"/>
  <c r="N224" i="3" s="1"/>
  <c r="M223" i="3" a="1"/>
  <c r="M223" i="3"/>
  <c r="A223" i="3"/>
  <c r="L223" i="3" s="1"/>
  <c r="M222" i="3" a="1"/>
  <c r="M222" i="3" s="1"/>
  <c r="L222" i="3"/>
  <c r="K222" i="3"/>
  <c r="H222" i="3"/>
  <c r="F222" i="3"/>
  <c r="C222" i="3"/>
  <c r="B222" i="3"/>
  <c r="A222" i="3"/>
  <c r="M221" i="3" a="1"/>
  <c r="M221" i="3"/>
  <c r="K221" i="3"/>
  <c r="A221" i="3"/>
  <c r="M220" i="3" a="1"/>
  <c r="M220" i="3" s="1"/>
  <c r="J220" i="3"/>
  <c r="B220" i="3"/>
  <c r="A220" i="3"/>
  <c r="M219" i="3" a="1"/>
  <c r="M219" i="3" s="1"/>
  <c r="A219" i="3"/>
  <c r="L219" i="3" s="1"/>
  <c r="M218" i="3" a="1"/>
  <c r="M218" i="3" s="1"/>
  <c r="H218" i="3"/>
  <c r="F218" i="3"/>
  <c r="A218" i="3"/>
  <c r="N217" i="3"/>
  <c r="M217" i="3" a="1"/>
  <c r="M217" i="3" s="1"/>
  <c r="K217" i="3"/>
  <c r="G217" i="3"/>
  <c r="C217" i="3"/>
  <c r="A217" i="3"/>
  <c r="J217" i="3" s="1"/>
  <c r="M216" i="3" a="1"/>
  <c r="M216" i="3" s="1"/>
  <c r="L216" i="3"/>
  <c r="J216" i="3"/>
  <c r="F216" i="3"/>
  <c r="D216" i="3"/>
  <c r="B216" i="3"/>
  <c r="A216" i="3"/>
  <c r="N216" i="3" s="1"/>
  <c r="M215" i="3" a="1"/>
  <c r="M215" i="3"/>
  <c r="A215" i="3"/>
  <c r="L215" i="3" s="1"/>
  <c r="M214" i="3" a="1"/>
  <c r="M214" i="3" s="1"/>
  <c r="H214" i="3"/>
  <c r="G214" i="3"/>
  <c r="B214" i="3"/>
  <c r="A214" i="3"/>
  <c r="M213" i="3" a="1"/>
  <c r="M213" i="3"/>
  <c r="K213" i="3"/>
  <c r="C213" i="3"/>
  <c r="A213" i="3"/>
  <c r="M212" i="3" a="1"/>
  <c r="M212" i="3" s="1"/>
  <c r="A212" i="3"/>
  <c r="J212" i="3" s="1"/>
  <c r="M211" i="3" a="1"/>
  <c r="M211" i="3" s="1"/>
  <c r="A211" i="3"/>
  <c r="L211" i="3" s="1"/>
  <c r="M210" i="3" a="1"/>
  <c r="M210" i="3" s="1"/>
  <c r="K210" i="3"/>
  <c r="F210" i="3"/>
  <c r="D210" i="3"/>
  <c r="A210" i="3"/>
  <c r="N209" i="3"/>
  <c r="M209" i="3" a="1"/>
  <c r="M209" i="3" s="1"/>
  <c r="K209" i="3"/>
  <c r="G209" i="3"/>
  <c r="C209" i="3"/>
  <c r="A209" i="3"/>
  <c r="J209" i="3" s="1"/>
  <c r="M208" i="3" a="1"/>
  <c r="M208" i="3" s="1"/>
  <c r="L208" i="3"/>
  <c r="J208" i="3"/>
  <c r="F208" i="3"/>
  <c r="D208" i="3"/>
  <c r="B208" i="3"/>
  <c r="A208" i="3"/>
  <c r="N208" i="3" s="1"/>
  <c r="M207" i="3" a="1"/>
  <c r="M207" i="3" s="1"/>
  <c r="A207" i="3"/>
  <c r="L207" i="3" s="1"/>
  <c r="M206" i="3" a="1"/>
  <c r="M206" i="3" s="1"/>
  <c r="L206" i="3"/>
  <c r="G206" i="3"/>
  <c r="F206" i="3"/>
  <c r="A206" i="3"/>
  <c r="M205" i="3" a="1"/>
  <c r="M205" i="3" s="1"/>
  <c r="C205" i="3"/>
  <c r="A205" i="3"/>
  <c r="M204" i="3" a="1"/>
  <c r="M204" i="3" s="1"/>
  <c r="H204" i="3"/>
  <c r="F204" i="3"/>
  <c r="A204" i="3"/>
  <c r="M203" i="3" a="1"/>
  <c r="M203" i="3" s="1"/>
  <c r="A203" i="3"/>
  <c r="L203" i="3" s="1"/>
  <c r="M202" i="3" a="1"/>
  <c r="M202" i="3" s="1"/>
  <c r="K202" i="3"/>
  <c r="J202" i="3"/>
  <c r="F202" i="3"/>
  <c r="D202" i="3"/>
  <c r="C202" i="3"/>
  <c r="A202" i="3"/>
  <c r="N201" i="3"/>
  <c r="M201" i="3" a="1"/>
  <c r="M201" i="3" s="1"/>
  <c r="K201" i="3"/>
  <c r="G201" i="3"/>
  <c r="C201" i="3"/>
  <c r="A201" i="3"/>
  <c r="J201" i="3" s="1"/>
  <c r="M200" i="3" a="1"/>
  <c r="M200" i="3" s="1"/>
  <c r="L200" i="3"/>
  <c r="J200" i="3"/>
  <c r="F200" i="3"/>
  <c r="D200" i="3"/>
  <c r="B200" i="3"/>
  <c r="A200" i="3"/>
  <c r="N200" i="3" s="1"/>
  <c r="M199" i="3" a="1"/>
  <c r="M199" i="3" s="1"/>
  <c r="A199" i="3"/>
  <c r="L199" i="3" s="1"/>
  <c r="M198" i="3" a="1"/>
  <c r="M198" i="3" s="1"/>
  <c r="L198" i="3"/>
  <c r="K198" i="3"/>
  <c r="F198" i="3"/>
  <c r="C198" i="3"/>
  <c r="A198" i="3"/>
  <c r="M197" i="3" a="1"/>
  <c r="M197" i="3" s="1"/>
  <c r="A197" i="3"/>
  <c r="M196" i="3" a="1"/>
  <c r="M196" i="3" s="1"/>
  <c r="H196" i="3"/>
  <c r="F196" i="3"/>
  <c r="B196" i="3"/>
  <c r="A196" i="3"/>
  <c r="M195" i="3" a="1"/>
  <c r="M195" i="3" s="1"/>
  <c r="A195" i="3"/>
  <c r="L195" i="3" s="1"/>
  <c r="M194" i="3" a="1"/>
  <c r="M194" i="3" s="1"/>
  <c r="A194" i="3"/>
  <c r="N193" i="3"/>
  <c r="M193" i="3" a="1"/>
  <c r="M193" i="3" s="1"/>
  <c r="K193" i="3"/>
  <c r="G193" i="3"/>
  <c r="C193" i="3"/>
  <c r="A193" i="3"/>
  <c r="J193" i="3" s="1"/>
  <c r="M192" i="3" a="1"/>
  <c r="M192" i="3" s="1"/>
  <c r="L192" i="3"/>
  <c r="J192" i="3"/>
  <c r="F192" i="3"/>
  <c r="D192" i="3"/>
  <c r="B192" i="3"/>
  <c r="A192" i="3"/>
  <c r="N192" i="3" s="1"/>
  <c r="M191" i="3" a="1"/>
  <c r="M191" i="3"/>
  <c r="A191" i="3"/>
  <c r="L191" i="3" s="1"/>
  <c r="M190" i="3" a="1"/>
  <c r="M190" i="3" s="1"/>
  <c r="L190" i="3"/>
  <c r="K190" i="3"/>
  <c r="H190" i="3"/>
  <c r="F190" i="3"/>
  <c r="C190" i="3"/>
  <c r="B190" i="3"/>
  <c r="A190" i="3"/>
  <c r="M189" i="3" a="1"/>
  <c r="M189" i="3"/>
  <c r="K189" i="3"/>
  <c r="A189" i="3"/>
  <c r="M188" i="3" a="1"/>
  <c r="M188" i="3" s="1"/>
  <c r="A188" i="3"/>
  <c r="M187" i="3" a="1"/>
  <c r="M187" i="3" s="1"/>
  <c r="A187" i="3"/>
  <c r="L187" i="3" s="1"/>
  <c r="M186" i="3" a="1"/>
  <c r="M186" i="3" s="1"/>
  <c r="A186" i="3"/>
  <c r="H186" i="3" s="1"/>
  <c r="N185" i="3"/>
  <c r="M185" i="3" a="1"/>
  <c r="M185" i="3" s="1"/>
  <c r="K185" i="3"/>
  <c r="G185" i="3"/>
  <c r="C185" i="3"/>
  <c r="A185" i="3"/>
  <c r="J185" i="3" s="1"/>
  <c r="M184" i="3" a="1"/>
  <c r="M184" i="3" s="1"/>
  <c r="L184" i="3"/>
  <c r="J184" i="3"/>
  <c r="F184" i="3"/>
  <c r="D184" i="3"/>
  <c r="B184" i="3"/>
  <c r="A184" i="3"/>
  <c r="N184" i="3" s="1"/>
  <c r="M183" i="3" a="1"/>
  <c r="M183" i="3"/>
  <c r="A183" i="3"/>
  <c r="L183" i="3" s="1"/>
  <c r="M182" i="3" a="1"/>
  <c r="M182" i="3" s="1"/>
  <c r="A182" i="3"/>
  <c r="M181" i="3" a="1"/>
  <c r="M181" i="3"/>
  <c r="K181" i="3"/>
  <c r="C181" i="3"/>
  <c r="A181" i="3"/>
  <c r="M180" i="3" a="1"/>
  <c r="M180" i="3" s="1"/>
  <c r="J180" i="3"/>
  <c r="H180" i="3"/>
  <c r="A180" i="3"/>
  <c r="M179" i="3" a="1"/>
  <c r="M179" i="3" s="1"/>
  <c r="A179" i="3"/>
  <c r="L179" i="3" s="1"/>
  <c r="M178" i="3" a="1"/>
  <c r="M178" i="3" s="1"/>
  <c r="K178" i="3"/>
  <c r="F178" i="3"/>
  <c r="D178" i="3"/>
  <c r="A178" i="3"/>
  <c r="N177" i="3"/>
  <c r="M177" i="3" a="1"/>
  <c r="M177" i="3" s="1"/>
  <c r="K177" i="3"/>
  <c r="G177" i="3"/>
  <c r="C177" i="3"/>
  <c r="A177" i="3"/>
  <c r="J177" i="3" s="1"/>
  <c r="M176" i="3" a="1"/>
  <c r="M176" i="3" s="1"/>
  <c r="L176" i="3"/>
  <c r="J176" i="3"/>
  <c r="F176" i="3"/>
  <c r="D176" i="3"/>
  <c r="B176" i="3"/>
  <c r="A176" i="3"/>
  <c r="N176" i="3" s="1"/>
  <c r="M175" i="3" a="1"/>
  <c r="M175" i="3" s="1"/>
  <c r="A175" i="3"/>
  <c r="L175" i="3" s="1"/>
  <c r="M174" i="3" a="1"/>
  <c r="M174" i="3" s="1"/>
  <c r="A174" i="3"/>
  <c r="M173" i="3" a="1"/>
  <c r="M173" i="3" s="1"/>
  <c r="A173" i="3"/>
  <c r="C173" i="3" s="1"/>
  <c r="M172" i="3" a="1"/>
  <c r="M172" i="3" s="1"/>
  <c r="H172" i="3"/>
  <c r="F172" i="3"/>
  <c r="A172" i="3"/>
  <c r="M171" i="3" a="1"/>
  <c r="M171" i="3" s="1"/>
  <c r="A171" i="3"/>
  <c r="L171" i="3" s="1"/>
  <c r="M170" i="3" a="1"/>
  <c r="M170" i="3" s="1"/>
  <c r="K170" i="3"/>
  <c r="J170" i="3"/>
  <c r="F170" i="3"/>
  <c r="D170" i="3"/>
  <c r="C170" i="3"/>
  <c r="A170" i="3"/>
  <c r="N169" i="3"/>
  <c r="M169" i="3" a="1"/>
  <c r="M169" i="3" s="1"/>
  <c r="K169" i="3"/>
  <c r="G169" i="3"/>
  <c r="C169" i="3"/>
  <c r="A169" i="3"/>
  <c r="J169" i="3" s="1"/>
  <c r="M168" i="3" a="1"/>
  <c r="M168" i="3" s="1"/>
  <c r="L168" i="3"/>
  <c r="J168" i="3"/>
  <c r="F168" i="3"/>
  <c r="D168" i="3"/>
  <c r="B168" i="3"/>
  <c r="A168" i="3"/>
  <c r="N168" i="3" s="1"/>
  <c r="M167" i="3" a="1"/>
  <c r="M167" i="3"/>
  <c r="A167" i="3"/>
  <c r="L167" i="3" s="1"/>
  <c r="M166" i="3" a="1"/>
  <c r="M166" i="3" s="1"/>
  <c r="L166" i="3"/>
  <c r="K166" i="3"/>
  <c r="F166" i="3"/>
  <c r="C166" i="3"/>
  <c r="A166" i="3"/>
  <c r="M165" i="3" a="1"/>
  <c r="M165" i="3"/>
  <c r="A165" i="3"/>
  <c r="M164" i="3" a="1"/>
  <c r="M164" i="3" s="1"/>
  <c r="H164" i="3"/>
  <c r="F164" i="3"/>
  <c r="B164" i="3"/>
  <c r="A164" i="3"/>
  <c r="M163" i="3" a="1"/>
  <c r="M163" i="3" s="1"/>
  <c r="A163" i="3"/>
  <c r="L163" i="3" s="1"/>
  <c r="N162" i="3"/>
  <c r="M162" i="3" a="1"/>
  <c r="M162" i="3" s="1"/>
  <c r="J162" i="3"/>
  <c r="H162" i="3"/>
  <c r="C162" i="3"/>
  <c r="A162" i="3"/>
  <c r="N161" i="3"/>
  <c r="M161" i="3" a="1"/>
  <c r="M161" i="3" s="1"/>
  <c r="K161" i="3"/>
  <c r="G161" i="3"/>
  <c r="C161" i="3"/>
  <c r="A161" i="3"/>
  <c r="J161" i="3" s="1"/>
  <c r="M160" i="3" a="1"/>
  <c r="M160" i="3" s="1"/>
  <c r="L160" i="3"/>
  <c r="J160" i="3"/>
  <c r="F160" i="3"/>
  <c r="D160" i="3"/>
  <c r="B160" i="3"/>
  <c r="A160" i="3"/>
  <c r="N160" i="3" s="1"/>
  <c r="M159" i="3" a="1"/>
  <c r="M159" i="3"/>
  <c r="A159" i="3"/>
  <c r="L159" i="3" s="1"/>
  <c r="M158" i="3" a="1"/>
  <c r="M158" i="3" s="1"/>
  <c r="L158" i="3"/>
  <c r="K158" i="3"/>
  <c r="H158" i="3"/>
  <c r="F158" i="3"/>
  <c r="C158" i="3"/>
  <c r="B158" i="3"/>
  <c r="A158" i="3"/>
  <c r="M157" i="3" a="1"/>
  <c r="M157" i="3"/>
  <c r="K157" i="3"/>
  <c r="A157" i="3"/>
  <c r="M156" i="3" a="1"/>
  <c r="M156" i="3" s="1"/>
  <c r="J156" i="3"/>
  <c r="B156" i="3"/>
  <c r="A156" i="3"/>
  <c r="M155" i="3" a="1"/>
  <c r="M155" i="3" s="1"/>
  <c r="A155" i="3"/>
  <c r="L155" i="3" s="1"/>
  <c r="N154" i="3"/>
  <c r="M154" i="3" a="1"/>
  <c r="M154" i="3" s="1"/>
  <c r="H154" i="3"/>
  <c r="F154" i="3"/>
  <c r="C154" i="3"/>
  <c r="A154" i="3"/>
  <c r="N153" i="3"/>
  <c r="M153" i="3" a="1"/>
  <c r="M153" i="3" s="1"/>
  <c r="K153" i="3"/>
  <c r="G153" i="3"/>
  <c r="C153" i="3"/>
  <c r="A153" i="3"/>
  <c r="J153" i="3" s="1"/>
  <c r="M152" i="3" a="1"/>
  <c r="M152" i="3" s="1"/>
  <c r="L152" i="3"/>
  <c r="J152" i="3"/>
  <c r="F152" i="3"/>
  <c r="D152" i="3"/>
  <c r="B152" i="3"/>
  <c r="A152" i="3"/>
  <c r="N152" i="3" s="1"/>
  <c r="M151" i="3" a="1"/>
  <c r="M151" i="3"/>
  <c r="A151" i="3"/>
  <c r="L151" i="3" s="1"/>
  <c r="M150" i="3" a="1"/>
  <c r="M150" i="3" s="1"/>
  <c r="K150" i="3"/>
  <c r="C150" i="3"/>
  <c r="B150" i="3"/>
  <c r="A150" i="3"/>
  <c r="G150" i="3" s="1"/>
  <c r="M149" i="3" a="1"/>
  <c r="M149" i="3"/>
  <c r="K149" i="3"/>
  <c r="C149" i="3"/>
  <c r="A149" i="3"/>
  <c r="M148" i="3" a="1"/>
  <c r="M148" i="3" s="1"/>
  <c r="J148" i="3"/>
  <c r="A148" i="3"/>
  <c r="H148" i="3" s="1"/>
  <c r="M147" i="3" a="1"/>
  <c r="M147" i="3" s="1"/>
  <c r="A147" i="3"/>
  <c r="I147" i="3" s="1"/>
  <c r="M146" i="3" a="1"/>
  <c r="M146" i="3" s="1"/>
  <c r="K146" i="3"/>
  <c r="A146" i="3"/>
  <c r="N145" i="3"/>
  <c r="M145" i="3" a="1"/>
  <c r="M145" i="3" s="1"/>
  <c r="K145" i="3"/>
  <c r="G145" i="3"/>
  <c r="C145" i="3"/>
  <c r="A145" i="3"/>
  <c r="J145" i="3" s="1"/>
  <c r="M144" i="3" a="1"/>
  <c r="M144" i="3" s="1"/>
  <c r="L144" i="3"/>
  <c r="J144" i="3"/>
  <c r="F144" i="3"/>
  <c r="D144" i="3"/>
  <c r="B144" i="3"/>
  <c r="A144" i="3"/>
  <c r="N144" i="3" s="1"/>
  <c r="M143" i="3" a="1"/>
  <c r="M143" i="3"/>
  <c r="E143" i="3"/>
  <c r="A143" i="3"/>
  <c r="I143" i="3" s="1"/>
  <c r="M142" i="3" a="1"/>
  <c r="M142" i="3" s="1"/>
  <c r="L142" i="3"/>
  <c r="F142" i="3"/>
  <c r="D142" i="3"/>
  <c r="A142" i="3"/>
  <c r="G142" i="3" s="1"/>
  <c r="M141" i="3" a="1"/>
  <c r="M141" i="3" s="1"/>
  <c r="K141" i="3"/>
  <c r="E141" i="3"/>
  <c r="A141" i="3"/>
  <c r="M140" i="3" a="1"/>
  <c r="M140" i="3" s="1"/>
  <c r="H140" i="3"/>
  <c r="F140" i="3"/>
  <c r="D140" i="3"/>
  <c r="A140" i="3"/>
  <c r="O139" i="3" a="1"/>
  <c r="O139" i="3" s="1"/>
  <c r="M139" i="3" a="1"/>
  <c r="M139" i="3" s="1"/>
  <c r="K139" i="3"/>
  <c r="E139" i="3"/>
  <c r="C139" i="3"/>
  <c r="A139" i="3"/>
  <c r="N138" i="3"/>
  <c r="M138" i="3" a="1"/>
  <c r="M138" i="3" s="1"/>
  <c r="L138" i="3"/>
  <c r="J138" i="3"/>
  <c r="H138" i="3"/>
  <c r="G138" i="3"/>
  <c r="D138" i="3"/>
  <c r="C138" i="3"/>
  <c r="B138" i="3"/>
  <c r="A138" i="3"/>
  <c r="O138" i="3" s="1" a="1"/>
  <c r="O138" i="3" s="1"/>
  <c r="M137" i="3" a="1"/>
  <c r="M137" i="3"/>
  <c r="A137" i="3"/>
  <c r="G137" i="3" s="1"/>
  <c r="M136" i="3" a="1"/>
  <c r="M136" i="3" s="1"/>
  <c r="J136" i="3"/>
  <c r="A136" i="3"/>
  <c r="H136" i="3" s="1"/>
  <c r="M135" i="3" a="1"/>
  <c r="M135" i="3" s="1"/>
  <c r="A135" i="3"/>
  <c r="M134" i="3" a="1"/>
  <c r="M134" i="3" s="1"/>
  <c r="H134" i="3"/>
  <c r="A134" i="3"/>
  <c r="N134" i="3" s="1"/>
  <c r="O133" i="3" a="1"/>
  <c r="O133" i="3" s="1"/>
  <c r="M133" i="3" a="1"/>
  <c r="M133" i="3" s="1"/>
  <c r="I133" i="3"/>
  <c r="H133" i="3"/>
  <c r="D133" i="3"/>
  <c r="A133" i="3"/>
  <c r="C133" i="3" s="1"/>
  <c r="M132" i="3" a="1"/>
  <c r="M132" i="3" s="1"/>
  <c r="J132" i="3"/>
  <c r="H132" i="3"/>
  <c r="D132" i="3"/>
  <c r="A132" i="3"/>
  <c r="N131" i="3"/>
  <c r="M131" i="3" a="1"/>
  <c r="M131" i="3" s="1"/>
  <c r="E131" i="3"/>
  <c r="A131" i="3"/>
  <c r="N130" i="3"/>
  <c r="M130" i="3" a="1"/>
  <c r="M130" i="3" s="1"/>
  <c r="L130" i="3"/>
  <c r="K130" i="3"/>
  <c r="J130" i="3"/>
  <c r="F130" i="3"/>
  <c r="D130" i="3"/>
  <c r="B130" i="3"/>
  <c r="A130" i="3"/>
  <c r="O129" i="3" a="1"/>
  <c r="O129" i="3" s="1"/>
  <c r="M129" i="3" a="1"/>
  <c r="M129" i="3" s="1"/>
  <c r="H129" i="3"/>
  <c r="E129" i="3"/>
  <c r="D129" i="3"/>
  <c r="A129" i="3"/>
  <c r="M128" i="3" a="1"/>
  <c r="M128" i="3" s="1"/>
  <c r="J128" i="3"/>
  <c r="A128" i="3"/>
  <c r="M127" i="3" a="1"/>
  <c r="M127" i="3"/>
  <c r="A127" i="3"/>
  <c r="N127" i="3" s="1"/>
  <c r="N126" i="3"/>
  <c r="M126" i="3" a="1"/>
  <c r="M126" i="3" s="1"/>
  <c r="L126" i="3"/>
  <c r="J126" i="3"/>
  <c r="H126" i="3"/>
  <c r="G126" i="3"/>
  <c r="D126" i="3"/>
  <c r="C126" i="3"/>
  <c r="B126" i="3"/>
  <c r="A126" i="3"/>
  <c r="O126" i="3" s="1" a="1"/>
  <c r="O126" i="3" s="1"/>
  <c r="N125" i="3"/>
  <c r="M125" i="3" a="1"/>
  <c r="M125" i="3" s="1"/>
  <c r="A125" i="3"/>
  <c r="M124" i="3" a="1"/>
  <c r="M124" i="3" s="1"/>
  <c r="A124" i="3"/>
  <c r="J124" i="3" s="1"/>
  <c r="M123" i="3" a="1"/>
  <c r="M123" i="3"/>
  <c r="G123" i="3"/>
  <c r="C123" i="3"/>
  <c r="B123" i="3"/>
  <c r="A123" i="3"/>
  <c r="I123" i="3" s="1"/>
  <c r="N122" i="3"/>
  <c r="M122" i="3" a="1"/>
  <c r="M122" i="3" s="1"/>
  <c r="L122" i="3"/>
  <c r="J122" i="3"/>
  <c r="H122" i="3"/>
  <c r="G122" i="3"/>
  <c r="D122" i="3"/>
  <c r="C122" i="3"/>
  <c r="B122" i="3"/>
  <c r="A122" i="3"/>
  <c r="O122" i="3" s="1" a="1"/>
  <c r="O122" i="3" s="1"/>
  <c r="M121" i="3" a="1"/>
  <c r="M121" i="3"/>
  <c r="A121" i="3"/>
  <c r="N121" i="3" s="1"/>
  <c r="M120" i="3" a="1"/>
  <c r="M120" i="3"/>
  <c r="I120" i="3"/>
  <c r="H120" i="3"/>
  <c r="B120" i="3"/>
  <c r="A120" i="3"/>
  <c r="D120" i="3" s="1"/>
  <c r="N119" i="3"/>
  <c r="M119" i="3" a="1"/>
  <c r="M119" i="3" s="1"/>
  <c r="J119" i="3"/>
  <c r="G119" i="3"/>
  <c r="C119" i="3"/>
  <c r="B119" i="3"/>
  <c r="A119" i="3"/>
  <c r="E119" i="3" s="1"/>
  <c r="M118" i="3" a="1"/>
  <c r="M118" i="3" s="1"/>
  <c r="G118" i="3"/>
  <c r="A118" i="3"/>
  <c r="F118" i="3" s="1"/>
  <c r="M117" i="3" a="1"/>
  <c r="M117" i="3" s="1"/>
  <c r="A117" i="3"/>
  <c r="M116" i="3" a="1"/>
  <c r="M116" i="3" s="1"/>
  <c r="I116" i="3"/>
  <c r="H116" i="3"/>
  <c r="B116" i="3"/>
  <c r="A116" i="3"/>
  <c r="M115" i="3" a="1"/>
  <c r="M115" i="3" s="1"/>
  <c r="J115" i="3"/>
  <c r="E115" i="3"/>
  <c r="A115" i="3"/>
  <c r="I115" i="3" s="1"/>
  <c r="N114" i="3"/>
  <c r="M114" i="3" a="1"/>
  <c r="M114" i="3" s="1"/>
  <c r="L114" i="3"/>
  <c r="J114" i="3"/>
  <c r="H114" i="3"/>
  <c r="G114" i="3"/>
  <c r="D114" i="3"/>
  <c r="C114" i="3"/>
  <c r="B114" i="3"/>
  <c r="A114" i="3"/>
  <c r="O114" i="3" s="1" a="1"/>
  <c r="O114" i="3" s="1"/>
  <c r="M113" i="3" a="1"/>
  <c r="M113" i="3" s="1"/>
  <c r="I113" i="3"/>
  <c r="A113" i="3"/>
  <c r="O113" i="3" s="1" a="1"/>
  <c r="O113" i="3" s="1"/>
  <c r="M112" i="3" a="1"/>
  <c r="M112" i="3" s="1"/>
  <c r="J112" i="3"/>
  <c r="A112" i="3"/>
  <c r="M111" i="3" a="1"/>
  <c r="M111" i="3"/>
  <c r="A111" i="3"/>
  <c r="N111" i="3" s="1"/>
  <c r="M110" i="3" a="1"/>
  <c r="M110" i="3" s="1"/>
  <c r="L110" i="3"/>
  <c r="F110" i="3"/>
  <c r="B110" i="3"/>
  <c r="A110" i="3"/>
  <c r="N110" i="3" s="1"/>
  <c r="N109" i="3"/>
  <c r="M109" i="3" a="1"/>
  <c r="M109" i="3"/>
  <c r="K109" i="3"/>
  <c r="E109" i="3"/>
  <c r="A109" i="3"/>
  <c r="I109" i="3" s="1"/>
  <c r="M108" i="3" a="1"/>
  <c r="M108" i="3" s="1"/>
  <c r="A108" i="3"/>
  <c r="J108" i="3" s="1"/>
  <c r="M107" i="3" a="1"/>
  <c r="M107" i="3"/>
  <c r="A107" i="3"/>
  <c r="I107" i="3" s="1"/>
  <c r="N106" i="3"/>
  <c r="M106" i="3" a="1"/>
  <c r="M106" i="3" s="1"/>
  <c r="G106" i="3"/>
  <c r="A106" i="3"/>
  <c r="D106" i="3" s="1"/>
  <c r="M105" i="3" a="1"/>
  <c r="M105" i="3" s="1"/>
  <c r="A105" i="3"/>
  <c r="N105" i="3" s="1"/>
  <c r="M104" i="3" a="1"/>
  <c r="M104" i="3"/>
  <c r="H104" i="3"/>
  <c r="D104" i="3"/>
  <c r="B104" i="3"/>
  <c r="A104" i="3"/>
  <c r="I104" i="3" s="1"/>
  <c r="M103" i="3" a="1"/>
  <c r="M103" i="3" s="1"/>
  <c r="C103" i="3"/>
  <c r="A103" i="3"/>
  <c r="M102" i="3" a="1"/>
  <c r="M102" i="3" s="1"/>
  <c r="A102" i="3"/>
  <c r="K102" i="3" s="1"/>
  <c r="M101" i="3" a="1"/>
  <c r="M101" i="3" s="1"/>
  <c r="H101" i="3"/>
  <c r="A101" i="3"/>
  <c r="M100" i="3" a="1"/>
  <c r="M100" i="3" s="1"/>
  <c r="E100" i="3"/>
  <c r="D100" i="3"/>
  <c r="A100" i="3"/>
  <c r="J100" i="3" s="1"/>
  <c r="M99" i="3" a="1"/>
  <c r="M99" i="3" s="1"/>
  <c r="E99" i="3"/>
  <c r="A99" i="3"/>
  <c r="M98" i="3" a="1"/>
  <c r="M98" i="3" s="1"/>
  <c r="K98" i="3"/>
  <c r="G98" i="3"/>
  <c r="A98" i="3"/>
  <c r="M97" i="3" a="1"/>
  <c r="M97" i="3" s="1"/>
  <c r="A97" i="3"/>
  <c r="J97" i="3" s="1"/>
  <c r="M96" i="3" a="1"/>
  <c r="M96" i="3" s="1"/>
  <c r="J96" i="3"/>
  <c r="G96" i="3"/>
  <c r="B96" i="3"/>
  <c r="A96" i="3"/>
  <c r="N95" i="3"/>
  <c r="M95" i="3" a="1"/>
  <c r="M95" i="3" s="1"/>
  <c r="L95" i="3"/>
  <c r="K95" i="3"/>
  <c r="J95" i="3"/>
  <c r="F95" i="3"/>
  <c r="D95" i="3"/>
  <c r="B95" i="3"/>
  <c r="A95" i="3"/>
  <c r="M94" i="3" a="1"/>
  <c r="M94" i="3" s="1"/>
  <c r="L94" i="3"/>
  <c r="H94" i="3"/>
  <c r="D94" i="3"/>
  <c r="A94" i="3"/>
  <c r="J94" i="3" s="1"/>
  <c r="M93" i="3" a="1"/>
  <c r="M93" i="3" s="1"/>
  <c r="A93" i="3"/>
  <c r="N93" i="3" s="1"/>
  <c r="M92" i="3" a="1"/>
  <c r="M92" i="3" s="1"/>
  <c r="K92" i="3"/>
  <c r="J92" i="3"/>
  <c r="F92" i="3"/>
  <c r="C92" i="3"/>
  <c r="B92" i="3"/>
  <c r="A92" i="3"/>
  <c r="L92" i="3" s="1"/>
  <c r="N91" i="3"/>
  <c r="M91" i="3" a="1"/>
  <c r="M91" i="3" s="1"/>
  <c r="L91" i="3"/>
  <c r="J91" i="3"/>
  <c r="H91" i="3"/>
  <c r="G91" i="3"/>
  <c r="D91" i="3"/>
  <c r="C91" i="3"/>
  <c r="B91" i="3"/>
  <c r="A91" i="3"/>
  <c r="O91" i="3" s="1" a="1"/>
  <c r="O91" i="3" s="1"/>
  <c r="M90" i="3" a="1"/>
  <c r="M90" i="3" s="1"/>
  <c r="L90" i="3"/>
  <c r="D90" i="3"/>
  <c r="A90" i="3"/>
  <c r="M89" i="3" a="1"/>
  <c r="M89" i="3" s="1"/>
  <c r="A89" i="3"/>
  <c r="N89" i="3" s="1"/>
  <c r="N88" i="3"/>
  <c r="M88" i="3" a="1"/>
  <c r="M88" i="3" s="1"/>
  <c r="G88" i="3"/>
  <c r="F88" i="3"/>
  <c r="B88" i="3"/>
  <c r="A88" i="3"/>
  <c r="M87" i="3" a="1"/>
  <c r="M87" i="3" s="1"/>
  <c r="L87" i="3"/>
  <c r="F87" i="3"/>
  <c r="B87" i="3"/>
  <c r="A87" i="3"/>
  <c r="M86" i="3" a="1"/>
  <c r="M86" i="3" s="1"/>
  <c r="L86" i="3"/>
  <c r="H86" i="3"/>
  <c r="D86" i="3"/>
  <c r="A86" i="3"/>
  <c r="J86" i="3" s="1"/>
  <c r="M85" i="3" a="1"/>
  <c r="M85" i="3"/>
  <c r="A85" i="3"/>
  <c r="N85" i="3" s="1"/>
  <c r="M84" i="3" a="1"/>
  <c r="M84" i="3" s="1"/>
  <c r="K84" i="3"/>
  <c r="J84" i="3"/>
  <c r="F84" i="3"/>
  <c r="C84" i="3"/>
  <c r="B84" i="3"/>
  <c r="A84" i="3"/>
  <c r="L84" i="3" s="1"/>
  <c r="N83" i="3"/>
  <c r="M83" i="3" a="1"/>
  <c r="M83" i="3" s="1"/>
  <c r="L83" i="3"/>
  <c r="J83" i="3"/>
  <c r="H83" i="3"/>
  <c r="G83" i="3"/>
  <c r="D83" i="3"/>
  <c r="C83" i="3"/>
  <c r="B83" i="3"/>
  <c r="A83" i="3"/>
  <c r="O83" i="3" s="1" a="1"/>
  <c r="O83" i="3" s="1"/>
  <c r="M82" i="3" a="1"/>
  <c r="M82" i="3"/>
  <c r="L82" i="3"/>
  <c r="D82" i="3"/>
  <c r="A82" i="3"/>
  <c r="M81" i="3" a="1"/>
  <c r="M81" i="3" s="1"/>
  <c r="A81" i="3"/>
  <c r="N81" i="3" s="1"/>
  <c r="M80" i="3" a="1"/>
  <c r="M80" i="3" s="1"/>
  <c r="A80" i="3"/>
  <c r="J80" i="3" s="1"/>
  <c r="M79" i="3" a="1"/>
  <c r="M79" i="3" s="1"/>
  <c r="A79" i="3"/>
  <c r="N79" i="3" s="1"/>
  <c r="M78" i="3" a="1"/>
  <c r="M78" i="3" s="1"/>
  <c r="L78" i="3"/>
  <c r="H78" i="3"/>
  <c r="D78" i="3"/>
  <c r="A78" i="3"/>
  <c r="J78" i="3" s="1"/>
  <c r="M77" i="3" a="1"/>
  <c r="M77" i="3" s="1"/>
  <c r="A77" i="3"/>
  <c r="N77" i="3" s="1"/>
  <c r="M76" i="3" a="1"/>
  <c r="M76" i="3" s="1"/>
  <c r="K76" i="3"/>
  <c r="J76" i="3"/>
  <c r="F76" i="3"/>
  <c r="C76" i="3"/>
  <c r="B76" i="3"/>
  <c r="A76" i="3"/>
  <c r="L76" i="3" s="1"/>
  <c r="N75" i="3"/>
  <c r="M75" i="3" a="1"/>
  <c r="M75" i="3" s="1"/>
  <c r="L75" i="3"/>
  <c r="J75" i="3"/>
  <c r="H75" i="3"/>
  <c r="D75" i="3"/>
  <c r="C75" i="3"/>
  <c r="B75" i="3"/>
  <c r="A75" i="3"/>
  <c r="M74" i="3" a="1"/>
  <c r="M74" i="3" s="1"/>
  <c r="D74" i="3"/>
  <c r="A74" i="3"/>
  <c r="M73" i="3" a="1"/>
  <c r="M73" i="3" s="1"/>
  <c r="A73" i="3"/>
  <c r="N73" i="3" s="1"/>
  <c r="N72" i="3"/>
  <c r="M72" i="3" a="1"/>
  <c r="M72" i="3" s="1"/>
  <c r="F72" i="3"/>
  <c r="B72" i="3"/>
  <c r="A72" i="3"/>
  <c r="M71" i="3" a="1"/>
  <c r="M71" i="3" s="1"/>
  <c r="A71" i="3"/>
  <c r="L71" i="3" s="1"/>
  <c r="M70" i="3" a="1"/>
  <c r="M70" i="3" s="1"/>
  <c r="L70" i="3"/>
  <c r="H70" i="3"/>
  <c r="D70" i="3"/>
  <c r="A70" i="3"/>
  <c r="J70" i="3" s="1"/>
  <c r="M69" i="3" a="1"/>
  <c r="M69" i="3" s="1"/>
  <c r="A69" i="3"/>
  <c r="N69" i="3" s="1"/>
  <c r="M68" i="3" a="1"/>
  <c r="M68" i="3" s="1"/>
  <c r="K68" i="3"/>
  <c r="J68" i="3"/>
  <c r="F68" i="3"/>
  <c r="C68" i="3"/>
  <c r="B68" i="3"/>
  <c r="A68" i="3"/>
  <c r="L68" i="3" s="1"/>
  <c r="N67" i="3"/>
  <c r="M67" i="3" a="1"/>
  <c r="M67" i="3" s="1"/>
  <c r="L67" i="3"/>
  <c r="J67" i="3"/>
  <c r="H67" i="3"/>
  <c r="G67" i="3"/>
  <c r="D67" i="3"/>
  <c r="C67" i="3"/>
  <c r="B67" i="3"/>
  <c r="A67" i="3"/>
  <c r="O67" i="3" s="1" a="1"/>
  <c r="O67" i="3" s="1"/>
  <c r="M66" i="3" a="1"/>
  <c r="M66" i="3" s="1"/>
  <c r="L66" i="3"/>
  <c r="D66" i="3"/>
  <c r="A66" i="3"/>
  <c r="M65" i="3" a="1"/>
  <c r="M65" i="3" s="1"/>
  <c r="A65" i="3"/>
  <c r="N65" i="3" s="1"/>
  <c r="N64" i="3"/>
  <c r="M64" i="3" a="1"/>
  <c r="M64" i="3" s="1"/>
  <c r="G64" i="3"/>
  <c r="F64" i="3"/>
  <c r="B64" i="3"/>
  <c r="A64" i="3"/>
  <c r="M63" i="3" a="1"/>
  <c r="M63" i="3" s="1"/>
  <c r="A63" i="3"/>
  <c r="L63" i="3" s="1"/>
  <c r="M62" i="3" a="1"/>
  <c r="M62" i="3" s="1"/>
  <c r="L62" i="3"/>
  <c r="H62" i="3"/>
  <c r="D62" i="3"/>
  <c r="A62" i="3"/>
  <c r="J62" i="3" s="1"/>
  <c r="M61" i="3" a="1"/>
  <c r="M61" i="3"/>
  <c r="A61" i="3"/>
  <c r="N61" i="3" s="1"/>
  <c r="M60" i="3" a="1"/>
  <c r="M60" i="3" s="1"/>
  <c r="K60" i="3"/>
  <c r="J60" i="3"/>
  <c r="F60" i="3"/>
  <c r="C60" i="3"/>
  <c r="B60" i="3"/>
  <c r="A60" i="3"/>
  <c r="L60" i="3" s="1"/>
  <c r="N59" i="3"/>
  <c r="M59" i="3" a="1"/>
  <c r="M59" i="3" s="1"/>
  <c r="J59" i="3"/>
  <c r="H59" i="3"/>
  <c r="C59" i="3"/>
  <c r="B59" i="3"/>
  <c r="A59" i="3"/>
  <c r="M58" i="3" a="1"/>
  <c r="M58" i="3"/>
  <c r="L58" i="3"/>
  <c r="A58" i="3"/>
  <c r="J58" i="3" s="1"/>
  <c r="M57" i="3" a="1"/>
  <c r="M57" i="3" s="1"/>
  <c r="A57" i="3"/>
  <c r="N57" i="3" s="1"/>
  <c r="M56" i="3" a="1"/>
  <c r="M56" i="3" s="1"/>
  <c r="F56" i="3"/>
  <c r="A56" i="3"/>
  <c r="L56" i="3" s="1"/>
  <c r="N55" i="3"/>
  <c r="M55" i="3" a="1"/>
  <c r="M55" i="3" s="1"/>
  <c r="J55" i="3"/>
  <c r="D55" i="3"/>
  <c r="A55" i="3"/>
  <c r="O55" i="3" s="1" a="1"/>
  <c r="O55" i="3" s="1"/>
  <c r="M54" i="3" a="1"/>
  <c r="M54" i="3" s="1"/>
  <c r="H54" i="3"/>
  <c r="D54" i="3"/>
  <c r="A54" i="3"/>
  <c r="J54" i="3" s="1"/>
  <c r="M53" i="3" a="1"/>
  <c r="M53" i="3"/>
  <c r="A53" i="3"/>
  <c r="O53" i="3" s="1" a="1"/>
  <c r="O53" i="3" s="1"/>
  <c r="M52" i="3" a="1"/>
  <c r="M52" i="3" s="1"/>
  <c r="A52" i="3"/>
  <c r="L52" i="3" s="1"/>
  <c r="M51" i="3" a="1"/>
  <c r="M51" i="3" s="1"/>
  <c r="A51" i="3"/>
  <c r="O51" i="3" s="1" a="1"/>
  <c r="O51" i="3" s="1"/>
  <c r="M50" i="3" a="1"/>
  <c r="M50" i="3" s="1"/>
  <c r="A50" i="3"/>
  <c r="M49" i="3" a="1"/>
  <c r="M49" i="3" s="1"/>
  <c r="E49" i="3"/>
  <c r="B49" i="3"/>
  <c r="A49" i="3"/>
  <c r="F49" i="3" s="1"/>
  <c r="M48" i="3" a="1"/>
  <c r="M48" i="3" s="1"/>
  <c r="K48" i="3"/>
  <c r="J48" i="3"/>
  <c r="F48" i="3"/>
  <c r="C48" i="3"/>
  <c r="B48" i="3"/>
  <c r="A48" i="3"/>
  <c r="L48" i="3" s="1"/>
  <c r="N47" i="3"/>
  <c r="M47" i="3" a="1"/>
  <c r="M47" i="3" s="1"/>
  <c r="L47" i="3"/>
  <c r="J47" i="3"/>
  <c r="H47" i="3"/>
  <c r="G47" i="3"/>
  <c r="D47" i="3"/>
  <c r="C47" i="3"/>
  <c r="B47" i="3"/>
  <c r="A47" i="3"/>
  <c r="O47" i="3" s="1" a="1"/>
  <c r="O47" i="3" s="1"/>
  <c r="O46" i="3" a="1"/>
  <c r="O46" i="3" s="1"/>
  <c r="M46" i="3" a="1"/>
  <c r="M46" i="3" s="1"/>
  <c r="H46" i="3"/>
  <c r="E46" i="3"/>
  <c r="D46" i="3"/>
  <c r="A46" i="3"/>
  <c r="L46" i="3" s="1"/>
  <c r="M45" i="3" a="1"/>
  <c r="M45" i="3" s="1"/>
  <c r="A45" i="3"/>
  <c r="F45" i="3" s="1"/>
  <c r="M44" i="3" a="1"/>
  <c r="M44" i="3" s="1"/>
  <c r="K44" i="3"/>
  <c r="J44" i="3"/>
  <c r="C44" i="3"/>
  <c r="B44" i="3"/>
  <c r="A44" i="3"/>
  <c r="L44" i="3" s="1"/>
  <c r="M43" i="3" a="1"/>
  <c r="M43" i="3" s="1"/>
  <c r="L43" i="3"/>
  <c r="H43" i="3"/>
  <c r="G43" i="3"/>
  <c r="C43" i="3"/>
  <c r="B43" i="3"/>
  <c r="A43" i="3"/>
  <c r="O43" i="3" s="1" a="1"/>
  <c r="O43" i="3" s="1"/>
  <c r="M42" i="3" a="1"/>
  <c r="M42" i="3"/>
  <c r="A42" i="3"/>
  <c r="H42" i="3" s="1"/>
  <c r="M41" i="3" a="1"/>
  <c r="M41" i="3" s="1"/>
  <c r="A41" i="3"/>
  <c r="F41" i="3" s="1"/>
  <c r="M40" i="3" a="1"/>
  <c r="M40" i="3" s="1"/>
  <c r="K40" i="3"/>
  <c r="J40" i="3"/>
  <c r="C40" i="3"/>
  <c r="B40" i="3"/>
  <c r="A40" i="3"/>
  <c r="L40" i="3" s="1"/>
  <c r="M39" i="3" a="1"/>
  <c r="M39" i="3" s="1"/>
  <c r="L39" i="3"/>
  <c r="H39" i="3"/>
  <c r="G39" i="3"/>
  <c r="C39" i="3"/>
  <c r="B39" i="3"/>
  <c r="A39" i="3"/>
  <c r="O39" i="3" s="1" a="1"/>
  <c r="O39" i="3" s="1"/>
  <c r="M38" i="3" a="1"/>
  <c r="M38" i="3"/>
  <c r="L38" i="3"/>
  <c r="D38" i="3"/>
  <c r="A38" i="3"/>
  <c r="H38" i="3" s="1"/>
  <c r="M37" i="3" a="1"/>
  <c r="M37" i="3"/>
  <c r="A37" i="3"/>
  <c r="E37" i="3" s="1"/>
  <c r="M36" i="3" a="1"/>
  <c r="M36" i="3" s="1"/>
  <c r="K36" i="3"/>
  <c r="J36" i="3"/>
  <c r="C36" i="3"/>
  <c r="B36" i="3"/>
  <c r="A36" i="3"/>
  <c r="L36" i="3" s="1"/>
  <c r="M35" i="3" a="1"/>
  <c r="M35" i="3" s="1"/>
  <c r="L35" i="3"/>
  <c r="H35" i="3"/>
  <c r="G35" i="3"/>
  <c r="C35" i="3"/>
  <c r="B35" i="3"/>
  <c r="A35" i="3"/>
  <c r="O35" i="3" s="1" a="1"/>
  <c r="O35" i="3" s="1"/>
  <c r="M34" i="3" a="1"/>
  <c r="M34" i="3"/>
  <c r="A34" i="3"/>
  <c r="O34" i="3" s="1" a="1"/>
  <c r="O34" i="3" s="1"/>
  <c r="M33" i="3" a="1"/>
  <c r="M33" i="3" s="1"/>
  <c r="F33" i="3"/>
  <c r="E33" i="3"/>
  <c r="B33" i="3"/>
  <c r="A33" i="3"/>
  <c r="J33" i="3" s="1"/>
  <c r="M32" i="3" a="1"/>
  <c r="M32" i="3" s="1"/>
  <c r="F32" i="3"/>
  <c r="A32" i="3"/>
  <c r="L32" i="3" s="1"/>
  <c r="N31" i="3"/>
  <c r="M31" i="3" a="1"/>
  <c r="M31" i="3" s="1"/>
  <c r="J31" i="3"/>
  <c r="D31" i="3"/>
  <c r="A31" i="3"/>
  <c r="O31" i="3" s="1" a="1"/>
  <c r="O31" i="3" s="1"/>
  <c r="O30" i="3" a="1"/>
  <c r="O30" i="3" s="1"/>
  <c r="M30" i="3" a="1"/>
  <c r="M30" i="3" s="1"/>
  <c r="H30" i="3"/>
  <c r="A30" i="3"/>
  <c r="D30" i="3" s="1"/>
  <c r="M29" i="3" a="1"/>
  <c r="M29" i="3" s="1"/>
  <c r="A29" i="3"/>
  <c r="F29" i="3" s="1"/>
  <c r="M28" i="3" a="1"/>
  <c r="M28" i="3" s="1"/>
  <c r="K28" i="3"/>
  <c r="J28" i="3"/>
  <c r="F28" i="3"/>
  <c r="C28" i="3"/>
  <c r="B28" i="3"/>
  <c r="A28" i="3"/>
  <c r="L28" i="3" s="1"/>
  <c r="N27" i="3"/>
  <c r="M27" i="3" a="1"/>
  <c r="M27" i="3" s="1"/>
  <c r="L27" i="3"/>
  <c r="J27" i="3"/>
  <c r="H27" i="3"/>
  <c r="G27" i="3"/>
  <c r="D27" i="3"/>
  <c r="C27" i="3"/>
  <c r="B27" i="3"/>
  <c r="A27" i="3"/>
  <c r="O27" i="3" s="1" a="1"/>
  <c r="O27" i="3" s="1"/>
  <c r="M26" i="3" a="1"/>
  <c r="M26" i="3"/>
  <c r="A26" i="3"/>
  <c r="H26" i="3" s="1"/>
  <c r="M25" i="3" a="1"/>
  <c r="M25" i="3" s="1"/>
  <c r="A25" i="3"/>
  <c r="F25" i="3" s="1"/>
  <c r="M24" i="3" a="1"/>
  <c r="M24" i="3" s="1"/>
  <c r="A24" i="3"/>
  <c r="L24" i="3" s="1"/>
  <c r="M23" i="3" a="1"/>
  <c r="M23" i="3" s="1"/>
  <c r="A23" i="3"/>
  <c r="O23" i="3" s="1" a="1"/>
  <c r="O23" i="3" s="1"/>
  <c r="M22" i="3" a="1"/>
  <c r="M22" i="3" s="1"/>
  <c r="A22" i="3"/>
  <c r="H22" i="3" s="1"/>
  <c r="M21" i="3" a="1"/>
  <c r="M21" i="3" s="1"/>
  <c r="E21" i="3"/>
  <c r="B21" i="3"/>
  <c r="A21" i="3"/>
  <c r="J21" i="3" s="1"/>
  <c r="M20" i="3" a="1"/>
  <c r="M20" i="3" s="1"/>
  <c r="K20" i="3"/>
  <c r="J20" i="3"/>
  <c r="F20" i="3"/>
  <c r="C20" i="3"/>
  <c r="B20" i="3"/>
  <c r="A20" i="3"/>
  <c r="L20" i="3" s="1"/>
  <c r="N19" i="3"/>
  <c r="M19" i="3" a="1"/>
  <c r="M19" i="3" s="1"/>
  <c r="L19" i="3"/>
  <c r="J19" i="3"/>
  <c r="H19" i="3"/>
  <c r="G19" i="3"/>
  <c r="D19" i="3"/>
  <c r="C19" i="3"/>
  <c r="B19" i="3"/>
  <c r="A19" i="3"/>
  <c r="O19" i="3" s="1" a="1"/>
  <c r="O19" i="3" s="1"/>
  <c r="O18" i="3" a="1"/>
  <c r="O18" i="3" s="1"/>
  <c r="M18" i="3" a="1"/>
  <c r="M18" i="3" s="1"/>
  <c r="E18" i="3"/>
  <c r="D18" i="3"/>
  <c r="A18" i="3"/>
  <c r="L18" i="3" s="1"/>
  <c r="M17" i="3" a="1"/>
  <c r="M17" i="3" s="1"/>
  <c r="F17" i="3"/>
  <c r="A17" i="3"/>
  <c r="B17" i="3" s="1"/>
  <c r="M16" i="3" a="1"/>
  <c r="M16" i="3" s="1"/>
  <c r="A16" i="3"/>
  <c r="L16" i="3" s="1"/>
  <c r="M15" i="3" a="1"/>
  <c r="M15" i="3" s="1"/>
  <c r="A15" i="3"/>
  <c r="O15" i="3" s="1" a="1"/>
  <c r="O15" i="3" s="1"/>
  <c r="M14" i="3" a="1"/>
  <c r="M14" i="3"/>
  <c r="A14" i="3"/>
  <c r="E14" i="3" s="1"/>
  <c r="M13" i="3" a="1"/>
  <c r="M13" i="3" s="1"/>
  <c r="A13" i="3"/>
  <c r="E13" i="3" s="1"/>
  <c r="M12" i="3" a="1"/>
  <c r="M12" i="3" s="1"/>
  <c r="A12" i="3"/>
  <c r="L12" i="3" s="1"/>
  <c r="M11" i="3" a="1"/>
  <c r="M11" i="3" s="1"/>
  <c r="A11" i="3"/>
  <c r="O11" i="3" s="1" a="1"/>
  <c r="O11" i="3" s="1"/>
  <c r="M10" i="3" a="1"/>
  <c r="M10" i="3" s="1"/>
  <c r="A10" i="3"/>
  <c r="E10" i="3" s="1"/>
  <c r="M9" i="3" a="1"/>
  <c r="M9" i="3" s="1"/>
  <c r="A9" i="3"/>
  <c r="F9" i="3" s="1"/>
  <c r="M8" i="3" a="1"/>
  <c r="M8" i="3" s="1"/>
  <c r="F8" i="3"/>
  <c r="A8" i="3"/>
  <c r="L8" i="3" s="1"/>
  <c r="N7" i="3"/>
  <c r="M7" i="3" a="1"/>
  <c r="M7" i="3" s="1"/>
  <c r="J7" i="3"/>
  <c r="D7" i="3"/>
  <c r="A7" i="3"/>
  <c r="O7" i="3" s="1" a="1"/>
  <c r="O7" i="3" s="1"/>
  <c r="O6" i="3" a="1"/>
  <c r="O6" i="3" s="1"/>
  <c r="M6" i="3" a="1"/>
  <c r="M6" i="3"/>
  <c r="L6" i="3"/>
  <c r="I6" i="3"/>
  <c r="E6" i="3"/>
  <c r="D6" i="3"/>
  <c r="C6" i="3"/>
  <c r="A6" i="3"/>
  <c r="H6" i="3" s="1"/>
  <c r="M5" i="3" a="1"/>
  <c r="M5" i="3" s="1"/>
  <c r="A5" i="3"/>
  <c r="M4" i="3" a="1"/>
  <c r="M4" i="3" s="1"/>
  <c r="G4" i="3"/>
  <c r="D4" i="3"/>
  <c r="C4" i="3"/>
  <c r="A4" i="3"/>
  <c r="M3" i="3" a="1"/>
  <c r="M3" i="3"/>
  <c r="D3" i="3"/>
  <c r="A3" i="3"/>
  <c r="M2" i="3" a="1"/>
  <c r="M2" i="3"/>
  <c r="A2" i="3"/>
  <c r="N12" i="3" l="1"/>
  <c r="N16" i="3"/>
  <c r="K23" i="3"/>
  <c r="G8" i="3"/>
  <c r="H10" i="3"/>
  <c r="B11" i="3"/>
  <c r="G11" i="3"/>
  <c r="L11" i="3"/>
  <c r="J12" i="3"/>
  <c r="D14" i="3"/>
  <c r="B23" i="3"/>
  <c r="L23" i="3"/>
  <c r="B24" i="3"/>
  <c r="J24" i="3"/>
  <c r="C7" i="3"/>
  <c r="H7" i="3"/>
  <c r="C8" i="3"/>
  <c r="K8" i="3"/>
  <c r="D11" i="3"/>
  <c r="J11" i="3"/>
  <c r="N11" i="3"/>
  <c r="F12" i="3"/>
  <c r="H14" i="3"/>
  <c r="O14" i="3" a="1"/>
  <c r="O14" i="3" s="1"/>
  <c r="D15" i="3"/>
  <c r="J15" i="3"/>
  <c r="N15" i="3"/>
  <c r="F16" i="3"/>
  <c r="E17" i="3"/>
  <c r="D23" i="3"/>
  <c r="J23" i="3"/>
  <c r="N23" i="3"/>
  <c r="F24" i="3"/>
  <c r="E30" i="3"/>
  <c r="C31" i="3"/>
  <c r="H31" i="3"/>
  <c r="C32" i="3"/>
  <c r="K32" i="3"/>
  <c r="L34" i="3"/>
  <c r="F35" i="3"/>
  <c r="K35" i="3"/>
  <c r="G36" i="3"/>
  <c r="N36" i="3"/>
  <c r="J37" i="3"/>
  <c r="F39" i="3"/>
  <c r="K39" i="3"/>
  <c r="G40" i="3"/>
  <c r="N40" i="3"/>
  <c r="F43" i="3"/>
  <c r="K43" i="3"/>
  <c r="G44" i="3"/>
  <c r="N44" i="3"/>
  <c r="J49" i="3"/>
  <c r="D51" i="3"/>
  <c r="J51" i="3"/>
  <c r="N51" i="3"/>
  <c r="F52" i="3"/>
  <c r="I53" i="3"/>
  <c r="C55" i="3"/>
  <c r="H55" i="3"/>
  <c r="C56" i="3"/>
  <c r="K56" i="3"/>
  <c r="H58" i="3"/>
  <c r="O59" i="3" a="1"/>
  <c r="O59" i="3" s="1"/>
  <c r="K59" i="3"/>
  <c r="F59" i="3"/>
  <c r="G59" i="3"/>
  <c r="F63" i="3"/>
  <c r="J66" i="3"/>
  <c r="H66" i="3"/>
  <c r="D71" i="3"/>
  <c r="K71" i="3"/>
  <c r="L72" i="3"/>
  <c r="K72" i="3"/>
  <c r="C72" i="3"/>
  <c r="J72" i="3"/>
  <c r="D79" i="3"/>
  <c r="G80" i="3"/>
  <c r="O87" i="3" a="1"/>
  <c r="O87" i="3" s="1"/>
  <c r="H87" i="3"/>
  <c r="C87" i="3"/>
  <c r="K87" i="3"/>
  <c r="D87" i="3"/>
  <c r="J87" i="3"/>
  <c r="J90" i="3"/>
  <c r="H90" i="3"/>
  <c r="O98" i="3" a="1"/>
  <c r="O98" i="3" s="1"/>
  <c r="H98" i="3"/>
  <c r="C98" i="3"/>
  <c r="N98" i="3"/>
  <c r="J98" i="3"/>
  <c r="B98" i="3"/>
  <c r="F98" i="3"/>
  <c r="L98" i="3"/>
  <c r="D98" i="3"/>
  <c r="I99" i="3"/>
  <c r="J99" i="3"/>
  <c r="N99" i="3"/>
  <c r="J102" i="3"/>
  <c r="O146" i="3" a="1"/>
  <c r="O146" i="3" s="1"/>
  <c r="L146" i="3"/>
  <c r="G146" i="3"/>
  <c r="B146" i="3"/>
  <c r="J146" i="3"/>
  <c r="C146" i="3"/>
  <c r="D146" i="3"/>
  <c r="H146" i="3"/>
  <c r="N146" i="3"/>
  <c r="F146" i="3"/>
  <c r="O182" i="3" a="1"/>
  <c r="O182" i="3" s="1"/>
  <c r="N182" i="3"/>
  <c r="J182" i="3"/>
  <c r="D182" i="3"/>
  <c r="L182" i="3"/>
  <c r="F182" i="3"/>
  <c r="K182" i="3"/>
  <c r="C182" i="3"/>
  <c r="B182" i="3"/>
  <c r="H182" i="3"/>
  <c r="G182" i="3"/>
  <c r="O194" i="3" a="1"/>
  <c r="O194" i="3" s="1"/>
  <c r="L194" i="3"/>
  <c r="G194" i="3"/>
  <c r="B194" i="3"/>
  <c r="F194" i="3"/>
  <c r="K194" i="3"/>
  <c r="D194" i="3"/>
  <c r="N194" i="3"/>
  <c r="C194" i="3"/>
  <c r="J194" i="3"/>
  <c r="H194" i="3"/>
  <c r="O276" i="3" a="1"/>
  <c r="O276" i="3" s="1"/>
  <c r="H276" i="3"/>
  <c r="C276" i="3"/>
  <c r="L276" i="3"/>
  <c r="F276" i="3"/>
  <c r="D276" i="3"/>
  <c r="K276" i="3"/>
  <c r="B276" i="3"/>
  <c r="G276" i="3"/>
  <c r="J276" i="3"/>
  <c r="F11" i="3"/>
  <c r="F23" i="3"/>
  <c r="G24" i="3"/>
  <c r="N24" i="3"/>
  <c r="F51" i="3"/>
  <c r="K51" i="3"/>
  <c r="G52" i="3"/>
  <c r="N52" i="3"/>
  <c r="O63" i="3" a="1"/>
  <c r="O63" i="3" s="1"/>
  <c r="H63" i="3"/>
  <c r="C63" i="3"/>
  <c r="G63" i="3"/>
  <c r="F71" i="3"/>
  <c r="J74" i="3"/>
  <c r="H74" i="3"/>
  <c r="G79" i="3"/>
  <c r="N135" i="3"/>
  <c r="I135" i="3"/>
  <c r="B135" i="3"/>
  <c r="C135" i="3"/>
  <c r="E135" i="3"/>
  <c r="J135" i="3"/>
  <c r="G135" i="3"/>
  <c r="N260" i="3"/>
  <c r="L260" i="3"/>
  <c r="D260" i="3"/>
  <c r="H260" i="3"/>
  <c r="F260" i="3"/>
  <c r="B260" i="3"/>
  <c r="J260" i="3"/>
  <c r="K11" i="3"/>
  <c r="G12" i="3"/>
  <c r="L14" i="3"/>
  <c r="F15" i="3"/>
  <c r="K15" i="3"/>
  <c r="G16" i="3"/>
  <c r="F7" i="3"/>
  <c r="N8" i="3"/>
  <c r="B12" i="3"/>
  <c r="L15" i="3"/>
  <c r="L30" i="3"/>
  <c r="F31" i="3"/>
  <c r="K31" i="3"/>
  <c r="B41" i="3"/>
  <c r="B51" i="3"/>
  <c r="G51" i="3"/>
  <c r="L51" i="3"/>
  <c r="B52" i="3"/>
  <c r="J52" i="3"/>
  <c r="F55" i="3"/>
  <c r="K55" i="3"/>
  <c r="G56" i="3"/>
  <c r="N56" i="3"/>
  <c r="B63" i="3"/>
  <c r="J63" i="3"/>
  <c r="N63" i="3"/>
  <c r="O71" i="3" a="1"/>
  <c r="O71" i="3" s="1"/>
  <c r="H71" i="3"/>
  <c r="C71" i="3"/>
  <c r="G71" i="3"/>
  <c r="O79" i="3" a="1"/>
  <c r="O79" i="3" s="1"/>
  <c r="H79" i="3"/>
  <c r="C79" i="3"/>
  <c r="L79" i="3"/>
  <c r="F79" i="3"/>
  <c r="J79" i="3"/>
  <c r="L80" i="3"/>
  <c r="K80" i="3"/>
  <c r="C80" i="3"/>
  <c r="B80" i="3"/>
  <c r="O102" i="3" a="1"/>
  <c r="O102" i="3" s="1"/>
  <c r="L102" i="3"/>
  <c r="G102" i="3"/>
  <c r="B102" i="3"/>
  <c r="F102" i="3"/>
  <c r="N102" i="3"/>
  <c r="H102" i="3"/>
  <c r="D102" i="3"/>
  <c r="O117" i="3" a="1"/>
  <c r="O117" i="3" s="1"/>
  <c r="H117" i="3"/>
  <c r="I117" i="3"/>
  <c r="C117" i="3"/>
  <c r="D117" i="3"/>
  <c r="N188" i="3"/>
  <c r="L188" i="3"/>
  <c r="D188" i="3"/>
  <c r="H188" i="3"/>
  <c r="F188" i="3"/>
  <c r="B188" i="3"/>
  <c r="J188" i="3"/>
  <c r="O238" i="3" a="1"/>
  <c r="O238" i="3" s="1"/>
  <c r="N238" i="3"/>
  <c r="J238" i="3"/>
  <c r="D238" i="3"/>
  <c r="K238" i="3"/>
  <c r="C238" i="3"/>
  <c r="H238" i="3"/>
  <c r="B238" i="3"/>
  <c r="F238" i="3"/>
  <c r="L238" i="3"/>
  <c r="G238" i="3"/>
  <c r="L278" i="3"/>
  <c r="H278" i="3"/>
  <c r="D278" i="3"/>
  <c r="I2" i="4"/>
  <c r="A2" i="4"/>
  <c r="L2" i="4"/>
  <c r="E2" i="4"/>
  <c r="B3" i="4"/>
  <c r="M2" i="4"/>
  <c r="H2" i="4"/>
  <c r="K7" i="3"/>
  <c r="B15" i="3"/>
  <c r="G15" i="3"/>
  <c r="B16" i="3"/>
  <c r="J16" i="3"/>
  <c r="J17" i="3"/>
  <c r="G23" i="3"/>
  <c r="G32" i="3"/>
  <c r="N32" i="3"/>
  <c r="D34" i="3"/>
  <c r="B37" i="3"/>
  <c r="B7" i="3"/>
  <c r="G7" i="3"/>
  <c r="L7" i="3"/>
  <c r="B8" i="3"/>
  <c r="J8" i="3"/>
  <c r="C11" i="3"/>
  <c r="H11" i="3"/>
  <c r="C12" i="3"/>
  <c r="K12" i="3"/>
  <c r="F13" i="3"/>
  <c r="C15" i="3"/>
  <c r="H15" i="3"/>
  <c r="C16" i="3"/>
  <c r="K16" i="3"/>
  <c r="F19" i="3"/>
  <c r="K19" i="3"/>
  <c r="G20" i="3"/>
  <c r="N20" i="3"/>
  <c r="C23" i="3"/>
  <c r="H23" i="3"/>
  <c r="C24" i="3"/>
  <c r="K24" i="3"/>
  <c r="F27" i="3"/>
  <c r="K27" i="3"/>
  <c r="G28" i="3"/>
  <c r="N28" i="3"/>
  <c r="B31" i="3"/>
  <c r="G31" i="3"/>
  <c r="L31" i="3"/>
  <c r="B32" i="3"/>
  <c r="J32" i="3"/>
  <c r="E34" i="3"/>
  <c r="D35" i="3"/>
  <c r="J35" i="3"/>
  <c r="N35" i="3"/>
  <c r="F36" i="3"/>
  <c r="D39" i="3"/>
  <c r="J39" i="3"/>
  <c r="N39" i="3"/>
  <c r="F40" i="3"/>
  <c r="J41" i="3"/>
  <c r="D43" i="3"/>
  <c r="J43" i="3"/>
  <c r="N43" i="3"/>
  <c r="F44" i="3"/>
  <c r="F47" i="3"/>
  <c r="K47" i="3"/>
  <c r="G48" i="3"/>
  <c r="N48" i="3"/>
  <c r="C51" i="3"/>
  <c r="H51" i="3"/>
  <c r="C52" i="3"/>
  <c r="K52" i="3"/>
  <c r="E53" i="3"/>
  <c r="L54" i="3"/>
  <c r="B55" i="3"/>
  <c r="G55" i="3"/>
  <c r="L55" i="3"/>
  <c r="B56" i="3"/>
  <c r="J56" i="3"/>
  <c r="D58" i="3"/>
  <c r="D59" i="3"/>
  <c r="L59" i="3"/>
  <c r="D63" i="3"/>
  <c r="K63" i="3"/>
  <c r="L64" i="3"/>
  <c r="K64" i="3"/>
  <c r="C64" i="3"/>
  <c r="J64" i="3"/>
  <c r="B71" i="3"/>
  <c r="J71" i="3"/>
  <c r="N71" i="3"/>
  <c r="G72" i="3"/>
  <c r="L74" i="3"/>
  <c r="B79" i="3"/>
  <c r="K79" i="3"/>
  <c r="F80" i="3"/>
  <c r="N80" i="3"/>
  <c r="G87" i="3"/>
  <c r="N87" i="3"/>
  <c r="C101" i="3"/>
  <c r="O101" i="3" a="1"/>
  <c r="O101" i="3" s="1"/>
  <c r="D101" i="3"/>
  <c r="I101" i="3"/>
  <c r="C102" i="3"/>
  <c r="I103" i="3"/>
  <c r="B103" i="3"/>
  <c r="N103" i="3"/>
  <c r="E103" i="3"/>
  <c r="J103" i="3"/>
  <c r="G103" i="3"/>
  <c r="O174" i="3" a="1"/>
  <c r="O174" i="3" s="1"/>
  <c r="N174" i="3"/>
  <c r="J174" i="3"/>
  <c r="D174" i="3"/>
  <c r="K174" i="3"/>
  <c r="C174" i="3"/>
  <c r="H174" i="3"/>
  <c r="B174" i="3"/>
  <c r="F174" i="3"/>
  <c r="L174" i="3"/>
  <c r="G174" i="3"/>
  <c r="G60" i="3"/>
  <c r="N60" i="3"/>
  <c r="F67" i="3"/>
  <c r="K67" i="3"/>
  <c r="G68" i="3"/>
  <c r="N68" i="3"/>
  <c r="O75" i="3" a="1"/>
  <c r="O75" i="3" s="1"/>
  <c r="K75" i="3"/>
  <c r="F75" i="3"/>
  <c r="G75" i="3"/>
  <c r="J82" i="3"/>
  <c r="H82" i="3"/>
  <c r="L88" i="3"/>
  <c r="K88" i="3"/>
  <c r="C88" i="3"/>
  <c r="J88" i="3"/>
  <c r="L96" i="3"/>
  <c r="K96" i="3"/>
  <c r="C96" i="3"/>
  <c r="N96" i="3"/>
  <c r="F96" i="3"/>
  <c r="B106" i="3"/>
  <c r="K106" i="3"/>
  <c r="G107" i="3"/>
  <c r="G110" i="3"/>
  <c r="I112" i="3"/>
  <c r="E112" i="3"/>
  <c r="D113" i="3"/>
  <c r="N113" i="3"/>
  <c r="E116" i="3"/>
  <c r="D116" i="3"/>
  <c r="J116" i="3"/>
  <c r="C118" i="3"/>
  <c r="L118" i="3"/>
  <c r="I125" i="3"/>
  <c r="K125" i="3"/>
  <c r="E125" i="3"/>
  <c r="I131" i="3"/>
  <c r="J131" i="3"/>
  <c r="I132" i="3"/>
  <c r="B132" i="3"/>
  <c r="E132" i="3"/>
  <c r="C134" i="3"/>
  <c r="B136" i="3"/>
  <c r="O143" i="3" a="1"/>
  <c r="O143" i="3" s="1"/>
  <c r="B148" i="3"/>
  <c r="O154" i="3" a="1"/>
  <c r="O154" i="3" s="1"/>
  <c r="L154" i="3"/>
  <c r="G154" i="3"/>
  <c r="B154" i="3"/>
  <c r="K154" i="3"/>
  <c r="D154" i="3"/>
  <c r="J154" i="3"/>
  <c r="N156" i="3"/>
  <c r="L156" i="3"/>
  <c r="D156" i="3"/>
  <c r="H156" i="3"/>
  <c r="F156" i="3"/>
  <c r="O162" i="3" a="1"/>
  <c r="O162" i="3" s="1"/>
  <c r="L162" i="3"/>
  <c r="G162" i="3"/>
  <c r="B162" i="3"/>
  <c r="F162" i="3"/>
  <c r="K162" i="3"/>
  <c r="D162" i="3"/>
  <c r="F186" i="3"/>
  <c r="O206" i="3" a="1"/>
  <c r="O206" i="3" s="1"/>
  <c r="N206" i="3"/>
  <c r="J206" i="3"/>
  <c r="D206" i="3"/>
  <c r="K206" i="3"/>
  <c r="C206" i="3"/>
  <c r="H206" i="3"/>
  <c r="B206" i="3"/>
  <c r="H212" i="3"/>
  <c r="O214" i="3" a="1"/>
  <c r="O214" i="3" s="1"/>
  <c r="N214" i="3"/>
  <c r="J214" i="3"/>
  <c r="D214" i="3"/>
  <c r="L214" i="3"/>
  <c r="F214" i="3"/>
  <c r="K214" i="3"/>
  <c r="C214" i="3"/>
  <c r="N220" i="3"/>
  <c r="L220" i="3"/>
  <c r="D220" i="3"/>
  <c r="H220" i="3"/>
  <c r="F220" i="3"/>
  <c r="O226" i="3" a="1"/>
  <c r="O226" i="3" s="1"/>
  <c r="L226" i="3"/>
  <c r="G226" i="3"/>
  <c r="B226" i="3"/>
  <c r="F226" i="3"/>
  <c r="K226" i="3"/>
  <c r="D226" i="3"/>
  <c r="J245" i="3"/>
  <c r="N245" i="3"/>
  <c r="G245" i="3"/>
  <c r="K245" i="3"/>
  <c r="B246" i="3"/>
  <c r="O254" i="3" a="1"/>
  <c r="O254" i="3" s="1"/>
  <c r="N254" i="3"/>
  <c r="J254" i="3"/>
  <c r="D254" i="3"/>
  <c r="L254" i="3"/>
  <c r="F254" i="3"/>
  <c r="C254" i="3"/>
  <c r="K254" i="3"/>
  <c r="B254" i="3"/>
  <c r="O258" i="3" a="1"/>
  <c r="O258" i="3" s="1"/>
  <c r="L258" i="3"/>
  <c r="G258" i="3"/>
  <c r="B258" i="3"/>
  <c r="K258" i="3"/>
  <c r="D258" i="3"/>
  <c r="H258" i="3"/>
  <c r="N258" i="3"/>
  <c r="F258" i="3"/>
  <c r="B292" i="3"/>
  <c r="O296" i="3" a="1"/>
  <c r="O296" i="3" s="1"/>
  <c r="H296" i="3"/>
  <c r="C296" i="3"/>
  <c r="K296" i="3"/>
  <c r="D296" i="3"/>
  <c r="N296" i="3"/>
  <c r="G296" i="3"/>
  <c r="F296" i="3"/>
  <c r="O300" i="3" a="1"/>
  <c r="O300" i="3" s="1"/>
  <c r="N300" i="3"/>
  <c r="J300" i="3"/>
  <c r="D300" i="3"/>
  <c r="L300" i="3"/>
  <c r="F300" i="3"/>
  <c r="G300" i="3"/>
  <c r="C300" i="3"/>
  <c r="G312" i="4"/>
  <c r="H312" i="4"/>
  <c r="L312" i="4"/>
  <c r="D312" i="4"/>
  <c r="K350" i="4"/>
  <c r="L350" i="4"/>
  <c r="F350" i="4"/>
  <c r="A350" i="4"/>
  <c r="J350" i="4"/>
  <c r="D350" i="4"/>
  <c r="I350" i="4"/>
  <c r="H350" i="4"/>
  <c r="E350" i="4"/>
  <c r="K366" i="4"/>
  <c r="J366" i="4"/>
  <c r="E366" i="4"/>
  <c r="L366" i="4"/>
  <c r="D366" i="4"/>
  <c r="H366" i="4"/>
  <c r="I366" i="4"/>
  <c r="F366" i="4"/>
  <c r="I100" i="3"/>
  <c r="B100" i="3"/>
  <c r="H100" i="3"/>
  <c r="O110" i="3" a="1"/>
  <c r="O110" i="3" s="1"/>
  <c r="H110" i="3"/>
  <c r="C110" i="3"/>
  <c r="K110" i="3"/>
  <c r="D110" i="3"/>
  <c r="J110" i="3"/>
  <c r="H113" i="3"/>
  <c r="I128" i="3"/>
  <c r="E128" i="3"/>
  <c r="F134" i="3"/>
  <c r="C141" i="3"/>
  <c r="G141" i="3"/>
  <c r="O142" i="3" a="1"/>
  <c r="O142" i="3" s="1"/>
  <c r="H142" i="3"/>
  <c r="C142" i="3"/>
  <c r="N142" i="3"/>
  <c r="J142" i="3"/>
  <c r="B142" i="3"/>
  <c r="K142" i="3"/>
  <c r="O150" i="3" a="1"/>
  <c r="O150" i="3" s="1"/>
  <c r="N150" i="3"/>
  <c r="J150" i="3"/>
  <c r="D150" i="3"/>
  <c r="L150" i="3"/>
  <c r="F150" i="3"/>
  <c r="H150" i="3"/>
  <c r="J165" i="3"/>
  <c r="N165" i="3"/>
  <c r="G165" i="3"/>
  <c r="K165" i="3"/>
  <c r="C165" i="3"/>
  <c r="N180" i="3"/>
  <c r="L180" i="3"/>
  <c r="D180" i="3"/>
  <c r="F180" i="3"/>
  <c r="B180" i="3"/>
  <c r="J205" i="3"/>
  <c r="N205" i="3"/>
  <c r="G205" i="3"/>
  <c r="K205" i="3"/>
  <c r="O218" i="3" a="1"/>
  <c r="O218" i="3" s="1"/>
  <c r="L218" i="3"/>
  <c r="G218" i="3"/>
  <c r="B218" i="3"/>
  <c r="K218" i="3"/>
  <c r="D218" i="3"/>
  <c r="J218" i="3"/>
  <c r="C218" i="3"/>
  <c r="N218" i="3"/>
  <c r="J229" i="3"/>
  <c r="N229" i="3"/>
  <c r="G229" i="3"/>
  <c r="K229" i="3"/>
  <c r="C229" i="3"/>
  <c r="O270" i="3" a="1"/>
  <c r="O270" i="3" s="1"/>
  <c r="N270" i="3"/>
  <c r="J270" i="3"/>
  <c r="D270" i="3"/>
  <c r="H270" i="3"/>
  <c r="B270" i="3"/>
  <c r="F270" i="3"/>
  <c r="L270" i="3"/>
  <c r="C270" i="3"/>
  <c r="K340" i="4"/>
  <c r="H340" i="4"/>
  <c r="F340" i="4"/>
  <c r="K343" i="4"/>
  <c r="H343" i="4"/>
  <c r="G375" i="4"/>
  <c r="I375" i="4"/>
  <c r="E375" i="4"/>
  <c r="M375" i="4"/>
  <c r="G397" i="4"/>
  <c r="J397" i="4"/>
  <c r="A397" i="4"/>
  <c r="L397" i="4"/>
  <c r="K311" i="4"/>
  <c r="L311" i="4"/>
  <c r="D311" i="4"/>
  <c r="I311" i="4"/>
  <c r="H311" i="4"/>
  <c r="E311" i="4"/>
  <c r="K315" i="4"/>
  <c r="M315" i="4"/>
  <c r="E315" i="4"/>
  <c r="D315" i="4"/>
  <c r="I315" i="4"/>
  <c r="H315" i="4"/>
  <c r="E343" i="4"/>
  <c r="K346" i="4"/>
  <c r="L346" i="4"/>
  <c r="F346" i="4"/>
  <c r="A346" i="4"/>
  <c r="J346" i="4"/>
  <c r="D346" i="4"/>
  <c r="N346" i="4"/>
  <c r="E346" i="4"/>
  <c r="I346" i="4"/>
  <c r="H346" i="4"/>
  <c r="K362" i="4"/>
  <c r="N362" i="4"/>
  <c r="I362" i="4"/>
  <c r="D362" i="4"/>
  <c r="H362" i="4"/>
  <c r="A362" i="4"/>
  <c r="J362" i="4"/>
  <c r="F362" i="4"/>
  <c r="E362" i="4"/>
  <c r="L392" i="4"/>
  <c r="E392" i="4"/>
  <c r="G392" i="4"/>
  <c r="D392" i="4"/>
  <c r="K392" i="4"/>
  <c r="D397" i="4"/>
  <c r="O106" i="3" a="1"/>
  <c r="O106" i="3" s="1"/>
  <c r="H106" i="3"/>
  <c r="C106" i="3"/>
  <c r="L106" i="3"/>
  <c r="F106" i="3"/>
  <c r="J106" i="3"/>
  <c r="C107" i="3"/>
  <c r="B107" i="3"/>
  <c r="E113" i="3"/>
  <c r="K113" i="3"/>
  <c r="C113" i="3"/>
  <c r="O118" i="3" a="1"/>
  <c r="O118" i="3" s="1"/>
  <c r="N118" i="3"/>
  <c r="J118" i="3"/>
  <c r="D118" i="3"/>
  <c r="H118" i="3"/>
  <c r="B118" i="3"/>
  <c r="K118" i="3"/>
  <c r="O134" i="3" a="1"/>
  <c r="O134" i="3" s="1"/>
  <c r="L134" i="3"/>
  <c r="G134" i="3"/>
  <c r="B134" i="3"/>
  <c r="K134" i="3"/>
  <c r="D134" i="3"/>
  <c r="J134" i="3"/>
  <c r="N136" i="3"/>
  <c r="F136" i="3"/>
  <c r="D136" i="3"/>
  <c r="L136" i="3"/>
  <c r="N148" i="3"/>
  <c r="L148" i="3"/>
  <c r="D148" i="3"/>
  <c r="F148" i="3"/>
  <c r="J173" i="3"/>
  <c r="N173" i="3"/>
  <c r="G173" i="3"/>
  <c r="K173" i="3"/>
  <c r="O186" i="3" a="1"/>
  <c r="O186" i="3" s="1"/>
  <c r="L186" i="3"/>
  <c r="G186" i="3"/>
  <c r="B186" i="3"/>
  <c r="K186" i="3"/>
  <c r="D186" i="3"/>
  <c r="J186" i="3"/>
  <c r="C186" i="3"/>
  <c r="N186" i="3"/>
  <c r="J197" i="3"/>
  <c r="N197" i="3"/>
  <c r="G197" i="3"/>
  <c r="K197" i="3"/>
  <c r="C197" i="3"/>
  <c r="N212" i="3"/>
  <c r="L212" i="3"/>
  <c r="D212" i="3"/>
  <c r="F212" i="3"/>
  <c r="B212" i="3"/>
  <c r="J237" i="3"/>
  <c r="N237" i="3"/>
  <c r="G237" i="3"/>
  <c r="K237" i="3"/>
  <c r="O246" i="3" a="1"/>
  <c r="O246" i="3" s="1"/>
  <c r="N246" i="3"/>
  <c r="J246" i="3"/>
  <c r="D246" i="3"/>
  <c r="K246" i="3"/>
  <c r="C246" i="3"/>
  <c r="G246" i="3"/>
  <c r="F246" i="3"/>
  <c r="J269" i="3"/>
  <c r="N269" i="3"/>
  <c r="G269" i="3"/>
  <c r="K269" i="3"/>
  <c r="C269" i="3"/>
  <c r="E282" i="3"/>
  <c r="O282" i="3" a="1"/>
  <c r="O282" i="3" s="1"/>
  <c r="H282" i="3"/>
  <c r="L282" i="3"/>
  <c r="J283" i="3"/>
  <c r="L283" i="3"/>
  <c r="D283" i="3"/>
  <c r="N283" i="3"/>
  <c r="H283" i="3"/>
  <c r="G283" i="3"/>
  <c r="C283" i="3"/>
  <c r="O292" i="3" a="1"/>
  <c r="O292" i="3" s="1"/>
  <c r="H292" i="3"/>
  <c r="C292" i="3"/>
  <c r="K292" i="3"/>
  <c r="D292" i="3"/>
  <c r="N292" i="3"/>
  <c r="G292" i="3"/>
  <c r="F292" i="3"/>
  <c r="J305" i="4"/>
  <c r="M311" i="4"/>
  <c r="L315" i="4"/>
  <c r="A317" i="4"/>
  <c r="J317" i="4"/>
  <c r="K324" i="4"/>
  <c r="L324" i="4"/>
  <c r="F324" i="4"/>
  <c r="A324" i="4"/>
  <c r="J324" i="4"/>
  <c r="D324" i="4"/>
  <c r="H324" i="4"/>
  <c r="N324" i="4"/>
  <c r="E324" i="4"/>
  <c r="L326" i="4"/>
  <c r="F326" i="4"/>
  <c r="K326" i="4"/>
  <c r="J326" i="4"/>
  <c r="M346" i="4"/>
  <c r="L362" i="4"/>
  <c r="A366" i="4"/>
  <c r="L384" i="4"/>
  <c r="E384" i="4"/>
  <c r="G384" i="4"/>
  <c r="I384" i="4"/>
  <c r="K384" i="4"/>
  <c r="I392" i="4"/>
  <c r="J157" i="3"/>
  <c r="N157" i="3"/>
  <c r="G157" i="3"/>
  <c r="O166" i="3" a="1"/>
  <c r="O166" i="3" s="1"/>
  <c r="N166" i="3"/>
  <c r="J166" i="3"/>
  <c r="D166" i="3"/>
  <c r="G166" i="3"/>
  <c r="N172" i="3"/>
  <c r="L172" i="3"/>
  <c r="D172" i="3"/>
  <c r="J172" i="3"/>
  <c r="O178" i="3" a="1"/>
  <c r="O178" i="3" s="1"/>
  <c r="L178" i="3"/>
  <c r="G178" i="3"/>
  <c r="B178" i="3"/>
  <c r="H178" i="3"/>
  <c r="N178" i="3"/>
  <c r="J189" i="3"/>
  <c r="N189" i="3"/>
  <c r="G189" i="3"/>
  <c r="O198" i="3" a="1"/>
  <c r="O198" i="3" s="1"/>
  <c r="N198" i="3"/>
  <c r="J198" i="3"/>
  <c r="D198" i="3"/>
  <c r="G198" i="3"/>
  <c r="N204" i="3"/>
  <c r="L204" i="3"/>
  <c r="D204" i="3"/>
  <c r="J204" i="3"/>
  <c r="O210" i="3" a="1"/>
  <c r="O210" i="3" s="1"/>
  <c r="L210" i="3"/>
  <c r="G210" i="3"/>
  <c r="B210" i="3"/>
  <c r="H210" i="3"/>
  <c r="N210" i="3"/>
  <c r="J221" i="3"/>
  <c r="N221" i="3"/>
  <c r="G221" i="3"/>
  <c r="O230" i="3" a="1"/>
  <c r="O230" i="3" s="1"/>
  <c r="N230" i="3"/>
  <c r="J230" i="3"/>
  <c r="D230" i="3"/>
  <c r="G230" i="3"/>
  <c r="N236" i="3"/>
  <c r="L236" i="3"/>
  <c r="D236" i="3"/>
  <c r="J236" i="3"/>
  <c r="O250" i="3" a="1"/>
  <c r="O250" i="3" s="1"/>
  <c r="L250" i="3"/>
  <c r="G250" i="3"/>
  <c r="B250" i="3"/>
  <c r="J250" i="3"/>
  <c r="C250" i="3"/>
  <c r="K250" i="3"/>
  <c r="J261" i="3"/>
  <c r="N261" i="3"/>
  <c r="G261" i="3"/>
  <c r="C261" i="3"/>
  <c r="O266" i="3" a="1"/>
  <c r="O266" i="3" s="1"/>
  <c r="L266" i="3"/>
  <c r="G266" i="3"/>
  <c r="B266" i="3"/>
  <c r="F266" i="3"/>
  <c r="J266" i="3"/>
  <c r="O280" i="3" a="1"/>
  <c r="O280" i="3" s="1"/>
  <c r="H280" i="3"/>
  <c r="C280" i="3"/>
  <c r="L280" i="3"/>
  <c r="F280" i="3"/>
  <c r="J280" i="3"/>
  <c r="F281" i="3"/>
  <c r="E281" i="3"/>
  <c r="J299" i="3"/>
  <c r="N299" i="3"/>
  <c r="K299" i="3"/>
  <c r="C299" i="3"/>
  <c r="G299" i="3"/>
  <c r="K319" i="4"/>
  <c r="M319" i="4"/>
  <c r="E319" i="4"/>
  <c r="H319" i="4"/>
  <c r="K334" i="4"/>
  <c r="H334" i="4"/>
  <c r="A334" i="4"/>
  <c r="N334" i="4"/>
  <c r="D334" i="4"/>
  <c r="E351" i="4"/>
  <c r="H351" i="4"/>
  <c r="K351" i="4"/>
  <c r="N376" i="4"/>
  <c r="L376" i="4"/>
  <c r="D376" i="4"/>
  <c r="F376" i="4"/>
  <c r="J376" i="4"/>
  <c r="G381" i="4"/>
  <c r="J381" i="4"/>
  <c r="D381" i="4"/>
  <c r="O95" i="3" a="1"/>
  <c r="O95" i="3" s="1"/>
  <c r="H95" i="3"/>
  <c r="C95" i="3"/>
  <c r="G95" i="3"/>
  <c r="I119" i="3"/>
  <c r="N129" i="3"/>
  <c r="I129" i="3"/>
  <c r="C129" i="3"/>
  <c r="K129" i="3"/>
  <c r="O130" i="3" a="1"/>
  <c r="O130" i="3" s="1"/>
  <c r="H130" i="3"/>
  <c r="C130" i="3"/>
  <c r="G130" i="3"/>
  <c r="N140" i="3"/>
  <c r="J140" i="3"/>
  <c r="B140" i="3"/>
  <c r="L140" i="3"/>
  <c r="J149" i="3"/>
  <c r="N149" i="3"/>
  <c r="G149" i="3"/>
  <c r="C157" i="3"/>
  <c r="O158" i="3" a="1"/>
  <c r="O158" i="3" s="1"/>
  <c r="N158" i="3"/>
  <c r="J158" i="3"/>
  <c r="D158" i="3"/>
  <c r="G158" i="3"/>
  <c r="N164" i="3"/>
  <c r="L164" i="3"/>
  <c r="D164" i="3"/>
  <c r="J164" i="3"/>
  <c r="B166" i="3"/>
  <c r="H166" i="3"/>
  <c r="O170" i="3" a="1"/>
  <c r="O170" i="3" s="1"/>
  <c r="L170" i="3"/>
  <c r="G170" i="3"/>
  <c r="B170" i="3"/>
  <c r="H170" i="3"/>
  <c r="N170" i="3"/>
  <c r="B172" i="3"/>
  <c r="C178" i="3"/>
  <c r="J178" i="3"/>
  <c r="J181" i="3"/>
  <c r="N181" i="3"/>
  <c r="G181" i="3"/>
  <c r="C189" i="3"/>
  <c r="O190" i="3" a="1"/>
  <c r="O190" i="3" s="1"/>
  <c r="N190" i="3"/>
  <c r="J190" i="3"/>
  <c r="D190" i="3"/>
  <c r="G190" i="3"/>
  <c r="N196" i="3"/>
  <c r="L196" i="3"/>
  <c r="D196" i="3"/>
  <c r="J196" i="3"/>
  <c r="B198" i="3"/>
  <c r="H198" i="3"/>
  <c r="O202" i="3" a="1"/>
  <c r="O202" i="3" s="1"/>
  <c r="L202" i="3"/>
  <c r="G202" i="3"/>
  <c r="B202" i="3"/>
  <c r="H202" i="3"/>
  <c r="N202" i="3"/>
  <c r="B204" i="3"/>
  <c r="C210" i="3"/>
  <c r="J210" i="3"/>
  <c r="J213" i="3"/>
  <c r="N213" i="3"/>
  <c r="G213" i="3"/>
  <c r="C221" i="3"/>
  <c r="O222" i="3" a="1"/>
  <c r="O222" i="3" s="1"/>
  <c r="N222" i="3"/>
  <c r="J222" i="3"/>
  <c r="D222" i="3"/>
  <c r="G222" i="3"/>
  <c r="N228" i="3"/>
  <c r="L228" i="3"/>
  <c r="D228" i="3"/>
  <c r="J228" i="3"/>
  <c r="B230" i="3"/>
  <c r="H230" i="3"/>
  <c r="O234" i="3" a="1"/>
  <c r="O234" i="3" s="1"/>
  <c r="L234" i="3"/>
  <c r="G234" i="3"/>
  <c r="B234" i="3"/>
  <c r="H234" i="3"/>
  <c r="N234" i="3"/>
  <c r="B236" i="3"/>
  <c r="N244" i="3"/>
  <c r="L244" i="3"/>
  <c r="D244" i="3"/>
  <c r="B244" i="3"/>
  <c r="D250" i="3"/>
  <c r="N252" i="3"/>
  <c r="L252" i="3"/>
  <c r="D252" i="3"/>
  <c r="F252" i="3"/>
  <c r="K261" i="3"/>
  <c r="C266" i="3"/>
  <c r="K266" i="3"/>
  <c r="B280" i="3"/>
  <c r="K280" i="3"/>
  <c r="D286" i="3"/>
  <c r="L286" i="3"/>
  <c r="O286" i="3" a="1"/>
  <c r="O286" i="3" s="1"/>
  <c r="L294" i="3"/>
  <c r="O294" i="3" a="1"/>
  <c r="O294" i="3" s="1"/>
  <c r="D294" i="3"/>
  <c r="D299" i="3"/>
  <c r="K310" i="4"/>
  <c r="L310" i="4"/>
  <c r="F310" i="4"/>
  <c r="A310" i="4"/>
  <c r="N310" i="4"/>
  <c r="H310" i="4"/>
  <c r="J310" i="4"/>
  <c r="D319" i="4"/>
  <c r="M321" i="4"/>
  <c r="F321" i="4"/>
  <c r="A321" i="4"/>
  <c r="G325" i="4"/>
  <c r="L325" i="4"/>
  <c r="K332" i="4"/>
  <c r="L332" i="4"/>
  <c r="F332" i="4"/>
  <c r="A332" i="4"/>
  <c r="M332" i="4"/>
  <c r="E332" i="4"/>
  <c r="J332" i="4"/>
  <c r="F334" i="4"/>
  <c r="K342" i="4"/>
  <c r="M342" i="4"/>
  <c r="L342" i="4"/>
  <c r="F342" i="4"/>
  <c r="A342" i="4"/>
  <c r="J342" i="4"/>
  <c r="D342" i="4"/>
  <c r="N342" i="4"/>
  <c r="I361" i="4"/>
  <c r="M361" i="4"/>
  <c r="G369" i="4"/>
  <c r="M369" i="4"/>
  <c r="H376" i="4"/>
  <c r="L381" i="4"/>
  <c r="G76" i="3"/>
  <c r="N76" i="3"/>
  <c r="F83" i="3"/>
  <c r="K83" i="3"/>
  <c r="G84" i="3"/>
  <c r="N84" i="3"/>
  <c r="F91" i="3"/>
  <c r="K91" i="3"/>
  <c r="G92" i="3"/>
  <c r="N92" i="3"/>
  <c r="F114" i="3"/>
  <c r="K114" i="3"/>
  <c r="N115" i="3"/>
  <c r="F122" i="3"/>
  <c r="K122" i="3"/>
  <c r="F126" i="3"/>
  <c r="K126" i="3"/>
  <c r="F138" i="3"/>
  <c r="K138" i="3"/>
  <c r="H144" i="3"/>
  <c r="H152" i="3"/>
  <c r="H160" i="3"/>
  <c r="H168" i="3"/>
  <c r="H176" i="3"/>
  <c r="H184" i="3"/>
  <c r="H192" i="3"/>
  <c r="H200" i="3"/>
  <c r="H208" i="3"/>
  <c r="H216" i="3"/>
  <c r="H224" i="3"/>
  <c r="H232" i="3"/>
  <c r="O242" i="3" a="1"/>
  <c r="O242" i="3" s="1"/>
  <c r="L242" i="3"/>
  <c r="G242" i="3"/>
  <c r="B242" i="3"/>
  <c r="H242" i="3"/>
  <c r="N242" i="3"/>
  <c r="J253" i="3"/>
  <c r="N253" i="3"/>
  <c r="G253" i="3"/>
  <c r="O262" i="3" a="1"/>
  <c r="O262" i="3" s="1"/>
  <c r="N262" i="3"/>
  <c r="J262" i="3"/>
  <c r="D262" i="3"/>
  <c r="G262" i="3"/>
  <c r="N268" i="3"/>
  <c r="L268" i="3"/>
  <c r="D268" i="3"/>
  <c r="J268" i="3"/>
  <c r="J287" i="3"/>
  <c r="L287" i="3"/>
  <c r="D287" i="3"/>
  <c r="K287" i="3"/>
  <c r="K306" i="4"/>
  <c r="J306" i="4"/>
  <c r="E306" i="4"/>
  <c r="L306" i="4"/>
  <c r="K330" i="4"/>
  <c r="H330" i="4"/>
  <c r="A330" i="4"/>
  <c r="L330" i="4"/>
  <c r="K338" i="4"/>
  <c r="L338" i="4"/>
  <c r="F338" i="4"/>
  <c r="A338" i="4"/>
  <c r="I338" i="4"/>
  <c r="G353" i="4"/>
  <c r="E353" i="4"/>
  <c r="K370" i="4"/>
  <c r="J370" i="4"/>
  <c r="E370" i="4"/>
  <c r="N370" i="4"/>
  <c r="H370" i="4"/>
  <c r="A370" i="4"/>
  <c r="L370" i="4"/>
  <c r="M372" i="4"/>
  <c r="N372" i="4"/>
  <c r="F372" i="4"/>
  <c r="D372" i="4"/>
  <c r="G389" i="4"/>
  <c r="J389" i="4"/>
  <c r="L400" i="4"/>
  <c r="E400" i="4"/>
  <c r="G400" i="4"/>
  <c r="H240" i="3"/>
  <c r="H248" i="3"/>
  <c r="H256" i="3"/>
  <c r="H264" i="3"/>
  <c r="F272" i="3"/>
  <c r="K272" i="3"/>
  <c r="H275" i="3"/>
  <c r="H279" i="3"/>
  <c r="F284" i="3"/>
  <c r="K284" i="3"/>
  <c r="F288" i="3"/>
  <c r="K288" i="3"/>
  <c r="H291" i="3"/>
  <c r="H295" i="3"/>
  <c r="H314" i="4"/>
  <c r="M314" i="4"/>
  <c r="H318" i="4"/>
  <c r="M318" i="4"/>
  <c r="H328" i="4"/>
  <c r="M328" i="4"/>
  <c r="M356" i="4"/>
  <c r="N356" i="4"/>
  <c r="F356" i="4"/>
  <c r="L356" i="4"/>
  <c r="G359" i="4"/>
  <c r="I359" i="4"/>
  <c r="M360" i="4"/>
  <c r="L360" i="4"/>
  <c r="D360" i="4"/>
  <c r="N360" i="4"/>
  <c r="M368" i="4"/>
  <c r="N368" i="4"/>
  <c r="F368" i="4"/>
  <c r="L368" i="4"/>
  <c r="L380" i="4"/>
  <c r="E380" i="4"/>
  <c r="K380" i="4"/>
  <c r="L388" i="4"/>
  <c r="E388" i="4"/>
  <c r="K388" i="4"/>
  <c r="L396" i="4"/>
  <c r="E396" i="4"/>
  <c r="K396" i="4"/>
  <c r="L404" i="4"/>
  <c r="E404" i="4"/>
  <c r="K404" i="4"/>
  <c r="J352" i="4"/>
  <c r="H354" i="4"/>
  <c r="M354" i="4"/>
  <c r="H358" i="4"/>
  <c r="M358" i="4"/>
  <c r="J364" i="4"/>
  <c r="H374" i="4"/>
  <c r="M374" i="4"/>
  <c r="H379" i="4"/>
  <c r="M379" i="4"/>
  <c r="H383" i="4"/>
  <c r="M383" i="4"/>
  <c r="H387" i="4"/>
  <c r="M387" i="4"/>
  <c r="H391" i="4"/>
  <c r="M391" i="4"/>
  <c r="H395" i="4"/>
  <c r="M395" i="4"/>
  <c r="H399" i="4"/>
  <c r="M399" i="4"/>
  <c r="H403" i="4"/>
  <c r="M403" i="4"/>
  <c r="E2" i="3"/>
  <c r="B2" i="3"/>
  <c r="N2" i="3" s="1"/>
  <c r="E3" i="3"/>
  <c r="G5" i="3"/>
  <c r="C5" i="3"/>
  <c r="D2" i="3"/>
  <c r="C3" i="3"/>
  <c r="G3" i="3"/>
  <c r="J3" i="3" s="1"/>
  <c r="B4" i="3"/>
  <c r="N4" i="3" s="1"/>
  <c r="J4" i="3"/>
  <c r="D5" i="3"/>
  <c r="J18" i="3"/>
  <c r="F18" i="3"/>
  <c r="B18" i="3"/>
  <c r="N18" i="3"/>
  <c r="K18" i="3"/>
  <c r="G18" i="3"/>
  <c r="C18" i="3"/>
  <c r="I18" i="3"/>
  <c r="N21" i="3"/>
  <c r="K21" i="3"/>
  <c r="G21" i="3"/>
  <c r="C21" i="3"/>
  <c r="L21" i="3"/>
  <c r="H21" i="3"/>
  <c r="D21" i="3"/>
  <c r="I21" i="3"/>
  <c r="O21" i="3" a="1"/>
  <c r="O21" i="3" s="1"/>
  <c r="E26" i="3"/>
  <c r="E29" i="3"/>
  <c r="J34" i="3"/>
  <c r="F34" i="3"/>
  <c r="B34" i="3"/>
  <c r="N34" i="3"/>
  <c r="K34" i="3"/>
  <c r="G34" i="3"/>
  <c r="C34" i="3"/>
  <c r="I34" i="3"/>
  <c r="N37" i="3"/>
  <c r="K37" i="3"/>
  <c r="G37" i="3"/>
  <c r="C37" i="3"/>
  <c r="L37" i="3"/>
  <c r="H37" i="3"/>
  <c r="D37" i="3"/>
  <c r="I37" i="3"/>
  <c r="O37" i="3" a="1"/>
  <c r="O37" i="3" s="1"/>
  <c r="E42" i="3"/>
  <c r="E45" i="3"/>
  <c r="J50" i="3"/>
  <c r="F50" i="3"/>
  <c r="B50" i="3"/>
  <c r="N50" i="3"/>
  <c r="K50" i="3"/>
  <c r="G50" i="3"/>
  <c r="C50" i="3"/>
  <c r="I50" i="3"/>
  <c r="E5" i="3"/>
  <c r="J5" i="3"/>
  <c r="N9" i="3"/>
  <c r="K9" i="3"/>
  <c r="G9" i="3"/>
  <c r="C9" i="3"/>
  <c r="L9" i="3"/>
  <c r="H9" i="3"/>
  <c r="D9" i="3"/>
  <c r="I9" i="3"/>
  <c r="O9" i="3" a="1"/>
  <c r="O9" i="3" s="1"/>
  <c r="J22" i="3"/>
  <c r="F22" i="3"/>
  <c r="B22" i="3"/>
  <c r="N22" i="3"/>
  <c r="K22" i="3"/>
  <c r="G22" i="3"/>
  <c r="C22" i="3"/>
  <c r="I22" i="3"/>
  <c r="N25" i="3"/>
  <c r="K25" i="3"/>
  <c r="G25" i="3"/>
  <c r="C25" i="3"/>
  <c r="L25" i="3"/>
  <c r="H25" i="3"/>
  <c r="D25" i="3"/>
  <c r="I25" i="3"/>
  <c r="O25" i="3" a="1"/>
  <c r="O25" i="3" s="1"/>
  <c r="J38" i="3"/>
  <c r="F38" i="3"/>
  <c r="B38" i="3"/>
  <c r="N38" i="3"/>
  <c r="K38" i="3"/>
  <c r="G38" i="3"/>
  <c r="C38" i="3"/>
  <c r="I38" i="3"/>
  <c r="N41" i="3"/>
  <c r="K41" i="3"/>
  <c r="G41" i="3"/>
  <c r="C41" i="3"/>
  <c r="L41" i="3"/>
  <c r="H41" i="3"/>
  <c r="D41" i="3"/>
  <c r="I41" i="3"/>
  <c r="O41" i="3" a="1"/>
  <c r="O41" i="3" s="1"/>
  <c r="D50" i="3"/>
  <c r="L50" i="3"/>
  <c r="O50" i="3" a="1"/>
  <c r="O50" i="3" s="1"/>
  <c r="B9" i="3"/>
  <c r="J9" i="3"/>
  <c r="J10" i="3"/>
  <c r="F10" i="3"/>
  <c r="B10" i="3"/>
  <c r="N10" i="3"/>
  <c r="K10" i="3"/>
  <c r="G10" i="3"/>
  <c r="C10" i="3"/>
  <c r="I10" i="3"/>
  <c r="N13" i="3"/>
  <c r="K13" i="3"/>
  <c r="G13" i="3"/>
  <c r="C13" i="3"/>
  <c r="L13" i="3"/>
  <c r="H13" i="3"/>
  <c r="D13" i="3"/>
  <c r="I13" i="3"/>
  <c r="O13" i="3" a="1"/>
  <c r="O13" i="3" s="1"/>
  <c r="D22" i="3"/>
  <c r="L22" i="3"/>
  <c r="O22" i="3" a="1"/>
  <c r="O22" i="3" s="1"/>
  <c r="B25" i="3"/>
  <c r="J25" i="3"/>
  <c r="J26" i="3"/>
  <c r="F26" i="3"/>
  <c r="B26" i="3"/>
  <c r="N26" i="3"/>
  <c r="K26" i="3"/>
  <c r="G26" i="3"/>
  <c r="C26" i="3"/>
  <c r="I26" i="3"/>
  <c r="N29" i="3"/>
  <c r="K29" i="3"/>
  <c r="G29" i="3"/>
  <c r="C29" i="3"/>
  <c r="L29" i="3"/>
  <c r="H29" i="3"/>
  <c r="D29" i="3"/>
  <c r="I29" i="3"/>
  <c r="O29" i="3" a="1"/>
  <c r="O29" i="3" s="1"/>
  <c r="O38" i="3" a="1"/>
  <c r="O38" i="3" s="1"/>
  <c r="J42" i="3"/>
  <c r="F42" i="3"/>
  <c r="B42" i="3"/>
  <c r="N42" i="3"/>
  <c r="K42" i="3"/>
  <c r="G42" i="3"/>
  <c r="C42" i="3"/>
  <c r="I42" i="3"/>
  <c r="N45" i="3"/>
  <c r="K45" i="3"/>
  <c r="G45" i="3"/>
  <c r="C45" i="3"/>
  <c r="L45" i="3"/>
  <c r="H45" i="3"/>
  <c r="D45" i="3"/>
  <c r="I45" i="3"/>
  <c r="O45" i="3" a="1"/>
  <c r="O45" i="3" s="1"/>
  <c r="E50" i="3"/>
  <c r="C2" i="3"/>
  <c r="G2" i="3"/>
  <c r="J2" i="3" s="1"/>
  <c r="B3" i="3"/>
  <c r="E4" i="3"/>
  <c r="B5" i="3"/>
  <c r="N5" i="3" s="1"/>
  <c r="J6" i="3"/>
  <c r="F6" i="3"/>
  <c r="B6" i="3"/>
  <c r="N6" i="3"/>
  <c r="K6" i="3"/>
  <c r="G6" i="3"/>
  <c r="E9" i="3"/>
  <c r="D10" i="3"/>
  <c r="L10" i="3"/>
  <c r="O10" i="3" a="1"/>
  <c r="O10" i="3" s="1"/>
  <c r="B13" i="3"/>
  <c r="J13" i="3"/>
  <c r="J14" i="3"/>
  <c r="F14" i="3"/>
  <c r="B14" i="3"/>
  <c r="N14" i="3"/>
  <c r="K14" i="3"/>
  <c r="G14" i="3"/>
  <c r="C14" i="3"/>
  <c r="I14" i="3"/>
  <c r="N17" i="3"/>
  <c r="K17" i="3"/>
  <c r="G17" i="3"/>
  <c r="C17" i="3"/>
  <c r="L17" i="3"/>
  <c r="H17" i="3"/>
  <c r="D17" i="3"/>
  <c r="I17" i="3"/>
  <c r="O17" i="3" a="1"/>
  <c r="O17" i="3" s="1"/>
  <c r="H18" i="3"/>
  <c r="F21" i="3"/>
  <c r="E22" i="3"/>
  <c r="E25" i="3"/>
  <c r="D26" i="3"/>
  <c r="L26" i="3"/>
  <c r="O26" i="3" a="1"/>
  <c r="O26" i="3" s="1"/>
  <c r="B29" i="3"/>
  <c r="J29" i="3"/>
  <c r="J30" i="3"/>
  <c r="F30" i="3"/>
  <c r="B30" i="3"/>
  <c r="N30" i="3"/>
  <c r="K30" i="3"/>
  <c r="G30" i="3"/>
  <c r="C30" i="3"/>
  <c r="I30" i="3"/>
  <c r="N33" i="3"/>
  <c r="K33" i="3"/>
  <c r="G33" i="3"/>
  <c r="C33" i="3"/>
  <c r="L33" i="3"/>
  <c r="H33" i="3"/>
  <c r="D33" i="3"/>
  <c r="I33" i="3"/>
  <c r="O33" i="3" a="1"/>
  <c r="O33" i="3" s="1"/>
  <c r="H34" i="3"/>
  <c r="F37" i="3"/>
  <c r="E38" i="3"/>
  <c r="E41" i="3"/>
  <c r="D42" i="3"/>
  <c r="L42" i="3"/>
  <c r="O42" i="3" a="1"/>
  <c r="O42" i="3" s="1"/>
  <c r="B45" i="3"/>
  <c r="J45" i="3"/>
  <c r="J46" i="3"/>
  <c r="F46" i="3"/>
  <c r="B46" i="3"/>
  <c r="N46" i="3"/>
  <c r="K46" i="3"/>
  <c r="G46" i="3"/>
  <c r="C46" i="3"/>
  <c r="I46" i="3"/>
  <c r="N49" i="3"/>
  <c r="K49" i="3"/>
  <c r="G49" i="3"/>
  <c r="C49" i="3"/>
  <c r="L49" i="3"/>
  <c r="H49" i="3"/>
  <c r="D49" i="3"/>
  <c r="I49" i="3"/>
  <c r="O49" i="3" a="1"/>
  <c r="O49" i="3" s="1"/>
  <c r="H50" i="3"/>
  <c r="N53" i="3"/>
  <c r="K53" i="3"/>
  <c r="G53" i="3"/>
  <c r="C53" i="3"/>
  <c r="J53" i="3"/>
  <c r="F53" i="3"/>
  <c r="B53" i="3"/>
  <c r="L53" i="3"/>
  <c r="H53" i="3"/>
  <c r="D53" i="3"/>
  <c r="E8" i="3"/>
  <c r="I8" i="3"/>
  <c r="O8" i="3" a="1"/>
  <c r="O8" i="3" s="1"/>
  <c r="E12" i="3"/>
  <c r="I12" i="3"/>
  <c r="O12" i="3" a="1"/>
  <c r="O12" i="3" s="1"/>
  <c r="E16" i="3"/>
  <c r="I16" i="3"/>
  <c r="O16" i="3" a="1"/>
  <c r="O16" i="3" s="1"/>
  <c r="E20" i="3"/>
  <c r="I20" i="3"/>
  <c r="O20" i="3" a="1"/>
  <c r="O20" i="3" s="1"/>
  <c r="E24" i="3"/>
  <c r="I24" i="3"/>
  <c r="O24" i="3" a="1"/>
  <c r="O24" i="3" s="1"/>
  <c r="E28" i="3"/>
  <c r="I28" i="3"/>
  <c r="O28" i="3" a="1"/>
  <c r="O28" i="3" s="1"/>
  <c r="E32" i="3"/>
  <c r="I32" i="3"/>
  <c r="O32" i="3" a="1"/>
  <c r="O32" i="3" s="1"/>
  <c r="E36" i="3"/>
  <c r="I36" i="3"/>
  <c r="O36" i="3" a="1"/>
  <c r="O36" i="3" s="1"/>
  <c r="E40" i="3"/>
  <c r="I40" i="3"/>
  <c r="O40" i="3" a="1"/>
  <c r="O40" i="3" s="1"/>
  <c r="E44" i="3"/>
  <c r="I44" i="3"/>
  <c r="O44" i="3" a="1"/>
  <c r="O44" i="3" s="1"/>
  <c r="E48" i="3"/>
  <c r="I48" i="3"/>
  <c r="O48" i="3" a="1"/>
  <c r="O48" i="3" s="1"/>
  <c r="E52" i="3"/>
  <c r="I52" i="3"/>
  <c r="O52" i="3" a="1"/>
  <c r="O52" i="3" s="1"/>
  <c r="C54" i="3"/>
  <c r="G54" i="3"/>
  <c r="K54" i="3"/>
  <c r="N54" i="3"/>
  <c r="E56" i="3"/>
  <c r="I56" i="3"/>
  <c r="O56" i="3" a="1"/>
  <c r="O56" i="3" s="1"/>
  <c r="D57" i="3"/>
  <c r="H57" i="3"/>
  <c r="L57" i="3"/>
  <c r="C58" i="3"/>
  <c r="G58" i="3"/>
  <c r="K58" i="3"/>
  <c r="N58" i="3"/>
  <c r="E60" i="3"/>
  <c r="I60" i="3"/>
  <c r="O60" i="3" a="1"/>
  <c r="O60" i="3" s="1"/>
  <c r="D61" i="3"/>
  <c r="H61" i="3"/>
  <c r="L61" i="3"/>
  <c r="C62" i="3"/>
  <c r="G62" i="3"/>
  <c r="K62" i="3"/>
  <c r="N62" i="3"/>
  <c r="E64" i="3"/>
  <c r="I64" i="3"/>
  <c r="O64" i="3" a="1"/>
  <c r="O64" i="3" s="1"/>
  <c r="D65" i="3"/>
  <c r="H65" i="3"/>
  <c r="L65" i="3"/>
  <c r="C66" i="3"/>
  <c r="G66" i="3"/>
  <c r="K66" i="3"/>
  <c r="N66" i="3"/>
  <c r="E68" i="3"/>
  <c r="I68" i="3"/>
  <c r="O68" i="3" a="1"/>
  <c r="O68" i="3" s="1"/>
  <c r="D69" i="3"/>
  <c r="H69" i="3"/>
  <c r="L69" i="3"/>
  <c r="C70" i="3"/>
  <c r="G70" i="3"/>
  <c r="K70" i="3"/>
  <c r="N70" i="3"/>
  <c r="E72" i="3"/>
  <c r="I72" i="3"/>
  <c r="O72" i="3" a="1"/>
  <c r="O72" i="3" s="1"/>
  <c r="D73" i="3"/>
  <c r="H73" i="3"/>
  <c r="L73" i="3"/>
  <c r="C74" i="3"/>
  <c r="G74" i="3"/>
  <c r="K74" i="3"/>
  <c r="N74" i="3"/>
  <c r="E76" i="3"/>
  <c r="I76" i="3"/>
  <c r="O76" i="3" a="1"/>
  <c r="O76" i="3" s="1"/>
  <c r="D77" i="3"/>
  <c r="H77" i="3"/>
  <c r="L77" i="3"/>
  <c r="C78" i="3"/>
  <c r="G78" i="3"/>
  <c r="K78" i="3"/>
  <c r="N78" i="3"/>
  <c r="E80" i="3"/>
  <c r="I80" i="3"/>
  <c r="O80" i="3" a="1"/>
  <c r="O80" i="3" s="1"/>
  <c r="D81" i="3"/>
  <c r="H81" i="3"/>
  <c r="L81" i="3"/>
  <c r="C82" i="3"/>
  <c r="G82" i="3"/>
  <c r="K82" i="3"/>
  <c r="N82" i="3"/>
  <c r="E84" i="3"/>
  <c r="I84" i="3"/>
  <c r="O84" i="3" a="1"/>
  <c r="O84" i="3" s="1"/>
  <c r="D85" i="3"/>
  <c r="H85" i="3"/>
  <c r="L85" i="3"/>
  <c r="C86" i="3"/>
  <c r="G86" i="3"/>
  <c r="K86" i="3"/>
  <c r="N86" i="3"/>
  <c r="E88" i="3"/>
  <c r="I88" i="3"/>
  <c r="O88" i="3" a="1"/>
  <c r="O88" i="3" s="1"/>
  <c r="D89" i="3"/>
  <c r="H89" i="3"/>
  <c r="L89" i="3"/>
  <c r="C90" i="3"/>
  <c r="G90" i="3"/>
  <c r="K90" i="3"/>
  <c r="N90" i="3"/>
  <c r="E92" i="3"/>
  <c r="I92" i="3"/>
  <c r="O92" i="3" a="1"/>
  <c r="O92" i="3" s="1"/>
  <c r="D93" i="3"/>
  <c r="H93" i="3"/>
  <c r="L93" i="3"/>
  <c r="C94" i="3"/>
  <c r="G94" i="3"/>
  <c r="K94" i="3"/>
  <c r="N94" i="3"/>
  <c r="E96" i="3"/>
  <c r="I96" i="3"/>
  <c r="O96" i="3" a="1"/>
  <c r="O96" i="3" s="1"/>
  <c r="D97" i="3"/>
  <c r="H97" i="3"/>
  <c r="O97" i="3" a="1"/>
  <c r="O97" i="3" s="1"/>
  <c r="C99" i="3"/>
  <c r="J101" i="3"/>
  <c r="F101" i="3"/>
  <c r="B101" i="3"/>
  <c r="G101" i="3"/>
  <c r="L101" i="3"/>
  <c r="N104" i="3"/>
  <c r="K104" i="3"/>
  <c r="G104" i="3"/>
  <c r="C104" i="3"/>
  <c r="F104" i="3"/>
  <c r="L104" i="3"/>
  <c r="O104" i="3" a="1"/>
  <c r="O104" i="3" s="1"/>
  <c r="E105" i="3"/>
  <c r="K105" i="3"/>
  <c r="L107" i="3"/>
  <c r="H107" i="3"/>
  <c r="D107" i="3"/>
  <c r="F107" i="3"/>
  <c r="K107" i="3"/>
  <c r="O107" i="3" a="1"/>
  <c r="O107" i="3" s="1"/>
  <c r="E108" i="3"/>
  <c r="D109" i="3"/>
  <c r="E111" i="3"/>
  <c r="J111" i="3"/>
  <c r="D112" i="3"/>
  <c r="C115" i="3"/>
  <c r="J117" i="3"/>
  <c r="F117" i="3"/>
  <c r="B117" i="3"/>
  <c r="G117" i="3"/>
  <c r="L117" i="3"/>
  <c r="N120" i="3"/>
  <c r="K120" i="3"/>
  <c r="G120" i="3"/>
  <c r="C120" i="3"/>
  <c r="F120" i="3"/>
  <c r="L120" i="3"/>
  <c r="O120" i="3" a="1"/>
  <c r="O120" i="3" s="1"/>
  <c r="E121" i="3"/>
  <c r="K121" i="3"/>
  <c r="L123" i="3"/>
  <c r="H123" i="3"/>
  <c r="D123" i="3"/>
  <c r="F123" i="3"/>
  <c r="K123" i="3"/>
  <c r="O123" i="3" a="1"/>
  <c r="O123" i="3" s="1"/>
  <c r="E124" i="3"/>
  <c r="D125" i="3"/>
  <c r="E127" i="3"/>
  <c r="J127" i="3"/>
  <c r="D128" i="3"/>
  <c r="C131" i="3"/>
  <c r="J133" i="3"/>
  <c r="F133" i="3"/>
  <c r="B133" i="3"/>
  <c r="G133" i="3"/>
  <c r="L133" i="3"/>
  <c r="L139" i="3"/>
  <c r="H139" i="3"/>
  <c r="D139" i="3"/>
  <c r="J139" i="3"/>
  <c r="F139" i="3"/>
  <c r="B139" i="3"/>
  <c r="I139" i="3"/>
  <c r="N139" i="3"/>
  <c r="L143" i="3"/>
  <c r="H143" i="3"/>
  <c r="D143" i="3"/>
  <c r="N143" i="3"/>
  <c r="K143" i="3"/>
  <c r="G143" i="3"/>
  <c r="C143" i="3"/>
  <c r="J143" i="3"/>
  <c r="F143" i="3"/>
  <c r="B143" i="3"/>
  <c r="E57" i="3"/>
  <c r="I57" i="3"/>
  <c r="O57" i="3" a="1"/>
  <c r="O57" i="3" s="1"/>
  <c r="E61" i="3"/>
  <c r="I61" i="3"/>
  <c r="O61" i="3" a="1"/>
  <c r="O61" i="3" s="1"/>
  <c r="E65" i="3"/>
  <c r="I65" i="3"/>
  <c r="O65" i="3" a="1"/>
  <c r="O65" i="3" s="1"/>
  <c r="E69" i="3"/>
  <c r="I69" i="3"/>
  <c r="O69" i="3" a="1"/>
  <c r="O69" i="3" s="1"/>
  <c r="E73" i="3"/>
  <c r="I73" i="3"/>
  <c r="O73" i="3" a="1"/>
  <c r="O73" i="3" s="1"/>
  <c r="E77" i="3"/>
  <c r="I77" i="3"/>
  <c r="O77" i="3" a="1"/>
  <c r="O77" i="3" s="1"/>
  <c r="E81" i="3"/>
  <c r="I81" i="3"/>
  <c r="O81" i="3" a="1"/>
  <c r="O81" i="3" s="1"/>
  <c r="E85" i="3"/>
  <c r="I85" i="3"/>
  <c r="O85" i="3" a="1"/>
  <c r="O85" i="3" s="1"/>
  <c r="E89" i="3"/>
  <c r="I89" i="3"/>
  <c r="O89" i="3" a="1"/>
  <c r="O89" i="3" s="1"/>
  <c r="E93" i="3"/>
  <c r="I93" i="3"/>
  <c r="O93" i="3" a="1"/>
  <c r="O93" i="3" s="1"/>
  <c r="E97" i="3"/>
  <c r="I97" i="3"/>
  <c r="J105" i="3"/>
  <c r="F105" i="3"/>
  <c r="B105" i="3"/>
  <c r="G105" i="3"/>
  <c r="L105" i="3"/>
  <c r="N108" i="3"/>
  <c r="K108" i="3"/>
  <c r="G108" i="3"/>
  <c r="C108" i="3"/>
  <c r="F108" i="3"/>
  <c r="L108" i="3"/>
  <c r="O108" i="3" a="1"/>
  <c r="O108" i="3" s="1"/>
  <c r="L111" i="3"/>
  <c r="H111" i="3"/>
  <c r="D111" i="3"/>
  <c r="F111" i="3"/>
  <c r="K111" i="3"/>
  <c r="O111" i="3" a="1"/>
  <c r="O111" i="3" s="1"/>
  <c r="J121" i="3"/>
  <c r="F121" i="3"/>
  <c r="B121" i="3"/>
  <c r="G121" i="3"/>
  <c r="L121" i="3"/>
  <c r="N124" i="3"/>
  <c r="K124" i="3"/>
  <c r="G124" i="3"/>
  <c r="C124" i="3"/>
  <c r="F124" i="3"/>
  <c r="L124" i="3"/>
  <c r="O124" i="3" a="1"/>
  <c r="O124" i="3" s="1"/>
  <c r="L127" i="3"/>
  <c r="H127" i="3"/>
  <c r="D127" i="3"/>
  <c r="F127" i="3"/>
  <c r="K127" i="3"/>
  <c r="O127" i="3" a="1"/>
  <c r="O127" i="3" s="1"/>
  <c r="J137" i="3"/>
  <c r="F137" i="3"/>
  <c r="B137" i="3"/>
  <c r="L137" i="3"/>
  <c r="H137" i="3"/>
  <c r="D137" i="3"/>
  <c r="I137" i="3"/>
  <c r="N137" i="3"/>
  <c r="E54" i="3"/>
  <c r="I54" i="3"/>
  <c r="O54" i="3" a="1"/>
  <c r="O54" i="3" s="1"/>
  <c r="B57" i="3"/>
  <c r="F57" i="3"/>
  <c r="J57" i="3"/>
  <c r="E58" i="3"/>
  <c r="I58" i="3"/>
  <c r="O58" i="3" a="1"/>
  <c r="O58" i="3" s="1"/>
  <c r="B61" i="3"/>
  <c r="F61" i="3"/>
  <c r="J61" i="3"/>
  <c r="E62" i="3"/>
  <c r="I62" i="3"/>
  <c r="O62" i="3" a="1"/>
  <c r="O62" i="3" s="1"/>
  <c r="B65" i="3"/>
  <c r="F65" i="3"/>
  <c r="J65" i="3"/>
  <c r="E66" i="3"/>
  <c r="I66" i="3"/>
  <c r="O66" i="3" a="1"/>
  <c r="O66" i="3" s="1"/>
  <c r="B69" i="3"/>
  <c r="F69" i="3"/>
  <c r="J69" i="3"/>
  <c r="E70" i="3"/>
  <c r="I70" i="3"/>
  <c r="O70" i="3" a="1"/>
  <c r="O70" i="3" s="1"/>
  <c r="B73" i="3"/>
  <c r="F73" i="3"/>
  <c r="J73" i="3"/>
  <c r="E74" i="3"/>
  <c r="I74" i="3"/>
  <c r="O74" i="3" a="1"/>
  <c r="O74" i="3" s="1"/>
  <c r="B77" i="3"/>
  <c r="F77" i="3"/>
  <c r="J77" i="3"/>
  <c r="E78" i="3"/>
  <c r="I78" i="3"/>
  <c r="O78" i="3" a="1"/>
  <c r="O78" i="3" s="1"/>
  <c r="B81" i="3"/>
  <c r="F81" i="3"/>
  <c r="J81" i="3"/>
  <c r="E82" i="3"/>
  <c r="I82" i="3"/>
  <c r="O82" i="3" a="1"/>
  <c r="O82" i="3" s="1"/>
  <c r="B85" i="3"/>
  <c r="F85" i="3"/>
  <c r="J85" i="3"/>
  <c r="E86" i="3"/>
  <c r="I86" i="3"/>
  <c r="O86" i="3" a="1"/>
  <c r="O86" i="3" s="1"/>
  <c r="B89" i="3"/>
  <c r="F89" i="3"/>
  <c r="J89" i="3"/>
  <c r="E90" i="3"/>
  <c r="I90" i="3"/>
  <c r="O90" i="3" a="1"/>
  <c r="O90" i="3" s="1"/>
  <c r="B93" i="3"/>
  <c r="F93" i="3"/>
  <c r="J93" i="3"/>
  <c r="E94" i="3"/>
  <c r="I94" i="3"/>
  <c r="O94" i="3" a="1"/>
  <c r="O94" i="3" s="1"/>
  <c r="B97" i="3"/>
  <c r="F97" i="3"/>
  <c r="K97" i="3"/>
  <c r="N97" i="3"/>
  <c r="L99" i="3"/>
  <c r="H99" i="3"/>
  <c r="D99" i="3"/>
  <c r="F99" i="3"/>
  <c r="K99" i="3"/>
  <c r="O99" i="3" a="1"/>
  <c r="O99" i="3" s="1"/>
  <c r="C105" i="3"/>
  <c r="H105" i="3"/>
  <c r="O105" i="3" a="1"/>
  <c r="O105" i="3" s="1"/>
  <c r="B108" i="3"/>
  <c r="H108" i="3"/>
  <c r="J109" i="3"/>
  <c r="F109" i="3"/>
  <c r="B109" i="3"/>
  <c r="G109" i="3"/>
  <c r="L109" i="3"/>
  <c r="B111" i="3"/>
  <c r="G111" i="3"/>
  <c r="N112" i="3"/>
  <c r="K112" i="3"/>
  <c r="G112" i="3"/>
  <c r="C112" i="3"/>
  <c r="F112" i="3"/>
  <c r="L112" i="3"/>
  <c r="O112" i="3" a="1"/>
  <c r="O112" i="3" s="1"/>
  <c r="L115" i="3"/>
  <c r="H115" i="3"/>
  <c r="D115" i="3"/>
  <c r="F115" i="3"/>
  <c r="K115" i="3"/>
  <c r="O115" i="3" a="1"/>
  <c r="O115" i="3" s="1"/>
  <c r="C121" i="3"/>
  <c r="H121" i="3"/>
  <c r="O121" i="3" a="1"/>
  <c r="O121" i="3" s="1"/>
  <c r="B124" i="3"/>
  <c r="H124" i="3"/>
  <c r="J125" i="3"/>
  <c r="F125" i="3"/>
  <c r="B125" i="3"/>
  <c r="G125" i="3"/>
  <c r="L125" i="3"/>
  <c r="B127" i="3"/>
  <c r="G127" i="3"/>
  <c r="N128" i="3"/>
  <c r="K128" i="3"/>
  <c r="G128" i="3"/>
  <c r="C128" i="3"/>
  <c r="F128" i="3"/>
  <c r="L128" i="3"/>
  <c r="O128" i="3" a="1"/>
  <c r="O128" i="3" s="1"/>
  <c r="L131" i="3"/>
  <c r="H131" i="3"/>
  <c r="D131" i="3"/>
  <c r="F131" i="3"/>
  <c r="K131" i="3"/>
  <c r="O131" i="3" a="1"/>
  <c r="O131" i="3" s="1"/>
  <c r="C137" i="3"/>
  <c r="K137" i="3"/>
  <c r="O137" i="3" a="1"/>
  <c r="O137" i="3" s="1"/>
  <c r="L147" i="3"/>
  <c r="H147" i="3"/>
  <c r="D147" i="3"/>
  <c r="N147" i="3"/>
  <c r="K147" i="3"/>
  <c r="G147" i="3"/>
  <c r="C147" i="3"/>
  <c r="J147" i="3"/>
  <c r="F147" i="3"/>
  <c r="B147" i="3"/>
  <c r="E7" i="3"/>
  <c r="I7" i="3"/>
  <c r="D8" i="3"/>
  <c r="H8" i="3"/>
  <c r="E11" i="3"/>
  <c r="I11" i="3"/>
  <c r="D12" i="3"/>
  <c r="H12" i="3"/>
  <c r="E15" i="3"/>
  <c r="I15" i="3"/>
  <c r="D16" i="3"/>
  <c r="H16" i="3"/>
  <c r="E19" i="3"/>
  <c r="I19" i="3"/>
  <c r="D20" i="3"/>
  <c r="H20" i="3"/>
  <c r="E23" i="3"/>
  <c r="I23" i="3"/>
  <c r="D24" i="3"/>
  <c r="H24" i="3"/>
  <c r="E27" i="3"/>
  <c r="I27" i="3"/>
  <c r="D28" i="3"/>
  <c r="H28" i="3"/>
  <c r="E31" i="3"/>
  <c r="I31" i="3"/>
  <c r="D32" i="3"/>
  <c r="H32" i="3"/>
  <c r="E35" i="3"/>
  <c r="I35" i="3"/>
  <c r="D36" i="3"/>
  <c r="H36" i="3"/>
  <c r="E39" i="3"/>
  <c r="I39" i="3"/>
  <c r="D40" i="3"/>
  <c r="H40" i="3"/>
  <c r="E43" i="3"/>
  <c r="I43" i="3"/>
  <c r="D44" i="3"/>
  <c r="H44" i="3"/>
  <c r="E47" i="3"/>
  <c r="I47" i="3"/>
  <c r="D48" i="3"/>
  <c r="H48" i="3"/>
  <c r="E51" i="3"/>
  <c r="I51" i="3"/>
  <c r="D52" i="3"/>
  <c r="H52" i="3"/>
  <c r="B54" i="3"/>
  <c r="F54" i="3"/>
  <c r="E55" i="3"/>
  <c r="I55" i="3"/>
  <c r="D56" i="3"/>
  <c r="H56" i="3"/>
  <c r="C57" i="3"/>
  <c r="G57" i="3"/>
  <c r="K57" i="3"/>
  <c r="B58" i="3"/>
  <c r="F58" i="3"/>
  <c r="E59" i="3"/>
  <c r="I59" i="3"/>
  <c r="D60" i="3"/>
  <c r="H60" i="3"/>
  <c r="C61" i="3"/>
  <c r="G61" i="3"/>
  <c r="K61" i="3"/>
  <c r="B62" i="3"/>
  <c r="F62" i="3"/>
  <c r="E63" i="3"/>
  <c r="I63" i="3"/>
  <c r="D64" i="3"/>
  <c r="H64" i="3"/>
  <c r="C65" i="3"/>
  <c r="G65" i="3"/>
  <c r="K65" i="3"/>
  <c r="B66" i="3"/>
  <c r="F66" i="3"/>
  <c r="E67" i="3"/>
  <c r="I67" i="3"/>
  <c r="D68" i="3"/>
  <c r="H68" i="3"/>
  <c r="C69" i="3"/>
  <c r="G69" i="3"/>
  <c r="K69" i="3"/>
  <c r="B70" i="3"/>
  <c r="F70" i="3"/>
  <c r="E71" i="3"/>
  <c r="I71" i="3"/>
  <c r="D72" i="3"/>
  <c r="H72" i="3"/>
  <c r="C73" i="3"/>
  <c r="G73" i="3"/>
  <c r="K73" i="3"/>
  <c r="B74" i="3"/>
  <c r="F74" i="3"/>
  <c r="E75" i="3"/>
  <c r="I75" i="3"/>
  <c r="D76" i="3"/>
  <c r="H76" i="3"/>
  <c r="C77" i="3"/>
  <c r="G77" i="3"/>
  <c r="K77" i="3"/>
  <c r="B78" i="3"/>
  <c r="F78" i="3"/>
  <c r="E79" i="3"/>
  <c r="I79" i="3"/>
  <c r="D80" i="3"/>
  <c r="H80" i="3"/>
  <c r="C81" i="3"/>
  <c r="G81" i="3"/>
  <c r="K81" i="3"/>
  <c r="B82" i="3"/>
  <c r="F82" i="3"/>
  <c r="E83" i="3"/>
  <c r="I83" i="3"/>
  <c r="D84" i="3"/>
  <c r="H84" i="3"/>
  <c r="C85" i="3"/>
  <c r="G85" i="3"/>
  <c r="K85" i="3"/>
  <c r="B86" i="3"/>
  <c r="F86" i="3"/>
  <c r="E87" i="3"/>
  <c r="I87" i="3"/>
  <c r="D88" i="3"/>
  <c r="H88" i="3"/>
  <c r="C89" i="3"/>
  <c r="G89" i="3"/>
  <c r="K89" i="3"/>
  <c r="B90" i="3"/>
  <c r="F90" i="3"/>
  <c r="E91" i="3"/>
  <c r="I91" i="3"/>
  <c r="D92" i="3"/>
  <c r="H92" i="3"/>
  <c r="C93" i="3"/>
  <c r="G93" i="3"/>
  <c r="K93" i="3"/>
  <c r="B94" i="3"/>
  <c r="F94" i="3"/>
  <c r="E95" i="3"/>
  <c r="I95" i="3"/>
  <c r="D96" i="3"/>
  <c r="H96" i="3"/>
  <c r="C97" i="3"/>
  <c r="G97" i="3"/>
  <c r="L97" i="3"/>
  <c r="B99" i="3"/>
  <c r="G99" i="3"/>
  <c r="N100" i="3"/>
  <c r="K100" i="3"/>
  <c r="G100" i="3"/>
  <c r="C100" i="3"/>
  <c r="F100" i="3"/>
  <c r="L100" i="3"/>
  <c r="O100" i="3" a="1"/>
  <c r="O100" i="3" s="1"/>
  <c r="E101" i="3"/>
  <c r="K101" i="3"/>
  <c r="N101" i="3"/>
  <c r="L103" i="3"/>
  <c r="H103" i="3"/>
  <c r="D103" i="3"/>
  <c r="F103" i="3"/>
  <c r="K103" i="3"/>
  <c r="O103" i="3" a="1"/>
  <c r="O103" i="3" s="1"/>
  <c r="E104" i="3"/>
  <c r="J104" i="3"/>
  <c r="D105" i="3"/>
  <c r="I105" i="3"/>
  <c r="E107" i="3"/>
  <c r="J107" i="3"/>
  <c r="N107" i="3"/>
  <c r="D108" i="3"/>
  <c r="I108" i="3"/>
  <c r="C109" i="3"/>
  <c r="H109" i="3"/>
  <c r="O109" i="3" a="1"/>
  <c r="O109" i="3" s="1"/>
  <c r="C111" i="3"/>
  <c r="I111" i="3"/>
  <c r="B112" i="3"/>
  <c r="H112" i="3"/>
  <c r="J113" i="3"/>
  <c r="F113" i="3"/>
  <c r="B113" i="3"/>
  <c r="G113" i="3"/>
  <c r="L113" i="3"/>
  <c r="B115" i="3"/>
  <c r="G115" i="3"/>
  <c r="N116" i="3"/>
  <c r="K116" i="3"/>
  <c r="G116" i="3"/>
  <c r="C116" i="3"/>
  <c r="F116" i="3"/>
  <c r="L116" i="3"/>
  <c r="O116" i="3" a="1"/>
  <c r="O116" i="3" s="1"/>
  <c r="E117" i="3"/>
  <c r="K117" i="3"/>
  <c r="N117" i="3"/>
  <c r="L119" i="3"/>
  <c r="H119" i="3"/>
  <c r="D119" i="3"/>
  <c r="F119" i="3"/>
  <c r="K119" i="3"/>
  <c r="O119" i="3" a="1"/>
  <c r="O119" i="3" s="1"/>
  <c r="E120" i="3"/>
  <c r="J120" i="3"/>
  <c r="D121" i="3"/>
  <c r="I121" i="3"/>
  <c r="E123" i="3"/>
  <c r="J123" i="3"/>
  <c r="N123" i="3"/>
  <c r="D124" i="3"/>
  <c r="I124" i="3"/>
  <c r="C125" i="3"/>
  <c r="H125" i="3"/>
  <c r="O125" i="3" a="1"/>
  <c r="O125" i="3" s="1"/>
  <c r="C127" i="3"/>
  <c r="I127" i="3"/>
  <c r="B128" i="3"/>
  <c r="H128" i="3"/>
  <c r="J129" i="3"/>
  <c r="F129" i="3"/>
  <c r="B129" i="3"/>
  <c r="G129" i="3"/>
  <c r="L129" i="3"/>
  <c r="B131" i="3"/>
  <c r="G131" i="3"/>
  <c r="N132" i="3"/>
  <c r="K132" i="3"/>
  <c r="G132" i="3"/>
  <c r="C132" i="3"/>
  <c r="F132" i="3"/>
  <c r="L132" i="3"/>
  <c r="O132" i="3" a="1"/>
  <c r="O132" i="3" s="1"/>
  <c r="E133" i="3"/>
  <c r="K133" i="3"/>
  <c r="N133" i="3"/>
  <c r="L135" i="3"/>
  <c r="H135" i="3"/>
  <c r="D135" i="3"/>
  <c r="F135" i="3"/>
  <c r="K135" i="3"/>
  <c r="O135" i="3" a="1"/>
  <c r="O135" i="3" s="1"/>
  <c r="E137" i="3"/>
  <c r="G139" i="3"/>
  <c r="J141" i="3"/>
  <c r="F141" i="3"/>
  <c r="B141" i="3"/>
  <c r="O141" i="3" a="1"/>
  <c r="O141" i="3" s="1"/>
  <c r="L141" i="3"/>
  <c r="H141" i="3"/>
  <c r="D141" i="3"/>
  <c r="I141" i="3"/>
  <c r="N141" i="3"/>
  <c r="E147" i="3"/>
  <c r="O147" i="3" a="1"/>
  <c r="O147" i="3" s="1"/>
  <c r="E151" i="3"/>
  <c r="I151" i="3"/>
  <c r="O151" i="3" a="1"/>
  <c r="O151" i="3" s="1"/>
  <c r="E155" i="3"/>
  <c r="I155" i="3"/>
  <c r="O155" i="3" a="1"/>
  <c r="O155" i="3" s="1"/>
  <c r="E159" i="3"/>
  <c r="I159" i="3"/>
  <c r="O159" i="3" a="1"/>
  <c r="O159" i="3" s="1"/>
  <c r="E163" i="3"/>
  <c r="I163" i="3"/>
  <c r="O163" i="3" a="1"/>
  <c r="O163" i="3" s="1"/>
  <c r="E167" i="3"/>
  <c r="I167" i="3"/>
  <c r="O167" i="3" a="1"/>
  <c r="O167" i="3" s="1"/>
  <c r="E171" i="3"/>
  <c r="I171" i="3"/>
  <c r="O171" i="3" a="1"/>
  <c r="O171" i="3" s="1"/>
  <c r="E175" i="3"/>
  <c r="I175" i="3"/>
  <c r="O175" i="3" a="1"/>
  <c r="O175" i="3" s="1"/>
  <c r="E179" i="3"/>
  <c r="I179" i="3"/>
  <c r="O179" i="3" a="1"/>
  <c r="O179" i="3" s="1"/>
  <c r="E183" i="3"/>
  <c r="I183" i="3"/>
  <c r="O183" i="3" a="1"/>
  <c r="O183" i="3" s="1"/>
  <c r="E187" i="3"/>
  <c r="I187" i="3"/>
  <c r="O187" i="3" a="1"/>
  <c r="O187" i="3" s="1"/>
  <c r="E191" i="3"/>
  <c r="I191" i="3"/>
  <c r="O191" i="3" a="1"/>
  <c r="O191" i="3" s="1"/>
  <c r="E195" i="3"/>
  <c r="I195" i="3"/>
  <c r="O195" i="3" a="1"/>
  <c r="O195" i="3" s="1"/>
  <c r="E199" i="3"/>
  <c r="I199" i="3"/>
  <c r="O199" i="3" a="1"/>
  <c r="O199" i="3" s="1"/>
  <c r="E203" i="3"/>
  <c r="I203" i="3"/>
  <c r="O203" i="3" a="1"/>
  <c r="O203" i="3" s="1"/>
  <c r="E207" i="3"/>
  <c r="I207" i="3"/>
  <c r="O207" i="3" a="1"/>
  <c r="O207" i="3" s="1"/>
  <c r="E211" i="3"/>
  <c r="I211" i="3"/>
  <c r="O211" i="3" a="1"/>
  <c r="O211" i="3" s="1"/>
  <c r="E215" i="3"/>
  <c r="I215" i="3"/>
  <c r="O215" i="3" a="1"/>
  <c r="O215" i="3" s="1"/>
  <c r="E219" i="3"/>
  <c r="I219" i="3"/>
  <c r="O219" i="3" a="1"/>
  <c r="O219" i="3" s="1"/>
  <c r="E223" i="3"/>
  <c r="I223" i="3"/>
  <c r="O223" i="3" a="1"/>
  <c r="O223" i="3" s="1"/>
  <c r="E227" i="3"/>
  <c r="I227" i="3"/>
  <c r="O227" i="3" a="1"/>
  <c r="O227" i="3" s="1"/>
  <c r="E231" i="3"/>
  <c r="I231" i="3"/>
  <c r="O231" i="3" a="1"/>
  <c r="O231" i="3" s="1"/>
  <c r="E235" i="3"/>
  <c r="I235" i="3"/>
  <c r="O235" i="3" a="1"/>
  <c r="O235" i="3" s="1"/>
  <c r="E239" i="3"/>
  <c r="I239" i="3"/>
  <c r="O239" i="3" a="1"/>
  <c r="O239" i="3" s="1"/>
  <c r="E243" i="3"/>
  <c r="I243" i="3"/>
  <c r="O243" i="3" a="1"/>
  <c r="O243" i="3" s="1"/>
  <c r="E247" i="3"/>
  <c r="I247" i="3"/>
  <c r="O247" i="3" a="1"/>
  <c r="O247" i="3" s="1"/>
  <c r="E251" i="3"/>
  <c r="I251" i="3"/>
  <c r="O251" i="3" a="1"/>
  <c r="O251" i="3" s="1"/>
  <c r="E255" i="3"/>
  <c r="I255" i="3"/>
  <c r="O255" i="3" a="1"/>
  <c r="O255" i="3" s="1"/>
  <c r="E259" i="3"/>
  <c r="I259" i="3"/>
  <c r="O259" i="3" a="1"/>
  <c r="O259" i="3" s="1"/>
  <c r="E263" i="3"/>
  <c r="I263" i="3"/>
  <c r="O263" i="3" a="1"/>
  <c r="O263" i="3" s="1"/>
  <c r="E267" i="3"/>
  <c r="I267" i="3"/>
  <c r="O267" i="3" a="1"/>
  <c r="O267" i="3" s="1"/>
  <c r="J271" i="3"/>
  <c r="F271" i="3"/>
  <c r="B271" i="3"/>
  <c r="G271" i="3"/>
  <c r="L271" i="3"/>
  <c r="L277" i="3"/>
  <c r="H277" i="3"/>
  <c r="D277" i="3"/>
  <c r="N277" i="3"/>
  <c r="K277" i="3"/>
  <c r="G277" i="3"/>
  <c r="C277" i="3"/>
  <c r="I277" i="3"/>
  <c r="O277" i="3" a="1"/>
  <c r="O277" i="3" s="1"/>
  <c r="L285" i="3"/>
  <c r="H285" i="3"/>
  <c r="D285" i="3"/>
  <c r="N285" i="3"/>
  <c r="K285" i="3"/>
  <c r="G285" i="3"/>
  <c r="C285" i="3"/>
  <c r="I285" i="3"/>
  <c r="O285" i="3" a="1"/>
  <c r="O285" i="3" s="1"/>
  <c r="L293" i="3"/>
  <c r="H293" i="3"/>
  <c r="D293" i="3"/>
  <c r="N293" i="3"/>
  <c r="K293" i="3"/>
  <c r="G293" i="3"/>
  <c r="C293" i="3"/>
  <c r="I293" i="3"/>
  <c r="O293" i="3" a="1"/>
  <c r="O293" i="3" s="1"/>
  <c r="L301" i="3"/>
  <c r="H301" i="3"/>
  <c r="D301" i="3"/>
  <c r="N301" i="3"/>
  <c r="K301" i="3"/>
  <c r="G301" i="3"/>
  <c r="C301" i="3"/>
  <c r="I301" i="3"/>
  <c r="O301" i="3" a="1"/>
  <c r="O301" i="3" s="1"/>
  <c r="E136" i="3"/>
  <c r="I136" i="3"/>
  <c r="O136" i="3" a="1"/>
  <c r="O136" i="3" s="1"/>
  <c r="E140" i="3"/>
  <c r="I140" i="3"/>
  <c r="O140" i="3" a="1"/>
  <c r="O140" i="3" s="1"/>
  <c r="E144" i="3"/>
  <c r="I144" i="3"/>
  <c r="O144" i="3" a="1"/>
  <c r="O144" i="3" s="1"/>
  <c r="D145" i="3"/>
  <c r="H145" i="3"/>
  <c r="L145" i="3"/>
  <c r="E148" i="3"/>
  <c r="I148" i="3"/>
  <c r="O148" i="3" a="1"/>
  <c r="O148" i="3" s="1"/>
  <c r="D149" i="3"/>
  <c r="H149" i="3"/>
  <c r="L149" i="3"/>
  <c r="B151" i="3"/>
  <c r="F151" i="3"/>
  <c r="J151" i="3"/>
  <c r="E152" i="3"/>
  <c r="I152" i="3"/>
  <c r="O152" i="3" a="1"/>
  <c r="O152" i="3" s="1"/>
  <c r="D153" i="3"/>
  <c r="H153" i="3"/>
  <c r="L153" i="3"/>
  <c r="B155" i="3"/>
  <c r="F155" i="3"/>
  <c r="J155" i="3"/>
  <c r="E156" i="3"/>
  <c r="I156" i="3"/>
  <c r="O156" i="3" a="1"/>
  <c r="O156" i="3" s="1"/>
  <c r="D157" i="3"/>
  <c r="H157" i="3"/>
  <c r="L157" i="3"/>
  <c r="B159" i="3"/>
  <c r="F159" i="3"/>
  <c r="J159" i="3"/>
  <c r="E160" i="3"/>
  <c r="I160" i="3"/>
  <c r="O160" i="3" a="1"/>
  <c r="O160" i="3" s="1"/>
  <c r="D161" i="3"/>
  <c r="H161" i="3"/>
  <c r="L161" i="3"/>
  <c r="B163" i="3"/>
  <c r="F163" i="3"/>
  <c r="J163" i="3"/>
  <c r="E164" i="3"/>
  <c r="I164" i="3"/>
  <c r="O164" i="3" a="1"/>
  <c r="O164" i="3" s="1"/>
  <c r="D165" i="3"/>
  <c r="H165" i="3"/>
  <c r="L165" i="3"/>
  <c r="B167" i="3"/>
  <c r="F167" i="3"/>
  <c r="J167" i="3"/>
  <c r="E168" i="3"/>
  <c r="I168" i="3"/>
  <c r="O168" i="3" a="1"/>
  <c r="O168" i="3" s="1"/>
  <c r="D169" i="3"/>
  <c r="H169" i="3"/>
  <c r="L169" i="3"/>
  <c r="B171" i="3"/>
  <c r="F171" i="3"/>
  <c r="J171" i="3"/>
  <c r="E172" i="3"/>
  <c r="I172" i="3"/>
  <c r="O172" i="3" a="1"/>
  <c r="O172" i="3" s="1"/>
  <c r="D173" i="3"/>
  <c r="H173" i="3"/>
  <c r="L173" i="3"/>
  <c r="B175" i="3"/>
  <c r="F175" i="3"/>
  <c r="J175" i="3"/>
  <c r="E176" i="3"/>
  <c r="I176" i="3"/>
  <c r="O176" i="3" a="1"/>
  <c r="O176" i="3" s="1"/>
  <c r="D177" i="3"/>
  <c r="H177" i="3"/>
  <c r="L177" i="3"/>
  <c r="B179" i="3"/>
  <c r="F179" i="3"/>
  <c r="J179" i="3"/>
  <c r="E180" i="3"/>
  <c r="I180" i="3"/>
  <c r="O180" i="3" a="1"/>
  <c r="O180" i="3" s="1"/>
  <c r="D181" i="3"/>
  <c r="H181" i="3"/>
  <c r="L181" i="3"/>
  <c r="B183" i="3"/>
  <c r="F183" i="3"/>
  <c r="J183" i="3"/>
  <c r="E184" i="3"/>
  <c r="I184" i="3"/>
  <c r="O184" i="3" a="1"/>
  <c r="O184" i="3" s="1"/>
  <c r="D185" i="3"/>
  <c r="H185" i="3"/>
  <c r="L185" i="3"/>
  <c r="B187" i="3"/>
  <c r="F187" i="3"/>
  <c r="J187" i="3"/>
  <c r="E188" i="3"/>
  <c r="I188" i="3"/>
  <c r="O188" i="3" a="1"/>
  <c r="O188" i="3" s="1"/>
  <c r="D189" i="3"/>
  <c r="H189" i="3"/>
  <c r="L189" i="3"/>
  <c r="B191" i="3"/>
  <c r="F191" i="3"/>
  <c r="J191" i="3"/>
  <c r="E192" i="3"/>
  <c r="I192" i="3"/>
  <c r="O192" i="3" a="1"/>
  <c r="O192" i="3" s="1"/>
  <c r="D193" i="3"/>
  <c r="H193" i="3"/>
  <c r="L193" i="3"/>
  <c r="B195" i="3"/>
  <c r="F195" i="3"/>
  <c r="J195" i="3"/>
  <c r="E196" i="3"/>
  <c r="I196" i="3"/>
  <c r="O196" i="3" a="1"/>
  <c r="O196" i="3" s="1"/>
  <c r="D197" i="3"/>
  <c r="H197" i="3"/>
  <c r="L197" i="3"/>
  <c r="B199" i="3"/>
  <c r="F199" i="3"/>
  <c r="J199" i="3"/>
  <c r="E200" i="3"/>
  <c r="I200" i="3"/>
  <c r="O200" i="3" a="1"/>
  <c r="O200" i="3" s="1"/>
  <c r="D201" i="3"/>
  <c r="H201" i="3"/>
  <c r="L201" i="3"/>
  <c r="B203" i="3"/>
  <c r="F203" i="3"/>
  <c r="J203" i="3"/>
  <c r="E204" i="3"/>
  <c r="I204" i="3"/>
  <c r="O204" i="3" a="1"/>
  <c r="O204" i="3" s="1"/>
  <c r="D205" i="3"/>
  <c r="H205" i="3"/>
  <c r="L205" i="3"/>
  <c r="B207" i="3"/>
  <c r="F207" i="3"/>
  <c r="J207" i="3"/>
  <c r="E208" i="3"/>
  <c r="I208" i="3"/>
  <c r="O208" i="3" a="1"/>
  <c r="O208" i="3" s="1"/>
  <c r="D209" i="3"/>
  <c r="H209" i="3"/>
  <c r="L209" i="3"/>
  <c r="B211" i="3"/>
  <c r="F211" i="3"/>
  <c r="J211" i="3"/>
  <c r="E212" i="3"/>
  <c r="I212" i="3"/>
  <c r="O212" i="3" a="1"/>
  <c r="O212" i="3" s="1"/>
  <c r="D213" i="3"/>
  <c r="H213" i="3"/>
  <c r="L213" i="3"/>
  <c r="B215" i="3"/>
  <c r="F215" i="3"/>
  <c r="J215" i="3"/>
  <c r="E216" i="3"/>
  <c r="I216" i="3"/>
  <c r="O216" i="3" a="1"/>
  <c r="O216" i="3" s="1"/>
  <c r="D217" i="3"/>
  <c r="H217" i="3"/>
  <c r="L217" i="3"/>
  <c r="B219" i="3"/>
  <c r="F219" i="3"/>
  <c r="J219" i="3"/>
  <c r="E220" i="3"/>
  <c r="I220" i="3"/>
  <c r="O220" i="3" a="1"/>
  <c r="O220" i="3" s="1"/>
  <c r="D221" i="3"/>
  <c r="H221" i="3"/>
  <c r="L221" i="3"/>
  <c r="B223" i="3"/>
  <c r="F223" i="3"/>
  <c r="J223" i="3"/>
  <c r="E224" i="3"/>
  <c r="I224" i="3"/>
  <c r="O224" i="3" a="1"/>
  <c r="O224" i="3" s="1"/>
  <c r="D225" i="3"/>
  <c r="H225" i="3"/>
  <c r="L225" i="3"/>
  <c r="B227" i="3"/>
  <c r="F227" i="3"/>
  <c r="J227" i="3"/>
  <c r="E228" i="3"/>
  <c r="I228" i="3"/>
  <c r="O228" i="3" a="1"/>
  <c r="O228" i="3" s="1"/>
  <c r="D229" i="3"/>
  <c r="H229" i="3"/>
  <c r="L229" i="3"/>
  <c r="B231" i="3"/>
  <c r="F231" i="3"/>
  <c r="J231" i="3"/>
  <c r="E232" i="3"/>
  <c r="I232" i="3"/>
  <c r="O232" i="3" a="1"/>
  <c r="O232" i="3" s="1"/>
  <c r="D233" i="3"/>
  <c r="H233" i="3"/>
  <c r="L233" i="3"/>
  <c r="B235" i="3"/>
  <c r="F235" i="3"/>
  <c r="J235" i="3"/>
  <c r="E236" i="3"/>
  <c r="I236" i="3"/>
  <c r="O236" i="3" a="1"/>
  <c r="O236" i="3" s="1"/>
  <c r="D237" i="3"/>
  <c r="H237" i="3"/>
  <c r="L237" i="3"/>
  <c r="B239" i="3"/>
  <c r="F239" i="3"/>
  <c r="J239" i="3"/>
  <c r="E240" i="3"/>
  <c r="I240" i="3"/>
  <c r="O240" i="3" a="1"/>
  <c r="O240" i="3" s="1"/>
  <c r="D241" i="3"/>
  <c r="H241" i="3"/>
  <c r="L241" i="3"/>
  <c r="B243" i="3"/>
  <c r="F243" i="3"/>
  <c r="J243" i="3"/>
  <c r="E244" i="3"/>
  <c r="I244" i="3"/>
  <c r="O244" i="3" a="1"/>
  <c r="O244" i="3" s="1"/>
  <c r="D245" i="3"/>
  <c r="H245" i="3"/>
  <c r="L245" i="3"/>
  <c r="B247" i="3"/>
  <c r="F247" i="3"/>
  <c r="J247" i="3"/>
  <c r="E248" i="3"/>
  <c r="I248" i="3"/>
  <c r="O248" i="3" a="1"/>
  <c r="O248" i="3" s="1"/>
  <c r="D249" i="3"/>
  <c r="H249" i="3"/>
  <c r="L249" i="3"/>
  <c r="B251" i="3"/>
  <c r="F251" i="3"/>
  <c r="J251" i="3"/>
  <c r="E252" i="3"/>
  <c r="I252" i="3"/>
  <c r="O252" i="3" a="1"/>
  <c r="O252" i="3" s="1"/>
  <c r="D253" i="3"/>
  <c r="H253" i="3"/>
  <c r="L253" i="3"/>
  <c r="B255" i="3"/>
  <c r="F255" i="3"/>
  <c r="J255" i="3"/>
  <c r="E256" i="3"/>
  <c r="I256" i="3"/>
  <c r="O256" i="3" a="1"/>
  <c r="O256" i="3" s="1"/>
  <c r="D257" i="3"/>
  <c r="H257" i="3"/>
  <c r="L257" i="3"/>
  <c r="B259" i="3"/>
  <c r="F259" i="3"/>
  <c r="J259" i="3"/>
  <c r="E260" i="3"/>
  <c r="I260" i="3"/>
  <c r="O260" i="3" a="1"/>
  <c r="O260" i="3" s="1"/>
  <c r="D261" i="3"/>
  <c r="H261" i="3"/>
  <c r="L261" i="3"/>
  <c r="B263" i="3"/>
  <c r="F263" i="3"/>
  <c r="J263" i="3"/>
  <c r="E264" i="3"/>
  <c r="I264" i="3"/>
  <c r="O264" i="3" a="1"/>
  <c r="O264" i="3" s="1"/>
  <c r="D265" i="3"/>
  <c r="H265" i="3"/>
  <c r="L265" i="3"/>
  <c r="B267" i="3"/>
  <c r="F267" i="3"/>
  <c r="J267" i="3"/>
  <c r="E268" i="3"/>
  <c r="I268" i="3"/>
  <c r="O268" i="3" a="1"/>
  <c r="O268" i="3" s="1"/>
  <c r="D269" i="3"/>
  <c r="H269" i="3"/>
  <c r="L269" i="3"/>
  <c r="C271" i="3"/>
  <c r="H271" i="3"/>
  <c r="O271" i="3" a="1"/>
  <c r="O271" i="3" s="1"/>
  <c r="B277" i="3"/>
  <c r="J277" i="3"/>
  <c r="N278" i="3"/>
  <c r="K278" i="3"/>
  <c r="G278" i="3"/>
  <c r="C278" i="3"/>
  <c r="J278" i="3"/>
  <c r="F278" i="3"/>
  <c r="B278" i="3"/>
  <c r="I278" i="3"/>
  <c r="B285" i="3"/>
  <c r="J285" i="3"/>
  <c r="N286" i="3"/>
  <c r="K286" i="3"/>
  <c r="G286" i="3"/>
  <c r="C286" i="3"/>
  <c r="J286" i="3"/>
  <c r="F286" i="3"/>
  <c r="B286" i="3"/>
  <c r="I286" i="3"/>
  <c r="B293" i="3"/>
  <c r="J293" i="3"/>
  <c r="N294" i="3"/>
  <c r="K294" i="3"/>
  <c r="G294" i="3"/>
  <c r="C294" i="3"/>
  <c r="J294" i="3"/>
  <c r="F294" i="3"/>
  <c r="B294" i="3"/>
  <c r="I294" i="3"/>
  <c r="B301" i="3"/>
  <c r="J301" i="3"/>
  <c r="E145" i="3"/>
  <c r="I145" i="3"/>
  <c r="O145" i="3" a="1"/>
  <c r="O145" i="3" s="1"/>
  <c r="E149" i="3"/>
  <c r="I149" i="3"/>
  <c r="O149" i="3" a="1"/>
  <c r="O149" i="3" s="1"/>
  <c r="C151" i="3"/>
  <c r="G151" i="3"/>
  <c r="K151" i="3"/>
  <c r="N151" i="3"/>
  <c r="E153" i="3"/>
  <c r="I153" i="3"/>
  <c r="O153" i="3" a="1"/>
  <c r="O153" i="3" s="1"/>
  <c r="C155" i="3"/>
  <c r="G155" i="3"/>
  <c r="K155" i="3"/>
  <c r="N155" i="3"/>
  <c r="E157" i="3"/>
  <c r="I157" i="3"/>
  <c r="O157" i="3" a="1"/>
  <c r="O157" i="3" s="1"/>
  <c r="C159" i="3"/>
  <c r="G159" i="3"/>
  <c r="K159" i="3"/>
  <c r="N159" i="3"/>
  <c r="E161" i="3"/>
  <c r="I161" i="3"/>
  <c r="O161" i="3" a="1"/>
  <c r="O161" i="3" s="1"/>
  <c r="C163" i="3"/>
  <c r="G163" i="3"/>
  <c r="K163" i="3"/>
  <c r="N163" i="3"/>
  <c r="E165" i="3"/>
  <c r="I165" i="3"/>
  <c r="O165" i="3" a="1"/>
  <c r="O165" i="3" s="1"/>
  <c r="C167" i="3"/>
  <c r="G167" i="3"/>
  <c r="K167" i="3"/>
  <c r="N167" i="3"/>
  <c r="E169" i="3"/>
  <c r="I169" i="3"/>
  <c r="O169" i="3" a="1"/>
  <c r="O169" i="3" s="1"/>
  <c r="C171" i="3"/>
  <c r="G171" i="3"/>
  <c r="K171" i="3"/>
  <c r="N171" i="3"/>
  <c r="E173" i="3"/>
  <c r="I173" i="3"/>
  <c r="O173" i="3" a="1"/>
  <c r="O173" i="3" s="1"/>
  <c r="C175" i="3"/>
  <c r="G175" i="3"/>
  <c r="K175" i="3"/>
  <c r="N175" i="3"/>
  <c r="E177" i="3"/>
  <c r="I177" i="3"/>
  <c r="O177" i="3" a="1"/>
  <c r="O177" i="3" s="1"/>
  <c r="C179" i="3"/>
  <c r="G179" i="3"/>
  <c r="K179" i="3"/>
  <c r="N179" i="3"/>
  <c r="E181" i="3"/>
  <c r="I181" i="3"/>
  <c r="O181" i="3" a="1"/>
  <c r="O181" i="3" s="1"/>
  <c r="C183" i="3"/>
  <c r="G183" i="3"/>
  <c r="K183" i="3"/>
  <c r="N183" i="3"/>
  <c r="E185" i="3"/>
  <c r="I185" i="3"/>
  <c r="O185" i="3" a="1"/>
  <c r="O185" i="3" s="1"/>
  <c r="C187" i="3"/>
  <c r="G187" i="3"/>
  <c r="K187" i="3"/>
  <c r="N187" i="3"/>
  <c r="E189" i="3"/>
  <c r="I189" i="3"/>
  <c r="O189" i="3" a="1"/>
  <c r="O189" i="3" s="1"/>
  <c r="C191" i="3"/>
  <c r="G191" i="3"/>
  <c r="K191" i="3"/>
  <c r="N191" i="3"/>
  <c r="E193" i="3"/>
  <c r="I193" i="3"/>
  <c r="O193" i="3" a="1"/>
  <c r="O193" i="3" s="1"/>
  <c r="C195" i="3"/>
  <c r="G195" i="3"/>
  <c r="K195" i="3"/>
  <c r="N195" i="3"/>
  <c r="E197" i="3"/>
  <c r="I197" i="3"/>
  <c r="O197" i="3" a="1"/>
  <c r="O197" i="3" s="1"/>
  <c r="C199" i="3"/>
  <c r="G199" i="3"/>
  <c r="K199" i="3"/>
  <c r="N199" i="3"/>
  <c r="E201" i="3"/>
  <c r="I201" i="3"/>
  <c r="O201" i="3" a="1"/>
  <c r="O201" i="3" s="1"/>
  <c r="C203" i="3"/>
  <c r="G203" i="3"/>
  <c r="K203" i="3"/>
  <c r="N203" i="3"/>
  <c r="E205" i="3"/>
  <c r="I205" i="3"/>
  <c r="O205" i="3" a="1"/>
  <c r="O205" i="3" s="1"/>
  <c r="C207" i="3"/>
  <c r="G207" i="3"/>
  <c r="K207" i="3"/>
  <c r="N207" i="3"/>
  <c r="E209" i="3"/>
  <c r="I209" i="3"/>
  <c r="O209" i="3" a="1"/>
  <c r="O209" i="3" s="1"/>
  <c r="C211" i="3"/>
  <c r="G211" i="3"/>
  <c r="K211" i="3"/>
  <c r="N211" i="3"/>
  <c r="E213" i="3"/>
  <c r="I213" i="3"/>
  <c r="O213" i="3" a="1"/>
  <c r="O213" i="3" s="1"/>
  <c r="C215" i="3"/>
  <c r="G215" i="3"/>
  <c r="K215" i="3"/>
  <c r="N215" i="3"/>
  <c r="E217" i="3"/>
  <c r="I217" i="3"/>
  <c r="O217" i="3" a="1"/>
  <c r="O217" i="3" s="1"/>
  <c r="C219" i="3"/>
  <c r="G219" i="3"/>
  <c r="K219" i="3"/>
  <c r="N219" i="3"/>
  <c r="E221" i="3"/>
  <c r="I221" i="3"/>
  <c r="O221" i="3" a="1"/>
  <c r="O221" i="3" s="1"/>
  <c r="C223" i="3"/>
  <c r="G223" i="3"/>
  <c r="K223" i="3"/>
  <c r="N223" i="3"/>
  <c r="E225" i="3"/>
  <c r="I225" i="3"/>
  <c r="O225" i="3" a="1"/>
  <c r="O225" i="3" s="1"/>
  <c r="C227" i="3"/>
  <c r="G227" i="3"/>
  <c r="K227" i="3"/>
  <c r="N227" i="3"/>
  <c r="E229" i="3"/>
  <c r="I229" i="3"/>
  <c r="O229" i="3" a="1"/>
  <c r="O229" i="3" s="1"/>
  <c r="C231" i="3"/>
  <c r="G231" i="3"/>
  <c r="K231" i="3"/>
  <c r="N231" i="3"/>
  <c r="E233" i="3"/>
  <c r="I233" i="3"/>
  <c r="O233" i="3" a="1"/>
  <c r="O233" i="3" s="1"/>
  <c r="C235" i="3"/>
  <c r="G235" i="3"/>
  <c r="K235" i="3"/>
  <c r="N235" i="3"/>
  <c r="E237" i="3"/>
  <c r="I237" i="3"/>
  <c r="O237" i="3" a="1"/>
  <c r="O237" i="3" s="1"/>
  <c r="C239" i="3"/>
  <c r="G239" i="3"/>
  <c r="K239" i="3"/>
  <c r="N239" i="3"/>
  <c r="E241" i="3"/>
  <c r="I241" i="3"/>
  <c r="O241" i="3" a="1"/>
  <c r="O241" i="3" s="1"/>
  <c r="C243" i="3"/>
  <c r="G243" i="3"/>
  <c r="K243" i="3"/>
  <c r="N243" i="3"/>
  <c r="E245" i="3"/>
  <c r="I245" i="3"/>
  <c r="O245" i="3" a="1"/>
  <c r="O245" i="3" s="1"/>
  <c r="C247" i="3"/>
  <c r="G247" i="3"/>
  <c r="K247" i="3"/>
  <c r="N247" i="3"/>
  <c r="E249" i="3"/>
  <c r="I249" i="3"/>
  <c r="O249" i="3" a="1"/>
  <c r="O249" i="3" s="1"/>
  <c r="C251" i="3"/>
  <c r="G251" i="3"/>
  <c r="K251" i="3"/>
  <c r="N251" i="3"/>
  <c r="E253" i="3"/>
  <c r="I253" i="3"/>
  <c r="O253" i="3" a="1"/>
  <c r="O253" i="3" s="1"/>
  <c r="C255" i="3"/>
  <c r="G255" i="3"/>
  <c r="K255" i="3"/>
  <c r="N255" i="3"/>
  <c r="E257" i="3"/>
  <c r="I257" i="3"/>
  <c r="O257" i="3" a="1"/>
  <c r="O257" i="3" s="1"/>
  <c r="C259" i="3"/>
  <c r="G259" i="3"/>
  <c r="K259" i="3"/>
  <c r="N259" i="3"/>
  <c r="E261" i="3"/>
  <c r="I261" i="3"/>
  <c r="O261" i="3" a="1"/>
  <c r="O261" i="3" s="1"/>
  <c r="C263" i="3"/>
  <c r="G263" i="3"/>
  <c r="K263" i="3"/>
  <c r="N263" i="3"/>
  <c r="E265" i="3"/>
  <c r="I265" i="3"/>
  <c r="O265" i="3" a="1"/>
  <c r="O265" i="3" s="1"/>
  <c r="C267" i="3"/>
  <c r="G267" i="3"/>
  <c r="K267" i="3"/>
  <c r="N267" i="3"/>
  <c r="E269" i="3"/>
  <c r="I269" i="3"/>
  <c r="O269" i="3" a="1"/>
  <c r="O269" i="3" s="1"/>
  <c r="D271" i="3"/>
  <c r="I271" i="3"/>
  <c r="L273" i="3"/>
  <c r="H273" i="3"/>
  <c r="D273" i="3"/>
  <c r="N273" i="3"/>
  <c r="K273" i="3"/>
  <c r="G273" i="3"/>
  <c r="C273" i="3"/>
  <c r="I273" i="3"/>
  <c r="O273" i="3" a="1"/>
  <c r="O273" i="3" s="1"/>
  <c r="E277" i="3"/>
  <c r="L281" i="3"/>
  <c r="H281" i="3"/>
  <c r="D281" i="3"/>
  <c r="N281" i="3"/>
  <c r="K281" i="3"/>
  <c r="G281" i="3"/>
  <c r="C281" i="3"/>
  <c r="I281" i="3"/>
  <c r="O281" i="3" a="1"/>
  <c r="O281" i="3" s="1"/>
  <c r="E285" i="3"/>
  <c r="L289" i="3"/>
  <c r="H289" i="3"/>
  <c r="D289" i="3"/>
  <c r="N289" i="3"/>
  <c r="K289" i="3"/>
  <c r="G289" i="3"/>
  <c r="C289" i="3"/>
  <c r="I289" i="3"/>
  <c r="O289" i="3" a="1"/>
  <c r="O289" i="3" s="1"/>
  <c r="E293" i="3"/>
  <c r="L297" i="3"/>
  <c r="H297" i="3"/>
  <c r="D297" i="3"/>
  <c r="N297" i="3"/>
  <c r="K297" i="3"/>
  <c r="G297" i="3"/>
  <c r="C297" i="3"/>
  <c r="I297" i="3"/>
  <c r="O297" i="3" a="1"/>
  <c r="O297" i="3" s="1"/>
  <c r="E301" i="3"/>
  <c r="E98" i="3"/>
  <c r="I98" i="3"/>
  <c r="E102" i="3"/>
  <c r="I102" i="3"/>
  <c r="E106" i="3"/>
  <c r="I106" i="3"/>
  <c r="E110" i="3"/>
  <c r="I110" i="3"/>
  <c r="E114" i="3"/>
  <c r="I114" i="3"/>
  <c r="E118" i="3"/>
  <c r="I118" i="3"/>
  <c r="E122" i="3"/>
  <c r="I122" i="3"/>
  <c r="E126" i="3"/>
  <c r="I126" i="3"/>
  <c r="E130" i="3"/>
  <c r="I130" i="3"/>
  <c r="E134" i="3"/>
  <c r="I134" i="3"/>
  <c r="C136" i="3"/>
  <c r="G136" i="3"/>
  <c r="K136" i="3"/>
  <c r="E138" i="3"/>
  <c r="I138" i="3"/>
  <c r="C140" i="3"/>
  <c r="G140" i="3"/>
  <c r="K140" i="3"/>
  <c r="E142" i="3"/>
  <c r="I142" i="3"/>
  <c r="C144" i="3"/>
  <c r="G144" i="3"/>
  <c r="K144" i="3"/>
  <c r="B145" i="3"/>
  <c r="F145" i="3"/>
  <c r="E146" i="3"/>
  <c r="I146" i="3"/>
  <c r="C148" i="3"/>
  <c r="G148" i="3"/>
  <c r="K148" i="3"/>
  <c r="B149" i="3"/>
  <c r="F149" i="3"/>
  <c r="E150" i="3"/>
  <c r="I150" i="3"/>
  <c r="D151" i="3"/>
  <c r="H151" i="3"/>
  <c r="C152" i="3"/>
  <c r="G152" i="3"/>
  <c r="K152" i="3"/>
  <c r="B153" i="3"/>
  <c r="F153" i="3"/>
  <c r="E154" i="3"/>
  <c r="I154" i="3"/>
  <c r="D155" i="3"/>
  <c r="H155" i="3"/>
  <c r="C156" i="3"/>
  <c r="G156" i="3"/>
  <c r="K156" i="3"/>
  <c r="B157" i="3"/>
  <c r="F157" i="3"/>
  <c r="E158" i="3"/>
  <c r="I158" i="3"/>
  <c r="D159" i="3"/>
  <c r="H159" i="3"/>
  <c r="C160" i="3"/>
  <c r="G160" i="3"/>
  <c r="K160" i="3"/>
  <c r="B161" i="3"/>
  <c r="F161" i="3"/>
  <c r="E162" i="3"/>
  <c r="I162" i="3"/>
  <c r="D163" i="3"/>
  <c r="H163" i="3"/>
  <c r="C164" i="3"/>
  <c r="G164" i="3"/>
  <c r="K164" i="3"/>
  <c r="B165" i="3"/>
  <c r="F165" i="3"/>
  <c r="E166" i="3"/>
  <c r="I166" i="3"/>
  <c r="D167" i="3"/>
  <c r="H167" i="3"/>
  <c r="C168" i="3"/>
  <c r="G168" i="3"/>
  <c r="K168" i="3"/>
  <c r="B169" i="3"/>
  <c r="F169" i="3"/>
  <c r="E170" i="3"/>
  <c r="I170" i="3"/>
  <c r="D171" i="3"/>
  <c r="H171" i="3"/>
  <c r="C172" i="3"/>
  <c r="G172" i="3"/>
  <c r="K172" i="3"/>
  <c r="B173" i="3"/>
  <c r="F173" i="3"/>
  <c r="E174" i="3"/>
  <c r="I174" i="3"/>
  <c r="D175" i="3"/>
  <c r="H175" i="3"/>
  <c r="C176" i="3"/>
  <c r="G176" i="3"/>
  <c r="K176" i="3"/>
  <c r="B177" i="3"/>
  <c r="F177" i="3"/>
  <c r="E178" i="3"/>
  <c r="I178" i="3"/>
  <c r="D179" i="3"/>
  <c r="H179" i="3"/>
  <c r="C180" i="3"/>
  <c r="G180" i="3"/>
  <c r="K180" i="3"/>
  <c r="B181" i="3"/>
  <c r="F181" i="3"/>
  <c r="E182" i="3"/>
  <c r="I182" i="3"/>
  <c r="D183" i="3"/>
  <c r="H183" i="3"/>
  <c r="C184" i="3"/>
  <c r="G184" i="3"/>
  <c r="K184" i="3"/>
  <c r="B185" i="3"/>
  <c r="F185" i="3"/>
  <c r="E186" i="3"/>
  <c r="I186" i="3"/>
  <c r="D187" i="3"/>
  <c r="H187" i="3"/>
  <c r="C188" i="3"/>
  <c r="G188" i="3"/>
  <c r="K188" i="3"/>
  <c r="B189" i="3"/>
  <c r="F189" i="3"/>
  <c r="E190" i="3"/>
  <c r="I190" i="3"/>
  <c r="D191" i="3"/>
  <c r="H191" i="3"/>
  <c r="C192" i="3"/>
  <c r="G192" i="3"/>
  <c r="K192" i="3"/>
  <c r="B193" i="3"/>
  <c r="F193" i="3"/>
  <c r="E194" i="3"/>
  <c r="I194" i="3"/>
  <c r="D195" i="3"/>
  <c r="H195" i="3"/>
  <c r="C196" i="3"/>
  <c r="G196" i="3"/>
  <c r="K196" i="3"/>
  <c r="B197" i="3"/>
  <c r="F197" i="3"/>
  <c r="E198" i="3"/>
  <c r="I198" i="3"/>
  <c r="D199" i="3"/>
  <c r="H199" i="3"/>
  <c r="C200" i="3"/>
  <c r="G200" i="3"/>
  <c r="K200" i="3"/>
  <c r="B201" i="3"/>
  <c r="F201" i="3"/>
  <c r="E202" i="3"/>
  <c r="I202" i="3"/>
  <c r="D203" i="3"/>
  <c r="H203" i="3"/>
  <c r="C204" i="3"/>
  <c r="G204" i="3"/>
  <c r="K204" i="3"/>
  <c r="B205" i="3"/>
  <c r="F205" i="3"/>
  <c r="E206" i="3"/>
  <c r="I206" i="3"/>
  <c r="D207" i="3"/>
  <c r="H207" i="3"/>
  <c r="C208" i="3"/>
  <c r="G208" i="3"/>
  <c r="K208" i="3"/>
  <c r="B209" i="3"/>
  <c r="F209" i="3"/>
  <c r="E210" i="3"/>
  <c r="I210" i="3"/>
  <c r="D211" i="3"/>
  <c r="H211" i="3"/>
  <c r="C212" i="3"/>
  <c r="G212" i="3"/>
  <c r="K212" i="3"/>
  <c r="B213" i="3"/>
  <c r="F213" i="3"/>
  <c r="E214" i="3"/>
  <c r="I214" i="3"/>
  <c r="D215" i="3"/>
  <c r="H215" i="3"/>
  <c r="C216" i="3"/>
  <c r="G216" i="3"/>
  <c r="K216" i="3"/>
  <c r="B217" i="3"/>
  <c r="F217" i="3"/>
  <c r="E218" i="3"/>
  <c r="I218" i="3"/>
  <c r="D219" i="3"/>
  <c r="H219" i="3"/>
  <c r="C220" i="3"/>
  <c r="G220" i="3"/>
  <c r="K220" i="3"/>
  <c r="B221" i="3"/>
  <c r="F221" i="3"/>
  <c r="E222" i="3"/>
  <c r="I222" i="3"/>
  <c r="D223" i="3"/>
  <c r="H223" i="3"/>
  <c r="C224" i="3"/>
  <c r="G224" i="3"/>
  <c r="K224" i="3"/>
  <c r="B225" i="3"/>
  <c r="F225" i="3"/>
  <c r="E226" i="3"/>
  <c r="I226" i="3"/>
  <c r="D227" i="3"/>
  <c r="H227" i="3"/>
  <c r="C228" i="3"/>
  <c r="G228" i="3"/>
  <c r="K228" i="3"/>
  <c r="B229" i="3"/>
  <c r="F229" i="3"/>
  <c r="E230" i="3"/>
  <c r="I230" i="3"/>
  <c r="D231" i="3"/>
  <c r="H231" i="3"/>
  <c r="C232" i="3"/>
  <c r="G232" i="3"/>
  <c r="K232" i="3"/>
  <c r="B233" i="3"/>
  <c r="F233" i="3"/>
  <c r="E234" i="3"/>
  <c r="I234" i="3"/>
  <c r="D235" i="3"/>
  <c r="H235" i="3"/>
  <c r="C236" i="3"/>
  <c r="G236" i="3"/>
  <c r="K236" i="3"/>
  <c r="B237" i="3"/>
  <c r="F237" i="3"/>
  <c r="E238" i="3"/>
  <c r="I238" i="3"/>
  <c r="D239" i="3"/>
  <c r="H239" i="3"/>
  <c r="C240" i="3"/>
  <c r="G240" i="3"/>
  <c r="K240" i="3"/>
  <c r="B241" i="3"/>
  <c r="F241" i="3"/>
  <c r="E242" i="3"/>
  <c r="I242" i="3"/>
  <c r="D243" i="3"/>
  <c r="H243" i="3"/>
  <c r="C244" i="3"/>
  <c r="G244" i="3"/>
  <c r="K244" i="3"/>
  <c r="B245" i="3"/>
  <c r="F245" i="3"/>
  <c r="E246" i="3"/>
  <c r="I246" i="3"/>
  <c r="D247" i="3"/>
  <c r="H247" i="3"/>
  <c r="C248" i="3"/>
  <c r="G248" i="3"/>
  <c r="K248" i="3"/>
  <c r="B249" i="3"/>
  <c r="F249" i="3"/>
  <c r="E250" i="3"/>
  <c r="I250" i="3"/>
  <c r="D251" i="3"/>
  <c r="H251" i="3"/>
  <c r="C252" i="3"/>
  <c r="G252" i="3"/>
  <c r="K252" i="3"/>
  <c r="B253" i="3"/>
  <c r="F253" i="3"/>
  <c r="E254" i="3"/>
  <c r="I254" i="3"/>
  <c r="D255" i="3"/>
  <c r="H255" i="3"/>
  <c r="C256" i="3"/>
  <c r="G256" i="3"/>
  <c r="K256" i="3"/>
  <c r="B257" i="3"/>
  <c r="F257" i="3"/>
  <c r="E258" i="3"/>
  <c r="I258" i="3"/>
  <c r="D259" i="3"/>
  <c r="H259" i="3"/>
  <c r="C260" i="3"/>
  <c r="G260" i="3"/>
  <c r="K260" i="3"/>
  <c r="B261" i="3"/>
  <c r="F261" i="3"/>
  <c r="E262" i="3"/>
  <c r="I262" i="3"/>
  <c r="D263" i="3"/>
  <c r="H263" i="3"/>
  <c r="C264" i="3"/>
  <c r="G264" i="3"/>
  <c r="K264" i="3"/>
  <c r="B265" i="3"/>
  <c r="F265" i="3"/>
  <c r="E266" i="3"/>
  <c r="I266" i="3"/>
  <c r="D267" i="3"/>
  <c r="H267" i="3"/>
  <c r="C268" i="3"/>
  <c r="G268" i="3"/>
  <c r="K268" i="3"/>
  <c r="B269" i="3"/>
  <c r="F269" i="3"/>
  <c r="E270" i="3"/>
  <c r="I270" i="3"/>
  <c r="E271" i="3"/>
  <c r="K271" i="3"/>
  <c r="N271" i="3"/>
  <c r="B273" i="3"/>
  <c r="J273" i="3"/>
  <c r="N274" i="3"/>
  <c r="K274" i="3"/>
  <c r="G274" i="3"/>
  <c r="C274" i="3"/>
  <c r="J274" i="3"/>
  <c r="F274" i="3"/>
  <c r="B274" i="3"/>
  <c r="I274" i="3"/>
  <c r="F277" i="3"/>
  <c r="E278" i="3"/>
  <c r="B281" i="3"/>
  <c r="J281" i="3"/>
  <c r="N282" i="3"/>
  <c r="K282" i="3"/>
  <c r="G282" i="3"/>
  <c r="C282" i="3"/>
  <c r="J282" i="3"/>
  <c r="F282" i="3"/>
  <c r="B282" i="3"/>
  <c r="I282" i="3"/>
  <c r="F285" i="3"/>
  <c r="E286" i="3"/>
  <c r="B289" i="3"/>
  <c r="J289" i="3"/>
  <c r="N290" i="3"/>
  <c r="K290" i="3"/>
  <c r="G290" i="3"/>
  <c r="C290" i="3"/>
  <c r="J290" i="3"/>
  <c r="F290" i="3"/>
  <c r="B290" i="3"/>
  <c r="I290" i="3"/>
  <c r="F293" i="3"/>
  <c r="E294" i="3"/>
  <c r="B297" i="3"/>
  <c r="J297" i="3"/>
  <c r="N298" i="3"/>
  <c r="K298" i="3"/>
  <c r="G298" i="3"/>
  <c r="C298" i="3"/>
  <c r="J298" i="3"/>
  <c r="F298" i="3"/>
  <c r="B298" i="3"/>
  <c r="I298" i="3"/>
  <c r="F301" i="3"/>
  <c r="E275" i="3"/>
  <c r="I275" i="3"/>
  <c r="O275" i="3" a="1"/>
  <c r="O275" i="3" s="1"/>
  <c r="E279" i="3"/>
  <c r="I279" i="3"/>
  <c r="O279" i="3" a="1"/>
  <c r="O279" i="3" s="1"/>
  <c r="E283" i="3"/>
  <c r="I283" i="3"/>
  <c r="O283" i="3" a="1"/>
  <c r="O283" i="3" s="1"/>
  <c r="E287" i="3"/>
  <c r="I287" i="3"/>
  <c r="O287" i="3" a="1"/>
  <c r="O287" i="3" s="1"/>
  <c r="E291" i="3"/>
  <c r="I291" i="3"/>
  <c r="O291" i="3" a="1"/>
  <c r="O291" i="3" s="1"/>
  <c r="E295" i="3"/>
  <c r="I295" i="3"/>
  <c r="O295" i="3" a="1"/>
  <c r="O295" i="3" s="1"/>
  <c r="E299" i="3"/>
  <c r="I299" i="3"/>
  <c r="O299" i="3" a="1"/>
  <c r="O299" i="3" s="1"/>
  <c r="F2" i="4"/>
  <c r="J2" i="4"/>
  <c r="H3" i="4"/>
  <c r="L3" i="4"/>
  <c r="B4" i="4"/>
  <c r="B5" i="4" s="1"/>
  <c r="E272" i="3"/>
  <c r="I272" i="3"/>
  <c r="B275" i="3"/>
  <c r="F275" i="3"/>
  <c r="E276" i="3"/>
  <c r="I276" i="3"/>
  <c r="B279" i="3"/>
  <c r="F279" i="3"/>
  <c r="E280" i="3"/>
  <c r="I280" i="3"/>
  <c r="B283" i="3"/>
  <c r="F283" i="3"/>
  <c r="E284" i="3"/>
  <c r="I284" i="3"/>
  <c r="B287" i="3"/>
  <c r="F287" i="3"/>
  <c r="E288" i="3"/>
  <c r="I288" i="3"/>
  <c r="B291" i="3"/>
  <c r="F291" i="3"/>
  <c r="E292" i="3"/>
  <c r="I292" i="3"/>
  <c r="B295" i="3"/>
  <c r="F295" i="3"/>
  <c r="E296" i="3"/>
  <c r="I296" i="3"/>
  <c r="B299" i="3"/>
  <c r="F299" i="3"/>
  <c r="E300" i="3"/>
  <c r="I300" i="3"/>
  <c r="C2" i="4"/>
  <c r="G2" i="4"/>
  <c r="K2" i="4"/>
  <c r="A3" i="4"/>
  <c r="E3" i="4"/>
  <c r="I3" i="4"/>
  <c r="M3" i="4"/>
  <c r="F3" i="4"/>
  <c r="J3" i="4"/>
  <c r="L305" i="4"/>
  <c r="H305" i="4"/>
  <c r="I305" i="4"/>
  <c r="J307" i="4"/>
  <c r="F307" i="4"/>
  <c r="A307" i="4"/>
  <c r="H307" i="4"/>
  <c r="M307" i="4"/>
  <c r="L309" i="4"/>
  <c r="H309" i="4"/>
  <c r="D309" i="4"/>
  <c r="I309" i="4"/>
  <c r="N309" i="4"/>
  <c r="E309" i="4"/>
  <c r="J309" i="4"/>
  <c r="M317" i="4"/>
  <c r="I317" i="4"/>
  <c r="E317" i="4"/>
  <c r="L317" i="4"/>
  <c r="H317" i="4"/>
  <c r="D317" i="4"/>
  <c r="K317" i="4"/>
  <c r="N320" i="4"/>
  <c r="J320" i="4"/>
  <c r="F320" i="4"/>
  <c r="A320" i="4"/>
  <c r="M320" i="4"/>
  <c r="I320" i="4"/>
  <c r="E320" i="4"/>
  <c r="L320" i="4"/>
  <c r="H320" i="4"/>
  <c r="D320" i="4"/>
  <c r="F305" i="4"/>
  <c r="K305" i="4"/>
  <c r="E307" i="4"/>
  <c r="K307" i="4"/>
  <c r="M308" i="4"/>
  <c r="I308" i="4"/>
  <c r="E308" i="4"/>
  <c r="H308" i="4"/>
  <c r="F309" i="4"/>
  <c r="K309" i="4"/>
  <c r="M313" i="4"/>
  <c r="I313" i="4"/>
  <c r="E313" i="4"/>
  <c r="L313" i="4"/>
  <c r="H313" i="4"/>
  <c r="D313" i="4"/>
  <c r="K313" i="4"/>
  <c r="N316" i="4"/>
  <c r="J316" i="4"/>
  <c r="F316" i="4"/>
  <c r="A316" i="4"/>
  <c r="M316" i="4"/>
  <c r="I316" i="4"/>
  <c r="E316" i="4"/>
  <c r="K316" i="4"/>
  <c r="F317" i="4"/>
  <c r="N317" i="4"/>
  <c r="G320" i="4"/>
  <c r="A305" i="4"/>
  <c r="G305" i="4"/>
  <c r="M305" i="4"/>
  <c r="G307" i="4"/>
  <c r="L307" i="4"/>
  <c r="D308" i="4"/>
  <c r="J308" i="4"/>
  <c r="A309" i="4"/>
  <c r="G309" i="4"/>
  <c r="M309" i="4"/>
  <c r="N312" i="4"/>
  <c r="J312" i="4"/>
  <c r="F312" i="4"/>
  <c r="A312" i="4"/>
  <c r="M312" i="4"/>
  <c r="I312" i="4"/>
  <c r="E312" i="4"/>
  <c r="K312" i="4"/>
  <c r="F313" i="4"/>
  <c r="N313" i="4"/>
  <c r="D316" i="4"/>
  <c r="L316" i="4"/>
  <c r="G317" i="4"/>
  <c r="K320" i="4"/>
  <c r="L333" i="4"/>
  <c r="H333" i="4"/>
  <c r="D333" i="4"/>
  <c r="N333" i="4"/>
  <c r="J333" i="4"/>
  <c r="F333" i="4"/>
  <c r="A333" i="4"/>
  <c r="K333" i="4"/>
  <c r="M336" i="4"/>
  <c r="I336" i="4"/>
  <c r="E336" i="4"/>
  <c r="L336" i="4"/>
  <c r="G336" i="4"/>
  <c r="A336" i="4"/>
  <c r="J336" i="4"/>
  <c r="D336" i="4"/>
  <c r="N336" i="4"/>
  <c r="M344" i="4"/>
  <c r="I344" i="4"/>
  <c r="E344" i="4"/>
  <c r="L344" i="4"/>
  <c r="G344" i="4"/>
  <c r="A344" i="4"/>
  <c r="J344" i="4"/>
  <c r="D344" i="4"/>
  <c r="N344" i="4"/>
  <c r="G321" i="4"/>
  <c r="K321" i="4"/>
  <c r="L323" i="4"/>
  <c r="H323" i="4"/>
  <c r="D323" i="4"/>
  <c r="I323" i="4"/>
  <c r="N323" i="4"/>
  <c r="N325" i="4"/>
  <c r="J325" i="4"/>
  <c r="F325" i="4"/>
  <c r="A325" i="4"/>
  <c r="H325" i="4"/>
  <c r="M325" i="4"/>
  <c r="L327" i="4"/>
  <c r="H327" i="4"/>
  <c r="D327" i="4"/>
  <c r="I327" i="4"/>
  <c r="N327" i="4"/>
  <c r="L329" i="4"/>
  <c r="H329" i="4"/>
  <c r="D329" i="4"/>
  <c r="N329" i="4"/>
  <c r="J329" i="4"/>
  <c r="F329" i="4"/>
  <c r="A329" i="4"/>
  <c r="K329" i="4"/>
  <c r="E333" i="4"/>
  <c r="M333" i="4"/>
  <c r="F336" i="4"/>
  <c r="L337" i="4"/>
  <c r="H337" i="4"/>
  <c r="D337" i="4"/>
  <c r="J337" i="4"/>
  <c r="E337" i="4"/>
  <c r="M337" i="4"/>
  <c r="G337" i="4"/>
  <c r="A337" i="4"/>
  <c r="N337" i="4"/>
  <c r="N339" i="4"/>
  <c r="J339" i="4"/>
  <c r="F339" i="4"/>
  <c r="A339" i="4"/>
  <c r="I339" i="4"/>
  <c r="D339" i="4"/>
  <c r="L339" i="4"/>
  <c r="G339" i="4"/>
  <c r="M339" i="4"/>
  <c r="F344" i="4"/>
  <c r="L345" i="4"/>
  <c r="H345" i="4"/>
  <c r="D345" i="4"/>
  <c r="J345" i="4"/>
  <c r="E345" i="4"/>
  <c r="M345" i="4"/>
  <c r="G345" i="4"/>
  <c r="A345" i="4"/>
  <c r="N345" i="4"/>
  <c r="N347" i="4"/>
  <c r="J347" i="4"/>
  <c r="F347" i="4"/>
  <c r="A347" i="4"/>
  <c r="I347" i="4"/>
  <c r="D347" i="4"/>
  <c r="L347" i="4"/>
  <c r="G347" i="4"/>
  <c r="M347" i="4"/>
  <c r="L365" i="4"/>
  <c r="H365" i="4"/>
  <c r="D365" i="4"/>
  <c r="N365" i="4"/>
  <c r="J365" i="4"/>
  <c r="F365" i="4"/>
  <c r="A365" i="4"/>
  <c r="I365" i="4"/>
  <c r="G365" i="4"/>
  <c r="M365" i="4"/>
  <c r="E365" i="4"/>
  <c r="G306" i="4"/>
  <c r="G310" i="4"/>
  <c r="A311" i="4"/>
  <c r="F311" i="4"/>
  <c r="J311" i="4"/>
  <c r="N311" i="4"/>
  <c r="G314" i="4"/>
  <c r="A315" i="4"/>
  <c r="F315" i="4"/>
  <c r="J315" i="4"/>
  <c r="N315" i="4"/>
  <c r="G318" i="4"/>
  <c r="A319" i="4"/>
  <c r="F319" i="4"/>
  <c r="J319" i="4"/>
  <c r="N319" i="4"/>
  <c r="D321" i="4"/>
  <c r="H321" i="4"/>
  <c r="L321" i="4"/>
  <c r="M322" i="4"/>
  <c r="I322" i="4"/>
  <c r="G322" i="4"/>
  <c r="L322" i="4"/>
  <c r="E323" i="4"/>
  <c r="J323" i="4"/>
  <c r="D325" i="4"/>
  <c r="I325" i="4"/>
  <c r="A326" i="4"/>
  <c r="G326" i="4"/>
  <c r="E327" i="4"/>
  <c r="J327" i="4"/>
  <c r="E329" i="4"/>
  <c r="M329" i="4"/>
  <c r="G333" i="4"/>
  <c r="N335" i="4"/>
  <c r="J335" i="4"/>
  <c r="F335" i="4"/>
  <c r="A335" i="4"/>
  <c r="L335" i="4"/>
  <c r="H335" i="4"/>
  <c r="D335" i="4"/>
  <c r="K335" i="4"/>
  <c r="H336" i="4"/>
  <c r="F337" i="4"/>
  <c r="E339" i="4"/>
  <c r="M340" i="4"/>
  <c r="I340" i="4"/>
  <c r="E340" i="4"/>
  <c r="L340" i="4"/>
  <c r="G340" i="4"/>
  <c r="A340" i="4"/>
  <c r="J340" i="4"/>
  <c r="D340" i="4"/>
  <c r="N340" i="4"/>
  <c r="H344" i="4"/>
  <c r="F345" i="4"/>
  <c r="E347" i="4"/>
  <c r="M348" i="4"/>
  <c r="I348" i="4"/>
  <c r="E348" i="4"/>
  <c r="L348" i="4"/>
  <c r="G348" i="4"/>
  <c r="A348" i="4"/>
  <c r="J348" i="4"/>
  <c r="D348" i="4"/>
  <c r="N348" i="4"/>
  <c r="L357" i="4"/>
  <c r="H357" i="4"/>
  <c r="D357" i="4"/>
  <c r="N357" i="4"/>
  <c r="J357" i="4"/>
  <c r="F357" i="4"/>
  <c r="A357" i="4"/>
  <c r="M357" i="4"/>
  <c r="E357" i="4"/>
  <c r="I357" i="4"/>
  <c r="N371" i="4"/>
  <c r="J371" i="4"/>
  <c r="F371" i="4"/>
  <c r="A371" i="4"/>
  <c r="L371" i="4"/>
  <c r="H371" i="4"/>
  <c r="D371" i="4"/>
  <c r="I371" i="4"/>
  <c r="G371" i="4"/>
  <c r="M371" i="4"/>
  <c r="E371" i="4"/>
  <c r="G311" i="4"/>
  <c r="G315" i="4"/>
  <c r="G319" i="4"/>
  <c r="E321" i="4"/>
  <c r="I321" i="4"/>
  <c r="F323" i="4"/>
  <c r="K323" i="4"/>
  <c r="E325" i="4"/>
  <c r="K325" i="4"/>
  <c r="M326" i="4"/>
  <c r="I326" i="4"/>
  <c r="E326" i="4"/>
  <c r="H326" i="4"/>
  <c r="N326" i="4"/>
  <c r="F327" i="4"/>
  <c r="K327" i="4"/>
  <c r="G329" i="4"/>
  <c r="N331" i="4"/>
  <c r="J331" i="4"/>
  <c r="F331" i="4"/>
  <c r="A331" i="4"/>
  <c r="L331" i="4"/>
  <c r="H331" i="4"/>
  <c r="D331" i="4"/>
  <c r="K331" i="4"/>
  <c r="I333" i="4"/>
  <c r="K336" i="4"/>
  <c r="I337" i="4"/>
  <c r="H339" i="4"/>
  <c r="L341" i="4"/>
  <c r="H341" i="4"/>
  <c r="D341" i="4"/>
  <c r="J341" i="4"/>
  <c r="E341" i="4"/>
  <c r="M341" i="4"/>
  <c r="G341" i="4"/>
  <c r="A341" i="4"/>
  <c r="N341" i="4"/>
  <c r="N343" i="4"/>
  <c r="J343" i="4"/>
  <c r="F343" i="4"/>
  <c r="A343" i="4"/>
  <c r="I343" i="4"/>
  <c r="D343" i="4"/>
  <c r="L343" i="4"/>
  <c r="G343" i="4"/>
  <c r="M343" i="4"/>
  <c r="K344" i="4"/>
  <c r="I345" i="4"/>
  <c r="H347" i="4"/>
  <c r="F348" i="4"/>
  <c r="L349" i="4"/>
  <c r="H349" i="4"/>
  <c r="D349" i="4"/>
  <c r="J349" i="4"/>
  <c r="E349" i="4"/>
  <c r="M349" i="4"/>
  <c r="G349" i="4"/>
  <c r="A349" i="4"/>
  <c r="N349" i="4"/>
  <c r="N351" i="4"/>
  <c r="J351" i="4"/>
  <c r="F351" i="4"/>
  <c r="A351" i="4"/>
  <c r="I351" i="4"/>
  <c r="D351" i="4"/>
  <c r="L351" i="4"/>
  <c r="G351" i="4"/>
  <c r="M351" i="4"/>
  <c r="N355" i="4"/>
  <c r="J355" i="4"/>
  <c r="F355" i="4"/>
  <c r="A355" i="4"/>
  <c r="L355" i="4"/>
  <c r="H355" i="4"/>
  <c r="D355" i="4"/>
  <c r="I355" i="4"/>
  <c r="M355" i="4"/>
  <c r="E355" i="4"/>
  <c r="G357" i="4"/>
  <c r="K371" i="4"/>
  <c r="G324" i="4"/>
  <c r="G328" i="4"/>
  <c r="E330" i="4"/>
  <c r="I330" i="4"/>
  <c r="M330" i="4"/>
  <c r="G332" i="4"/>
  <c r="E334" i="4"/>
  <c r="I334" i="4"/>
  <c r="M334" i="4"/>
  <c r="L361" i="4"/>
  <c r="H361" i="4"/>
  <c r="D361" i="4"/>
  <c r="N361" i="4"/>
  <c r="J361" i="4"/>
  <c r="F361" i="4"/>
  <c r="A361" i="4"/>
  <c r="K361" i="4"/>
  <c r="N367" i="4"/>
  <c r="J367" i="4"/>
  <c r="F367" i="4"/>
  <c r="A367" i="4"/>
  <c r="L367" i="4"/>
  <c r="H367" i="4"/>
  <c r="D367" i="4"/>
  <c r="K367" i="4"/>
  <c r="N363" i="4"/>
  <c r="J363" i="4"/>
  <c r="F363" i="4"/>
  <c r="A363" i="4"/>
  <c r="L363" i="4"/>
  <c r="H363" i="4"/>
  <c r="D363" i="4"/>
  <c r="K363" i="4"/>
  <c r="L373" i="4"/>
  <c r="H373" i="4"/>
  <c r="D373" i="4"/>
  <c r="N373" i="4"/>
  <c r="J373" i="4"/>
  <c r="F373" i="4"/>
  <c r="A373" i="4"/>
  <c r="K373" i="4"/>
  <c r="G330" i="4"/>
  <c r="G334" i="4"/>
  <c r="L353" i="4"/>
  <c r="H353" i="4"/>
  <c r="D353" i="4"/>
  <c r="N353" i="4"/>
  <c r="J353" i="4"/>
  <c r="F353" i="4"/>
  <c r="A353" i="4"/>
  <c r="K353" i="4"/>
  <c r="N359" i="4"/>
  <c r="J359" i="4"/>
  <c r="F359" i="4"/>
  <c r="A359" i="4"/>
  <c r="L359" i="4"/>
  <c r="H359" i="4"/>
  <c r="D359" i="4"/>
  <c r="K359" i="4"/>
  <c r="G361" i="4"/>
  <c r="E363" i="4"/>
  <c r="M363" i="4"/>
  <c r="L369" i="4"/>
  <c r="H369" i="4"/>
  <c r="D369" i="4"/>
  <c r="N369" i="4"/>
  <c r="J369" i="4"/>
  <c r="F369" i="4"/>
  <c r="A369" i="4"/>
  <c r="K369" i="4"/>
  <c r="E373" i="4"/>
  <c r="M373" i="4"/>
  <c r="N375" i="4"/>
  <c r="J375" i="4"/>
  <c r="F375" i="4"/>
  <c r="A375" i="4"/>
  <c r="L375" i="4"/>
  <c r="H375" i="4"/>
  <c r="D375" i="4"/>
  <c r="K375" i="4"/>
  <c r="G352" i="4"/>
  <c r="K352" i="4"/>
  <c r="G356" i="4"/>
  <c r="K356" i="4"/>
  <c r="G360" i="4"/>
  <c r="K360" i="4"/>
  <c r="G364" i="4"/>
  <c r="K364" i="4"/>
  <c r="G368" i="4"/>
  <c r="K368" i="4"/>
  <c r="G372" i="4"/>
  <c r="K372" i="4"/>
  <c r="G376" i="4"/>
  <c r="K376" i="4"/>
  <c r="M377" i="4"/>
  <c r="I377" i="4"/>
  <c r="E377" i="4"/>
  <c r="H377" i="4"/>
  <c r="N377" i="4"/>
  <c r="M381" i="4"/>
  <c r="I381" i="4"/>
  <c r="E381" i="4"/>
  <c r="H381" i="4"/>
  <c r="N381" i="4"/>
  <c r="M385" i="4"/>
  <c r="I385" i="4"/>
  <c r="E385" i="4"/>
  <c r="H385" i="4"/>
  <c r="N385" i="4"/>
  <c r="M389" i="4"/>
  <c r="I389" i="4"/>
  <c r="E389" i="4"/>
  <c r="H389" i="4"/>
  <c r="N389" i="4"/>
  <c r="M393" i="4"/>
  <c r="I393" i="4"/>
  <c r="E393" i="4"/>
  <c r="H393" i="4"/>
  <c r="N393" i="4"/>
  <c r="M397" i="4"/>
  <c r="I397" i="4"/>
  <c r="E397" i="4"/>
  <c r="H397" i="4"/>
  <c r="N397" i="4"/>
  <c r="M401" i="4"/>
  <c r="I401" i="4"/>
  <c r="E401" i="4"/>
  <c r="H401" i="4"/>
  <c r="N401" i="4"/>
  <c r="G338" i="4"/>
  <c r="G342" i="4"/>
  <c r="G346" i="4"/>
  <c r="G350" i="4"/>
  <c r="E352" i="4"/>
  <c r="I352" i="4"/>
  <c r="G354" i="4"/>
  <c r="E356" i="4"/>
  <c r="I356" i="4"/>
  <c r="G358" i="4"/>
  <c r="E360" i="4"/>
  <c r="I360" i="4"/>
  <c r="G362" i="4"/>
  <c r="E364" i="4"/>
  <c r="I364" i="4"/>
  <c r="G366" i="4"/>
  <c r="E368" i="4"/>
  <c r="I368" i="4"/>
  <c r="G370" i="4"/>
  <c r="E372" i="4"/>
  <c r="I372" i="4"/>
  <c r="G374" i="4"/>
  <c r="E376" i="4"/>
  <c r="I376" i="4"/>
  <c r="M376" i="4"/>
  <c r="F377" i="4"/>
  <c r="K377" i="4"/>
  <c r="L378" i="4"/>
  <c r="H378" i="4"/>
  <c r="D378" i="4"/>
  <c r="I378" i="4"/>
  <c r="N378" i="4"/>
  <c r="N380" i="4"/>
  <c r="J380" i="4"/>
  <c r="F380" i="4"/>
  <c r="A380" i="4"/>
  <c r="H380" i="4"/>
  <c r="M380" i="4"/>
  <c r="F381" i="4"/>
  <c r="K381" i="4"/>
  <c r="L382" i="4"/>
  <c r="H382" i="4"/>
  <c r="D382" i="4"/>
  <c r="I382" i="4"/>
  <c r="N382" i="4"/>
  <c r="N384" i="4"/>
  <c r="J384" i="4"/>
  <c r="F384" i="4"/>
  <c r="A384" i="4"/>
  <c r="H384" i="4"/>
  <c r="M384" i="4"/>
  <c r="F385" i="4"/>
  <c r="K385" i="4"/>
  <c r="L386" i="4"/>
  <c r="H386" i="4"/>
  <c r="D386" i="4"/>
  <c r="I386" i="4"/>
  <c r="N386" i="4"/>
  <c r="N388" i="4"/>
  <c r="J388" i="4"/>
  <c r="F388" i="4"/>
  <c r="A388" i="4"/>
  <c r="H388" i="4"/>
  <c r="M388" i="4"/>
  <c r="F389" i="4"/>
  <c r="K389" i="4"/>
  <c r="L390" i="4"/>
  <c r="H390" i="4"/>
  <c r="D390" i="4"/>
  <c r="I390" i="4"/>
  <c r="N390" i="4"/>
  <c r="N392" i="4"/>
  <c r="J392" i="4"/>
  <c r="F392" i="4"/>
  <c r="A392" i="4"/>
  <c r="H392" i="4"/>
  <c r="M392" i="4"/>
  <c r="F393" i="4"/>
  <c r="K393" i="4"/>
  <c r="L394" i="4"/>
  <c r="H394" i="4"/>
  <c r="D394" i="4"/>
  <c r="I394" i="4"/>
  <c r="N394" i="4"/>
  <c r="N396" i="4"/>
  <c r="J396" i="4"/>
  <c r="F396" i="4"/>
  <c r="A396" i="4"/>
  <c r="H396" i="4"/>
  <c r="M396" i="4"/>
  <c r="F397" i="4"/>
  <c r="K397" i="4"/>
  <c r="L398" i="4"/>
  <c r="H398" i="4"/>
  <c r="D398" i="4"/>
  <c r="I398" i="4"/>
  <c r="N398" i="4"/>
  <c r="N400" i="4"/>
  <c r="J400" i="4"/>
  <c r="F400" i="4"/>
  <c r="A400" i="4"/>
  <c r="H400" i="4"/>
  <c r="M400" i="4"/>
  <c r="F401" i="4"/>
  <c r="K401" i="4"/>
  <c r="L402" i="4"/>
  <c r="H402" i="4"/>
  <c r="D402" i="4"/>
  <c r="I402" i="4"/>
  <c r="N402" i="4"/>
  <c r="N404" i="4"/>
  <c r="J404" i="4"/>
  <c r="F404" i="4"/>
  <c r="A404" i="4"/>
  <c r="H404" i="4"/>
  <c r="M404" i="4"/>
  <c r="G379" i="4"/>
  <c r="G383" i="4"/>
  <c r="G387" i="4"/>
  <c r="G391" i="4"/>
  <c r="G395" i="4"/>
  <c r="G399" i="4"/>
  <c r="G403" i="4"/>
  <c r="O2" i="3" l="1" a="1"/>
  <c r="O2" i="3" s="1"/>
  <c r="F2" i="3" s="1"/>
  <c r="O5" i="3" a="1"/>
  <c r="O5" i="3" s="1"/>
  <c r="F5" i="3" s="1"/>
  <c r="C3" i="4"/>
  <c r="K3" i="4"/>
  <c r="G3" i="4"/>
  <c r="N308" i="4"/>
  <c r="N3" i="3"/>
  <c r="O3" i="3" a="1"/>
  <c r="O3" i="3" s="1"/>
  <c r="B6" i="4"/>
  <c r="B7" i="4" s="1"/>
  <c r="L4" i="4"/>
  <c r="H4" i="4"/>
  <c r="K4" i="4"/>
  <c r="G4" i="4"/>
  <c r="C4" i="4"/>
  <c r="J4" i="4"/>
  <c r="F4" i="4"/>
  <c r="M4" i="4"/>
  <c r="I4" i="4"/>
  <c r="E4" i="4"/>
  <c r="A4" i="4"/>
  <c r="J5" i="4"/>
  <c r="F5" i="4"/>
  <c r="M5" i="4"/>
  <c r="I5" i="4"/>
  <c r="E5" i="4"/>
  <c r="A5" i="4"/>
  <c r="L5" i="4"/>
  <c r="H5" i="4"/>
  <c r="K5" i="4"/>
  <c r="G5" i="4"/>
  <c r="C5" i="4"/>
  <c r="O4" i="3" a="1"/>
  <c r="O4" i="3" s="1"/>
  <c r="F4" i="3" s="1"/>
  <c r="D307" i="4" l="1"/>
  <c r="N307" i="4" s="1"/>
  <c r="D5" i="4"/>
  <c r="N5" i="4" s="1"/>
  <c r="H4" i="3"/>
  <c r="I4" i="3"/>
  <c r="D305" i="4"/>
  <c r="N305" i="4" s="1"/>
  <c r="D4" i="4"/>
  <c r="N4" i="4" s="1"/>
  <c r="N7" i="4"/>
  <c r="J7" i="4"/>
  <c r="F7" i="4"/>
  <c r="M7" i="4"/>
  <c r="I7" i="4"/>
  <c r="E7" i="4"/>
  <c r="A7" i="4"/>
  <c r="L7" i="4"/>
  <c r="H7" i="4"/>
  <c r="D7" i="4"/>
  <c r="K7" i="4"/>
  <c r="G7" i="4"/>
  <c r="C7" i="4"/>
  <c r="L6" i="4"/>
  <c r="H6" i="4"/>
  <c r="D6" i="4"/>
  <c r="K6" i="4"/>
  <c r="G6" i="4"/>
  <c r="C6" i="4"/>
  <c r="N6" i="4"/>
  <c r="J6" i="4"/>
  <c r="F6" i="4"/>
  <c r="M6" i="4"/>
  <c r="I6" i="4"/>
  <c r="E6" i="4"/>
  <c r="A6" i="4"/>
  <c r="F3" i="3"/>
  <c r="B8" i="4"/>
  <c r="I5" i="3"/>
  <c r="H5" i="3"/>
  <c r="K5" i="3" s="1"/>
  <c r="L5" i="3" s="1"/>
  <c r="D2" i="4"/>
  <c r="N2" i="4" s="1"/>
  <c r="H2" i="3"/>
  <c r="L8" i="4" l="1"/>
  <c r="H8" i="4"/>
  <c r="D8" i="4"/>
  <c r="K8" i="4"/>
  <c r="G8" i="4"/>
  <c r="C8" i="4"/>
  <c r="N8" i="4"/>
  <c r="J8" i="4"/>
  <c r="F8" i="4"/>
  <c r="M8" i="4"/>
  <c r="I8" i="4"/>
  <c r="E8" i="4"/>
  <c r="A8" i="4"/>
  <c r="B9" i="4"/>
  <c r="H3" i="3"/>
  <c r="D3" i="4"/>
  <c r="N3" i="4" s="1"/>
  <c r="I2" i="3"/>
  <c r="K2" i="3" s="1"/>
  <c r="L2" i="3" s="1"/>
  <c r="I3" i="3"/>
  <c r="D306" i="4"/>
  <c r="N306" i="4" s="1"/>
  <c r="B10" i="4"/>
  <c r="B11" i="4" s="1"/>
  <c r="K4" i="3"/>
  <c r="L4" i="3" s="1"/>
  <c r="K3" i="3" l="1"/>
  <c r="L3" i="3" s="1"/>
  <c r="N11" i="4"/>
  <c r="J11" i="4"/>
  <c r="F11" i="4"/>
  <c r="M11" i="4"/>
  <c r="I11" i="4"/>
  <c r="E11" i="4"/>
  <c r="A11" i="4"/>
  <c r="L11" i="4"/>
  <c r="H11" i="4"/>
  <c r="D11" i="4"/>
  <c r="K11" i="4"/>
  <c r="G11" i="4"/>
  <c r="C11" i="4"/>
  <c r="B12" i="4"/>
  <c r="B14" i="4" s="1"/>
  <c r="B13" i="4"/>
  <c r="N9" i="4"/>
  <c r="J9" i="4"/>
  <c r="F9" i="4"/>
  <c r="M9" i="4"/>
  <c r="I9" i="4"/>
  <c r="E9" i="4"/>
  <c r="A9" i="4"/>
  <c r="L9" i="4"/>
  <c r="H9" i="4"/>
  <c r="D9" i="4"/>
  <c r="K9" i="4"/>
  <c r="G9" i="4"/>
  <c r="C9" i="4"/>
  <c r="L10" i="4"/>
  <c r="H10" i="4"/>
  <c r="D10" i="4"/>
  <c r="K10" i="4"/>
  <c r="G10" i="4"/>
  <c r="C10" i="4"/>
  <c r="N10" i="4"/>
  <c r="J10" i="4"/>
  <c r="F10" i="4"/>
  <c r="M10" i="4"/>
  <c r="I10" i="4"/>
  <c r="E10" i="4"/>
  <c r="A10" i="4"/>
  <c r="N13" i="4" l="1"/>
  <c r="J13" i="4"/>
  <c r="F13" i="4"/>
  <c r="M13" i="4"/>
  <c r="I13" i="4"/>
  <c r="E13" i="4"/>
  <c r="A13" i="4"/>
  <c r="L13" i="4"/>
  <c r="H13" i="4"/>
  <c r="D13" i="4"/>
  <c r="K13" i="4"/>
  <c r="G13" i="4"/>
  <c r="C13" i="4"/>
  <c r="L12" i="4"/>
  <c r="H12" i="4"/>
  <c r="D12" i="4"/>
  <c r="K12" i="4"/>
  <c r="G12" i="4"/>
  <c r="C12" i="4"/>
  <c r="N12" i="4"/>
  <c r="J12" i="4"/>
  <c r="F12" i="4"/>
  <c r="M12" i="4"/>
  <c r="I12" i="4"/>
  <c r="E12" i="4"/>
  <c r="A12" i="4"/>
  <c r="B15" i="4"/>
  <c r="L14" i="4"/>
  <c r="H14" i="4"/>
  <c r="D14" i="4"/>
  <c r="K14" i="4"/>
  <c r="G14" i="4"/>
  <c r="C14" i="4"/>
  <c r="N14" i="4"/>
  <c r="J14" i="4"/>
  <c r="F14" i="4"/>
  <c r="M14" i="4"/>
  <c r="I14" i="4"/>
  <c r="E14" i="4"/>
  <c r="A14" i="4"/>
  <c r="B16" i="4" l="1"/>
  <c r="N15" i="4"/>
  <c r="J15" i="4"/>
  <c r="F15" i="4"/>
  <c r="M15" i="4"/>
  <c r="I15" i="4"/>
  <c r="E15" i="4"/>
  <c r="A15" i="4"/>
  <c r="L15" i="4"/>
  <c r="H15" i="4"/>
  <c r="D15" i="4"/>
  <c r="K15" i="4"/>
  <c r="G15" i="4"/>
  <c r="C15" i="4"/>
  <c r="L16" i="4" l="1"/>
  <c r="H16" i="4"/>
  <c r="D16" i="4"/>
  <c r="K16" i="4"/>
  <c r="G16" i="4"/>
  <c r="C16" i="4"/>
  <c r="N16" i="4"/>
  <c r="J16" i="4"/>
  <c r="F16" i="4"/>
  <c r="M16" i="4"/>
  <c r="I16" i="4"/>
  <c r="E16" i="4"/>
  <c r="A16" i="4"/>
  <c r="B17" i="4"/>
  <c r="N17" i="4" l="1"/>
  <c r="J17" i="4"/>
  <c r="F17" i="4"/>
  <c r="M17" i="4"/>
  <c r="I17" i="4"/>
  <c r="E17" i="4"/>
  <c r="A17" i="4"/>
  <c r="L17" i="4"/>
  <c r="H17" i="4"/>
  <c r="D17" i="4"/>
  <c r="K17" i="4"/>
  <c r="G17" i="4"/>
  <c r="C17" i="4"/>
  <c r="B18" i="4"/>
  <c r="L18" i="4" l="1"/>
  <c r="H18" i="4"/>
  <c r="D18" i="4"/>
  <c r="K18" i="4"/>
  <c r="G18" i="4"/>
  <c r="C18" i="4"/>
  <c r="N18" i="4"/>
  <c r="J18" i="4"/>
  <c r="F18" i="4"/>
  <c r="M18" i="4"/>
  <c r="I18" i="4"/>
  <c r="E18" i="4"/>
  <c r="A18" i="4"/>
  <c r="B19" i="4"/>
  <c r="N19" i="4" l="1"/>
  <c r="J19" i="4"/>
  <c r="F19" i="4"/>
  <c r="M19" i="4"/>
  <c r="I19" i="4"/>
  <c r="E19" i="4"/>
  <c r="A19" i="4"/>
  <c r="L19" i="4"/>
  <c r="H19" i="4"/>
  <c r="D19" i="4"/>
  <c r="K19" i="4"/>
  <c r="G19" i="4"/>
  <c r="C19" i="4"/>
  <c r="B20" i="4"/>
  <c r="L20" i="4" l="1"/>
  <c r="H20" i="4"/>
  <c r="D20" i="4"/>
  <c r="K20" i="4"/>
  <c r="G20" i="4"/>
  <c r="C20" i="4"/>
  <c r="N20" i="4"/>
  <c r="J20" i="4"/>
  <c r="F20" i="4"/>
  <c r="M20" i="4"/>
  <c r="I20" i="4"/>
  <c r="E20" i="4"/>
  <c r="A20" i="4"/>
  <c r="B21" i="4"/>
  <c r="N21" i="4" l="1"/>
  <c r="J21" i="4"/>
  <c r="F21" i="4"/>
  <c r="M21" i="4"/>
  <c r="I21" i="4"/>
  <c r="E21" i="4"/>
  <c r="A21" i="4"/>
  <c r="L21" i="4"/>
  <c r="H21" i="4"/>
  <c r="D21" i="4"/>
  <c r="K21" i="4"/>
  <c r="G21" i="4"/>
  <c r="C21" i="4"/>
  <c r="B22" i="4"/>
  <c r="L22" i="4" l="1"/>
  <c r="H22" i="4"/>
  <c r="D22" i="4"/>
  <c r="K22" i="4"/>
  <c r="G22" i="4"/>
  <c r="C22" i="4"/>
  <c r="N22" i="4"/>
  <c r="J22" i="4"/>
  <c r="F22" i="4"/>
  <c r="M22" i="4"/>
  <c r="I22" i="4"/>
  <c r="E22" i="4"/>
  <c r="A22" i="4"/>
  <c r="B23" i="4"/>
  <c r="N23" i="4" l="1"/>
  <c r="J23" i="4"/>
  <c r="F23" i="4"/>
  <c r="M23" i="4"/>
  <c r="I23" i="4"/>
  <c r="E23" i="4"/>
  <c r="A23" i="4"/>
  <c r="L23" i="4"/>
  <c r="H23" i="4"/>
  <c r="D23" i="4"/>
  <c r="K23" i="4"/>
  <c r="G23" i="4"/>
  <c r="C23" i="4"/>
  <c r="B24" i="4"/>
  <c r="L24" i="4" l="1"/>
  <c r="H24" i="4"/>
  <c r="D24" i="4"/>
  <c r="K24" i="4"/>
  <c r="G24" i="4"/>
  <c r="C24" i="4"/>
  <c r="N24" i="4"/>
  <c r="J24" i="4"/>
  <c r="F24" i="4"/>
  <c r="M24" i="4"/>
  <c r="I24" i="4"/>
  <c r="E24" i="4"/>
  <c r="A24" i="4"/>
  <c r="B25" i="4"/>
  <c r="N25" i="4" l="1"/>
  <c r="J25" i="4"/>
  <c r="F25" i="4"/>
  <c r="M25" i="4"/>
  <c r="I25" i="4"/>
  <c r="E25" i="4"/>
  <c r="A25" i="4"/>
  <c r="L25" i="4"/>
  <c r="H25" i="4"/>
  <c r="D25" i="4"/>
  <c r="K25" i="4"/>
  <c r="G25" i="4"/>
  <c r="C25" i="4"/>
  <c r="B26" i="4"/>
  <c r="L26" i="4" l="1"/>
  <c r="H26" i="4"/>
  <c r="D26" i="4"/>
  <c r="K26" i="4"/>
  <c r="G26" i="4"/>
  <c r="C26" i="4"/>
  <c r="N26" i="4"/>
  <c r="J26" i="4"/>
  <c r="F26" i="4"/>
  <c r="M26" i="4"/>
  <c r="I26" i="4"/>
  <c r="E26" i="4"/>
  <c r="A26" i="4"/>
  <c r="B27" i="4"/>
  <c r="N27" i="4" l="1"/>
  <c r="J27" i="4"/>
  <c r="F27" i="4"/>
  <c r="M27" i="4"/>
  <c r="I27" i="4"/>
  <c r="E27" i="4"/>
  <c r="A27" i="4"/>
  <c r="L27" i="4"/>
  <c r="H27" i="4"/>
  <c r="D27" i="4"/>
  <c r="K27" i="4"/>
  <c r="G27" i="4"/>
  <c r="C27" i="4"/>
  <c r="B28" i="4"/>
  <c r="L28" i="4" l="1"/>
  <c r="H28" i="4"/>
  <c r="D28" i="4"/>
  <c r="K28" i="4"/>
  <c r="G28" i="4"/>
  <c r="C28" i="4"/>
  <c r="N28" i="4"/>
  <c r="J28" i="4"/>
  <c r="F28" i="4"/>
  <c r="M28" i="4"/>
  <c r="I28" i="4"/>
  <c r="E28" i="4"/>
  <c r="A28" i="4"/>
  <c r="B29" i="4"/>
  <c r="N29" i="4" l="1"/>
  <c r="J29" i="4"/>
  <c r="F29" i="4"/>
  <c r="M29" i="4"/>
  <c r="I29" i="4"/>
  <c r="E29" i="4"/>
  <c r="A29" i="4"/>
  <c r="L29" i="4"/>
  <c r="H29" i="4"/>
  <c r="D29" i="4"/>
  <c r="K29" i="4"/>
  <c r="G29" i="4"/>
  <c r="C29" i="4"/>
  <c r="B30" i="4"/>
  <c r="L30" i="4" l="1"/>
  <c r="H30" i="4"/>
  <c r="D30" i="4"/>
  <c r="K30" i="4"/>
  <c r="G30" i="4"/>
  <c r="C30" i="4"/>
  <c r="N30" i="4"/>
  <c r="J30" i="4"/>
  <c r="F30" i="4"/>
  <c r="M30" i="4"/>
  <c r="I30" i="4"/>
  <c r="E30" i="4"/>
  <c r="A30" i="4"/>
  <c r="B31" i="4"/>
  <c r="N31" i="4" l="1"/>
  <c r="J31" i="4"/>
  <c r="F31" i="4"/>
  <c r="M31" i="4"/>
  <c r="I31" i="4"/>
  <c r="E31" i="4"/>
  <c r="A31" i="4"/>
  <c r="L31" i="4"/>
  <c r="H31" i="4"/>
  <c r="D31" i="4"/>
  <c r="K31" i="4"/>
  <c r="G31" i="4"/>
  <c r="C31" i="4"/>
  <c r="B32" i="4"/>
  <c r="L32" i="4" l="1"/>
  <c r="H32" i="4"/>
  <c r="D32" i="4"/>
  <c r="K32" i="4"/>
  <c r="G32" i="4"/>
  <c r="C32" i="4"/>
  <c r="N32" i="4"/>
  <c r="J32" i="4"/>
  <c r="F32" i="4"/>
  <c r="M32" i="4"/>
  <c r="I32" i="4"/>
  <c r="E32" i="4"/>
  <c r="A32" i="4"/>
  <c r="B33" i="4"/>
  <c r="N33" i="4" l="1"/>
  <c r="J33" i="4"/>
  <c r="F33" i="4"/>
  <c r="M33" i="4"/>
  <c r="I33" i="4"/>
  <c r="E33" i="4"/>
  <c r="A33" i="4"/>
  <c r="L33" i="4"/>
  <c r="H33" i="4"/>
  <c r="D33" i="4"/>
  <c r="K33" i="4"/>
  <c r="G33" i="4"/>
  <c r="C33" i="4"/>
  <c r="B34" i="4"/>
  <c r="L34" i="4" l="1"/>
  <c r="H34" i="4"/>
  <c r="D34" i="4"/>
  <c r="K34" i="4"/>
  <c r="G34" i="4"/>
  <c r="C34" i="4"/>
  <c r="N34" i="4"/>
  <c r="J34" i="4"/>
  <c r="F34" i="4"/>
  <c r="M34" i="4"/>
  <c r="I34" i="4"/>
  <c r="E34" i="4"/>
  <c r="A34" i="4"/>
  <c r="B35" i="4"/>
  <c r="N35" i="4" l="1"/>
  <c r="J35" i="4"/>
  <c r="F35" i="4"/>
  <c r="M35" i="4"/>
  <c r="I35" i="4"/>
  <c r="E35" i="4"/>
  <c r="A35" i="4"/>
  <c r="L35" i="4"/>
  <c r="H35" i="4"/>
  <c r="D35" i="4"/>
  <c r="K35" i="4"/>
  <c r="G35" i="4"/>
  <c r="C35" i="4"/>
  <c r="B36" i="4"/>
  <c r="L36" i="4" l="1"/>
  <c r="H36" i="4"/>
  <c r="D36" i="4"/>
  <c r="K36" i="4"/>
  <c r="G36" i="4"/>
  <c r="C36" i="4"/>
  <c r="N36" i="4"/>
  <c r="J36" i="4"/>
  <c r="F36" i="4"/>
  <c r="M36" i="4"/>
  <c r="I36" i="4"/>
  <c r="E36" i="4"/>
  <c r="A36" i="4"/>
  <c r="B37" i="4"/>
  <c r="N37" i="4" l="1"/>
  <c r="J37" i="4"/>
  <c r="F37" i="4"/>
  <c r="M37" i="4"/>
  <c r="I37" i="4"/>
  <c r="E37" i="4"/>
  <c r="A37" i="4"/>
  <c r="L37" i="4"/>
  <c r="H37" i="4"/>
  <c r="D37" i="4"/>
  <c r="K37" i="4"/>
  <c r="G37" i="4"/>
  <c r="C37" i="4"/>
  <c r="B38" i="4"/>
  <c r="L38" i="4" l="1"/>
  <c r="H38" i="4"/>
  <c r="D38" i="4"/>
  <c r="K38" i="4"/>
  <c r="G38" i="4"/>
  <c r="C38" i="4"/>
  <c r="N38" i="4"/>
  <c r="J38" i="4"/>
  <c r="F38" i="4"/>
  <c r="M38" i="4"/>
  <c r="I38" i="4"/>
  <c r="E38" i="4"/>
  <c r="A38" i="4"/>
  <c r="B39" i="4"/>
  <c r="N39" i="4" l="1"/>
  <c r="J39" i="4"/>
  <c r="F39" i="4"/>
  <c r="M39" i="4"/>
  <c r="I39" i="4"/>
  <c r="E39" i="4"/>
  <c r="A39" i="4"/>
  <c r="L39" i="4"/>
  <c r="H39" i="4"/>
  <c r="D39" i="4"/>
  <c r="K39" i="4"/>
  <c r="G39" i="4"/>
  <c r="C39" i="4"/>
  <c r="B40" i="4"/>
  <c r="L40" i="4" l="1"/>
  <c r="H40" i="4"/>
  <c r="D40" i="4"/>
  <c r="K40" i="4"/>
  <c r="G40" i="4"/>
  <c r="C40" i="4"/>
  <c r="N40" i="4"/>
  <c r="J40" i="4"/>
  <c r="F40" i="4"/>
  <c r="M40" i="4"/>
  <c r="I40" i="4"/>
  <c r="E40" i="4"/>
  <c r="A40" i="4"/>
  <c r="B41" i="4"/>
  <c r="N41" i="4" l="1"/>
  <c r="J41" i="4"/>
  <c r="F41" i="4"/>
  <c r="M41" i="4"/>
  <c r="I41" i="4"/>
  <c r="E41" i="4"/>
  <c r="A41" i="4"/>
  <c r="L41" i="4"/>
  <c r="H41" i="4"/>
  <c r="D41" i="4"/>
  <c r="K41" i="4"/>
  <c r="G41" i="4"/>
  <c r="C41" i="4"/>
  <c r="B42" i="4"/>
  <c r="L42" i="4" l="1"/>
  <c r="H42" i="4"/>
  <c r="D42" i="4"/>
  <c r="K42" i="4"/>
  <c r="G42" i="4"/>
  <c r="C42" i="4"/>
  <c r="N42" i="4"/>
  <c r="J42" i="4"/>
  <c r="F42" i="4"/>
  <c r="M42" i="4"/>
  <c r="I42" i="4"/>
  <c r="E42" i="4"/>
  <c r="A42" i="4"/>
  <c r="B43" i="4"/>
  <c r="N43" i="4" l="1"/>
  <c r="J43" i="4"/>
  <c r="F43" i="4"/>
  <c r="M43" i="4"/>
  <c r="I43" i="4"/>
  <c r="E43" i="4"/>
  <c r="A43" i="4"/>
  <c r="L43" i="4"/>
  <c r="H43" i="4"/>
  <c r="D43" i="4"/>
  <c r="K43" i="4"/>
  <c r="G43" i="4"/>
  <c r="C43" i="4"/>
  <c r="B44" i="4"/>
  <c r="L44" i="4" l="1"/>
  <c r="H44" i="4"/>
  <c r="D44" i="4"/>
  <c r="K44" i="4"/>
  <c r="G44" i="4"/>
  <c r="C44" i="4"/>
  <c r="N44" i="4"/>
  <c r="J44" i="4"/>
  <c r="F44" i="4"/>
  <c r="M44" i="4"/>
  <c r="I44" i="4"/>
  <c r="E44" i="4"/>
  <c r="A44" i="4"/>
  <c r="B45" i="4"/>
  <c r="N45" i="4" l="1"/>
  <c r="J45" i="4"/>
  <c r="F45" i="4"/>
  <c r="M45" i="4"/>
  <c r="I45" i="4"/>
  <c r="E45" i="4"/>
  <c r="A45" i="4"/>
  <c r="L45" i="4"/>
  <c r="H45" i="4"/>
  <c r="D45" i="4"/>
  <c r="K45" i="4"/>
  <c r="G45" i="4"/>
  <c r="C45" i="4"/>
  <c r="B46" i="4"/>
  <c r="L46" i="4" l="1"/>
  <c r="H46" i="4"/>
  <c r="D46" i="4"/>
  <c r="K46" i="4"/>
  <c r="G46" i="4"/>
  <c r="C46" i="4"/>
  <c r="N46" i="4"/>
  <c r="J46" i="4"/>
  <c r="F46" i="4"/>
  <c r="M46" i="4"/>
  <c r="I46" i="4"/>
  <c r="E46" i="4"/>
  <c r="A46" i="4"/>
  <c r="B47" i="4"/>
  <c r="N47" i="4" l="1"/>
  <c r="J47" i="4"/>
  <c r="F47" i="4"/>
  <c r="M47" i="4"/>
  <c r="I47" i="4"/>
  <c r="E47" i="4"/>
  <c r="A47" i="4"/>
  <c r="L47" i="4"/>
  <c r="H47" i="4"/>
  <c r="D47" i="4"/>
  <c r="K47" i="4"/>
  <c r="G47" i="4"/>
  <c r="C47" i="4"/>
  <c r="B48" i="4"/>
  <c r="L48" i="4" l="1"/>
  <c r="H48" i="4"/>
  <c r="D48" i="4"/>
  <c r="K48" i="4"/>
  <c r="G48" i="4"/>
  <c r="C48" i="4"/>
  <c r="N48" i="4"/>
  <c r="J48" i="4"/>
  <c r="F48" i="4"/>
  <c r="M48" i="4"/>
  <c r="I48" i="4"/>
  <c r="E48" i="4"/>
  <c r="A48" i="4"/>
  <c r="B49" i="4"/>
  <c r="N49" i="4" l="1"/>
  <c r="J49" i="4"/>
  <c r="F49" i="4"/>
  <c r="M49" i="4"/>
  <c r="I49" i="4"/>
  <c r="E49" i="4"/>
  <c r="A49" i="4"/>
  <c r="L49" i="4"/>
  <c r="H49" i="4"/>
  <c r="D49" i="4"/>
  <c r="K49" i="4"/>
  <c r="G49" i="4"/>
  <c r="C49" i="4"/>
  <c r="B50" i="4"/>
  <c r="M50" i="4" l="1"/>
  <c r="L50" i="4"/>
  <c r="H50" i="4"/>
  <c r="D50" i="4"/>
  <c r="K50" i="4"/>
  <c r="G50" i="4"/>
  <c r="C50" i="4"/>
  <c r="J50" i="4"/>
  <c r="F50" i="4"/>
  <c r="N50" i="4"/>
  <c r="I50" i="4"/>
  <c r="E50" i="4"/>
  <c r="A50" i="4"/>
  <c r="B51" i="4"/>
  <c r="K51" i="4" l="1"/>
  <c r="G51" i="4"/>
  <c r="C51" i="4"/>
  <c r="M51" i="4"/>
  <c r="I51" i="4"/>
  <c r="E51" i="4"/>
  <c r="L51" i="4"/>
  <c r="D51" i="4"/>
  <c r="J51" i="4"/>
  <c r="H51" i="4"/>
  <c r="A51" i="4"/>
  <c r="N51" i="4"/>
  <c r="F51" i="4"/>
  <c r="B52" i="4"/>
  <c r="M52" i="4" l="1"/>
  <c r="I52" i="4"/>
  <c r="E52" i="4"/>
  <c r="A52" i="4"/>
  <c r="K52" i="4"/>
  <c r="G52" i="4"/>
  <c r="C52" i="4"/>
  <c r="N52" i="4"/>
  <c r="F52" i="4"/>
  <c r="L52" i="4"/>
  <c r="D52" i="4"/>
  <c r="J52" i="4"/>
  <c r="H52" i="4"/>
  <c r="B53" i="4"/>
  <c r="K53" i="4" l="1"/>
  <c r="G53" i="4"/>
  <c r="C53" i="4"/>
  <c r="M53" i="4"/>
  <c r="I53" i="4"/>
  <c r="E53" i="4"/>
  <c r="A53" i="4"/>
  <c r="H53" i="4"/>
  <c r="N53" i="4"/>
  <c r="F53" i="4"/>
  <c r="L53" i="4"/>
  <c r="D53" i="4"/>
  <c r="J53" i="4"/>
  <c r="B54" i="4"/>
  <c r="M54" i="4" l="1"/>
  <c r="I54" i="4"/>
  <c r="E54" i="4"/>
  <c r="A54" i="4"/>
  <c r="K54" i="4"/>
  <c r="G54" i="4"/>
  <c r="C54" i="4"/>
  <c r="J54" i="4"/>
  <c r="H54" i="4"/>
  <c r="N54" i="4"/>
  <c r="F54" i="4"/>
  <c r="L54" i="4"/>
  <c r="D54" i="4"/>
  <c r="B55" i="4"/>
  <c r="K55" i="4" l="1"/>
  <c r="G55" i="4"/>
  <c r="C55" i="4"/>
  <c r="M55" i="4"/>
  <c r="I55" i="4"/>
  <c r="E55" i="4"/>
  <c r="A55" i="4"/>
  <c r="L55" i="4"/>
  <c r="D55" i="4"/>
  <c r="J55" i="4"/>
  <c r="H55" i="4"/>
  <c r="N55" i="4"/>
  <c r="F55" i="4"/>
  <c r="B56" i="4"/>
  <c r="M56" i="4" l="1"/>
  <c r="I56" i="4"/>
  <c r="E56" i="4"/>
  <c r="A56" i="4"/>
  <c r="K56" i="4"/>
  <c r="G56" i="4"/>
  <c r="C56" i="4"/>
  <c r="N56" i="4"/>
  <c r="F56" i="4"/>
  <c r="L56" i="4"/>
  <c r="D56" i="4"/>
  <c r="J56" i="4"/>
  <c r="H56" i="4"/>
  <c r="B57" i="4"/>
  <c r="K57" i="4" l="1"/>
  <c r="G57" i="4"/>
  <c r="C57" i="4"/>
  <c r="M57" i="4"/>
  <c r="I57" i="4"/>
  <c r="E57" i="4"/>
  <c r="A57" i="4"/>
  <c r="H57" i="4"/>
  <c r="N57" i="4"/>
  <c r="F57" i="4"/>
  <c r="L57" i="4"/>
  <c r="D57" i="4"/>
  <c r="J57" i="4"/>
  <c r="B58" i="4"/>
  <c r="M58" i="4" l="1"/>
  <c r="I58" i="4"/>
  <c r="E58" i="4"/>
  <c r="A58" i="4"/>
  <c r="K58" i="4"/>
  <c r="G58" i="4"/>
  <c r="C58" i="4"/>
  <c r="J58" i="4"/>
  <c r="H58" i="4"/>
  <c r="N58" i="4"/>
  <c r="F58" i="4"/>
  <c r="L58" i="4"/>
  <c r="D58" i="4"/>
  <c r="B59" i="4"/>
  <c r="K59" i="4" l="1"/>
  <c r="G59" i="4"/>
  <c r="C59" i="4"/>
  <c r="M59" i="4"/>
  <c r="I59" i="4"/>
  <c r="E59" i="4"/>
  <c r="A59" i="4"/>
  <c r="L59" i="4"/>
  <c r="D59" i="4"/>
  <c r="J59" i="4"/>
  <c r="H59" i="4"/>
  <c r="N59" i="4"/>
  <c r="F59" i="4"/>
  <c r="B60" i="4"/>
  <c r="M60" i="4" l="1"/>
  <c r="I60" i="4"/>
  <c r="E60" i="4"/>
  <c r="A60" i="4"/>
  <c r="K60" i="4"/>
  <c r="G60" i="4"/>
  <c r="C60" i="4"/>
  <c r="N60" i="4"/>
  <c r="F60" i="4"/>
  <c r="L60" i="4"/>
  <c r="D60" i="4"/>
  <c r="J60" i="4"/>
  <c r="H60" i="4"/>
  <c r="B61" i="4"/>
  <c r="K61" i="4" l="1"/>
  <c r="G61" i="4"/>
  <c r="C61" i="4"/>
  <c r="M61" i="4"/>
  <c r="I61" i="4"/>
  <c r="E61" i="4"/>
  <c r="A61" i="4"/>
  <c r="H61" i="4"/>
  <c r="N61" i="4"/>
  <c r="F61" i="4"/>
  <c r="L61" i="4"/>
  <c r="D61" i="4"/>
  <c r="J61" i="4"/>
  <c r="B62" i="4"/>
  <c r="M62" i="4" l="1"/>
  <c r="I62" i="4"/>
  <c r="E62" i="4"/>
  <c r="A62" i="4"/>
  <c r="K62" i="4"/>
  <c r="G62" i="4"/>
  <c r="C62" i="4"/>
  <c r="J62" i="4"/>
  <c r="H62" i="4"/>
  <c r="N62" i="4"/>
  <c r="F62" i="4"/>
  <c r="L62" i="4"/>
  <c r="D62" i="4"/>
  <c r="B63" i="4"/>
  <c r="K63" i="4" l="1"/>
  <c r="G63" i="4"/>
  <c r="C63" i="4"/>
  <c r="M63" i="4"/>
  <c r="I63" i="4"/>
  <c r="E63" i="4"/>
  <c r="A63" i="4"/>
  <c r="L63" i="4"/>
  <c r="D63" i="4"/>
  <c r="J63" i="4"/>
  <c r="H63" i="4"/>
  <c r="N63" i="4"/>
  <c r="F63" i="4"/>
  <c r="B64" i="4"/>
  <c r="M64" i="4" l="1"/>
  <c r="I64" i="4"/>
  <c r="E64" i="4"/>
  <c r="A64" i="4"/>
  <c r="K64" i="4"/>
  <c r="G64" i="4"/>
  <c r="C64" i="4"/>
  <c r="N64" i="4"/>
  <c r="F64" i="4"/>
  <c r="L64" i="4"/>
  <c r="D64" i="4"/>
  <c r="J64" i="4"/>
  <c r="H64" i="4"/>
  <c r="B65" i="4"/>
  <c r="K65" i="4" l="1"/>
  <c r="G65" i="4"/>
  <c r="C65" i="4"/>
  <c r="M65" i="4"/>
  <c r="I65" i="4"/>
  <c r="E65" i="4"/>
  <c r="A65" i="4"/>
  <c r="H65" i="4"/>
  <c r="N65" i="4"/>
  <c r="F65" i="4"/>
  <c r="L65" i="4"/>
  <c r="D65" i="4"/>
  <c r="J65" i="4"/>
  <c r="B66" i="4"/>
  <c r="M66" i="4" l="1"/>
  <c r="I66" i="4"/>
  <c r="E66" i="4"/>
  <c r="A66" i="4"/>
  <c r="K66" i="4"/>
  <c r="G66" i="4"/>
  <c r="C66" i="4"/>
  <c r="J66" i="4"/>
  <c r="H66" i="4"/>
  <c r="N66" i="4"/>
  <c r="F66" i="4"/>
  <c r="L66" i="4"/>
  <c r="D66" i="4"/>
  <c r="B67" i="4"/>
  <c r="K67" i="4" l="1"/>
  <c r="G67" i="4"/>
  <c r="C67" i="4"/>
  <c r="M67" i="4"/>
  <c r="I67" i="4"/>
  <c r="E67" i="4"/>
  <c r="A67" i="4"/>
  <c r="L67" i="4"/>
  <c r="D67" i="4"/>
  <c r="J67" i="4"/>
  <c r="H67" i="4"/>
  <c r="N67" i="4"/>
  <c r="F67" i="4"/>
  <c r="B68" i="4"/>
  <c r="M68" i="4" l="1"/>
  <c r="I68" i="4"/>
  <c r="E68" i="4"/>
  <c r="A68" i="4"/>
  <c r="K68" i="4"/>
  <c r="G68" i="4"/>
  <c r="C68" i="4"/>
  <c r="N68" i="4"/>
  <c r="F68" i="4"/>
  <c r="L68" i="4"/>
  <c r="D68" i="4"/>
  <c r="J68" i="4"/>
  <c r="H68" i="4"/>
  <c r="B69" i="4"/>
  <c r="K69" i="4" l="1"/>
  <c r="G69" i="4"/>
  <c r="C69" i="4"/>
  <c r="M69" i="4"/>
  <c r="I69" i="4"/>
  <c r="E69" i="4"/>
  <c r="A69" i="4"/>
  <c r="H69" i="4"/>
  <c r="N69" i="4"/>
  <c r="F69" i="4"/>
  <c r="L69" i="4"/>
  <c r="D69" i="4"/>
  <c r="J69" i="4"/>
  <c r="B70" i="4"/>
  <c r="M70" i="4" l="1"/>
  <c r="I70" i="4"/>
  <c r="E70" i="4"/>
  <c r="A70" i="4"/>
  <c r="K70" i="4"/>
  <c r="G70" i="4"/>
  <c r="C70" i="4"/>
  <c r="J70" i="4"/>
  <c r="H70" i="4"/>
  <c r="N70" i="4"/>
  <c r="F70" i="4"/>
  <c r="L70" i="4"/>
  <c r="D70" i="4"/>
  <c r="B71" i="4"/>
  <c r="K71" i="4" l="1"/>
  <c r="G71" i="4"/>
  <c r="C71" i="4"/>
  <c r="M71" i="4"/>
  <c r="I71" i="4"/>
  <c r="E71" i="4"/>
  <c r="A71" i="4"/>
  <c r="L71" i="4"/>
  <c r="D71" i="4"/>
  <c r="J71" i="4"/>
  <c r="H71" i="4"/>
  <c r="N71" i="4"/>
  <c r="F71" i="4"/>
  <c r="B72" i="4"/>
  <c r="M72" i="4" l="1"/>
  <c r="I72" i="4"/>
  <c r="E72" i="4"/>
  <c r="A72" i="4"/>
  <c r="K72" i="4"/>
  <c r="G72" i="4"/>
  <c r="C72" i="4"/>
  <c r="N72" i="4"/>
  <c r="F72" i="4"/>
  <c r="L72" i="4"/>
  <c r="D72" i="4"/>
  <c r="J72" i="4"/>
  <c r="H72" i="4"/>
  <c r="B73" i="4"/>
  <c r="K73" i="4" l="1"/>
  <c r="G73" i="4"/>
  <c r="C73" i="4"/>
  <c r="M73" i="4"/>
  <c r="I73" i="4"/>
  <c r="E73" i="4"/>
  <c r="A73" i="4"/>
  <c r="H73" i="4"/>
  <c r="N73" i="4"/>
  <c r="F73" i="4"/>
  <c r="L73" i="4"/>
  <c r="D73" i="4"/>
  <c r="J73" i="4"/>
  <c r="B74" i="4"/>
  <c r="M74" i="4" l="1"/>
  <c r="I74" i="4"/>
  <c r="E74" i="4"/>
  <c r="A74" i="4"/>
  <c r="K74" i="4"/>
  <c r="G74" i="4"/>
  <c r="C74" i="4"/>
  <c r="J74" i="4"/>
  <c r="H74" i="4"/>
  <c r="N74" i="4"/>
  <c r="F74" i="4"/>
  <c r="L74" i="4"/>
  <c r="D74" i="4"/>
  <c r="B75" i="4"/>
  <c r="K75" i="4" l="1"/>
  <c r="G75" i="4"/>
  <c r="C75" i="4"/>
  <c r="M75" i="4"/>
  <c r="I75" i="4"/>
  <c r="E75" i="4"/>
  <c r="A75" i="4"/>
  <c r="L75" i="4"/>
  <c r="H75" i="4"/>
  <c r="D75" i="4"/>
  <c r="N75" i="4"/>
  <c r="J75" i="4"/>
  <c r="F75" i="4"/>
  <c r="B76" i="4"/>
  <c r="M76" i="4" l="1"/>
  <c r="I76" i="4"/>
  <c r="E76" i="4"/>
  <c r="A76" i="4"/>
  <c r="K76" i="4"/>
  <c r="G76" i="4"/>
  <c r="C76" i="4"/>
  <c r="N76" i="4"/>
  <c r="J76" i="4"/>
  <c r="F76" i="4"/>
  <c r="D76" i="4"/>
  <c r="L76" i="4"/>
  <c r="H76" i="4"/>
  <c r="B77" i="4"/>
  <c r="K77" i="4" l="1"/>
  <c r="G77" i="4"/>
  <c r="C77" i="4"/>
  <c r="M77" i="4"/>
  <c r="I77" i="4"/>
  <c r="E77" i="4"/>
  <c r="A77" i="4"/>
  <c r="L77" i="4"/>
  <c r="H77" i="4"/>
  <c r="D77" i="4"/>
  <c r="F77" i="4"/>
  <c r="N77" i="4"/>
  <c r="J77" i="4"/>
  <c r="B78" i="4"/>
  <c r="M78" i="4" l="1"/>
  <c r="I78" i="4"/>
  <c r="E78" i="4"/>
  <c r="A78" i="4"/>
  <c r="K78" i="4"/>
  <c r="G78" i="4"/>
  <c r="C78" i="4"/>
  <c r="N78" i="4"/>
  <c r="J78" i="4"/>
  <c r="F78" i="4"/>
  <c r="H78" i="4"/>
  <c r="D78" i="4"/>
  <c r="L78" i="4"/>
  <c r="B79" i="4"/>
  <c r="K79" i="4" l="1"/>
  <c r="G79" i="4"/>
  <c r="C79" i="4"/>
  <c r="M79" i="4"/>
  <c r="I79" i="4"/>
  <c r="E79" i="4"/>
  <c r="A79" i="4"/>
  <c r="L79" i="4"/>
  <c r="H79" i="4"/>
  <c r="D79" i="4"/>
  <c r="J79" i="4"/>
  <c r="F79" i="4"/>
  <c r="N79" i="4"/>
  <c r="B80" i="4"/>
  <c r="M80" i="4" l="1"/>
  <c r="I80" i="4"/>
  <c r="E80" i="4"/>
  <c r="A80" i="4"/>
  <c r="K80" i="4"/>
  <c r="G80" i="4"/>
  <c r="C80" i="4"/>
  <c r="N80" i="4"/>
  <c r="J80" i="4"/>
  <c r="F80" i="4"/>
  <c r="L80" i="4"/>
  <c r="H80" i="4"/>
  <c r="D80" i="4"/>
  <c r="B81" i="4"/>
  <c r="K81" i="4" l="1"/>
  <c r="G81" i="4"/>
  <c r="C81" i="4"/>
  <c r="M81" i="4"/>
  <c r="I81" i="4"/>
  <c r="E81" i="4"/>
  <c r="A81" i="4"/>
  <c r="L81" i="4"/>
  <c r="H81" i="4"/>
  <c r="D81" i="4"/>
  <c r="N81" i="4"/>
  <c r="J81" i="4"/>
  <c r="F81" i="4"/>
  <c r="B82" i="4"/>
  <c r="M82" i="4" l="1"/>
  <c r="I82" i="4"/>
  <c r="E82" i="4"/>
  <c r="A82" i="4"/>
  <c r="K82" i="4"/>
  <c r="G82" i="4"/>
  <c r="C82" i="4"/>
  <c r="N82" i="4"/>
  <c r="J82" i="4"/>
  <c r="F82" i="4"/>
  <c r="L82" i="4"/>
  <c r="H82" i="4"/>
  <c r="D82" i="4"/>
  <c r="B83" i="4"/>
  <c r="K83" i="4" l="1"/>
  <c r="G83" i="4"/>
  <c r="C83" i="4"/>
  <c r="M83" i="4"/>
  <c r="I83" i="4"/>
  <c r="E83" i="4"/>
  <c r="A83" i="4"/>
  <c r="L83" i="4"/>
  <c r="H83" i="4"/>
  <c r="D83" i="4"/>
  <c r="N83" i="4"/>
  <c r="J83" i="4"/>
  <c r="F83" i="4"/>
  <c r="B84" i="4"/>
  <c r="M84" i="4" l="1"/>
  <c r="I84" i="4"/>
  <c r="E84" i="4"/>
  <c r="A84" i="4"/>
  <c r="K84" i="4"/>
  <c r="G84" i="4"/>
  <c r="C84" i="4"/>
  <c r="N84" i="4"/>
  <c r="J84" i="4"/>
  <c r="F84" i="4"/>
  <c r="D84" i="4"/>
  <c r="L84" i="4"/>
  <c r="H84" i="4"/>
  <c r="B85" i="4"/>
  <c r="K85" i="4" l="1"/>
  <c r="G85" i="4"/>
  <c r="C85" i="4"/>
  <c r="M85" i="4"/>
  <c r="I85" i="4"/>
  <c r="E85" i="4"/>
  <c r="A85" i="4"/>
  <c r="L85" i="4"/>
  <c r="H85" i="4"/>
  <c r="D85" i="4"/>
  <c r="F85" i="4"/>
  <c r="N85" i="4"/>
  <c r="J85" i="4"/>
  <c r="B86" i="4"/>
  <c r="M86" i="4" l="1"/>
  <c r="I86" i="4"/>
  <c r="E86" i="4"/>
  <c r="A86" i="4"/>
  <c r="K86" i="4"/>
  <c r="G86" i="4"/>
  <c r="C86" i="4"/>
  <c r="N86" i="4"/>
  <c r="J86" i="4"/>
  <c r="F86" i="4"/>
  <c r="H86" i="4"/>
  <c r="D86" i="4"/>
  <c r="L86" i="4"/>
  <c r="B87" i="4"/>
  <c r="K87" i="4" l="1"/>
  <c r="G87" i="4"/>
  <c r="C87" i="4"/>
  <c r="M87" i="4"/>
  <c r="I87" i="4"/>
  <c r="E87" i="4"/>
  <c r="A87" i="4"/>
  <c r="L87" i="4"/>
  <c r="H87" i="4"/>
  <c r="D87" i="4"/>
  <c r="J87" i="4"/>
  <c r="F87" i="4"/>
  <c r="N87" i="4"/>
  <c r="B88" i="4"/>
  <c r="M88" i="4" l="1"/>
  <c r="I88" i="4"/>
  <c r="E88" i="4"/>
  <c r="A88" i="4"/>
  <c r="L88" i="4"/>
  <c r="H88" i="4"/>
  <c r="D88" i="4"/>
  <c r="K88" i="4"/>
  <c r="G88" i="4"/>
  <c r="C88" i="4"/>
  <c r="N88" i="4"/>
  <c r="J88" i="4"/>
  <c r="F88" i="4"/>
  <c r="B89" i="4"/>
  <c r="K89" i="4" l="1"/>
  <c r="G89" i="4"/>
  <c r="C89" i="4"/>
  <c r="N89" i="4"/>
  <c r="J89" i="4"/>
  <c r="F89" i="4"/>
  <c r="M89" i="4"/>
  <c r="I89" i="4"/>
  <c r="E89" i="4"/>
  <c r="A89" i="4"/>
  <c r="L89" i="4"/>
  <c r="H89" i="4"/>
  <c r="D89" i="4"/>
  <c r="B90" i="4"/>
  <c r="M90" i="4" l="1"/>
  <c r="I90" i="4"/>
  <c r="E90" i="4"/>
  <c r="A90" i="4"/>
  <c r="L90" i="4"/>
  <c r="H90" i="4"/>
  <c r="D90" i="4"/>
  <c r="K90" i="4"/>
  <c r="G90" i="4"/>
  <c r="C90" i="4"/>
  <c r="N90" i="4"/>
  <c r="J90" i="4"/>
  <c r="F90" i="4"/>
  <c r="B91" i="4"/>
  <c r="K91" i="4" l="1"/>
  <c r="G91" i="4"/>
  <c r="C91" i="4"/>
  <c r="N91" i="4"/>
  <c r="J91" i="4"/>
  <c r="F91" i="4"/>
  <c r="M91" i="4"/>
  <c r="I91" i="4"/>
  <c r="E91" i="4"/>
  <c r="A91" i="4"/>
  <c r="L91" i="4"/>
  <c r="H91" i="4"/>
  <c r="D91" i="4"/>
  <c r="B92" i="4"/>
  <c r="M92" i="4" l="1"/>
  <c r="I92" i="4"/>
  <c r="E92" i="4"/>
  <c r="A92" i="4"/>
  <c r="L92" i="4"/>
  <c r="H92" i="4"/>
  <c r="D92" i="4"/>
  <c r="K92" i="4"/>
  <c r="G92" i="4"/>
  <c r="C92" i="4"/>
  <c r="N92" i="4"/>
  <c r="J92" i="4"/>
  <c r="F92" i="4"/>
  <c r="B93" i="4"/>
  <c r="K93" i="4" l="1"/>
  <c r="G93" i="4"/>
  <c r="C93" i="4"/>
  <c r="N93" i="4"/>
  <c r="J93" i="4"/>
  <c r="F93" i="4"/>
  <c r="M93" i="4"/>
  <c r="I93" i="4"/>
  <c r="E93" i="4"/>
  <c r="A93" i="4"/>
  <c r="L93" i="4"/>
  <c r="H93" i="4"/>
  <c r="D93" i="4"/>
  <c r="B94" i="4"/>
  <c r="M94" i="4" l="1"/>
  <c r="I94" i="4"/>
  <c r="E94" i="4"/>
  <c r="A94" i="4"/>
  <c r="L94" i="4"/>
  <c r="H94" i="4"/>
  <c r="D94" i="4"/>
  <c r="K94" i="4"/>
  <c r="G94" i="4"/>
  <c r="C94" i="4"/>
  <c r="N94" i="4"/>
  <c r="J94" i="4"/>
  <c r="F94" i="4"/>
  <c r="B95" i="4"/>
  <c r="K95" i="4" l="1"/>
  <c r="G95" i="4"/>
  <c r="C95" i="4"/>
  <c r="N95" i="4"/>
  <c r="J95" i="4"/>
  <c r="F95" i="4"/>
  <c r="M95" i="4"/>
  <c r="I95" i="4"/>
  <c r="E95" i="4"/>
  <c r="A95" i="4"/>
  <c r="L95" i="4"/>
  <c r="H95" i="4"/>
  <c r="D95" i="4"/>
  <c r="B96" i="4"/>
  <c r="M96" i="4" l="1"/>
  <c r="I96" i="4"/>
  <c r="E96" i="4"/>
  <c r="A96" i="4"/>
  <c r="L96" i="4"/>
  <c r="H96" i="4"/>
  <c r="D96" i="4"/>
  <c r="K96" i="4"/>
  <c r="G96" i="4"/>
  <c r="C96" i="4"/>
  <c r="N96" i="4"/>
  <c r="J96" i="4"/>
  <c r="F96" i="4"/>
  <c r="B97" i="4"/>
  <c r="K97" i="4" l="1"/>
  <c r="G97" i="4"/>
  <c r="C97" i="4"/>
  <c r="N97" i="4"/>
  <c r="J97" i="4"/>
  <c r="F97" i="4"/>
  <c r="M97" i="4"/>
  <c r="I97" i="4"/>
  <c r="E97" i="4"/>
  <c r="A97" i="4"/>
  <c r="L97" i="4"/>
  <c r="H97" i="4"/>
  <c r="D97" i="4"/>
  <c r="B98" i="4"/>
  <c r="M98" i="4" l="1"/>
  <c r="I98" i="4"/>
  <c r="E98" i="4"/>
  <c r="A98" i="4"/>
  <c r="L98" i="4"/>
  <c r="H98" i="4"/>
  <c r="D98" i="4"/>
  <c r="K98" i="4"/>
  <c r="G98" i="4"/>
  <c r="C98" i="4"/>
  <c r="N98" i="4"/>
  <c r="J98" i="4"/>
  <c r="F98" i="4"/>
  <c r="B99" i="4"/>
  <c r="K99" i="4" l="1"/>
  <c r="G99" i="4"/>
  <c r="C99" i="4"/>
  <c r="N99" i="4"/>
  <c r="J99" i="4"/>
  <c r="F99" i="4"/>
  <c r="M99" i="4"/>
  <c r="I99" i="4"/>
  <c r="E99" i="4"/>
  <c r="A99" i="4"/>
  <c r="L99" i="4"/>
  <c r="H99" i="4"/>
  <c r="D99" i="4"/>
  <c r="B100" i="4"/>
  <c r="M100" i="4" l="1"/>
  <c r="I100" i="4"/>
  <c r="E100" i="4"/>
  <c r="A100" i="4"/>
  <c r="L100" i="4"/>
  <c r="H100" i="4"/>
  <c r="D100" i="4"/>
  <c r="K100" i="4"/>
  <c r="G100" i="4"/>
  <c r="C100" i="4"/>
  <c r="N100" i="4"/>
  <c r="J100" i="4"/>
  <c r="F100" i="4"/>
  <c r="B101" i="4"/>
  <c r="K101" i="4" l="1"/>
  <c r="G101" i="4"/>
  <c r="C101" i="4"/>
  <c r="N101" i="4"/>
  <c r="J101" i="4"/>
  <c r="F101" i="4"/>
  <c r="M101" i="4"/>
  <c r="I101" i="4"/>
  <c r="E101" i="4"/>
  <c r="A101" i="4"/>
  <c r="L101" i="4"/>
  <c r="H101" i="4"/>
  <c r="D101" i="4"/>
  <c r="B102" i="4"/>
  <c r="M102" i="4" l="1"/>
  <c r="I102" i="4"/>
  <c r="E102" i="4"/>
  <c r="A102" i="4"/>
  <c r="L102" i="4"/>
  <c r="H102" i="4"/>
  <c r="D102" i="4"/>
  <c r="K102" i="4"/>
  <c r="G102" i="4"/>
  <c r="C102" i="4"/>
  <c r="N102" i="4"/>
  <c r="J102" i="4"/>
  <c r="F102" i="4"/>
  <c r="B103" i="4"/>
  <c r="K103" i="4" l="1"/>
  <c r="G103" i="4"/>
  <c r="C103" i="4"/>
  <c r="N103" i="4"/>
  <c r="J103" i="4"/>
  <c r="F103" i="4"/>
  <c r="M103" i="4"/>
  <c r="I103" i="4"/>
  <c r="E103" i="4"/>
  <c r="A103" i="4"/>
  <c r="L103" i="4"/>
  <c r="H103" i="4"/>
  <c r="D103" i="4"/>
  <c r="B104" i="4"/>
  <c r="M104" i="4" l="1"/>
  <c r="I104" i="4"/>
  <c r="E104" i="4"/>
  <c r="A104" i="4"/>
  <c r="L104" i="4"/>
  <c r="H104" i="4"/>
  <c r="D104" i="4"/>
  <c r="K104" i="4"/>
  <c r="G104" i="4"/>
  <c r="C104" i="4"/>
  <c r="N104" i="4"/>
  <c r="J104" i="4"/>
  <c r="F104" i="4"/>
  <c r="B105" i="4"/>
  <c r="K105" i="4" l="1"/>
  <c r="G105" i="4"/>
  <c r="C105" i="4"/>
  <c r="N105" i="4"/>
  <c r="J105" i="4"/>
  <c r="F105" i="4"/>
  <c r="M105" i="4"/>
  <c r="I105" i="4"/>
  <c r="E105" i="4"/>
  <c r="A105" i="4"/>
  <c r="L105" i="4"/>
  <c r="H105" i="4"/>
  <c r="D105" i="4"/>
  <c r="B106" i="4"/>
  <c r="M106" i="4" l="1"/>
  <c r="I106" i="4"/>
  <c r="E106" i="4"/>
  <c r="A106" i="4"/>
  <c r="L106" i="4"/>
  <c r="H106" i="4"/>
  <c r="D106" i="4"/>
  <c r="K106" i="4"/>
  <c r="G106" i="4"/>
  <c r="C106" i="4"/>
  <c r="N106" i="4"/>
  <c r="J106" i="4"/>
  <c r="F106" i="4"/>
  <c r="B107" i="4"/>
  <c r="K107" i="4" l="1"/>
  <c r="G107" i="4"/>
  <c r="C107" i="4"/>
  <c r="N107" i="4"/>
  <c r="J107" i="4"/>
  <c r="F107" i="4"/>
  <c r="M107" i="4"/>
  <c r="I107" i="4"/>
  <c r="E107" i="4"/>
  <c r="A107" i="4"/>
  <c r="L107" i="4"/>
  <c r="H107" i="4"/>
  <c r="D107" i="4"/>
  <c r="B108" i="4"/>
  <c r="M108" i="4" l="1"/>
  <c r="I108" i="4"/>
  <c r="E108" i="4"/>
  <c r="A108" i="4"/>
  <c r="L108" i="4"/>
  <c r="H108" i="4"/>
  <c r="D108" i="4"/>
  <c r="K108" i="4"/>
  <c r="G108" i="4"/>
  <c r="C108" i="4"/>
  <c r="N108" i="4"/>
  <c r="J108" i="4"/>
  <c r="F108" i="4"/>
  <c r="B109" i="4"/>
  <c r="K109" i="4" l="1"/>
  <c r="G109" i="4"/>
  <c r="C109" i="4"/>
  <c r="N109" i="4"/>
  <c r="J109" i="4"/>
  <c r="F109" i="4"/>
  <c r="M109" i="4"/>
  <c r="I109" i="4"/>
  <c r="E109" i="4"/>
  <c r="A109" i="4"/>
  <c r="L109" i="4"/>
  <c r="H109" i="4"/>
  <c r="D109" i="4"/>
  <c r="B110" i="4"/>
  <c r="M110" i="4" l="1"/>
  <c r="I110" i="4"/>
  <c r="E110" i="4"/>
  <c r="A110" i="4"/>
  <c r="L110" i="4"/>
  <c r="H110" i="4"/>
  <c r="D110" i="4"/>
  <c r="K110" i="4"/>
  <c r="G110" i="4"/>
  <c r="C110" i="4"/>
  <c r="N110" i="4"/>
  <c r="J110" i="4"/>
  <c r="F110" i="4"/>
  <c r="B111" i="4"/>
  <c r="K111" i="4" l="1"/>
  <c r="G111" i="4"/>
  <c r="C111" i="4"/>
  <c r="N111" i="4"/>
  <c r="J111" i="4"/>
  <c r="F111" i="4"/>
  <c r="M111" i="4"/>
  <c r="I111" i="4"/>
  <c r="E111" i="4"/>
  <c r="A111" i="4"/>
  <c r="L111" i="4"/>
  <c r="H111" i="4"/>
  <c r="D111" i="4"/>
  <c r="B112" i="4"/>
  <c r="M112" i="4" l="1"/>
  <c r="I112" i="4"/>
  <c r="E112" i="4"/>
  <c r="A112" i="4"/>
  <c r="L112" i="4"/>
  <c r="H112" i="4"/>
  <c r="D112" i="4"/>
  <c r="K112" i="4"/>
  <c r="G112" i="4"/>
  <c r="C112" i="4"/>
  <c r="N112" i="4"/>
  <c r="J112" i="4"/>
  <c r="F112" i="4"/>
  <c r="B113" i="4"/>
  <c r="K113" i="4" l="1"/>
  <c r="G113" i="4"/>
  <c r="C113" i="4"/>
  <c r="N113" i="4"/>
  <c r="J113" i="4"/>
  <c r="F113" i="4"/>
  <c r="M113" i="4"/>
  <c r="I113" i="4"/>
  <c r="E113" i="4"/>
  <c r="A113" i="4"/>
  <c r="L113" i="4"/>
  <c r="H113" i="4"/>
  <c r="D113" i="4"/>
  <c r="B114" i="4"/>
  <c r="M114" i="4" l="1"/>
  <c r="I114" i="4"/>
  <c r="E114" i="4"/>
  <c r="A114" i="4"/>
  <c r="L114" i="4"/>
  <c r="H114" i="4"/>
  <c r="D114" i="4"/>
  <c r="K114" i="4"/>
  <c r="G114" i="4"/>
  <c r="C114" i="4"/>
  <c r="N114" i="4"/>
  <c r="J114" i="4"/>
  <c r="F114" i="4"/>
  <c r="B115" i="4"/>
  <c r="K115" i="4" l="1"/>
  <c r="G115" i="4"/>
  <c r="C115" i="4"/>
  <c r="N115" i="4"/>
  <c r="J115" i="4"/>
  <c r="F115" i="4"/>
  <c r="M115" i="4"/>
  <c r="I115" i="4"/>
  <c r="E115" i="4"/>
  <c r="A115" i="4"/>
  <c r="L115" i="4"/>
  <c r="H115" i="4"/>
  <c r="D115" i="4"/>
  <c r="B116" i="4"/>
  <c r="M116" i="4" l="1"/>
  <c r="I116" i="4"/>
  <c r="E116" i="4"/>
  <c r="A116" i="4"/>
  <c r="L116" i="4"/>
  <c r="H116" i="4"/>
  <c r="D116" i="4"/>
  <c r="K116" i="4"/>
  <c r="G116" i="4"/>
  <c r="C116" i="4"/>
  <c r="N116" i="4"/>
  <c r="J116" i="4"/>
  <c r="F116" i="4"/>
  <c r="B117" i="4"/>
  <c r="K117" i="4" l="1"/>
  <c r="G117" i="4"/>
  <c r="C117" i="4"/>
  <c r="N117" i="4"/>
  <c r="J117" i="4"/>
  <c r="F117" i="4"/>
  <c r="M117" i="4"/>
  <c r="I117" i="4"/>
  <c r="E117" i="4"/>
  <c r="A117" i="4"/>
  <c r="L117" i="4"/>
  <c r="H117" i="4"/>
  <c r="D117" i="4"/>
  <c r="B118" i="4"/>
  <c r="M118" i="4" l="1"/>
  <c r="I118" i="4"/>
  <c r="E118" i="4"/>
  <c r="A118" i="4"/>
  <c r="L118" i="4"/>
  <c r="H118" i="4"/>
  <c r="D118" i="4"/>
  <c r="K118" i="4"/>
  <c r="G118" i="4"/>
  <c r="C118" i="4"/>
  <c r="N118" i="4"/>
  <c r="J118" i="4"/>
  <c r="F118" i="4"/>
  <c r="B119" i="4"/>
  <c r="K119" i="4" l="1"/>
  <c r="G119" i="4"/>
  <c r="C119" i="4"/>
  <c r="N119" i="4"/>
  <c r="J119" i="4"/>
  <c r="F119" i="4"/>
  <c r="M119" i="4"/>
  <c r="I119" i="4"/>
  <c r="E119" i="4"/>
  <c r="A119" i="4"/>
  <c r="L119" i="4"/>
  <c r="H119" i="4"/>
  <c r="D119" i="4"/>
  <c r="B120" i="4"/>
  <c r="M120" i="4" l="1"/>
  <c r="I120" i="4"/>
  <c r="E120" i="4"/>
  <c r="A120" i="4"/>
  <c r="L120" i="4"/>
  <c r="H120" i="4"/>
  <c r="D120" i="4"/>
  <c r="K120" i="4"/>
  <c r="G120" i="4"/>
  <c r="C120" i="4"/>
  <c r="N120" i="4"/>
  <c r="J120" i="4"/>
  <c r="F120" i="4"/>
  <c r="B121" i="4"/>
  <c r="K121" i="4" l="1"/>
  <c r="G121" i="4"/>
  <c r="C121" i="4"/>
  <c r="N121" i="4"/>
  <c r="J121" i="4"/>
  <c r="F121" i="4"/>
  <c r="M121" i="4"/>
  <c r="I121" i="4"/>
  <c r="E121" i="4"/>
  <c r="A121" i="4"/>
  <c r="L121" i="4"/>
  <c r="H121" i="4"/>
  <c r="D121" i="4"/>
  <c r="B122" i="4"/>
  <c r="M122" i="4" l="1"/>
  <c r="I122" i="4"/>
  <c r="E122" i="4"/>
  <c r="A122" i="4"/>
  <c r="L122" i="4"/>
  <c r="H122" i="4"/>
  <c r="D122" i="4"/>
  <c r="K122" i="4"/>
  <c r="G122" i="4"/>
  <c r="C122" i="4"/>
  <c r="N122" i="4"/>
  <c r="J122" i="4"/>
  <c r="F122" i="4"/>
  <c r="B123" i="4"/>
  <c r="K123" i="4" l="1"/>
  <c r="G123" i="4"/>
  <c r="C123" i="4"/>
  <c r="N123" i="4"/>
  <c r="J123" i="4"/>
  <c r="F123" i="4"/>
  <c r="M123" i="4"/>
  <c r="I123" i="4"/>
  <c r="E123" i="4"/>
  <c r="A123" i="4"/>
  <c r="L123" i="4"/>
  <c r="H123" i="4"/>
  <c r="D123" i="4"/>
  <c r="B124" i="4"/>
  <c r="M124" i="4" l="1"/>
  <c r="I124" i="4"/>
  <c r="E124" i="4"/>
  <c r="A124" i="4"/>
  <c r="L124" i="4"/>
  <c r="H124" i="4"/>
  <c r="D124" i="4"/>
  <c r="K124" i="4"/>
  <c r="G124" i="4"/>
  <c r="C124" i="4"/>
  <c r="N124" i="4"/>
  <c r="J124" i="4"/>
  <c r="F124" i="4"/>
  <c r="B125" i="4"/>
  <c r="K125" i="4" l="1"/>
  <c r="G125" i="4"/>
  <c r="C125" i="4"/>
  <c r="N125" i="4"/>
  <c r="J125" i="4"/>
  <c r="F125" i="4"/>
  <c r="M125" i="4"/>
  <c r="I125" i="4"/>
  <c r="E125" i="4"/>
  <c r="A125" i="4"/>
  <c r="L125" i="4"/>
  <c r="H125" i="4"/>
  <c r="D125" i="4"/>
  <c r="B126" i="4"/>
  <c r="M126" i="4" l="1"/>
  <c r="I126" i="4"/>
  <c r="E126" i="4"/>
  <c r="A126" i="4"/>
  <c r="L126" i="4"/>
  <c r="H126" i="4"/>
  <c r="D126" i="4"/>
  <c r="K126" i="4"/>
  <c r="G126" i="4"/>
  <c r="C126" i="4"/>
  <c r="N126" i="4"/>
  <c r="J126" i="4"/>
  <c r="F126" i="4"/>
  <c r="B127" i="4"/>
  <c r="K127" i="4" l="1"/>
  <c r="G127" i="4"/>
  <c r="C127" i="4"/>
  <c r="N127" i="4"/>
  <c r="J127" i="4"/>
  <c r="F127" i="4"/>
  <c r="M127" i="4"/>
  <c r="I127" i="4"/>
  <c r="E127" i="4"/>
  <c r="A127" i="4"/>
  <c r="L127" i="4"/>
  <c r="H127" i="4"/>
  <c r="D127" i="4"/>
  <c r="B128" i="4"/>
  <c r="M128" i="4" l="1"/>
  <c r="I128" i="4"/>
  <c r="E128" i="4"/>
  <c r="A128" i="4"/>
  <c r="L128" i="4"/>
  <c r="H128" i="4"/>
  <c r="D128" i="4"/>
  <c r="K128" i="4"/>
  <c r="G128" i="4"/>
  <c r="C128" i="4"/>
  <c r="N128" i="4"/>
  <c r="J128" i="4"/>
  <c r="F128" i="4"/>
  <c r="B129" i="4"/>
  <c r="K129" i="4" l="1"/>
  <c r="G129" i="4"/>
  <c r="C129" i="4"/>
  <c r="N129" i="4"/>
  <c r="J129" i="4"/>
  <c r="F129" i="4"/>
  <c r="M129" i="4"/>
  <c r="I129" i="4"/>
  <c r="E129" i="4"/>
  <c r="A129" i="4"/>
  <c r="L129" i="4"/>
  <c r="H129" i="4"/>
  <c r="D129" i="4"/>
  <c r="B130" i="4"/>
  <c r="M130" i="4" l="1"/>
  <c r="I130" i="4"/>
  <c r="E130" i="4"/>
  <c r="A130" i="4"/>
  <c r="L130" i="4"/>
  <c r="H130" i="4"/>
  <c r="D130" i="4"/>
  <c r="K130" i="4"/>
  <c r="G130" i="4"/>
  <c r="C130" i="4"/>
  <c r="N130" i="4"/>
  <c r="J130" i="4"/>
  <c r="F130" i="4"/>
  <c r="B131" i="4"/>
  <c r="K131" i="4" l="1"/>
  <c r="G131" i="4"/>
  <c r="C131" i="4"/>
  <c r="N131" i="4"/>
  <c r="J131" i="4"/>
  <c r="F131" i="4"/>
  <c r="M131" i="4"/>
  <c r="I131" i="4"/>
  <c r="E131" i="4"/>
  <c r="A131" i="4"/>
  <c r="L131" i="4"/>
  <c r="H131" i="4"/>
  <c r="D131" i="4"/>
  <c r="B132" i="4"/>
  <c r="M132" i="4" l="1"/>
  <c r="I132" i="4"/>
  <c r="E132" i="4"/>
  <c r="A132" i="4"/>
  <c r="L132" i="4"/>
  <c r="H132" i="4"/>
  <c r="D132" i="4"/>
  <c r="K132" i="4"/>
  <c r="G132" i="4"/>
  <c r="C132" i="4"/>
  <c r="N132" i="4"/>
  <c r="J132" i="4"/>
  <c r="F132" i="4"/>
  <c r="B133" i="4"/>
  <c r="K133" i="4" l="1"/>
  <c r="G133" i="4"/>
  <c r="C133" i="4"/>
  <c r="N133" i="4"/>
  <c r="J133" i="4"/>
  <c r="F133" i="4"/>
  <c r="M133" i="4"/>
  <c r="I133" i="4"/>
  <c r="E133" i="4"/>
  <c r="A133" i="4"/>
  <c r="L133" i="4"/>
  <c r="H133" i="4"/>
  <c r="D133" i="4"/>
  <c r="B134" i="4"/>
  <c r="M134" i="4" l="1"/>
  <c r="I134" i="4"/>
  <c r="E134" i="4"/>
  <c r="A134" i="4"/>
  <c r="L134" i="4"/>
  <c r="H134" i="4"/>
  <c r="D134" i="4"/>
  <c r="K134" i="4"/>
  <c r="G134" i="4"/>
  <c r="C134" i="4"/>
  <c r="N134" i="4"/>
  <c r="J134" i="4"/>
  <c r="F134" i="4"/>
  <c r="B135" i="4"/>
  <c r="K135" i="4" l="1"/>
  <c r="G135" i="4"/>
  <c r="C135" i="4"/>
  <c r="N135" i="4"/>
  <c r="J135" i="4"/>
  <c r="F135" i="4"/>
  <c r="M135" i="4"/>
  <c r="I135" i="4"/>
  <c r="E135" i="4"/>
  <c r="A135" i="4"/>
  <c r="L135" i="4"/>
  <c r="H135" i="4"/>
  <c r="D135" i="4"/>
  <c r="B136" i="4"/>
  <c r="M136" i="4" l="1"/>
  <c r="I136" i="4"/>
  <c r="E136" i="4"/>
  <c r="A136" i="4"/>
  <c r="L136" i="4"/>
  <c r="H136" i="4"/>
  <c r="D136" i="4"/>
  <c r="K136" i="4"/>
  <c r="G136" i="4"/>
  <c r="C136" i="4"/>
  <c r="N136" i="4"/>
  <c r="J136" i="4"/>
  <c r="F136" i="4"/>
  <c r="B137" i="4"/>
  <c r="K137" i="4" l="1"/>
  <c r="G137" i="4"/>
  <c r="C137" i="4"/>
  <c r="N137" i="4"/>
  <c r="J137" i="4"/>
  <c r="F137" i="4"/>
  <c r="M137" i="4"/>
  <c r="I137" i="4"/>
  <c r="E137" i="4"/>
  <c r="A137" i="4"/>
  <c r="L137" i="4"/>
  <c r="H137" i="4"/>
  <c r="D137" i="4"/>
  <c r="B138" i="4"/>
  <c r="M138" i="4" l="1"/>
  <c r="I138" i="4"/>
  <c r="E138" i="4"/>
  <c r="A138" i="4"/>
  <c r="L138" i="4"/>
  <c r="H138" i="4"/>
  <c r="D138" i="4"/>
  <c r="K138" i="4"/>
  <c r="G138" i="4"/>
  <c r="C138" i="4"/>
  <c r="N138" i="4"/>
  <c r="J138" i="4"/>
  <c r="F138" i="4"/>
  <c r="B139" i="4"/>
  <c r="K139" i="4" l="1"/>
  <c r="G139" i="4"/>
  <c r="C139" i="4"/>
  <c r="N139" i="4"/>
  <c r="J139" i="4"/>
  <c r="F139" i="4"/>
  <c r="M139" i="4"/>
  <c r="I139" i="4"/>
  <c r="E139" i="4"/>
  <c r="A139" i="4"/>
  <c r="L139" i="4"/>
  <c r="H139" i="4"/>
  <c r="D139" i="4"/>
  <c r="B140" i="4"/>
  <c r="M140" i="4" l="1"/>
  <c r="I140" i="4"/>
  <c r="K140" i="4"/>
  <c r="G140" i="4"/>
  <c r="C140" i="4"/>
  <c r="N140" i="4"/>
  <c r="F140" i="4"/>
  <c r="A140" i="4"/>
  <c r="L140" i="4"/>
  <c r="E140" i="4"/>
  <c r="J140" i="4"/>
  <c r="D140" i="4"/>
  <c r="H140" i="4"/>
  <c r="B141" i="4"/>
  <c r="K141" i="4" l="1"/>
  <c r="G141" i="4"/>
  <c r="C141" i="4"/>
  <c r="M141" i="4"/>
  <c r="I141" i="4"/>
  <c r="E141" i="4"/>
  <c r="A141" i="4"/>
  <c r="H141" i="4"/>
  <c r="N141" i="4"/>
  <c r="F141" i="4"/>
  <c r="L141" i="4"/>
  <c r="D141" i="4"/>
  <c r="J141" i="4"/>
  <c r="B142" i="4"/>
  <c r="M142" i="4" l="1"/>
  <c r="I142" i="4"/>
  <c r="E142" i="4"/>
  <c r="A142" i="4"/>
  <c r="K142" i="4"/>
  <c r="G142" i="4"/>
  <c r="C142" i="4"/>
  <c r="J142" i="4"/>
  <c r="H142" i="4"/>
  <c r="N142" i="4"/>
  <c r="F142" i="4"/>
  <c r="L142" i="4"/>
  <c r="D142" i="4"/>
  <c r="B143" i="4"/>
  <c r="K143" i="4" l="1"/>
  <c r="G143" i="4"/>
  <c r="C143" i="4"/>
  <c r="M143" i="4"/>
  <c r="I143" i="4"/>
  <c r="E143" i="4"/>
  <c r="A143" i="4"/>
  <c r="L143" i="4"/>
  <c r="D143" i="4"/>
  <c r="J143" i="4"/>
  <c r="H143" i="4"/>
  <c r="N143" i="4"/>
  <c r="F143" i="4"/>
  <c r="B144" i="4"/>
  <c r="M144" i="4" l="1"/>
  <c r="I144" i="4"/>
  <c r="E144" i="4"/>
  <c r="A144" i="4"/>
  <c r="K144" i="4"/>
  <c r="G144" i="4"/>
  <c r="C144" i="4"/>
  <c r="N144" i="4"/>
  <c r="F144" i="4"/>
  <c r="L144" i="4"/>
  <c r="D144" i="4"/>
  <c r="J144" i="4"/>
  <c r="H144" i="4"/>
  <c r="B145" i="4"/>
  <c r="K145" i="4" l="1"/>
  <c r="G145" i="4"/>
  <c r="C145" i="4"/>
  <c r="M145" i="4"/>
  <c r="I145" i="4"/>
  <c r="E145" i="4"/>
  <c r="A145" i="4"/>
  <c r="H145" i="4"/>
  <c r="N145" i="4"/>
  <c r="F145" i="4"/>
  <c r="L145" i="4"/>
  <c r="D145" i="4"/>
  <c r="J145" i="4"/>
  <c r="B146" i="4"/>
  <c r="M146" i="4" l="1"/>
  <c r="I146" i="4"/>
  <c r="E146" i="4"/>
  <c r="A146" i="4"/>
  <c r="K146" i="4"/>
  <c r="G146" i="4"/>
  <c r="C146" i="4"/>
  <c r="J146" i="4"/>
  <c r="H146" i="4"/>
  <c r="N146" i="4"/>
  <c r="F146" i="4"/>
  <c r="L146" i="4"/>
  <c r="D146" i="4"/>
  <c r="B147" i="4"/>
  <c r="K147" i="4" l="1"/>
  <c r="G147" i="4"/>
  <c r="C147" i="4"/>
  <c r="M147" i="4"/>
  <c r="I147" i="4"/>
  <c r="E147" i="4"/>
  <c r="A147" i="4"/>
  <c r="L147" i="4"/>
  <c r="D147" i="4"/>
  <c r="J147" i="4"/>
  <c r="H147" i="4"/>
  <c r="N147" i="4"/>
  <c r="F147" i="4"/>
  <c r="B148" i="4"/>
  <c r="M148" i="4" l="1"/>
  <c r="I148" i="4"/>
  <c r="E148" i="4"/>
  <c r="A148" i="4"/>
  <c r="K148" i="4"/>
  <c r="G148" i="4"/>
  <c r="C148" i="4"/>
  <c r="N148" i="4"/>
  <c r="F148" i="4"/>
  <c r="L148" i="4"/>
  <c r="D148" i="4"/>
  <c r="J148" i="4"/>
  <c r="H148" i="4"/>
  <c r="B149" i="4"/>
  <c r="K149" i="4" l="1"/>
  <c r="G149" i="4"/>
  <c r="C149" i="4"/>
  <c r="M149" i="4"/>
  <c r="I149" i="4"/>
  <c r="E149" i="4"/>
  <c r="A149" i="4"/>
  <c r="H149" i="4"/>
  <c r="N149" i="4"/>
  <c r="F149" i="4"/>
  <c r="L149" i="4"/>
  <c r="D149" i="4"/>
  <c r="J149" i="4"/>
  <c r="B150" i="4"/>
  <c r="M150" i="4" l="1"/>
  <c r="I150" i="4"/>
  <c r="E150" i="4"/>
  <c r="A150" i="4"/>
  <c r="K150" i="4"/>
  <c r="G150" i="4"/>
  <c r="C150" i="4"/>
  <c r="J150" i="4"/>
  <c r="H150" i="4"/>
  <c r="N150" i="4"/>
  <c r="F150" i="4"/>
  <c r="L150" i="4"/>
  <c r="D150" i="4"/>
  <c r="B151" i="4"/>
  <c r="K151" i="4" l="1"/>
  <c r="G151" i="4"/>
  <c r="C151" i="4"/>
  <c r="M151" i="4"/>
  <c r="I151" i="4"/>
  <c r="E151" i="4"/>
  <c r="A151" i="4"/>
  <c r="L151" i="4"/>
  <c r="D151" i="4"/>
  <c r="J151" i="4"/>
  <c r="H151" i="4"/>
  <c r="N151" i="4"/>
  <c r="F151" i="4"/>
  <c r="B152" i="4"/>
  <c r="M152" i="4" l="1"/>
  <c r="I152" i="4"/>
  <c r="E152" i="4"/>
  <c r="A152" i="4"/>
  <c r="K152" i="4"/>
  <c r="G152" i="4"/>
  <c r="C152" i="4"/>
  <c r="N152" i="4"/>
  <c r="F152" i="4"/>
  <c r="L152" i="4"/>
  <c r="D152" i="4"/>
  <c r="J152" i="4"/>
  <c r="H152" i="4"/>
  <c r="B153" i="4"/>
  <c r="K153" i="4" l="1"/>
  <c r="G153" i="4"/>
  <c r="C153" i="4"/>
  <c r="M153" i="4"/>
  <c r="I153" i="4"/>
  <c r="E153" i="4"/>
  <c r="A153" i="4"/>
  <c r="H153" i="4"/>
  <c r="N153" i="4"/>
  <c r="F153" i="4"/>
  <c r="L153" i="4"/>
  <c r="D153" i="4"/>
  <c r="J153" i="4"/>
  <c r="B154" i="4"/>
  <c r="M154" i="4" l="1"/>
  <c r="I154" i="4"/>
  <c r="E154" i="4"/>
  <c r="A154" i="4"/>
  <c r="K154" i="4"/>
  <c r="G154" i="4"/>
  <c r="C154" i="4"/>
  <c r="J154" i="4"/>
  <c r="H154" i="4"/>
  <c r="N154" i="4"/>
  <c r="F154" i="4"/>
  <c r="L154" i="4"/>
  <c r="D154" i="4"/>
  <c r="B155" i="4"/>
  <c r="K155" i="4" l="1"/>
  <c r="G155" i="4"/>
  <c r="C155" i="4"/>
  <c r="M155" i="4"/>
  <c r="I155" i="4"/>
  <c r="E155" i="4"/>
  <c r="A155" i="4"/>
  <c r="L155" i="4"/>
  <c r="D155" i="4"/>
  <c r="J155" i="4"/>
  <c r="H155" i="4"/>
  <c r="N155" i="4"/>
  <c r="F155" i="4"/>
  <c r="B156" i="4"/>
  <c r="N156" i="4" l="1"/>
  <c r="J156" i="4"/>
  <c r="F156" i="4"/>
  <c r="M156" i="4"/>
  <c r="I156" i="4"/>
  <c r="E156" i="4"/>
  <c r="A156" i="4"/>
  <c r="K156" i="4"/>
  <c r="G156" i="4"/>
  <c r="C156" i="4"/>
  <c r="L156" i="4"/>
  <c r="H156" i="4"/>
  <c r="D156" i="4"/>
  <c r="B157" i="4"/>
  <c r="L157" i="4" l="1"/>
  <c r="H157" i="4"/>
  <c r="D157" i="4"/>
  <c r="K157" i="4"/>
  <c r="G157" i="4"/>
  <c r="C157" i="4"/>
  <c r="M157" i="4"/>
  <c r="I157" i="4"/>
  <c r="E157" i="4"/>
  <c r="A157" i="4"/>
  <c r="N157" i="4"/>
  <c r="J157" i="4"/>
  <c r="F157" i="4"/>
  <c r="B158" i="4"/>
  <c r="N158" i="4" l="1"/>
  <c r="J158" i="4"/>
  <c r="F158" i="4"/>
  <c r="M158" i="4"/>
  <c r="I158" i="4"/>
  <c r="E158" i="4"/>
  <c r="A158" i="4"/>
  <c r="L158" i="4"/>
  <c r="H158" i="4"/>
  <c r="K158" i="4"/>
  <c r="G158" i="4"/>
  <c r="C158" i="4"/>
  <c r="D158" i="4"/>
  <c r="B159" i="4"/>
  <c r="L159" i="4" l="1"/>
  <c r="H159" i="4"/>
  <c r="D159" i="4"/>
  <c r="K159" i="4"/>
  <c r="G159" i="4"/>
  <c r="C159" i="4"/>
  <c r="N159" i="4"/>
  <c r="J159" i="4"/>
  <c r="F159" i="4"/>
  <c r="M159" i="4"/>
  <c r="I159" i="4"/>
  <c r="E159" i="4"/>
  <c r="A159" i="4"/>
  <c r="B160" i="4"/>
  <c r="N160" i="4" l="1"/>
  <c r="J160" i="4"/>
  <c r="F160" i="4"/>
  <c r="M160" i="4"/>
  <c r="I160" i="4"/>
  <c r="E160" i="4"/>
  <c r="A160" i="4"/>
  <c r="L160" i="4"/>
  <c r="H160" i="4"/>
  <c r="D160" i="4"/>
  <c r="K160" i="4"/>
  <c r="G160" i="4"/>
  <c r="C160" i="4"/>
  <c r="B161" i="4"/>
  <c r="L161" i="4" l="1"/>
  <c r="H161" i="4"/>
  <c r="D161" i="4"/>
  <c r="K161" i="4"/>
  <c r="G161" i="4"/>
  <c r="C161" i="4"/>
  <c r="N161" i="4"/>
  <c r="J161" i="4"/>
  <c r="F161" i="4"/>
  <c r="M161" i="4"/>
  <c r="I161" i="4"/>
  <c r="E161" i="4"/>
  <c r="A161" i="4"/>
  <c r="B162" i="4"/>
  <c r="N162" i="4" l="1"/>
  <c r="J162" i="4"/>
  <c r="F162" i="4"/>
  <c r="M162" i="4"/>
  <c r="I162" i="4"/>
  <c r="E162" i="4"/>
  <c r="A162" i="4"/>
  <c r="L162" i="4"/>
  <c r="H162" i="4"/>
  <c r="D162" i="4"/>
  <c r="K162" i="4"/>
  <c r="G162" i="4"/>
  <c r="C162" i="4"/>
  <c r="B163" i="4"/>
  <c r="L163" i="4" l="1"/>
  <c r="H163" i="4"/>
  <c r="D163" i="4"/>
  <c r="K163" i="4"/>
  <c r="G163" i="4"/>
  <c r="C163" i="4"/>
  <c r="N163" i="4"/>
  <c r="J163" i="4"/>
  <c r="F163" i="4"/>
  <c r="M163" i="4"/>
  <c r="I163" i="4"/>
  <c r="E163" i="4"/>
  <c r="A163" i="4"/>
  <c r="B164" i="4"/>
  <c r="N164" i="4" l="1"/>
  <c r="J164" i="4"/>
  <c r="F164" i="4"/>
  <c r="M164" i="4"/>
  <c r="I164" i="4"/>
  <c r="E164" i="4"/>
  <c r="A164" i="4"/>
  <c r="L164" i="4"/>
  <c r="H164" i="4"/>
  <c r="D164" i="4"/>
  <c r="K164" i="4"/>
  <c r="G164" i="4"/>
  <c r="C164" i="4"/>
  <c r="B165" i="4"/>
  <c r="L165" i="4" l="1"/>
  <c r="H165" i="4"/>
  <c r="D165" i="4"/>
  <c r="K165" i="4"/>
  <c r="G165" i="4"/>
  <c r="C165" i="4"/>
  <c r="N165" i="4"/>
  <c r="J165" i="4"/>
  <c r="F165" i="4"/>
  <c r="M165" i="4"/>
  <c r="I165" i="4"/>
  <c r="E165" i="4"/>
  <c r="A165" i="4"/>
  <c r="B166" i="4"/>
  <c r="N166" i="4" l="1"/>
  <c r="J166" i="4"/>
  <c r="F166" i="4"/>
  <c r="M166" i="4"/>
  <c r="I166" i="4"/>
  <c r="E166" i="4"/>
  <c r="A166" i="4"/>
  <c r="L166" i="4"/>
  <c r="H166" i="4"/>
  <c r="D166" i="4"/>
  <c r="K166" i="4"/>
  <c r="G166" i="4"/>
  <c r="C166" i="4"/>
  <c r="B167" i="4"/>
  <c r="L167" i="4" l="1"/>
  <c r="H167" i="4"/>
  <c r="D167" i="4"/>
  <c r="K167" i="4"/>
  <c r="G167" i="4"/>
  <c r="C167" i="4"/>
  <c r="N167" i="4"/>
  <c r="J167" i="4"/>
  <c r="F167" i="4"/>
  <c r="M167" i="4"/>
  <c r="I167" i="4"/>
  <c r="E167" i="4"/>
  <c r="A167" i="4"/>
  <c r="B168" i="4"/>
  <c r="N168" i="4" l="1"/>
  <c r="J168" i="4"/>
  <c r="F168" i="4"/>
  <c r="M168" i="4"/>
  <c r="I168" i="4"/>
  <c r="E168" i="4"/>
  <c r="A168" i="4"/>
  <c r="L168" i="4"/>
  <c r="H168" i="4"/>
  <c r="D168" i="4"/>
  <c r="K168" i="4"/>
  <c r="G168" i="4"/>
  <c r="C168" i="4"/>
  <c r="B169" i="4"/>
  <c r="L169" i="4" l="1"/>
  <c r="H169" i="4"/>
  <c r="D169" i="4"/>
  <c r="K169" i="4"/>
  <c r="G169" i="4"/>
  <c r="C169" i="4"/>
  <c r="N169" i="4"/>
  <c r="J169" i="4"/>
  <c r="F169" i="4"/>
  <c r="M169" i="4"/>
  <c r="I169" i="4"/>
  <c r="E169" i="4"/>
  <c r="A169" i="4"/>
  <c r="B170" i="4"/>
  <c r="N170" i="4" l="1"/>
  <c r="J170" i="4"/>
  <c r="F170" i="4"/>
  <c r="M170" i="4"/>
  <c r="I170" i="4"/>
  <c r="E170" i="4"/>
  <c r="A170" i="4"/>
  <c r="L170" i="4"/>
  <c r="H170" i="4"/>
  <c r="D170" i="4"/>
  <c r="K170" i="4"/>
  <c r="G170" i="4"/>
  <c r="C170" i="4"/>
  <c r="B171" i="4"/>
  <c r="L171" i="4" l="1"/>
  <c r="H171" i="4"/>
  <c r="D171" i="4"/>
  <c r="K171" i="4"/>
  <c r="G171" i="4"/>
  <c r="C171" i="4"/>
  <c r="N171" i="4"/>
  <c r="J171" i="4"/>
  <c r="F171" i="4"/>
  <c r="M171" i="4"/>
  <c r="I171" i="4"/>
  <c r="E171" i="4"/>
  <c r="A171" i="4"/>
  <c r="B172" i="4"/>
  <c r="N172" i="4" l="1"/>
  <c r="J172" i="4"/>
  <c r="F172" i="4"/>
  <c r="M172" i="4"/>
  <c r="I172" i="4"/>
  <c r="E172" i="4"/>
  <c r="A172" i="4"/>
  <c r="L172" i="4"/>
  <c r="H172" i="4"/>
  <c r="D172" i="4"/>
  <c r="K172" i="4"/>
  <c r="G172" i="4"/>
  <c r="C172" i="4"/>
  <c r="B173" i="4"/>
  <c r="L173" i="4" l="1"/>
  <c r="H173" i="4"/>
  <c r="D173" i="4"/>
  <c r="K173" i="4"/>
  <c r="G173" i="4"/>
  <c r="C173" i="4"/>
  <c r="N173" i="4"/>
  <c r="J173" i="4"/>
  <c r="F173" i="4"/>
  <c r="M173" i="4"/>
  <c r="I173" i="4"/>
  <c r="E173" i="4"/>
  <c r="A173" i="4"/>
  <c r="B174" i="4"/>
  <c r="N174" i="4" l="1"/>
  <c r="J174" i="4"/>
  <c r="F174" i="4"/>
  <c r="M174" i="4"/>
  <c r="I174" i="4"/>
  <c r="E174" i="4"/>
  <c r="A174" i="4"/>
  <c r="L174" i="4"/>
  <c r="H174" i="4"/>
  <c r="D174" i="4"/>
  <c r="K174" i="4"/>
  <c r="G174" i="4"/>
  <c r="C174" i="4"/>
  <c r="B175" i="4"/>
  <c r="L175" i="4" l="1"/>
  <c r="H175" i="4"/>
  <c r="D175" i="4"/>
  <c r="K175" i="4"/>
  <c r="G175" i="4"/>
  <c r="C175" i="4"/>
  <c r="N175" i="4"/>
  <c r="J175" i="4"/>
  <c r="F175" i="4"/>
  <c r="M175" i="4"/>
  <c r="I175" i="4"/>
  <c r="E175" i="4"/>
  <c r="A175" i="4"/>
  <c r="B176" i="4"/>
  <c r="N176" i="4" l="1"/>
  <c r="J176" i="4"/>
  <c r="F176" i="4"/>
  <c r="M176" i="4"/>
  <c r="I176" i="4"/>
  <c r="E176" i="4"/>
  <c r="A176" i="4"/>
  <c r="L176" i="4"/>
  <c r="H176" i="4"/>
  <c r="D176" i="4"/>
  <c r="K176" i="4"/>
  <c r="G176" i="4"/>
  <c r="C176" i="4"/>
  <c r="B177" i="4"/>
  <c r="L177" i="4" l="1"/>
  <c r="H177" i="4"/>
  <c r="D177" i="4"/>
  <c r="K177" i="4"/>
  <c r="G177" i="4"/>
  <c r="C177" i="4"/>
  <c r="N177" i="4"/>
  <c r="J177" i="4"/>
  <c r="F177" i="4"/>
  <c r="M177" i="4"/>
  <c r="I177" i="4"/>
  <c r="E177" i="4"/>
  <c r="A177" i="4"/>
  <c r="B178" i="4"/>
  <c r="N178" i="4" l="1"/>
  <c r="J178" i="4"/>
  <c r="F178" i="4"/>
  <c r="M178" i="4"/>
  <c r="I178" i="4"/>
  <c r="E178" i="4"/>
  <c r="A178" i="4"/>
  <c r="L178" i="4"/>
  <c r="H178" i="4"/>
  <c r="D178" i="4"/>
  <c r="K178" i="4"/>
  <c r="G178" i="4"/>
  <c r="C178" i="4"/>
  <c r="B179" i="4"/>
  <c r="L179" i="4" l="1"/>
  <c r="H179" i="4"/>
  <c r="D179" i="4"/>
  <c r="K179" i="4"/>
  <c r="G179" i="4"/>
  <c r="C179" i="4"/>
  <c r="N179" i="4"/>
  <c r="J179" i="4"/>
  <c r="F179" i="4"/>
  <c r="M179" i="4"/>
  <c r="I179" i="4"/>
  <c r="E179" i="4"/>
  <c r="A179" i="4"/>
  <c r="B180" i="4"/>
  <c r="N180" i="4" l="1"/>
  <c r="J180" i="4"/>
  <c r="F180" i="4"/>
  <c r="M180" i="4"/>
  <c r="I180" i="4"/>
  <c r="E180" i="4"/>
  <c r="A180" i="4"/>
  <c r="L180" i="4"/>
  <c r="H180" i="4"/>
  <c r="D180" i="4"/>
  <c r="K180" i="4"/>
  <c r="G180" i="4"/>
  <c r="C180" i="4"/>
  <c r="B181" i="4"/>
  <c r="L181" i="4" l="1"/>
  <c r="H181" i="4"/>
  <c r="D181" i="4"/>
  <c r="K181" i="4"/>
  <c r="G181" i="4"/>
  <c r="C181" i="4"/>
  <c r="N181" i="4"/>
  <c r="J181" i="4"/>
  <c r="F181" i="4"/>
  <c r="M181" i="4"/>
  <c r="I181" i="4"/>
  <c r="E181" i="4"/>
  <c r="A181" i="4"/>
  <c r="B182" i="4"/>
  <c r="N182" i="4" l="1"/>
  <c r="J182" i="4"/>
  <c r="F182" i="4"/>
  <c r="M182" i="4"/>
  <c r="I182" i="4"/>
  <c r="E182" i="4"/>
  <c r="A182" i="4"/>
  <c r="L182" i="4"/>
  <c r="H182" i="4"/>
  <c r="D182" i="4"/>
  <c r="K182" i="4"/>
  <c r="G182" i="4"/>
  <c r="C182" i="4"/>
  <c r="B183" i="4"/>
  <c r="K183" i="4" l="1"/>
  <c r="M183" i="4"/>
  <c r="H183" i="4"/>
  <c r="D183" i="4"/>
  <c r="L183" i="4"/>
  <c r="G183" i="4"/>
  <c r="C183" i="4"/>
  <c r="J183" i="4"/>
  <c r="F183" i="4"/>
  <c r="N183" i="4"/>
  <c r="I183" i="4"/>
  <c r="E183" i="4"/>
  <c r="A183" i="4"/>
  <c r="B184" i="4"/>
  <c r="M184" i="4" l="1"/>
  <c r="I184" i="4"/>
  <c r="E184" i="4"/>
  <c r="A184" i="4"/>
  <c r="K184" i="4"/>
  <c r="G184" i="4"/>
  <c r="L184" i="4"/>
  <c r="D184" i="4"/>
  <c r="J184" i="4"/>
  <c r="C184" i="4"/>
  <c r="H184" i="4"/>
  <c r="N184" i="4"/>
  <c r="F184" i="4"/>
  <c r="B185" i="4"/>
  <c r="K185" i="4" l="1"/>
  <c r="G185" i="4"/>
  <c r="C185" i="4"/>
  <c r="M185" i="4"/>
  <c r="I185" i="4"/>
  <c r="E185" i="4"/>
  <c r="A185" i="4"/>
  <c r="N185" i="4"/>
  <c r="F185" i="4"/>
  <c r="L185" i="4"/>
  <c r="D185" i="4"/>
  <c r="J185" i="4"/>
  <c r="H185" i="4"/>
  <c r="B186" i="4"/>
  <c r="M186" i="4" l="1"/>
  <c r="I186" i="4"/>
  <c r="E186" i="4"/>
  <c r="A186" i="4"/>
  <c r="K186" i="4"/>
  <c r="G186" i="4"/>
  <c r="C186" i="4"/>
  <c r="H186" i="4"/>
  <c r="N186" i="4"/>
  <c r="F186" i="4"/>
  <c r="L186" i="4"/>
  <c r="D186" i="4"/>
  <c r="J186" i="4"/>
  <c r="B187" i="4"/>
  <c r="K187" i="4" l="1"/>
  <c r="G187" i="4"/>
  <c r="C187" i="4"/>
  <c r="M187" i="4"/>
  <c r="I187" i="4"/>
  <c r="E187" i="4"/>
  <c r="A187" i="4"/>
  <c r="L187" i="4"/>
  <c r="H187" i="4"/>
  <c r="N187" i="4"/>
  <c r="J187" i="4"/>
  <c r="F187" i="4"/>
  <c r="D187" i="4"/>
  <c r="B188" i="4"/>
  <c r="M188" i="4" l="1"/>
  <c r="I188" i="4"/>
  <c r="E188" i="4"/>
  <c r="A188" i="4"/>
  <c r="K188" i="4"/>
  <c r="G188" i="4"/>
  <c r="C188" i="4"/>
  <c r="N188" i="4"/>
  <c r="J188" i="4"/>
  <c r="F188" i="4"/>
  <c r="L188" i="4"/>
  <c r="H188" i="4"/>
  <c r="D188" i="4"/>
  <c r="B189" i="4"/>
  <c r="K189" i="4" l="1"/>
  <c r="G189" i="4"/>
  <c r="C189" i="4"/>
  <c r="M189" i="4"/>
  <c r="I189" i="4"/>
  <c r="E189" i="4"/>
  <c r="A189" i="4"/>
  <c r="L189" i="4"/>
  <c r="H189" i="4"/>
  <c r="D189" i="4"/>
  <c r="N189" i="4"/>
  <c r="J189" i="4"/>
  <c r="F189" i="4"/>
  <c r="B190" i="4"/>
  <c r="M190" i="4" l="1"/>
  <c r="I190" i="4"/>
  <c r="E190" i="4"/>
  <c r="A190" i="4"/>
  <c r="K190" i="4"/>
  <c r="G190" i="4"/>
  <c r="C190" i="4"/>
  <c r="N190" i="4"/>
  <c r="J190" i="4"/>
  <c r="F190" i="4"/>
  <c r="D190" i="4"/>
  <c r="L190" i="4"/>
  <c r="H190" i="4"/>
  <c r="B191" i="4"/>
  <c r="K191" i="4" l="1"/>
  <c r="G191" i="4"/>
  <c r="C191" i="4"/>
  <c r="M191" i="4"/>
  <c r="I191" i="4"/>
  <c r="E191" i="4"/>
  <c r="A191" i="4"/>
  <c r="L191" i="4"/>
  <c r="H191" i="4"/>
  <c r="D191" i="4"/>
  <c r="F191" i="4"/>
  <c r="N191" i="4"/>
  <c r="J191" i="4"/>
  <c r="B192" i="4"/>
  <c r="M192" i="4" l="1"/>
  <c r="I192" i="4"/>
  <c r="E192" i="4"/>
  <c r="A192" i="4"/>
  <c r="K192" i="4"/>
  <c r="G192" i="4"/>
  <c r="C192" i="4"/>
  <c r="N192" i="4"/>
  <c r="J192" i="4"/>
  <c r="F192" i="4"/>
  <c r="H192" i="4"/>
  <c r="D192" i="4"/>
  <c r="L192" i="4"/>
  <c r="B193" i="4"/>
  <c r="K193" i="4" l="1"/>
  <c r="G193" i="4"/>
  <c r="C193" i="4"/>
  <c r="M193" i="4"/>
  <c r="I193" i="4"/>
  <c r="E193" i="4"/>
  <c r="A193" i="4"/>
  <c r="L193" i="4"/>
  <c r="H193" i="4"/>
  <c r="D193" i="4"/>
  <c r="J193" i="4"/>
  <c r="F193" i="4"/>
  <c r="N193" i="4"/>
  <c r="B194" i="4"/>
  <c r="M194" i="4" l="1"/>
  <c r="I194" i="4"/>
  <c r="E194" i="4"/>
  <c r="A194" i="4"/>
  <c r="K194" i="4"/>
  <c r="G194" i="4"/>
  <c r="C194" i="4"/>
  <c r="N194" i="4"/>
  <c r="J194" i="4"/>
  <c r="F194" i="4"/>
  <c r="L194" i="4"/>
  <c r="H194" i="4"/>
  <c r="D194" i="4"/>
  <c r="B195" i="4"/>
  <c r="K195" i="4" l="1"/>
  <c r="G195" i="4"/>
  <c r="C195" i="4"/>
  <c r="M195" i="4"/>
  <c r="I195" i="4"/>
  <c r="E195" i="4"/>
  <c r="A195" i="4"/>
  <c r="L195" i="4"/>
  <c r="H195" i="4"/>
  <c r="D195" i="4"/>
  <c r="N195" i="4"/>
  <c r="J195" i="4"/>
  <c r="F195" i="4"/>
  <c r="B196" i="4"/>
  <c r="M196" i="4" l="1"/>
  <c r="I196" i="4"/>
  <c r="E196" i="4"/>
  <c r="A196" i="4"/>
  <c r="K196" i="4"/>
  <c r="G196" i="4"/>
  <c r="C196" i="4"/>
  <c r="N196" i="4"/>
  <c r="J196" i="4"/>
  <c r="F196" i="4"/>
  <c r="L196" i="4"/>
  <c r="H196" i="4"/>
  <c r="D196" i="4"/>
  <c r="B197" i="4"/>
  <c r="K197" i="4" l="1"/>
  <c r="G197" i="4"/>
  <c r="C197" i="4"/>
  <c r="M197" i="4"/>
  <c r="I197" i="4"/>
  <c r="E197" i="4"/>
  <c r="A197" i="4"/>
  <c r="L197" i="4"/>
  <c r="H197" i="4"/>
  <c r="D197" i="4"/>
  <c r="N197" i="4"/>
  <c r="J197" i="4"/>
  <c r="F197" i="4"/>
  <c r="B198" i="4"/>
  <c r="M198" i="4" l="1"/>
  <c r="I198" i="4"/>
  <c r="E198" i="4"/>
  <c r="A198" i="4"/>
  <c r="K198" i="4"/>
  <c r="G198" i="4"/>
  <c r="C198" i="4"/>
  <c r="N198" i="4"/>
  <c r="J198" i="4"/>
  <c r="F198" i="4"/>
  <c r="D198" i="4"/>
  <c r="L198" i="4"/>
  <c r="H198" i="4"/>
  <c r="B199" i="4"/>
  <c r="K199" i="4" l="1"/>
  <c r="G199" i="4"/>
  <c r="C199" i="4"/>
  <c r="M199" i="4"/>
  <c r="I199" i="4"/>
  <c r="E199" i="4"/>
  <c r="A199" i="4"/>
  <c r="L199" i="4"/>
  <c r="H199" i="4"/>
  <c r="D199" i="4"/>
  <c r="F199" i="4"/>
  <c r="N199" i="4"/>
  <c r="J199" i="4"/>
  <c r="B200" i="4"/>
  <c r="M200" i="4" l="1"/>
  <c r="I200" i="4"/>
  <c r="E200" i="4"/>
  <c r="A200" i="4"/>
  <c r="K200" i="4"/>
  <c r="G200" i="4"/>
  <c r="C200" i="4"/>
  <c r="N200" i="4"/>
  <c r="J200" i="4"/>
  <c r="F200" i="4"/>
  <c r="H200" i="4"/>
  <c r="D200" i="4"/>
  <c r="L200" i="4"/>
  <c r="B201" i="4"/>
  <c r="K201" i="4" l="1"/>
  <c r="G201" i="4"/>
  <c r="C201" i="4"/>
  <c r="N201" i="4"/>
  <c r="J201" i="4"/>
  <c r="F201" i="4"/>
  <c r="M201" i="4"/>
  <c r="I201" i="4"/>
  <c r="E201" i="4"/>
  <c r="A201" i="4"/>
  <c r="L201" i="4"/>
  <c r="H201" i="4"/>
  <c r="D201" i="4"/>
  <c r="B202" i="4"/>
  <c r="M202" i="4" l="1"/>
  <c r="I202" i="4"/>
  <c r="E202" i="4"/>
  <c r="A202" i="4"/>
  <c r="L202" i="4"/>
  <c r="H202" i="4"/>
  <c r="D202" i="4"/>
  <c r="K202" i="4"/>
  <c r="G202" i="4"/>
  <c r="C202" i="4"/>
  <c r="N202" i="4"/>
  <c r="J202" i="4"/>
  <c r="F202" i="4"/>
  <c r="B203" i="4"/>
  <c r="K203" i="4" l="1"/>
  <c r="G203" i="4"/>
  <c r="C203" i="4"/>
  <c r="N203" i="4"/>
  <c r="J203" i="4"/>
  <c r="F203" i="4"/>
  <c r="M203" i="4"/>
  <c r="I203" i="4"/>
  <c r="E203" i="4"/>
  <c r="A203" i="4"/>
  <c r="L203" i="4"/>
  <c r="H203" i="4"/>
  <c r="D203" i="4"/>
  <c r="B204" i="4"/>
  <c r="M204" i="4" l="1"/>
  <c r="I204" i="4"/>
  <c r="E204" i="4"/>
  <c r="A204" i="4"/>
  <c r="L204" i="4"/>
  <c r="H204" i="4"/>
  <c r="D204" i="4"/>
  <c r="K204" i="4"/>
  <c r="G204" i="4"/>
  <c r="C204" i="4"/>
  <c r="N204" i="4"/>
  <c r="J204" i="4"/>
  <c r="F204" i="4"/>
  <c r="B205" i="4"/>
  <c r="K205" i="4" l="1"/>
  <c r="G205" i="4"/>
  <c r="C205" i="4"/>
  <c r="N205" i="4"/>
  <c r="J205" i="4"/>
  <c r="F205" i="4"/>
  <c r="M205" i="4"/>
  <c r="I205" i="4"/>
  <c r="E205" i="4"/>
  <c r="A205" i="4"/>
  <c r="L205" i="4"/>
  <c r="H205" i="4"/>
  <c r="D205" i="4"/>
  <c r="B206" i="4"/>
  <c r="M206" i="4" l="1"/>
  <c r="I206" i="4"/>
  <c r="E206" i="4"/>
  <c r="A206" i="4"/>
  <c r="L206" i="4"/>
  <c r="H206" i="4"/>
  <c r="D206" i="4"/>
  <c r="K206" i="4"/>
  <c r="G206" i="4"/>
  <c r="C206" i="4"/>
  <c r="N206" i="4"/>
  <c r="J206" i="4"/>
  <c r="F206" i="4"/>
  <c r="B207" i="4"/>
  <c r="K207" i="4" l="1"/>
  <c r="G207" i="4"/>
  <c r="C207" i="4"/>
  <c r="N207" i="4"/>
  <c r="J207" i="4"/>
  <c r="F207" i="4"/>
  <c r="M207" i="4"/>
  <c r="I207" i="4"/>
  <c r="E207" i="4"/>
  <c r="A207" i="4"/>
  <c r="L207" i="4"/>
  <c r="H207" i="4"/>
  <c r="D207" i="4"/>
  <c r="B208" i="4"/>
  <c r="M208" i="4" l="1"/>
  <c r="I208" i="4"/>
  <c r="E208" i="4"/>
  <c r="A208" i="4"/>
  <c r="L208" i="4"/>
  <c r="H208" i="4"/>
  <c r="D208" i="4"/>
  <c r="K208" i="4"/>
  <c r="G208" i="4"/>
  <c r="C208" i="4"/>
  <c r="N208" i="4"/>
  <c r="J208" i="4"/>
  <c r="F208" i="4"/>
  <c r="B209" i="4"/>
  <c r="M209" i="4" l="1"/>
  <c r="I209" i="4"/>
  <c r="L209" i="4"/>
  <c r="G209" i="4"/>
  <c r="C209" i="4"/>
  <c r="K209" i="4"/>
  <c r="F209" i="4"/>
  <c r="J209" i="4"/>
  <c r="E209" i="4"/>
  <c r="A209" i="4"/>
  <c r="N209" i="4"/>
  <c r="H209" i="4"/>
  <c r="D209" i="4"/>
  <c r="B210" i="4"/>
  <c r="K210" i="4" l="1"/>
  <c r="G210" i="4"/>
  <c r="C210" i="4"/>
  <c r="N210" i="4"/>
  <c r="I210" i="4"/>
  <c r="D210" i="4"/>
  <c r="M210" i="4"/>
  <c r="H210" i="4"/>
  <c r="L210" i="4"/>
  <c r="F210" i="4"/>
  <c r="A210" i="4"/>
  <c r="J210" i="4"/>
  <c r="E210" i="4"/>
  <c r="B211" i="4"/>
  <c r="M211" i="4" l="1"/>
  <c r="I211" i="4"/>
  <c r="E211" i="4"/>
  <c r="A211" i="4"/>
  <c r="K211" i="4"/>
  <c r="F211" i="4"/>
  <c r="J211" i="4"/>
  <c r="D211" i="4"/>
  <c r="N211" i="4"/>
  <c r="H211" i="4"/>
  <c r="C211" i="4"/>
  <c r="L211" i="4"/>
  <c r="G211" i="4"/>
  <c r="B212" i="4"/>
  <c r="K212" i="4" l="1"/>
  <c r="G212" i="4"/>
  <c r="C212" i="4"/>
  <c r="M212" i="4"/>
  <c r="H212" i="4"/>
  <c r="L212" i="4"/>
  <c r="F212" i="4"/>
  <c r="A212" i="4"/>
  <c r="J212" i="4"/>
  <c r="E212" i="4"/>
  <c r="N212" i="4"/>
  <c r="I212" i="4"/>
  <c r="D212" i="4"/>
  <c r="B213" i="4"/>
  <c r="M213" i="4" l="1"/>
  <c r="I213" i="4"/>
  <c r="E213" i="4"/>
  <c r="A213" i="4"/>
  <c r="J213" i="4"/>
  <c r="D213" i="4"/>
  <c r="N213" i="4"/>
  <c r="H213" i="4"/>
  <c r="C213" i="4"/>
  <c r="L213" i="4"/>
  <c r="G213" i="4"/>
  <c r="K213" i="4"/>
  <c r="F213" i="4"/>
  <c r="B214" i="4"/>
  <c r="K214" i="4" l="1"/>
  <c r="G214" i="4"/>
  <c r="C214" i="4"/>
  <c r="L214" i="4"/>
  <c r="F214" i="4"/>
  <c r="A214" i="4"/>
  <c r="J214" i="4"/>
  <c r="E214" i="4"/>
  <c r="N214" i="4"/>
  <c r="I214" i="4"/>
  <c r="D214" i="4"/>
  <c r="M214" i="4"/>
  <c r="H214" i="4"/>
  <c r="B215" i="4"/>
  <c r="M215" i="4" l="1"/>
  <c r="I215" i="4"/>
  <c r="E215" i="4"/>
  <c r="A215" i="4"/>
  <c r="N215" i="4"/>
  <c r="H215" i="4"/>
  <c r="C215" i="4"/>
  <c r="L215" i="4"/>
  <c r="G215" i="4"/>
  <c r="K215" i="4"/>
  <c r="F215" i="4"/>
  <c r="J215" i="4"/>
  <c r="D215" i="4"/>
  <c r="B216" i="4"/>
  <c r="K216" i="4" l="1"/>
  <c r="G216" i="4"/>
  <c r="C216" i="4"/>
  <c r="J216" i="4"/>
  <c r="E216" i="4"/>
  <c r="N216" i="4"/>
  <c r="I216" i="4"/>
  <c r="D216" i="4"/>
  <c r="M216" i="4"/>
  <c r="H216" i="4"/>
  <c r="L216" i="4"/>
  <c r="F216" i="4"/>
  <c r="A216" i="4"/>
  <c r="B217" i="4"/>
  <c r="M217" i="4" l="1"/>
  <c r="I217" i="4"/>
  <c r="E217" i="4"/>
  <c r="A217" i="4"/>
  <c r="L217" i="4"/>
  <c r="G217" i="4"/>
  <c r="K217" i="4"/>
  <c r="F217" i="4"/>
  <c r="J217" i="4"/>
  <c r="D217" i="4"/>
  <c r="N217" i="4"/>
  <c r="H217" i="4"/>
  <c r="C217" i="4"/>
  <c r="B218" i="4"/>
  <c r="K218" i="4" l="1"/>
  <c r="G218" i="4"/>
  <c r="C218" i="4"/>
  <c r="N218" i="4"/>
  <c r="I218" i="4"/>
  <c r="D218" i="4"/>
  <c r="M218" i="4"/>
  <c r="H218" i="4"/>
  <c r="L218" i="4"/>
  <c r="F218" i="4"/>
  <c r="A218" i="4"/>
  <c r="J218" i="4"/>
  <c r="E218" i="4"/>
  <c r="B219" i="4"/>
  <c r="M219" i="4" l="1"/>
  <c r="I219" i="4"/>
  <c r="E219" i="4"/>
  <c r="A219" i="4"/>
  <c r="K219" i="4"/>
  <c r="F219" i="4"/>
  <c r="J219" i="4"/>
  <c r="D219" i="4"/>
  <c r="N219" i="4"/>
  <c r="H219" i="4"/>
  <c r="C219" i="4"/>
  <c r="L219" i="4"/>
  <c r="G219" i="4"/>
  <c r="B220" i="4"/>
  <c r="K220" i="4" l="1"/>
  <c r="G220" i="4"/>
  <c r="C220" i="4"/>
  <c r="M220" i="4"/>
  <c r="H220" i="4"/>
  <c r="L220" i="4"/>
  <c r="F220" i="4"/>
  <c r="A220" i="4"/>
  <c r="J220" i="4"/>
  <c r="E220" i="4"/>
  <c r="N220" i="4"/>
  <c r="I220" i="4"/>
  <c r="D220" i="4"/>
  <c r="B221" i="4"/>
  <c r="M221" i="4" l="1"/>
  <c r="I221" i="4"/>
  <c r="E221" i="4"/>
  <c r="A221" i="4"/>
  <c r="J221" i="4"/>
  <c r="D221" i="4"/>
  <c r="N221" i="4"/>
  <c r="H221" i="4"/>
  <c r="C221" i="4"/>
  <c r="L221" i="4"/>
  <c r="G221" i="4"/>
  <c r="K221" i="4"/>
  <c r="F221" i="4"/>
  <c r="B222" i="4"/>
  <c r="K222" i="4" l="1"/>
  <c r="G222" i="4"/>
  <c r="C222" i="4"/>
  <c r="L222" i="4"/>
  <c r="F222" i="4"/>
  <c r="A222" i="4"/>
  <c r="J222" i="4"/>
  <c r="E222" i="4"/>
  <c r="N222" i="4"/>
  <c r="I222" i="4"/>
  <c r="D222" i="4"/>
  <c r="M222" i="4"/>
  <c r="H222" i="4"/>
  <c r="B223" i="4"/>
  <c r="M223" i="4" l="1"/>
  <c r="I223" i="4"/>
  <c r="E223" i="4"/>
  <c r="A223" i="4"/>
  <c r="N223" i="4"/>
  <c r="H223" i="4"/>
  <c r="C223" i="4"/>
  <c r="L223" i="4"/>
  <c r="G223" i="4"/>
  <c r="K223" i="4"/>
  <c r="F223" i="4"/>
  <c r="J223" i="4"/>
  <c r="D223" i="4"/>
  <c r="B224" i="4"/>
  <c r="K224" i="4" l="1"/>
  <c r="G224" i="4"/>
  <c r="C224" i="4"/>
  <c r="J224" i="4"/>
  <c r="E224" i="4"/>
  <c r="N224" i="4"/>
  <c r="I224" i="4"/>
  <c r="D224" i="4"/>
  <c r="M224" i="4"/>
  <c r="H224" i="4"/>
  <c r="L224" i="4"/>
  <c r="F224" i="4"/>
  <c r="A224" i="4"/>
  <c r="B225" i="4"/>
  <c r="M225" i="4" l="1"/>
  <c r="I225" i="4"/>
  <c r="E225" i="4"/>
  <c r="A225" i="4"/>
  <c r="L225" i="4"/>
  <c r="G225" i="4"/>
  <c r="K225" i="4"/>
  <c r="F225" i="4"/>
  <c r="J225" i="4"/>
  <c r="D225" i="4"/>
  <c r="N225" i="4"/>
  <c r="H225" i="4"/>
  <c r="C225" i="4"/>
  <c r="B226" i="4"/>
  <c r="K226" i="4" l="1"/>
  <c r="G226" i="4"/>
  <c r="C226" i="4"/>
  <c r="N226" i="4"/>
  <c r="I226" i="4"/>
  <c r="D226" i="4"/>
  <c r="M226" i="4"/>
  <c r="H226" i="4"/>
  <c r="L226" i="4"/>
  <c r="F226" i="4"/>
  <c r="A226" i="4"/>
  <c r="J226" i="4"/>
  <c r="E226" i="4"/>
  <c r="B227" i="4"/>
  <c r="M227" i="4" l="1"/>
  <c r="I227" i="4"/>
  <c r="E227" i="4"/>
  <c r="A227" i="4"/>
  <c r="K227" i="4"/>
  <c r="F227" i="4"/>
  <c r="H227" i="4"/>
  <c r="N227" i="4"/>
  <c r="G227" i="4"/>
  <c r="L227" i="4"/>
  <c r="D227" i="4"/>
  <c r="J227" i="4"/>
  <c r="C227" i="4"/>
  <c r="B228" i="4"/>
  <c r="K228" i="4" l="1"/>
  <c r="G228" i="4"/>
  <c r="C228" i="4"/>
  <c r="M228" i="4"/>
  <c r="H228" i="4"/>
  <c r="I228" i="4"/>
  <c r="A228" i="4"/>
  <c r="N228" i="4"/>
  <c r="F228" i="4"/>
  <c r="L228" i="4"/>
  <c r="E228" i="4"/>
  <c r="J228" i="4"/>
  <c r="D228" i="4"/>
  <c r="B229" i="4"/>
  <c r="M229" i="4" l="1"/>
  <c r="I229" i="4"/>
  <c r="E229" i="4"/>
  <c r="A229" i="4"/>
  <c r="J229" i="4"/>
  <c r="D229" i="4"/>
  <c r="H229" i="4"/>
  <c r="N229" i="4"/>
  <c r="G229" i="4"/>
  <c r="L229" i="4"/>
  <c r="F229" i="4"/>
  <c r="K229" i="4"/>
  <c r="C229" i="4"/>
  <c r="B230" i="4"/>
  <c r="K230" i="4" l="1"/>
  <c r="G230" i="4"/>
  <c r="C230" i="4"/>
  <c r="L230" i="4"/>
  <c r="F230" i="4"/>
  <c r="A230" i="4"/>
  <c r="I230" i="4"/>
  <c r="N230" i="4"/>
  <c r="H230" i="4"/>
  <c r="M230" i="4"/>
  <c r="E230" i="4"/>
  <c r="J230" i="4"/>
  <c r="D230" i="4"/>
  <c r="B231" i="4"/>
  <c r="M231" i="4" l="1"/>
  <c r="I231" i="4"/>
  <c r="E231" i="4"/>
  <c r="A231" i="4"/>
  <c r="N231" i="4"/>
  <c r="H231" i="4"/>
  <c r="C231" i="4"/>
  <c r="J231" i="4"/>
  <c r="G231" i="4"/>
  <c r="L231" i="4"/>
  <c r="F231" i="4"/>
  <c r="K231" i="4"/>
  <c r="D231" i="4"/>
  <c r="B232" i="4"/>
  <c r="K232" i="4" l="1"/>
  <c r="G232" i="4"/>
  <c r="C232" i="4"/>
  <c r="J232" i="4"/>
  <c r="E232" i="4"/>
  <c r="I232" i="4"/>
  <c r="N232" i="4"/>
  <c r="H232" i="4"/>
  <c r="A232" i="4"/>
  <c r="M232" i="4"/>
  <c r="F232" i="4"/>
  <c r="L232" i="4"/>
  <c r="D232" i="4"/>
  <c r="B233" i="4"/>
  <c r="M233" i="4" l="1"/>
  <c r="I233" i="4"/>
  <c r="E233" i="4"/>
  <c r="A233" i="4"/>
  <c r="L233" i="4"/>
  <c r="G233" i="4"/>
  <c r="J233" i="4"/>
  <c r="C233" i="4"/>
  <c r="H233" i="4"/>
  <c r="N233" i="4"/>
  <c r="F233" i="4"/>
  <c r="K233" i="4"/>
  <c r="D233" i="4"/>
  <c r="B234" i="4"/>
  <c r="K234" i="4" l="1"/>
  <c r="G234" i="4"/>
  <c r="C234" i="4"/>
  <c r="N234" i="4"/>
  <c r="I234" i="4"/>
  <c r="D234" i="4"/>
  <c r="J234" i="4"/>
  <c r="H234" i="4"/>
  <c r="A234" i="4"/>
  <c r="M234" i="4"/>
  <c r="F234" i="4"/>
  <c r="L234" i="4"/>
  <c r="E234" i="4"/>
  <c r="B235" i="4"/>
  <c r="M235" i="4" l="1"/>
  <c r="I235" i="4"/>
  <c r="E235" i="4"/>
  <c r="A235" i="4"/>
  <c r="K235" i="4"/>
  <c r="F235" i="4"/>
  <c r="J235" i="4"/>
  <c r="C235" i="4"/>
  <c r="H235" i="4"/>
  <c r="N235" i="4"/>
  <c r="G235" i="4"/>
  <c r="L235" i="4"/>
  <c r="D235" i="4"/>
  <c r="B236" i="4"/>
  <c r="K236" i="4" l="1"/>
  <c r="G236" i="4"/>
  <c r="C236" i="4"/>
  <c r="M236" i="4"/>
  <c r="H236" i="4"/>
  <c r="J236" i="4"/>
  <c r="D236" i="4"/>
  <c r="I236" i="4"/>
  <c r="A236" i="4"/>
  <c r="N236" i="4"/>
  <c r="F236" i="4"/>
  <c r="L236" i="4"/>
  <c r="E236" i="4"/>
  <c r="B237" i="4"/>
  <c r="M237" i="4" l="1"/>
  <c r="I237" i="4"/>
  <c r="E237" i="4"/>
  <c r="A237" i="4"/>
  <c r="J237" i="4"/>
  <c r="D237" i="4"/>
  <c r="K237" i="4"/>
  <c r="C237" i="4"/>
  <c r="H237" i="4"/>
  <c r="N237" i="4"/>
  <c r="G237" i="4"/>
  <c r="L237" i="4"/>
  <c r="F237" i="4"/>
  <c r="B238" i="4"/>
  <c r="K238" i="4" l="1"/>
  <c r="G238" i="4"/>
  <c r="C238" i="4"/>
  <c r="L238" i="4"/>
  <c r="F238" i="4"/>
  <c r="A238" i="4"/>
  <c r="J238" i="4"/>
  <c r="D238" i="4"/>
  <c r="I238" i="4"/>
  <c r="N238" i="4"/>
  <c r="H238" i="4"/>
  <c r="M238" i="4"/>
  <c r="E238" i="4"/>
  <c r="B239" i="4"/>
  <c r="M239" i="4" l="1"/>
  <c r="I239" i="4"/>
  <c r="E239" i="4"/>
  <c r="A239" i="4"/>
  <c r="N239" i="4"/>
  <c r="H239" i="4"/>
  <c r="C239" i="4"/>
  <c r="K239" i="4"/>
  <c r="D239" i="4"/>
  <c r="J239" i="4"/>
  <c r="G239" i="4"/>
  <c r="L239" i="4"/>
  <c r="F239" i="4"/>
  <c r="B240" i="4"/>
  <c r="K240" i="4" l="1"/>
  <c r="G240" i="4"/>
  <c r="C240" i="4"/>
  <c r="J240" i="4"/>
  <c r="E240" i="4"/>
  <c r="L240" i="4"/>
  <c r="D240" i="4"/>
  <c r="I240" i="4"/>
  <c r="N240" i="4"/>
  <c r="H240" i="4"/>
  <c r="A240" i="4"/>
  <c r="M240" i="4"/>
  <c r="F240" i="4"/>
  <c r="B241" i="4"/>
  <c r="M241" i="4" l="1"/>
  <c r="I241" i="4"/>
  <c r="E241" i="4"/>
  <c r="A241" i="4"/>
  <c r="L241" i="4"/>
  <c r="G241" i="4"/>
  <c r="K241" i="4"/>
  <c r="D241" i="4"/>
  <c r="J241" i="4"/>
  <c r="C241" i="4"/>
  <c r="H241" i="4"/>
  <c r="N241" i="4"/>
  <c r="F241" i="4"/>
  <c r="B242" i="4"/>
  <c r="K242" i="4" l="1"/>
  <c r="G242" i="4"/>
  <c r="C242" i="4"/>
  <c r="N242" i="4"/>
  <c r="I242" i="4"/>
  <c r="D242" i="4"/>
  <c r="H242" i="4"/>
  <c r="M242" i="4"/>
  <c r="E242" i="4"/>
  <c r="L242" i="4"/>
  <c r="J242" i="4"/>
  <c r="A242" i="4"/>
  <c r="F242" i="4"/>
  <c r="B243" i="4"/>
  <c r="M243" i="4" l="1"/>
  <c r="I243" i="4"/>
  <c r="E243" i="4"/>
  <c r="A243" i="4"/>
  <c r="K243" i="4"/>
  <c r="F243" i="4"/>
  <c r="H243" i="4"/>
  <c r="J243" i="4"/>
  <c r="G243" i="4"/>
  <c r="N243" i="4"/>
  <c r="D243" i="4"/>
  <c r="L243" i="4"/>
  <c r="C243" i="4"/>
  <c r="B244" i="4"/>
  <c r="K244" i="4" l="1"/>
  <c r="G244" i="4"/>
  <c r="C244" i="4"/>
  <c r="M244" i="4"/>
  <c r="H244" i="4"/>
  <c r="L244" i="4"/>
  <c r="I244" i="4"/>
  <c r="A244" i="4"/>
  <c r="E244" i="4"/>
  <c r="N244" i="4"/>
  <c r="D244" i="4"/>
  <c r="J244" i="4"/>
  <c r="F244" i="4"/>
  <c r="B245" i="4"/>
  <c r="M245" i="4" l="1"/>
  <c r="I245" i="4"/>
  <c r="E245" i="4"/>
  <c r="A245" i="4"/>
  <c r="J245" i="4"/>
  <c r="D245" i="4"/>
  <c r="L245" i="4"/>
  <c r="F245" i="4"/>
  <c r="H245" i="4"/>
  <c r="C245" i="4"/>
  <c r="N245" i="4"/>
  <c r="K245" i="4"/>
  <c r="G245" i="4"/>
  <c r="B246" i="4"/>
  <c r="K246" i="4" l="1"/>
  <c r="G246" i="4"/>
  <c r="C246" i="4"/>
  <c r="L246" i="4"/>
  <c r="F246" i="4"/>
  <c r="A246" i="4"/>
  <c r="M246" i="4"/>
  <c r="E246" i="4"/>
  <c r="I246" i="4"/>
  <c r="D246" i="4"/>
  <c r="N246" i="4"/>
  <c r="J246" i="4"/>
  <c r="H246" i="4"/>
  <c r="B247" i="4"/>
  <c r="M247" i="4" l="1"/>
  <c r="I247" i="4"/>
  <c r="E247" i="4"/>
  <c r="A247" i="4"/>
  <c r="N247" i="4"/>
  <c r="H247" i="4"/>
  <c r="C247" i="4"/>
  <c r="L247" i="4"/>
  <c r="F247" i="4"/>
  <c r="J247" i="4"/>
  <c r="D247" i="4"/>
  <c r="K247" i="4"/>
  <c r="G247" i="4"/>
  <c r="B248" i="4"/>
  <c r="K248" i="4" l="1"/>
  <c r="G248" i="4"/>
  <c r="C248" i="4"/>
  <c r="J248" i="4"/>
  <c r="E248" i="4"/>
  <c r="M248" i="4"/>
  <c r="F248" i="4"/>
  <c r="I248" i="4"/>
  <c r="D248" i="4"/>
  <c r="N248" i="4"/>
  <c r="A248" i="4"/>
  <c r="L248" i="4"/>
  <c r="H248" i="4"/>
  <c r="B249" i="4"/>
  <c r="M249" i="4" l="1"/>
  <c r="I249" i="4"/>
  <c r="E249" i="4"/>
  <c r="A249" i="4"/>
  <c r="L249" i="4"/>
  <c r="G249" i="4"/>
  <c r="N249" i="4"/>
  <c r="F249" i="4"/>
  <c r="J249" i="4"/>
  <c r="C249" i="4"/>
  <c r="D249" i="4"/>
  <c r="K249" i="4"/>
  <c r="H249" i="4"/>
  <c r="B250" i="4"/>
  <c r="K250" i="4" l="1"/>
  <c r="G250" i="4"/>
  <c r="C250" i="4"/>
  <c r="N250" i="4"/>
  <c r="I250" i="4"/>
  <c r="D250" i="4"/>
  <c r="M250" i="4"/>
  <c r="F250" i="4"/>
  <c r="J250" i="4"/>
  <c r="E250" i="4"/>
  <c r="A250" i="4"/>
  <c r="L250" i="4"/>
  <c r="H250" i="4"/>
  <c r="B251" i="4"/>
  <c r="M251" i="4" l="1"/>
  <c r="I251" i="4"/>
  <c r="E251" i="4"/>
  <c r="A251" i="4"/>
  <c r="K251" i="4"/>
  <c r="F251" i="4"/>
  <c r="N251" i="4"/>
  <c r="G251" i="4"/>
  <c r="J251" i="4"/>
  <c r="C251" i="4"/>
  <c r="D251" i="4"/>
  <c r="L251" i="4"/>
  <c r="H251" i="4"/>
  <c r="B252" i="4"/>
  <c r="K252" i="4" l="1"/>
  <c r="G252" i="4"/>
  <c r="C252" i="4"/>
  <c r="M252" i="4"/>
  <c r="H252" i="4"/>
  <c r="N252" i="4"/>
  <c r="F252" i="4"/>
  <c r="J252" i="4"/>
  <c r="D252" i="4"/>
  <c r="E252" i="4"/>
  <c r="A252" i="4"/>
  <c r="L252" i="4"/>
  <c r="I252" i="4"/>
  <c r="B253" i="4"/>
  <c r="M253" i="4" l="1"/>
  <c r="I253" i="4"/>
  <c r="E253" i="4"/>
  <c r="A253" i="4"/>
  <c r="J253" i="4"/>
  <c r="D253" i="4"/>
  <c r="N253" i="4"/>
  <c r="G253" i="4"/>
  <c r="K253" i="4"/>
  <c r="C253" i="4"/>
  <c r="F253" i="4"/>
  <c r="L253" i="4"/>
  <c r="H253" i="4"/>
  <c r="B254" i="4"/>
  <c r="K254" i="4" l="1"/>
  <c r="G254" i="4"/>
  <c r="C254" i="4"/>
  <c r="L254" i="4"/>
  <c r="F254" i="4"/>
  <c r="A254" i="4"/>
  <c r="N254" i="4"/>
  <c r="H254" i="4"/>
  <c r="J254" i="4"/>
  <c r="D254" i="4"/>
  <c r="E254" i="4"/>
  <c r="M254" i="4"/>
  <c r="I254" i="4"/>
  <c r="B255" i="4"/>
  <c r="M255" i="4" l="1"/>
  <c r="I255" i="4"/>
  <c r="E255" i="4"/>
  <c r="A255" i="4"/>
  <c r="N255" i="4"/>
  <c r="H255" i="4"/>
  <c r="C255" i="4"/>
  <c r="J255" i="4"/>
  <c r="G255" i="4"/>
  <c r="K255" i="4"/>
  <c r="D255" i="4"/>
  <c r="F255" i="4"/>
  <c r="L255" i="4"/>
  <c r="B256" i="4"/>
  <c r="K256" i="4" l="1"/>
  <c r="G256" i="4"/>
  <c r="C256" i="4"/>
  <c r="J256" i="4"/>
  <c r="E256" i="4"/>
  <c r="I256" i="4"/>
  <c r="N256" i="4"/>
  <c r="H256" i="4"/>
  <c r="A256" i="4"/>
  <c r="L256" i="4"/>
  <c r="D256" i="4"/>
  <c r="M256" i="4"/>
  <c r="F256" i="4"/>
  <c r="B257" i="4"/>
  <c r="M257" i="4" l="1"/>
  <c r="I257" i="4"/>
  <c r="E257" i="4"/>
  <c r="A257" i="4"/>
  <c r="L257" i="4"/>
  <c r="G257" i="4"/>
  <c r="J257" i="4"/>
  <c r="C257" i="4"/>
  <c r="H257" i="4"/>
  <c r="K257" i="4"/>
  <c r="D257" i="4"/>
  <c r="F257" i="4"/>
  <c r="N257" i="4"/>
  <c r="B258" i="4"/>
  <c r="K258" i="4" l="1"/>
  <c r="G258" i="4"/>
  <c r="C258" i="4"/>
  <c r="N258" i="4"/>
  <c r="I258" i="4"/>
  <c r="D258" i="4"/>
  <c r="J258" i="4"/>
  <c r="H258" i="4"/>
  <c r="A258" i="4"/>
  <c r="L258" i="4"/>
  <c r="E258" i="4"/>
  <c r="M258" i="4"/>
  <c r="F258" i="4"/>
  <c r="B259" i="4"/>
  <c r="M259" i="4" l="1"/>
  <c r="I259" i="4"/>
  <c r="E259" i="4"/>
  <c r="A259" i="4"/>
  <c r="K259" i="4"/>
  <c r="F259" i="4"/>
  <c r="J259" i="4"/>
  <c r="C259" i="4"/>
  <c r="H259" i="4"/>
  <c r="L259" i="4"/>
  <c r="D259" i="4"/>
  <c r="G259" i="4"/>
  <c r="N259" i="4"/>
  <c r="B260" i="4"/>
  <c r="K260" i="4" l="1"/>
  <c r="G260" i="4"/>
  <c r="C260" i="4"/>
  <c r="M260" i="4"/>
  <c r="H260" i="4"/>
  <c r="J260" i="4"/>
  <c r="D260" i="4"/>
  <c r="I260" i="4"/>
  <c r="A260" i="4"/>
  <c r="N260" i="4"/>
  <c r="F260" i="4"/>
  <c r="L260" i="4"/>
  <c r="E260" i="4"/>
  <c r="B261" i="4"/>
  <c r="M261" i="4" l="1"/>
  <c r="I261" i="4"/>
  <c r="E261" i="4"/>
  <c r="A261" i="4"/>
  <c r="J261" i="4"/>
  <c r="D261" i="4"/>
  <c r="K261" i="4"/>
  <c r="C261" i="4"/>
  <c r="H261" i="4"/>
  <c r="N261" i="4"/>
  <c r="G261" i="4"/>
  <c r="L261" i="4"/>
  <c r="F261" i="4"/>
  <c r="B262" i="4"/>
  <c r="K262" i="4" l="1"/>
  <c r="G262" i="4"/>
  <c r="C262" i="4"/>
  <c r="L262" i="4"/>
  <c r="F262" i="4"/>
  <c r="A262" i="4"/>
  <c r="J262" i="4"/>
  <c r="D262" i="4"/>
  <c r="I262" i="4"/>
  <c r="N262" i="4"/>
  <c r="H262" i="4"/>
  <c r="M262" i="4"/>
  <c r="E262" i="4"/>
  <c r="B263" i="4"/>
  <c r="M263" i="4" l="1"/>
  <c r="I263" i="4"/>
  <c r="E263" i="4"/>
  <c r="A263" i="4"/>
  <c r="N263" i="4"/>
  <c r="H263" i="4"/>
  <c r="C263" i="4"/>
  <c r="K263" i="4"/>
  <c r="D263" i="4"/>
  <c r="J263" i="4"/>
  <c r="G263" i="4"/>
  <c r="L263" i="4"/>
  <c r="F263" i="4"/>
  <c r="B264" i="4"/>
  <c r="K264" i="4" l="1"/>
  <c r="G264" i="4"/>
  <c r="C264" i="4"/>
  <c r="J264" i="4"/>
  <c r="E264" i="4"/>
  <c r="L264" i="4"/>
  <c r="D264" i="4"/>
  <c r="I264" i="4"/>
  <c r="N264" i="4"/>
  <c r="H264" i="4"/>
  <c r="A264" i="4"/>
  <c r="M264" i="4"/>
  <c r="F264" i="4"/>
  <c r="B265" i="4"/>
  <c r="M265" i="4" l="1"/>
  <c r="I265" i="4"/>
  <c r="E265" i="4"/>
  <c r="A265" i="4"/>
  <c r="L265" i="4"/>
  <c r="G265" i="4"/>
  <c r="K265" i="4"/>
  <c r="D265" i="4"/>
  <c r="J265" i="4"/>
  <c r="C265" i="4"/>
  <c r="H265" i="4"/>
  <c r="N265" i="4"/>
  <c r="F265" i="4"/>
  <c r="B266" i="4"/>
  <c r="K266" i="4" l="1"/>
  <c r="G266" i="4"/>
  <c r="C266" i="4"/>
  <c r="N266" i="4"/>
  <c r="I266" i="4"/>
  <c r="D266" i="4"/>
  <c r="L266" i="4"/>
  <c r="E266" i="4"/>
  <c r="J266" i="4"/>
  <c r="H266" i="4"/>
  <c r="A266" i="4"/>
  <c r="M266" i="4"/>
  <c r="F266" i="4"/>
  <c r="B267" i="4"/>
  <c r="M267" i="4" l="1"/>
  <c r="I267" i="4"/>
  <c r="E267" i="4"/>
  <c r="A267" i="4"/>
  <c r="K267" i="4"/>
  <c r="F267" i="4"/>
  <c r="L267" i="4"/>
  <c r="D267" i="4"/>
  <c r="J267" i="4"/>
  <c r="C267" i="4"/>
  <c r="H267" i="4"/>
  <c r="N267" i="4"/>
  <c r="G267" i="4"/>
  <c r="B268" i="4"/>
  <c r="K268" i="4" l="1"/>
  <c r="G268" i="4"/>
  <c r="C268" i="4"/>
  <c r="M268" i="4"/>
  <c r="H268" i="4"/>
  <c r="L268" i="4"/>
  <c r="E268" i="4"/>
  <c r="J268" i="4"/>
  <c r="D268" i="4"/>
  <c r="I268" i="4"/>
  <c r="A268" i="4"/>
  <c r="N268" i="4"/>
  <c r="F268" i="4"/>
  <c r="B269" i="4"/>
  <c r="M269" i="4" l="1"/>
  <c r="I269" i="4"/>
  <c r="E269" i="4"/>
  <c r="A269" i="4"/>
  <c r="J269" i="4"/>
  <c r="D269" i="4"/>
  <c r="L269" i="4"/>
  <c r="F269" i="4"/>
  <c r="K269" i="4"/>
  <c r="C269" i="4"/>
  <c r="H269" i="4"/>
  <c r="N269" i="4"/>
  <c r="G269" i="4"/>
  <c r="B270" i="4"/>
  <c r="K270" i="4" l="1"/>
  <c r="G270" i="4"/>
  <c r="C270" i="4"/>
  <c r="L270" i="4"/>
  <c r="F270" i="4"/>
  <c r="A270" i="4"/>
  <c r="M270" i="4"/>
  <c r="E270" i="4"/>
  <c r="J270" i="4"/>
  <c r="D270" i="4"/>
  <c r="I270" i="4"/>
  <c r="N270" i="4"/>
  <c r="H270" i="4"/>
  <c r="B271" i="4"/>
  <c r="M271" i="4" l="1"/>
  <c r="I271" i="4"/>
  <c r="E271" i="4"/>
  <c r="A271" i="4"/>
  <c r="N271" i="4"/>
  <c r="H271" i="4"/>
  <c r="C271" i="4"/>
  <c r="L271" i="4"/>
  <c r="F271" i="4"/>
  <c r="K271" i="4"/>
  <c r="D271" i="4"/>
  <c r="J271" i="4"/>
  <c r="G271" i="4"/>
  <c r="B272" i="4"/>
  <c r="K272" i="4" l="1"/>
  <c r="G272" i="4"/>
  <c r="C272" i="4"/>
  <c r="J272" i="4"/>
  <c r="E272" i="4"/>
  <c r="N272" i="4"/>
  <c r="I272" i="4"/>
  <c r="F272" i="4"/>
  <c r="M272" i="4"/>
  <c r="D272" i="4"/>
  <c r="L272" i="4"/>
  <c r="H272" i="4"/>
  <c r="A272" i="4"/>
  <c r="B273" i="4"/>
  <c r="M273" i="4" l="1"/>
  <c r="I273" i="4"/>
  <c r="E273" i="4"/>
  <c r="A273" i="4"/>
  <c r="L273" i="4"/>
  <c r="G273" i="4"/>
  <c r="K273" i="4"/>
  <c r="F273" i="4"/>
  <c r="N273" i="4"/>
  <c r="C273" i="4"/>
  <c r="J273" i="4"/>
  <c r="H273" i="4"/>
  <c r="D273" i="4"/>
  <c r="B274" i="4"/>
  <c r="K274" i="4" l="1"/>
  <c r="G274" i="4"/>
  <c r="C274" i="4"/>
  <c r="N274" i="4"/>
  <c r="J274" i="4"/>
  <c r="I274" i="4"/>
  <c r="D274" i="4"/>
  <c r="H274" i="4"/>
  <c r="L274" i="4"/>
  <c r="F274" i="4"/>
  <c r="E274" i="4"/>
  <c r="M274" i="4"/>
  <c r="A274" i="4"/>
  <c r="B275" i="4"/>
  <c r="M275" i="4" l="1"/>
  <c r="I275" i="4"/>
  <c r="E275" i="4"/>
  <c r="A275" i="4"/>
  <c r="L275" i="4"/>
  <c r="H275" i="4"/>
  <c r="D275" i="4"/>
  <c r="K275" i="4"/>
  <c r="C275" i="4"/>
  <c r="J275" i="4"/>
  <c r="N275" i="4"/>
  <c r="G275" i="4"/>
  <c r="F275" i="4"/>
  <c r="B276" i="4"/>
  <c r="K276" i="4" l="1"/>
  <c r="G276" i="4"/>
  <c r="C276" i="4"/>
  <c r="N276" i="4"/>
  <c r="J276" i="4"/>
  <c r="F276" i="4"/>
  <c r="M276" i="4"/>
  <c r="E276" i="4"/>
  <c r="L276" i="4"/>
  <c r="D276" i="4"/>
  <c r="I276" i="4"/>
  <c r="H276" i="4"/>
  <c r="A276" i="4"/>
  <c r="B277" i="4"/>
  <c r="M277" i="4" l="1"/>
  <c r="I277" i="4"/>
  <c r="E277" i="4"/>
  <c r="A277" i="4"/>
  <c r="L277" i="4"/>
  <c r="H277" i="4"/>
  <c r="D277" i="4"/>
  <c r="G277" i="4"/>
  <c r="N277" i="4"/>
  <c r="F277" i="4"/>
  <c r="K277" i="4"/>
  <c r="J277" i="4"/>
  <c r="C277" i="4"/>
  <c r="B278" i="4"/>
  <c r="K278" i="4" l="1"/>
  <c r="G278" i="4"/>
  <c r="C278" i="4"/>
  <c r="N278" i="4"/>
  <c r="J278" i="4"/>
  <c r="F278" i="4"/>
  <c r="I278" i="4"/>
  <c r="A278" i="4"/>
  <c r="H278" i="4"/>
  <c r="D278" i="4"/>
  <c r="M278" i="4"/>
  <c r="L278" i="4"/>
  <c r="E278" i="4"/>
  <c r="B279" i="4"/>
  <c r="M279" i="4" l="1"/>
  <c r="I279" i="4"/>
  <c r="E279" i="4"/>
  <c r="A279" i="4"/>
  <c r="L279" i="4"/>
  <c r="H279" i="4"/>
  <c r="D279" i="4"/>
  <c r="K279" i="4"/>
  <c r="C279" i="4"/>
  <c r="J279" i="4"/>
  <c r="F279" i="4"/>
  <c r="N279" i="4"/>
  <c r="G279" i="4"/>
  <c r="B280" i="4"/>
  <c r="K280" i="4" l="1"/>
  <c r="G280" i="4"/>
  <c r="C280" i="4"/>
  <c r="N280" i="4"/>
  <c r="J280" i="4"/>
  <c r="F280" i="4"/>
  <c r="M280" i="4"/>
  <c r="E280" i="4"/>
  <c r="L280" i="4"/>
  <c r="D280" i="4"/>
  <c r="H280" i="4"/>
  <c r="A280" i="4"/>
  <c r="I280" i="4"/>
  <c r="B281" i="4"/>
  <c r="M281" i="4" l="1"/>
  <c r="I281" i="4"/>
  <c r="E281" i="4"/>
  <c r="A281" i="4"/>
  <c r="L281" i="4"/>
  <c r="H281" i="4"/>
  <c r="D281" i="4"/>
  <c r="G281" i="4"/>
  <c r="N281" i="4"/>
  <c r="F281" i="4"/>
  <c r="J281" i="4"/>
  <c r="C281" i="4"/>
  <c r="K281" i="4"/>
  <c r="B282" i="4"/>
  <c r="K282" i="4" l="1"/>
  <c r="G282" i="4"/>
  <c r="C282" i="4"/>
  <c r="N282" i="4"/>
  <c r="J282" i="4"/>
  <c r="F282" i="4"/>
  <c r="I282" i="4"/>
  <c r="A282" i="4"/>
  <c r="H282" i="4"/>
  <c r="L282" i="4"/>
  <c r="E282" i="4"/>
  <c r="D282" i="4"/>
  <c r="M282" i="4"/>
  <c r="B283" i="4"/>
  <c r="M283" i="4" l="1"/>
  <c r="I283" i="4"/>
  <c r="E283" i="4"/>
  <c r="A283" i="4"/>
  <c r="L283" i="4"/>
  <c r="H283" i="4"/>
  <c r="D283" i="4"/>
  <c r="K283" i="4"/>
  <c r="C283" i="4"/>
  <c r="J283" i="4"/>
  <c r="N283" i="4"/>
  <c r="G283" i="4"/>
  <c r="F283" i="4"/>
  <c r="B284" i="4"/>
  <c r="K284" i="4" l="1"/>
  <c r="G284" i="4"/>
  <c r="C284" i="4"/>
  <c r="N284" i="4"/>
  <c r="J284" i="4"/>
  <c r="F284" i="4"/>
  <c r="M284" i="4"/>
  <c r="E284" i="4"/>
  <c r="L284" i="4"/>
  <c r="D284" i="4"/>
  <c r="I284" i="4"/>
  <c r="H284" i="4"/>
  <c r="A284" i="4"/>
  <c r="B285" i="4"/>
  <c r="M285" i="4" l="1"/>
  <c r="I285" i="4"/>
  <c r="E285" i="4"/>
  <c r="A285" i="4"/>
  <c r="L285" i="4"/>
  <c r="H285" i="4"/>
  <c r="D285" i="4"/>
  <c r="G285" i="4"/>
  <c r="N285" i="4"/>
  <c r="F285" i="4"/>
  <c r="K285" i="4"/>
  <c r="J285" i="4"/>
  <c r="C285" i="4"/>
  <c r="B286" i="4"/>
  <c r="K286" i="4" l="1"/>
  <c r="G286" i="4"/>
  <c r="C286" i="4"/>
  <c r="N286" i="4"/>
  <c r="J286" i="4"/>
  <c r="F286" i="4"/>
  <c r="I286" i="4"/>
  <c r="A286" i="4"/>
  <c r="H286" i="4"/>
  <c r="D286" i="4"/>
  <c r="M286" i="4"/>
  <c r="L286" i="4"/>
  <c r="E286" i="4"/>
  <c r="B287" i="4"/>
  <c r="M287" i="4" l="1"/>
  <c r="I287" i="4"/>
  <c r="E287" i="4"/>
  <c r="A287" i="4"/>
  <c r="L287" i="4"/>
  <c r="H287" i="4"/>
  <c r="D287" i="4"/>
  <c r="K287" i="4"/>
  <c r="C287" i="4"/>
  <c r="J287" i="4"/>
  <c r="F287" i="4"/>
  <c r="N287" i="4"/>
  <c r="G287" i="4"/>
  <c r="B288" i="4"/>
  <c r="K288" i="4" l="1"/>
  <c r="G288" i="4"/>
  <c r="C288" i="4"/>
  <c r="N288" i="4"/>
  <c r="J288" i="4"/>
  <c r="F288" i="4"/>
  <c r="M288" i="4"/>
  <c r="E288" i="4"/>
  <c r="L288" i="4"/>
  <c r="D288" i="4"/>
  <c r="H288" i="4"/>
  <c r="A288" i="4"/>
  <c r="I288" i="4"/>
  <c r="B289" i="4"/>
  <c r="M289" i="4" l="1"/>
  <c r="I289" i="4"/>
  <c r="E289" i="4"/>
  <c r="A289" i="4"/>
  <c r="L289" i="4"/>
  <c r="H289" i="4"/>
  <c r="D289" i="4"/>
  <c r="G289" i="4"/>
  <c r="N289" i="4"/>
  <c r="F289" i="4"/>
  <c r="J289" i="4"/>
  <c r="C289" i="4"/>
  <c r="K289" i="4"/>
  <c r="B290" i="4"/>
  <c r="K290" i="4" l="1"/>
  <c r="G290" i="4"/>
  <c r="C290" i="4"/>
  <c r="N290" i="4"/>
  <c r="J290" i="4"/>
  <c r="F290" i="4"/>
  <c r="I290" i="4"/>
  <c r="A290" i="4"/>
  <c r="H290" i="4"/>
  <c r="L290" i="4"/>
  <c r="E290" i="4"/>
  <c r="D290" i="4"/>
  <c r="M290" i="4"/>
  <c r="B291" i="4"/>
  <c r="M291" i="4" l="1"/>
  <c r="I291" i="4"/>
  <c r="E291" i="4"/>
  <c r="A291" i="4"/>
  <c r="L291" i="4"/>
  <c r="H291" i="4"/>
  <c r="D291" i="4"/>
  <c r="K291" i="4"/>
  <c r="C291" i="4"/>
  <c r="J291" i="4"/>
  <c r="N291" i="4"/>
  <c r="G291" i="4"/>
  <c r="F291" i="4"/>
  <c r="B292" i="4"/>
  <c r="K292" i="4" l="1"/>
  <c r="G292" i="4"/>
  <c r="C292" i="4"/>
  <c r="N292" i="4"/>
  <c r="J292" i="4"/>
  <c r="F292" i="4"/>
  <c r="M292" i="4"/>
  <c r="E292" i="4"/>
  <c r="L292" i="4"/>
  <c r="D292" i="4"/>
  <c r="I292" i="4"/>
  <c r="H292" i="4"/>
  <c r="A292" i="4"/>
  <c r="B293" i="4"/>
  <c r="M293" i="4" l="1"/>
  <c r="I293" i="4"/>
  <c r="E293" i="4"/>
  <c r="A293" i="4"/>
  <c r="L293" i="4"/>
  <c r="H293" i="4"/>
  <c r="D293" i="4"/>
  <c r="G293" i="4"/>
  <c r="N293" i="4"/>
  <c r="F293" i="4"/>
  <c r="K293" i="4"/>
  <c r="J293" i="4"/>
  <c r="C293" i="4"/>
  <c r="B294" i="4"/>
  <c r="K294" i="4" l="1"/>
  <c r="G294" i="4"/>
  <c r="C294" i="4"/>
  <c r="N294" i="4"/>
  <c r="J294" i="4"/>
  <c r="F294" i="4"/>
  <c r="I294" i="4"/>
  <c r="A294" i="4"/>
  <c r="H294" i="4"/>
  <c r="D294" i="4"/>
  <c r="M294" i="4"/>
  <c r="L294" i="4"/>
  <c r="E294" i="4"/>
  <c r="B295" i="4"/>
  <c r="M295" i="4" l="1"/>
  <c r="I295" i="4"/>
  <c r="E295" i="4"/>
  <c r="A295" i="4"/>
  <c r="L295" i="4"/>
  <c r="H295" i="4"/>
  <c r="D295" i="4"/>
  <c r="K295" i="4"/>
  <c r="C295" i="4"/>
  <c r="J295" i="4"/>
  <c r="F295" i="4"/>
  <c r="N295" i="4"/>
  <c r="G295" i="4"/>
  <c r="B296" i="4"/>
  <c r="K296" i="4" l="1"/>
  <c r="G296" i="4"/>
  <c r="C296" i="4"/>
  <c r="N296" i="4"/>
  <c r="J296" i="4"/>
  <c r="F296" i="4"/>
  <c r="M296" i="4"/>
  <c r="E296" i="4"/>
  <c r="L296" i="4"/>
  <c r="D296" i="4"/>
  <c r="H296" i="4"/>
  <c r="A296" i="4"/>
  <c r="I296" i="4"/>
  <c r="B297" i="4"/>
  <c r="M297" i="4" l="1"/>
  <c r="I297" i="4"/>
  <c r="E297" i="4"/>
  <c r="A297" i="4"/>
  <c r="L297" i="4"/>
  <c r="H297" i="4"/>
  <c r="D297" i="4"/>
  <c r="G297" i="4"/>
  <c r="N297" i="4"/>
  <c r="F297" i="4"/>
  <c r="J297" i="4"/>
  <c r="C297" i="4"/>
  <c r="K297" i="4"/>
  <c r="B298" i="4"/>
  <c r="K298" i="4" l="1"/>
  <c r="G298" i="4"/>
  <c r="C298" i="4"/>
  <c r="N298" i="4"/>
  <c r="J298" i="4"/>
  <c r="F298" i="4"/>
  <c r="I298" i="4"/>
  <c r="A298" i="4"/>
  <c r="H298" i="4"/>
  <c r="L298" i="4"/>
  <c r="E298" i="4"/>
  <c r="D298" i="4"/>
  <c r="M298" i="4"/>
  <c r="B299" i="4"/>
  <c r="M299" i="4" l="1"/>
  <c r="I299" i="4"/>
  <c r="E299" i="4"/>
  <c r="A299" i="4"/>
  <c r="L299" i="4"/>
  <c r="H299" i="4"/>
  <c r="D299" i="4"/>
  <c r="N299" i="4"/>
  <c r="J299" i="4"/>
  <c r="F299" i="4"/>
  <c r="G299" i="4"/>
  <c r="C299" i="4"/>
  <c r="K299" i="4"/>
  <c r="B300" i="4"/>
  <c r="K300" i="4" l="1"/>
  <c r="G300" i="4"/>
  <c r="M300" i="4"/>
  <c r="H300" i="4"/>
  <c r="C300" i="4"/>
  <c r="L300" i="4"/>
  <c r="F300" i="4"/>
  <c r="N300" i="4"/>
  <c r="I300" i="4"/>
  <c r="D300" i="4"/>
  <c r="J300" i="4"/>
  <c r="E300" i="4"/>
  <c r="A300" i="4"/>
  <c r="B301" i="4"/>
  <c r="M301" i="4" l="1"/>
  <c r="I301" i="4"/>
  <c r="E301" i="4"/>
  <c r="A301" i="4"/>
  <c r="J301" i="4"/>
  <c r="D301" i="4"/>
  <c r="N301" i="4"/>
  <c r="H301" i="4"/>
  <c r="C301" i="4"/>
  <c r="K301" i="4"/>
  <c r="F301" i="4"/>
  <c r="L301" i="4"/>
  <c r="G301" i="4"/>
</calcChain>
</file>

<file path=xl/sharedStrings.xml><?xml version="1.0" encoding="utf-8"?>
<sst xmlns="http://schemas.openxmlformats.org/spreadsheetml/2006/main" count="297" uniqueCount="169">
  <si>
    <t>No</t>
  </si>
  <si>
    <t>実施日</t>
  </si>
  <si>
    <t>イベント種類</t>
  </si>
  <si>
    <t>localId</t>
  </si>
  <si>
    <t>品番</t>
  </si>
  <si>
    <t>ロットID</t>
  </si>
  <si>
    <t>充当先ロットID</t>
  </si>
  <si>
    <t>元状態</t>
  </si>
  <si>
    <t>数量</t>
  </si>
  <si>
    <t>納期先</t>
  </si>
  <si>
    <t>記録者</t>
  </si>
  <si>
    <t>備考</t>
  </si>
  <si>
    <t>搬入</t>
  </si>
  <si>
    <t>a_002</t>
  </si>
  <si>
    <t>10000002</t>
  </si>
  <si>
    <t>山田</t>
  </si>
  <si>
    <t>ロットID不要。割当は自動(必要数+予備数)</t>
  </si>
  <si>
    <t>a_001</t>
  </si>
  <si>
    <t>10000001</t>
  </si>
  <si>
    <t>佐藤</t>
  </si>
  <si>
    <t>b_001</t>
  </si>
  <si>
    <t>10000003</t>
  </si>
  <si>
    <t>アセンブリ開始</t>
  </si>
  <si>
    <t>a_002_2026-07-13_納期先A</t>
  </si>
  <si>
    <t>未処理</t>
  </si>
  <si>
    <t>割当8個(必要5+予備3)を全量アセンブリへ</t>
  </si>
  <si>
    <t>アセンブリ完了</t>
  </si>
  <si>
    <t>アセンブリ中</t>
  </si>
  <si>
    <t>開始を記録済みのため元状態=アセンブリ中</t>
  </si>
  <si>
    <t>梱包完了</t>
  </si>
  <si>
    <t>アセンブリ済み</t>
  </si>
  <si>
    <t>納期先A</t>
  </si>
  <si>
    <t>a_002_2026-07-13_納期先B</t>
  </si>
  <si>
    <t>割当6個(必要6+予備0)</t>
  </si>
  <si>
    <t>アニール開始</t>
  </si>
  <si>
    <t>b_001_2026-07-20</t>
  </si>
  <si>
    <t>test</t>
  </si>
  <si>
    <t>倉庫戻し</t>
  </si>
  <si>
    <t>在庫管理台帳(雛形)※サンプルデータ入り</t>
  </si>
  <si>
    <t>作成日: 2026-07-09 / 更新日: 2026-07-21 / 設計書: docs/02_データ設計案_v1.md</t>
  </si>
  <si>
    <t>■ シート名の接頭辞の意味</t>
  </si>
  <si>
    <t xml:space="preserve">  V_ = View(ビュー): 台帳から自動計算される「見るだけ」のシート。入力しない</t>
  </si>
  <si>
    <t xml:space="preserve">  T_ = Transaction(トランザクション): 日々増えていく業務データ。ここに入力する</t>
  </si>
  <si>
    <t xml:space="preserve">  M_ = Master(マスタ): 品番などの基礎情報。変更があった時だけ編集する</t>
  </si>
  <si>
    <t>■ シート構成</t>
  </si>
  <si>
    <t xml:space="preserve">  業務フロー … 状態(箱)とイベント(矢印)の流れ図。迷ったらここを見る</t>
  </si>
  <si>
    <t xml:space="preserve">  V_充足確認 … 納期(週)ごとの在庫充足チェック(自動計算・入力不要)</t>
  </si>
  <si>
    <t xml:space="preserve">  V_在庫内訳 … ロット別/未割当別の状態別在庫(自動計算・入力不要)</t>
  </si>
  <si>
    <t xml:space="preserve">  T_台帳 … 日々入力するのはこのシートのみ(1行=1イベント)</t>
  </si>
  <si>
    <t xml:space="preserve">  T_納期計画 … 納期一覧表からの取込結果(取込処理は今後実装。当面は手入力も可)</t>
  </si>
  <si>
    <t xml:space="preserve">  M_品番 … 品番マスタ(localId・品番・品名・工程パターン)</t>
  </si>
  <si>
    <t xml:space="preserve">  M_リスト … 入力規則用リスト(通常は触らない)</t>
  </si>
  <si>
    <t>■ T_台帳の入力ルール</t>
  </si>
  <si>
    <t xml:space="preserve">  ・「搬入」以外のイベントでは「元状態」を必ず入力する(どの状態の在庫を対象にしたか)</t>
  </si>
  <si>
    <t xml:space="preserve">  ・廃棄の元状態は常に「不良」。発送の元状態は通常「発送準備完了」</t>
  </si>
  <si>
    <t xml:space="preserve">  ・未割当(余剰)在庫を対象にする場合は「ロットID」を空欄にする</t>
  </si>
  <si>
    <t xml:space="preserve">  ・ロットID = localId_出荷週(_納期先)。同じ品番・同じ週でも納期先が違えば別ロット</t>
  </si>
  <si>
    <t xml:space="preserve">  ・搬入はロットIDを入力しない(品番単位で倉庫Bのプールに入る)</t>
  </si>
  <si>
    <t xml:space="preserve">  ・各ロットへの割当は自動計算: 出荷週が早い順に必要数まで割当(予備はロットに紐づけない)</t>
  </si>
  <si>
    <t xml:space="preserve">  ・「余剰化」は通常不要(必要数を超えた分は自動で未割当になる)。ロット間の融通は「充当」</t>
  </si>
  <si>
    <t xml:space="preserve">  ・「充当」= 在庫を別ロットへ振り替える。移動元がロットならロットID、未割当なら空欄。</t>
  </si>
  <si>
    <t xml:space="preserve">     移動先は「充当先ロットID」に入れる</t>
  </si>
  <si>
    <t xml:space="preserve">  ・入力ミスは行を直接修正・削除してよい(取消行は不要)</t>
  </si>
  <si>
    <t>■ 注意</t>
  </si>
  <si>
    <t xml:space="preserve">  ・localId = 社内向けの内部ID(接頭辞+連番の文字列。例 a_001)。品番 = 対外向けの8桁番号。台帳・計画・集計のキーは localId</t>
  </si>
  <si>
    <t xml:space="preserve">  ・背景が灰色のセルはすべて自動計算。手入力しない(T_納期計画のロットID列・localId列も自動計算。品番が M_品番 にないと「!」表示)</t>
  </si>
  <si>
    <t xml:space="preserve">  ・サンプルデータ入り(localId a_001〜b_002 / 品番 10000001〜10000004)。運用開始前に M_品番/T_納期計画/T_台帳 の</t>
  </si>
  <si>
    <t xml:space="preserve">    サンプル行を削除すること(V シートは自動で追従する)</t>
  </si>
  <si>
    <t xml:space="preserve">  ・V_充足確認は計画300行分、V_在庫内訳はロット300行+品番100件分の数式を用意済み。</t>
  </si>
  <si>
    <t xml:space="preserve">    超える場合は最終数式行を下へコピーする</t>
  </si>
  <si>
    <t xml:space="preserve">  ・V_充足確認のM〜O列は作業列(自動計算)。長い数式は作業列とLET関数(変数ごとに改行)に分解済み(Excel 365以降が必要)</t>
  </si>
  <si>
    <t xml:space="preserve">  ・テーブル名: tbl_master(品番) / tbl_plan(納期計画) / tbl_ledger(台帳)</t>
  </si>
  <si>
    <t>■ クイックガイド(これをしたい → どのシートに何を入力する)</t>
  </si>
  <si>
    <t>やりたいこと</t>
  </si>
  <si>
    <t>シート</t>
  </si>
  <si>
    <t>入力内容</t>
  </si>
  <si>
    <t>納期に足りているか確認したい</t>
  </si>
  <si>
    <t>V_充足確認</t>
  </si>
  <si>
    <t>入力不要。「要搬出」が赤で出たら倉庫Aから搬入する</t>
  </si>
  <si>
    <t>いま在庫がどの状態か知りたい</t>
  </si>
  <si>
    <t>V_在庫内訳</t>
  </si>
  <si>
    <t>入力不要。ロット別・未割当別の状態別数量を見る</t>
  </si>
  <si>
    <t>納期一覧表が届いた/変わった</t>
  </si>
  <si>
    <t>T_納期計画</t>
  </si>
  <si>
    <t>1行=品番×週×納期先で入力(将来は取込ボタン化予定)</t>
  </si>
  <si>
    <t>倉庫Aから倉庫Bへ部品を運んだ</t>
  </si>
  <si>
    <t>T_台帳</t>
  </si>
  <si>
    <t>イベント「搬入」: localId・数量のみ入力(ロットIDは空欄。割当は自動計算。品番列は空欄でよい)</t>
  </si>
  <si>
    <t>予備を確保したい/使いたい</t>
  </si>
  <si>
    <t>多めに「搬入」するだけ(必要数を超えた分は品番単位の未割当=余剰)。不良の補填は「充当」</t>
  </si>
  <si>
    <t>アニール/アセンブリ等を始めた</t>
  </si>
  <si>
    <t>「アニール開始」等: 元状態=直前の状態。V_在庫内訳の「〜中」列に表示</t>
  </si>
  <si>
    <t>アニールが終わった</t>
  </si>
  <si>
    <t>「アニール完了」: 元状態=未処理(「アニール開始」を記録済みならアニール中)</t>
  </si>
  <si>
    <t>アセンブリが終わった</t>
  </si>
  <si>
    <t>「アセンブリ完了」: 元状態=未処理(パターン4はアニール済み、開始記録済みならアセンブリ中)</t>
  </si>
  <si>
    <t>梱包した</t>
  </si>
  <si>
    <t>「梱包完了」: 元状態=直前の状態(未処理/アニール済み/アセンブリ済み)</t>
  </si>
  <si>
    <t>発送準備が整った</t>
  </si>
  <si>
    <t>「発送準備完了」: 元状態=梱包済み</t>
  </si>
  <si>
    <t>発送した</t>
  </si>
  <si>
    <t>「発送」: 元状態=発送準備完了。納期先も記入</t>
  </si>
  <si>
    <t>不良が出た</t>
  </si>
  <si>
    <t>「不良発生」: 元状態=失敗した時点の状態</t>
  </si>
  <si>
    <t>不良品を廃棄した</t>
  </si>
  <si>
    <t>「廃棄」: 元状態=不良</t>
  </si>
  <si>
    <t>ロットの残りを余剰在庫にする</t>
  </si>
  <si>
    <t>「余剰化」: ロットID=元ロット、元状態=そのままの状態</t>
  </si>
  <si>
    <t>余剰を別の納期に使う</t>
  </si>
  <si>
    <t>「充当」: ロットID=移動元(未割当なら空欄)、充当先ロットIDに移動先</t>
  </si>
  <si>
    <t>「倉庫戻し」: ロットID(未割当なら空欄)・元状態・数量</t>
  </si>
  <si>
    <t>新しい品番を扱い始める</t>
  </si>
  <si>
    <t>M_品番</t>
  </si>
  <si>
    <t>localId(内部ID: 接頭辞+連番の文字列)・品番(8桁)・品名・工程パターン(1〜4)を追加</t>
  </si>
  <si>
    <t>出荷週</t>
  </si>
  <si>
    <t>必要数</t>
  </si>
  <si>
    <t>割当数(自動)</t>
  </si>
  <si>
    <t>発送済数</t>
  </si>
  <si>
    <t>ロット在庫</t>
  </si>
  <si>
    <t>未割当在庫(品番)</t>
  </si>
  <si>
    <t>未発送数</t>
  </si>
  <si>
    <t>不足数</t>
  </si>
  <si>
    <t>判定</t>
  </si>
  <si>
    <t>(作業)有効必要数</t>
  </si>
  <si>
    <t>(作業)品番プール</t>
  </si>
  <si>
    <t>(作業)先行割当</t>
  </si>
  <si>
    <t>区分</t>
  </si>
  <si>
    <t>アニール中</t>
  </si>
  <si>
    <t>アニール済み</t>
  </si>
  <si>
    <t>梱包中</t>
  </si>
  <si>
    <t>梱包済み</t>
  </si>
  <si>
    <t>発送準備中</t>
  </si>
  <si>
    <t>発送準備完了</t>
  </si>
  <si>
    <t>不良</t>
  </si>
  <si>
    <t>合計</t>
  </si>
  <si>
    <t>■ 未割当(余剰)在庫(品番プール。localId 表示)</t>
  </si>
  <si>
    <t>計画状態</t>
  </si>
  <si>
    <t>最終取込日時</t>
  </si>
  <si>
    <t>有効</t>
  </si>
  <si>
    <t>納期先B</t>
  </si>
  <si>
    <t>品名</t>
  </si>
  <si>
    <t>工程パターン</t>
  </si>
  <si>
    <t>サンプル部品A(梱包のみ)</t>
  </si>
  <si>
    <t>1</t>
  </si>
  <si>
    <t>サンプル行。運用前に削除</t>
  </si>
  <si>
    <t>サンプル部品B(アセンブリ)</t>
  </si>
  <si>
    <t>2</t>
  </si>
  <si>
    <t>サンプル部品C(アニール)</t>
  </si>
  <si>
    <t>3</t>
  </si>
  <si>
    <t>b_002</t>
  </si>
  <si>
    <t>10000004</t>
  </si>
  <si>
    <t>サンプル部品D(アニール+アセンブリ)</t>
  </si>
  <si>
    <t>4</t>
  </si>
  <si>
    <t>状態</t>
  </si>
  <si>
    <t>パターン説明</t>
  </si>
  <si>
    <t>梱包のみ</t>
  </si>
  <si>
    <t>キャンセル</t>
  </si>
  <si>
    <t>アセンブリ→梱包</t>
  </si>
  <si>
    <t>アニール完了</t>
  </si>
  <si>
    <t>アニール→梱包</t>
  </si>
  <si>
    <t>アニール→アセンブリ→梱包</t>
  </si>
  <si>
    <t>梱包開始</t>
  </si>
  <si>
    <t>発送準備開始</t>
  </si>
  <si>
    <t>発送</t>
  </si>
  <si>
    <t>不良発生</t>
  </si>
  <si>
    <t>廃棄</t>
  </si>
  <si>
    <t>余剰化</t>
  </si>
  <si>
    <t>充当</t>
  </si>
  <si>
    <t>倉庫Bから元の倉庫へ戻した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</si>
</sst>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"/>
    <numFmt numFmtId="177" formatCode="yyyy/mm/dd\ hh:mm"/>
  </numFmts>
  <fonts count="5" x14ac:knownFonts="1">
    <font>
      <sz val="11"/>
      <color theme="1"/>
      <name val="ＭＳ Ｐゴシック"/>
      <family val="2"/>
      <scheme val="minor"/>
    </font>
    <font>
      <b/>
      <sz val="10"/>
      <name val="Meiryo UI"/>
      <family val="3"/>
      <charset val="128"/>
    </font>
    <font>
      <sz val="10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sz val="6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2" fillId="3" borderId="0" xfId="0" applyFont="1" applyFill="1"/>
    <xf numFmtId="176" fontId="2" fillId="0" borderId="0" xfId="0" applyNumberFormat="1" applyFont="1"/>
    <xf numFmtId="177" fontId="2" fillId="0" borderId="0" xfId="0" applyNumberFormat="1" applyFont="1"/>
    <xf numFmtId="49" fontId="2" fillId="0" borderId="0" xfId="0" applyNumberFormat="1" applyFont="1"/>
    <xf numFmtId="0" fontId="2" fillId="3" borderId="0" xfId="0" applyFont="1" applyFill="1" applyAlignment="1">
      <alignment horizontal="right" indent="2"/>
    </xf>
    <xf numFmtId="0" fontId="0" fillId="0" borderId="0" xfId="0" applyAlignment="1">
      <alignment horizontal="right" indent="2"/>
    </xf>
    <xf numFmtId="0" fontId="3" fillId="2" borderId="0" xfId="0" applyFont="1" applyFill="1" applyAlignment="1">
      <alignment horizontal="center"/>
    </xf>
    <xf numFmtId="176" fontId="2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標準" xfId="0" builtinId="0"/>
  </cellStyles>
  <dxfs count="1">
    <dxf>
      <font>
        <b/>
        <color rgb="FF9C0006"/>
      </font>
      <fill>
        <patternFill patternType="solid">
          <bgColor rgb="FF00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ledger" displayName="tbl_ledger" ref="A1:L12">
  <autoFilter ref="A1:L12" xr:uid="{00000000-0009-0000-0100-000001000000}"/>
  <tableColumns count="12">
    <tableColumn id="1" xr3:uid="{00000000-0010-0000-0000-000001000000}" name="No"/>
    <tableColumn id="2" xr3:uid="{00000000-0010-0000-0000-000002000000}" name="実施日"/>
    <tableColumn id="3" xr3:uid="{00000000-0010-0000-0000-000003000000}" name="イベント種類"/>
    <tableColumn id="4" xr3:uid="{00000000-0010-0000-0000-000004000000}" name="localId"/>
    <tableColumn id="5" xr3:uid="{00000000-0010-0000-0000-000005000000}" name="品番"/>
    <tableColumn id="6" xr3:uid="{00000000-0010-0000-0000-000006000000}" name="ロットID"/>
    <tableColumn id="7" xr3:uid="{00000000-0010-0000-0000-000007000000}" name="充当先ロットID"/>
    <tableColumn id="8" xr3:uid="{00000000-0010-0000-0000-000008000000}" name="元状態"/>
    <tableColumn id="9" xr3:uid="{00000000-0010-0000-0000-000009000000}" name="数量"/>
    <tableColumn id="10" xr3:uid="{00000000-0010-0000-0000-00000A000000}" name="納期先"/>
    <tableColumn id="11" xr3:uid="{00000000-0010-0000-0000-00000B000000}" name="記録者"/>
    <tableColumn id="12" xr3:uid="{00000000-0010-0000-0000-00000C000000}" name="備考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plan" displayName="tbl_plan" ref="A1:H5">
  <tableColumns count="8">
    <tableColumn id="1" xr3:uid="{00000000-0010-0000-0100-000001000000}" name="ロットID"/>
    <tableColumn id="2" xr3:uid="{00000000-0010-0000-0100-000002000000}" name="localId"/>
    <tableColumn id="3" xr3:uid="{00000000-0010-0000-0100-000003000000}" name="品番"/>
    <tableColumn id="4" xr3:uid="{00000000-0010-0000-0100-000004000000}" name="出荷週"/>
    <tableColumn id="5" xr3:uid="{00000000-0010-0000-0100-000005000000}" name="納期先"/>
    <tableColumn id="6" xr3:uid="{00000000-0010-0000-0100-000006000000}" name="必要数"/>
    <tableColumn id="7" xr3:uid="{00000000-0010-0000-0100-000007000000}" name="計画状態"/>
    <tableColumn id="8" xr3:uid="{00000000-0010-0000-0100-000008000000}" name="最終取込日時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master" displayName="tbl_master" ref="A1:E5">
  <autoFilter ref="A1:E5" xr:uid="{00000000-0009-0000-0100-000003000000}"/>
  <tableColumns count="5">
    <tableColumn id="1" xr3:uid="{00000000-0010-0000-0200-000001000000}" name="localId"/>
    <tableColumn id="2" xr3:uid="{00000000-0010-0000-0200-000002000000}" name="品番"/>
    <tableColumn id="3" xr3:uid="{00000000-0010-0000-0200-000003000000}" name="品名"/>
    <tableColumn id="4" xr3:uid="{00000000-0010-0000-0200-000004000000}" name="工程パターン"/>
    <tableColumn id="5" xr3:uid="{00000000-0010-0000-0200-000005000000}" name="備考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8"/>
  <sheetViews>
    <sheetView topLeftCell="A40" workbookViewId="0">
      <selection activeCell="A54" sqref="A54"/>
    </sheetView>
  </sheetViews>
  <sheetFormatPr defaultRowHeight="13.5" x14ac:dyDescent="0.15"/>
  <cols>
    <col min="1" max="1" width="46" customWidth="1"/>
    <col min="2" max="2" width="13" customWidth="1"/>
    <col min="3" max="3" width="66" customWidth="1"/>
  </cols>
  <sheetData>
    <row r="1" spans="1:1" ht="15" customHeight="1" x14ac:dyDescent="0.25">
      <c r="A1" s="1" t="s">
        <v>38</v>
      </c>
    </row>
    <row r="2" spans="1:1" ht="15" customHeight="1" x14ac:dyDescent="0.25">
      <c r="A2" s="2" t="s">
        <v>39</v>
      </c>
    </row>
    <row r="3" spans="1:1" ht="15" customHeight="1" x14ac:dyDescent="0.25">
      <c r="A3" s="2"/>
    </row>
    <row r="4" spans="1:1" ht="15" customHeight="1" x14ac:dyDescent="0.25">
      <c r="A4" s="1" t="s">
        <v>40</v>
      </c>
    </row>
    <row r="5" spans="1:1" ht="15" customHeight="1" x14ac:dyDescent="0.25">
      <c r="A5" s="2" t="s">
        <v>41</v>
      </c>
    </row>
    <row r="6" spans="1:1" ht="15" customHeight="1" x14ac:dyDescent="0.25">
      <c r="A6" s="2" t="s">
        <v>42</v>
      </c>
    </row>
    <row r="7" spans="1:1" ht="15" customHeight="1" x14ac:dyDescent="0.25">
      <c r="A7" s="2" t="s">
        <v>43</v>
      </c>
    </row>
    <row r="8" spans="1:1" ht="15" customHeight="1" x14ac:dyDescent="0.25">
      <c r="A8" s="2"/>
    </row>
    <row r="9" spans="1:1" ht="15" customHeight="1" x14ac:dyDescent="0.25">
      <c r="A9" s="1" t="s">
        <v>44</v>
      </c>
    </row>
    <row r="10" spans="1:1" ht="15" customHeight="1" x14ac:dyDescent="0.25">
      <c r="A10" s="2" t="s">
        <v>45</v>
      </c>
    </row>
    <row r="11" spans="1:1" ht="15" customHeight="1" x14ac:dyDescent="0.25">
      <c r="A11" s="2" t="s">
        <v>46</v>
      </c>
    </row>
    <row r="12" spans="1:1" ht="15" customHeight="1" x14ac:dyDescent="0.25">
      <c r="A12" s="2" t="s">
        <v>47</v>
      </c>
    </row>
    <row r="13" spans="1:1" ht="15" customHeight="1" x14ac:dyDescent="0.25">
      <c r="A13" s="2" t="s">
        <v>48</v>
      </c>
    </row>
    <row r="14" spans="1:1" ht="15" customHeight="1" x14ac:dyDescent="0.25">
      <c r="A14" s="2" t="s">
        <v>49</v>
      </c>
    </row>
    <row r="15" spans="1:1" ht="15" customHeight="1" x14ac:dyDescent="0.25">
      <c r="A15" s="2" t="s">
        <v>50</v>
      </c>
    </row>
    <row r="16" spans="1:1" ht="15" customHeight="1" x14ac:dyDescent="0.25">
      <c r="A16" s="2" t="s">
        <v>51</v>
      </c>
    </row>
    <row r="17" spans="1:1" ht="15" customHeight="1" x14ac:dyDescent="0.25">
      <c r="A17" s="2"/>
    </row>
    <row r="18" spans="1:1" ht="15" customHeight="1" x14ac:dyDescent="0.25">
      <c r="A18" s="1" t="s">
        <v>52</v>
      </c>
    </row>
    <row r="19" spans="1:1" ht="15" customHeight="1" x14ac:dyDescent="0.25">
      <c r="A19" s="2" t="s">
        <v>53</v>
      </c>
    </row>
    <row r="20" spans="1:1" ht="15" customHeight="1" x14ac:dyDescent="0.25">
      <c r="A20" s="2" t="s">
        <v>54</v>
      </c>
    </row>
    <row r="21" spans="1:1" ht="15" customHeight="1" x14ac:dyDescent="0.25">
      <c r="A21" s="2" t="s">
        <v>55</v>
      </c>
    </row>
    <row r="22" spans="1:1" ht="15" customHeight="1" x14ac:dyDescent="0.25">
      <c r="A22" s="2" t="s">
        <v>56</v>
      </c>
    </row>
    <row r="23" spans="1:1" ht="15" customHeight="1" x14ac:dyDescent="0.25">
      <c r="A23" s="2" t="s">
        <v>57</v>
      </c>
    </row>
    <row r="24" spans="1:1" ht="15" customHeight="1" x14ac:dyDescent="0.25">
      <c r="A24" s="2" t="s">
        <v>58</v>
      </c>
    </row>
    <row r="25" spans="1:1" ht="15" customHeight="1" x14ac:dyDescent="0.25">
      <c r="A25" s="2" t="s">
        <v>59</v>
      </c>
    </row>
    <row r="26" spans="1:1" ht="15" customHeight="1" x14ac:dyDescent="0.25">
      <c r="A26" s="2" t="s">
        <v>60</v>
      </c>
    </row>
    <row r="27" spans="1:1" ht="15" customHeight="1" x14ac:dyDescent="0.25">
      <c r="A27" s="2" t="s">
        <v>61</v>
      </c>
    </row>
    <row r="28" spans="1:1" ht="15" customHeight="1" x14ac:dyDescent="0.25">
      <c r="A28" s="2" t="s">
        <v>62</v>
      </c>
    </row>
    <row r="29" spans="1:1" ht="15" customHeight="1" x14ac:dyDescent="0.25">
      <c r="A29" s="2"/>
    </row>
    <row r="30" spans="1:1" ht="15" customHeight="1" x14ac:dyDescent="0.25">
      <c r="A30" s="1" t="s">
        <v>63</v>
      </c>
    </row>
    <row r="31" spans="1:1" ht="15" customHeight="1" x14ac:dyDescent="0.15">
      <c r="A31" t="s">
        <v>64</v>
      </c>
    </row>
    <row r="32" spans="1:1" ht="15" customHeight="1" x14ac:dyDescent="0.25">
      <c r="A32" s="2" t="s">
        <v>65</v>
      </c>
    </row>
    <row r="33" spans="1:3" ht="15" customHeight="1" x14ac:dyDescent="0.25">
      <c r="A33" s="2" t="s">
        <v>66</v>
      </c>
    </row>
    <row r="34" spans="1:3" ht="15" customHeight="1" x14ac:dyDescent="0.25">
      <c r="A34" s="2" t="s">
        <v>67</v>
      </c>
    </row>
    <row r="35" spans="1:3" ht="15" customHeight="1" x14ac:dyDescent="0.25">
      <c r="A35" s="2" t="s">
        <v>68</v>
      </c>
    </row>
    <row r="36" spans="1:3" ht="15" customHeight="1" x14ac:dyDescent="0.25">
      <c r="A36" s="2" t="s">
        <v>69</v>
      </c>
    </row>
    <row r="37" spans="1:3" ht="15" customHeight="1" x14ac:dyDescent="0.25">
      <c r="A37" s="2" t="s">
        <v>70</v>
      </c>
    </row>
    <row r="38" spans="1:3" ht="15" customHeight="1" x14ac:dyDescent="0.25">
      <c r="A38" s="2" t="s">
        <v>71</v>
      </c>
    </row>
    <row r="39" spans="1:3" ht="15" customHeight="1" x14ac:dyDescent="0.25">
      <c r="A39" s="2"/>
    </row>
    <row r="40" spans="1:3" ht="15" customHeight="1" x14ac:dyDescent="0.25">
      <c r="A40" s="1" t="s">
        <v>72</v>
      </c>
    </row>
    <row r="41" spans="1:3" ht="15" customHeight="1" x14ac:dyDescent="0.25">
      <c r="A41" s="3" t="s">
        <v>73</v>
      </c>
      <c r="B41" s="3" t="s">
        <v>74</v>
      </c>
      <c r="C41" s="3" t="s">
        <v>75</v>
      </c>
    </row>
    <row r="42" spans="1:3" ht="15" customHeight="1" x14ac:dyDescent="0.25">
      <c r="A42" s="2" t="s">
        <v>76</v>
      </c>
      <c r="B42" s="2" t="s">
        <v>77</v>
      </c>
      <c r="C42" s="2" t="s">
        <v>78</v>
      </c>
    </row>
    <row r="43" spans="1:3" ht="15" customHeight="1" x14ac:dyDescent="0.25">
      <c r="A43" s="2" t="s">
        <v>79</v>
      </c>
      <c r="B43" s="2" t="s">
        <v>80</v>
      </c>
      <c r="C43" s="2" t="s">
        <v>81</v>
      </c>
    </row>
    <row r="44" spans="1:3" ht="15" customHeight="1" x14ac:dyDescent="0.25">
      <c r="A44" s="2" t="s">
        <v>82</v>
      </c>
      <c r="B44" s="2" t="s">
        <v>83</v>
      </c>
      <c r="C44" s="2" t="s">
        <v>84</v>
      </c>
    </row>
    <row r="45" spans="1:3" ht="15" customHeight="1" x14ac:dyDescent="0.25">
      <c r="A45" s="2" t="s">
        <v>85</v>
      </c>
      <c r="B45" s="2" t="s">
        <v>86</v>
      </c>
      <c r="C45" s="2" t="s">
        <v>87</v>
      </c>
    </row>
    <row r="46" spans="1:3" ht="15" customHeight="1" x14ac:dyDescent="0.25">
      <c r="A46" s="2" t="s">
        <v>88</v>
      </c>
      <c r="B46" s="2" t="s">
        <v>86</v>
      </c>
      <c r="C46" s="2" t="s">
        <v>89</v>
      </c>
    </row>
    <row r="47" spans="1:3" ht="15" customHeight="1" x14ac:dyDescent="0.25">
      <c r="A47" s="2" t="s">
        <v>90</v>
      </c>
      <c r="B47" s="2" t="s">
        <v>86</v>
      </c>
      <c r="C47" s="2" t="s">
        <v>91</v>
      </c>
    </row>
    <row r="48" spans="1:3" ht="15" customHeight="1" x14ac:dyDescent="0.25">
      <c r="A48" s="2" t="s">
        <v>92</v>
      </c>
      <c r="B48" s="2" t="s">
        <v>86</v>
      </c>
      <c r="C48" s="2" t="s">
        <v>93</v>
      </c>
    </row>
    <row r="49" spans="1:3" ht="15" customHeight="1" x14ac:dyDescent="0.25">
      <c r="A49" s="2" t="s">
        <v>94</v>
      </c>
      <c r="B49" s="2" t="s">
        <v>86</v>
      </c>
      <c r="C49" s="2" t="s">
        <v>95</v>
      </c>
    </row>
    <row r="50" spans="1:3" ht="15" customHeight="1" x14ac:dyDescent="0.25">
      <c r="A50" s="2" t="s">
        <v>96</v>
      </c>
      <c r="B50" s="2" t="s">
        <v>86</v>
      </c>
      <c r="C50" s="2" t="s">
        <v>97</v>
      </c>
    </row>
    <row r="51" spans="1:3" ht="15" customHeight="1" x14ac:dyDescent="0.25">
      <c r="A51" s="2" t="s">
        <v>98</v>
      </c>
      <c r="B51" s="2" t="s">
        <v>86</v>
      </c>
      <c r="C51" s="2" t="s">
        <v>99</v>
      </c>
    </row>
    <row r="52" spans="1:3" ht="15" customHeight="1" x14ac:dyDescent="0.25">
      <c r="A52" s="2" t="s">
        <v>100</v>
      </c>
      <c r="B52" s="2" t="s">
        <v>86</v>
      </c>
      <c r="C52" s="2" t="s">
        <v>101</v>
      </c>
    </row>
    <row r="53" spans="1:3" ht="15" customHeight="1" x14ac:dyDescent="0.25">
      <c r="A53" s="2" t="s">
        <v>102</v>
      </c>
      <c r="B53" s="2" t="s">
        <v>86</v>
      </c>
      <c r="C53" s="2" t="s">
        <v>103</v>
      </c>
    </row>
    <row r="54" spans="1:3" ht="15" customHeight="1" x14ac:dyDescent="0.25">
      <c r="A54" s="2" t="s">
        <v>104</v>
      </c>
      <c r="B54" s="2" t="s">
        <v>86</v>
      </c>
      <c r="C54" s="2" t="s">
        <v>105</v>
      </c>
    </row>
    <row r="55" spans="1:3" ht="15" customHeight="1" x14ac:dyDescent="0.25">
      <c r="A55" s="2" t="s">
        <v>106</v>
      </c>
      <c r="B55" s="2" t="s">
        <v>86</v>
      </c>
      <c r="C55" s="2" t="s">
        <v>107</v>
      </c>
    </row>
    <row r="56" spans="1:3" ht="15" customHeight="1" x14ac:dyDescent="0.25">
      <c r="A56" s="2" t="s">
        <v>108</v>
      </c>
      <c r="B56" s="2" t="s">
        <v>86</v>
      </c>
      <c r="C56" s="2" t="s">
        <v>109</v>
      </c>
    </row>
    <row r="57" spans="1:3" ht="15" customHeight="1" x14ac:dyDescent="0.25">
      <c r="A57" s="2" t="s">
        <v>168</v>
      </c>
      <c r="B57" s="2" t="s">
        <v>86</v>
      </c>
      <c r="C57" s="2" t="s">
        <v>110</v>
      </c>
    </row>
    <row r="58" spans="1:3" ht="15" customHeight="1" x14ac:dyDescent="0.25">
      <c r="A58" s="2" t="s">
        <v>111</v>
      </c>
      <c r="B58" s="2" t="s">
        <v>112</v>
      </c>
      <c r="C58" s="2" t="s">
        <v>113</v>
      </c>
    </row>
  </sheetData>
  <sheetProtection algorithmName="SHA-512" hashValue="wsJZ/uLFiFbUaOixlTg26xFghRfuea9NB0meb1YaOnNyaT59GxbpZWAm+7Pl0ClVob5deWcUz7By6ZCJFzTkpw==" saltValue="FkPWH16vjlMsJI0YN99VjA==" spinCount="100000" sheet="1" objects="1" scenarios="1" autoFilter="0"/>
  <phoneticPr fontId="4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workbookViewId="0">
      <selection activeCell="A10" sqref="A10"/>
    </sheetView>
  </sheetViews>
  <sheetFormatPr defaultRowHeight="13.5" x14ac:dyDescent="0.15"/>
  <sheetData/>
  <sheetProtection algorithmName="SHA-512" hashValue="he7XFzZpe0hInfYDhXuoZ5taoC2VsnYQP6aLAXSXKrz9/kNRKPDCEFzl3mLEQhPvxmCPaxCNf/5aZfwks14brA==" saltValue="NqNE9/dn7o4Ya1WNNjJheg==" spinCount="100000" sheet="1" objects="1" scenarios="1" autoFilter="0"/>
  <phoneticPr fontId="4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01"/>
  <sheetViews>
    <sheetView topLeftCell="B1" workbookViewId="0">
      <pane ySplit="1" topLeftCell="A2" activePane="bottomLeft" state="frozen"/>
      <selection activeCell="A10" sqref="A10"/>
      <selection pane="bottomLeft" activeCell="J5" sqref="J5"/>
    </sheetView>
  </sheetViews>
  <sheetFormatPr defaultRowHeight="13.5" x14ac:dyDescent="0.15"/>
  <cols>
    <col min="1" max="1" width="25.5" bestFit="1" customWidth="1"/>
    <col min="2" max="2" width="11.625" bestFit="1" customWidth="1"/>
    <col min="3" max="3" width="11.125" style="12" bestFit="1" customWidth="1"/>
    <col min="4" max="4" width="10.625" bestFit="1" customWidth="1"/>
    <col min="5" max="5" width="10.625" style="9" bestFit="1" customWidth="1"/>
    <col min="6" max="6" width="15.5" style="9" bestFit="1" customWidth="1"/>
    <col min="7" max="7" width="12.25" style="9" bestFit="1" customWidth="1"/>
    <col min="8" max="8" width="12.5" style="9" bestFit="1" customWidth="1"/>
    <col min="9" max="9" width="19.125" style="9" bestFit="1" customWidth="1"/>
    <col min="10" max="10" width="12.25" style="9" bestFit="1" customWidth="1"/>
    <col min="11" max="11" width="10.625" style="9" bestFit="1" customWidth="1"/>
    <col min="12" max="12" width="9" bestFit="1" customWidth="1"/>
    <col min="13" max="13" width="13" style="9" hidden="1" customWidth="1"/>
    <col min="14" max="14" width="14.25" style="9" bestFit="1" customWidth="1"/>
    <col min="15" max="15" width="13.25" style="9" bestFit="1" customWidth="1"/>
  </cols>
  <sheetData>
    <row r="1" spans="1:15" ht="15" customHeight="1" x14ac:dyDescent="0.25">
      <c r="A1" s="10" t="s">
        <v>5</v>
      </c>
      <c r="B1" s="10" t="s">
        <v>3</v>
      </c>
      <c r="C1" s="10" t="s">
        <v>114</v>
      </c>
      <c r="D1" s="10" t="s">
        <v>9</v>
      </c>
      <c r="E1" s="10" t="s">
        <v>115</v>
      </c>
      <c r="F1" s="10" t="s">
        <v>116</v>
      </c>
      <c r="G1" s="10" t="s">
        <v>117</v>
      </c>
      <c r="H1" s="10" t="s">
        <v>118</v>
      </c>
      <c r="I1" s="10" t="s">
        <v>119</v>
      </c>
      <c r="J1" s="10" t="s">
        <v>120</v>
      </c>
      <c r="K1" s="10" t="s">
        <v>121</v>
      </c>
      <c r="L1" s="10" t="s">
        <v>122</v>
      </c>
      <c r="M1" s="10" t="s">
        <v>123</v>
      </c>
      <c r="N1" s="10" t="s">
        <v>124</v>
      </c>
      <c r="O1" s="10" t="s">
        <v>125</v>
      </c>
    </row>
    <row r="2" spans="1:15" ht="15" customHeight="1" x14ac:dyDescent="0.25">
      <c r="A2" s="4" t="str">
        <f>IFERROR(INDEX(tbl_plan[ロットID],ROW()-1),"")</f>
        <v>a_002_2026-07-13_納期先A</v>
      </c>
      <c r="B2" s="4" t="str">
        <f>IF($A2="","",INDEX(tbl_plan[localId],ROW()-1))</f>
        <v>a_002</v>
      </c>
      <c r="C2" s="11">
        <f>IF($A2="","",INDEX(tbl_plan[出荷週],ROW()-1))</f>
        <v>46216</v>
      </c>
      <c r="D2" s="4" t="str">
        <f>IF($A2="","",INDEX(tbl_plan[納期先],ROW()-1)&amp;"")</f>
        <v>納期先A</v>
      </c>
      <c r="E2" s="8">
        <f>IF($A2="","",INDEX(tbl_plan[必要数],ROW()-1))</f>
        <v>5</v>
      </c>
      <c r="F2" s="8">
        <f t="shared" ref="F2:F65" si="0">IF($A2="","",MIN(M2,MAX(0,N2-O2)))</f>
        <v>5</v>
      </c>
      <c r="G2" s="8">
        <f>IF(
$A2="",
"",
SUMIFS(
  tbl_ledger[数量],
  tbl_ledger[ロットID],
  $A2,
  tbl_ledger[イベント種類],"発送"
  )
)</f>
        <v>0</v>
      </c>
      <c r="H2" s="8">
        <f>IF($A2="","",_xlfn.LET(
_xlpm.割当,F2,
_xlpm.充当受入,SUMIFS(tbl_ledger[数量],tbl_ledger[充当先ロットID],$A2,tbl_ledger[イベント種類],"充当"),
_xlpm.充当放出,SUMIFS(tbl_ledger[数量],tbl_ledger[ロットID],$A2,tbl_ledger[イベント種類],"充当"),
_xlpm.発送済,G2,
_xlpm.倉庫戻し,SUMIFS(tbl_ledger[数量],tbl_ledger[ロットID],$A2,tbl_ledger[イベント種類],"倉庫戻し"),
_xlpm.余剰化,SUMIFS(tbl_ledger[数量],tbl_ledger[ロットID],$A2,tbl_ledger[イベント種類],"余剰化"),
_xlpm.不良,SUMIFS(tbl_ledger[数量],tbl_ledger[ロットID],$A2,tbl_ledger[イベント種類],"不良発生"),
_xlpm.割当+_xlpm.充当受入-_xlpm.充当放出-_xlpm.発送済-_xlpm.倉庫戻し-_xlpm.余剰化-_xlpm.不良))</f>
        <v>5</v>
      </c>
      <c r="I2" s="8">
        <f>IF($A2="","",_xlfn.LET(
_xlpm.品番プール,N2,
_xlpm.割当計,SUMIF($B$2:$B$301,$B2,$F$2:$F$301),
_xlpm.余剰化受入,SUMIFS(tbl_ledger[数量],tbl_ledger[localId],$B2,tbl_ledger[イベント種類],"余剰化"),
_xlpm.充当払出,SUMIFS(tbl_ledger[数量],tbl_ledger[localId],$B2,tbl_ledger[イベント種類],"充当",tbl_ledger[ロットID],"="),
_xlpm.品番プール-_xlpm.割当計+_xlpm.余剰化受入-_xlpm.充当払出))</f>
        <v>9</v>
      </c>
      <c r="J2" s="8">
        <f t="shared" ref="J2:J65" si="1">IF($A2="","",MAX(0,M2-G2))</f>
        <v>5</v>
      </c>
      <c r="K2" s="8">
        <f t="shared" ref="K2:K65" si="2">IF($A2="","",MAX(0,J2-H2-I2))</f>
        <v>0</v>
      </c>
      <c r="L2" s="4" t="str">
        <f>IF(
$A2="",
"",
IF(INDEX(tbl_plan[計画状態],ROW()-1)=
  "キャンセル",
  "キャンセル",
  IF(J2=0,"発送済",IF(K2&gt;0,"要搬出","OK"))
  )
)</f>
        <v>OK</v>
      </c>
      <c r="M2" s="8">
        <f t="array" ref="M2">_xlfn.LET(
_xlpm.計画状態,IFERROR(INDEX(tbl_plan[計画状態],ROW()-1)&amp;"",""),
_xlpm.必要数,IFERROR(N(INDEX(tbl_plan[必要数],ROW()-1)),0),
IF(_xlpm.計画状態="キャンセル",0,_xlpm.必要数))</f>
        <v>5</v>
      </c>
      <c r="N2" s="8">
        <f>IF($A2="","",_xlfn.LET(
_xlpm.搬入計,SUMIFS(tbl_ledger[数量],tbl_ledger[localId],$B2,tbl_ledger[イベント種類],"搬入"),
_xlpm.未割当発送,SUMIFS(tbl_ledger[数量],tbl_ledger[localId],$B2,tbl_ledger[イベント種類],"発送",tbl_ledger[ロットID],"="),
_xlpm.未割当倉庫戻し,SUMIFS(tbl_ledger[数量],tbl_ledger[localId],$B2,tbl_ledger[イベント種類],"倉庫戻し",tbl_ledger[ロットID],"="),
_xlpm.未割当不良,SUMIFS(tbl_ledger[数量],tbl_ledger[localId],$B2,tbl_ledger[イベント種類],"不良発生",tbl_ledger[ロットID],"="),
_xlpm.搬入計-_xlpm.未割当発送-_xlpm.未割当倉庫戻し-_xlpm.未割当不良))</f>
        <v>20</v>
      </c>
      <c r="O2" s="8">
        <f t="array" ref="O2">IF($A2="","",_xlfn.LET(
_xlpm.同品番,($B$2:$B$301=$B2),
_xlpm.週が前,($C$2:$C$301&lt;$C2),
_xlpm.同週で上行,($C$2:$C$301=$C2)*(ROW($C$2:$C$301)&lt;ROW()),
SUMPRODUCT(_xlpm.同品番*(_xlpm.週が前+_xlpm.同週で上行)*$M$2:$M$301)))</f>
        <v>0</v>
      </c>
    </row>
    <row r="3" spans="1:15" ht="15" customHeight="1" x14ac:dyDescent="0.25">
      <c r="A3" s="4" t="str">
        <f>IFERROR(INDEX(tbl_plan[ロットID],ROW()-1),"")</f>
        <v>a_002_2026-07-13_納期先B</v>
      </c>
      <c r="B3" s="4" t="str">
        <f>IF($A3="","",INDEX(tbl_plan[localId],ROW()-1))</f>
        <v>a_002</v>
      </c>
      <c r="C3" s="11">
        <f>IF($A3="","",INDEX(tbl_plan[出荷週],ROW()-1))</f>
        <v>46216</v>
      </c>
      <c r="D3" s="4" t="str">
        <f>IF($A3="","",INDEX(tbl_plan[納期先],ROW()-1)&amp;"")</f>
        <v>納期先B</v>
      </c>
      <c r="E3" s="8">
        <f>IF($A3="","",INDEX(tbl_plan[必要数],ROW()-1))</f>
        <v>6</v>
      </c>
      <c r="F3" s="8">
        <f t="shared" si="0"/>
        <v>6</v>
      </c>
      <c r="G3" s="8">
        <f>IF(
$A3="",
"",
SUMIFS(
  tbl_ledger[数量],
  tbl_ledger[ロットID],
  $A3,
  tbl_ledger[イベント種類],"発送"
  )
)</f>
        <v>0</v>
      </c>
      <c r="H3" s="8">
        <f>IF($A3="","",_xlfn.LET(
_xlpm.割当,F3,
_xlpm.充当受入,SUMIFS(tbl_ledger[数量],tbl_ledger[充当先ロットID],$A3,tbl_ledger[イベント種類],"充当"),
_xlpm.充当放出,SUMIFS(tbl_ledger[数量],tbl_ledger[ロットID],$A3,tbl_ledger[イベント種類],"充当"),
_xlpm.発送済,G3,
_xlpm.倉庫戻し,SUMIFS(tbl_ledger[数量],tbl_ledger[ロットID],$A3,tbl_ledger[イベント種類],"倉庫戻し"),
_xlpm.余剰化,SUMIFS(tbl_ledger[数量],tbl_ledger[ロットID],$A3,tbl_ledger[イベント種類],"余剰化"),
_xlpm.不良,SUMIFS(tbl_ledger[数量],tbl_ledger[ロットID],$A3,tbl_ledger[イベント種類],"不良発生"),
_xlpm.割当+_xlpm.充当受入-_xlpm.充当放出-_xlpm.発送済-_xlpm.倉庫戻し-_xlpm.余剰化-_xlpm.不良))</f>
        <v>6</v>
      </c>
      <c r="I3" s="8">
        <f>IF($A3="","",_xlfn.LET(
_xlpm.品番プール,N3,
_xlpm.割当計,SUMIF($B$2:$B$301,$B3,$F$2:$F$301),
_xlpm.余剰化受入,SUMIFS(tbl_ledger[数量],tbl_ledger[localId],$B3,tbl_ledger[イベント種類],"余剰化"),
_xlpm.充当払出,SUMIFS(tbl_ledger[数量],tbl_ledger[localId],$B3,tbl_ledger[イベント種類],"充当",tbl_ledger[ロットID],"="),
_xlpm.品番プール-_xlpm.割当計+_xlpm.余剰化受入-_xlpm.充当払出))</f>
        <v>9</v>
      </c>
      <c r="J3" s="8">
        <f t="shared" si="1"/>
        <v>6</v>
      </c>
      <c r="K3" s="8">
        <f t="shared" si="2"/>
        <v>0</v>
      </c>
      <c r="L3" s="4" t="str">
        <f>IF(
$A3="",
"",
IF(INDEX(tbl_plan[計画状態],ROW()-1)=
  "キャンセル",
  "キャンセル",
  IF(J3=0,"発送済",IF(K3&gt;0,"要搬出","OK"))
  )
)</f>
        <v>OK</v>
      </c>
      <c r="M3" s="8">
        <f t="array" ref="M3">_xlfn.LET(
_xlpm.計画状態,IFERROR(INDEX(tbl_plan[計画状態],ROW()-1)&amp;"",""),
_xlpm.必要数,IFERROR(N(INDEX(tbl_plan[必要数],ROW()-1)),0),
IF(_xlpm.計画状態="キャンセル",0,_xlpm.必要数))</f>
        <v>6</v>
      </c>
      <c r="N3" s="8">
        <f>IF($A3="","",_xlfn.LET(
_xlpm.搬入計,SUMIFS(tbl_ledger[数量],tbl_ledger[localId],$B3,tbl_ledger[イベント種類],"搬入"),
_xlpm.未割当発送,SUMIFS(tbl_ledger[数量],tbl_ledger[localId],$B3,tbl_ledger[イベント種類],"発送",tbl_ledger[ロットID],"="),
_xlpm.未割当倉庫戻し,SUMIFS(tbl_ledger[数量],tbl_ledger[localId],$B3,tbl_ledger[イベント種類],"倉庫戻し",tbl_ledger[ロットID],"="),
_xlpm.未割当不良,SUMIFS(tbl_ledger[数量],tbl_ledger[localId],$B3,tbl_ledger[イベント種類],"不良発生",tbl_ledger[ロットID],"="),
_xlpm.搬入計-_xlpm.未割当発送-_xlpm.未割当倉庫戻し-_xlpm.未割当不良))</f>
        <v>20</v>
      </c>
      <c r="O3" s="8">
        <f t="array" ref="O3">IF($A3="","",_xlfn.LET(
_xlpm.同品番,($B$2:$B$301=$B3),
_xlpm.週が前,($C$2:$C$301&lt;$C3),
_xlpm.同週で上行,($C$2:$C$301=$C3)*(ROW($C$2:$C$301)&lt;ROW()),
SUMPRODUCT(_xlpm.同品番*(_xlpm.週が前+_xlpm.同週で上行)*$M$2:$M$301)))</f>
        <v>5</v>
      </c>
    </row>
    <row r="4" spans="1:15" ht="15" customHeight="1" x14ac:dyDescent="0.25">
      <c r="A4" s="4" t="str">
        <f>IFERROR(INDEX(tbl_plan[ロットID],ROW()-1),"")</f>
        <v>a_001_2026-07-20</v>
      </c>
      <c r="B4" s="4" t="str">
        <f>IF($A4="","",INDEX(tbl_plan[localId],ROW()-1))</f>
        <v>a_001</v>
      </c>
      <c r="C4" s="11">
        <f>IF($A4="","",INDEX(tbl_plan[出荷週],ROW()-1))</f>
        <v>46223</v>
      </c>
      <c r="D4" s="4" t="str">
        <f>IF($A4="","",INDEX(tbl_plan[納期先],ROW()-1)&amp;"")</f>
        <v/>
      </c>
      <c r="E4" s="8">
        <f>IF($A4="","",INDEX(tbl_plan[必要数],ROW()-1))</f>
        <v>10</v>
      </c>
      <c r="F4" s="8">
        <f t="shared" si="0"/>
        <v>10</v>
      </c>
      <c r="G4" s="8">
        <f>IF(
$A4="",
"",
SUMIFS(
  tbl_ledger[数量],
  tbl_ledger[ロットID],
  $A4,
  tbl_ledger[イベント種類],"発送"
  )
)</f>
        <v>0</v>
      </c>
      <c r="H4" s="8">
        <f>IF($A4="","",_xlfn.LET(
_xlpm.割当,F4,
_xlpm.充当受入,SUMIFS(tbl_ledger[数量],tbl_ledger[充当先ロットID],$A4,tbl_ledger[イベント種類],"充当"),
_xlpm.充当放出,SUMIFS(tbl_ledger[数量],tbl_ledger[ロットID],$A4,tbl_ledger[イベント種類],"充当"),
_xlpm.発送済,G4,
_xlpm.倉庫戻し,SUMIFS(tbl_ledger[数量],tbl_ledger[ロットID],$A4,tbl_ledger[イベント種類],"倉庫戻し"),
_xlpm.余剰化,SUMIFS(tbl_ledger[数量],tbl_ledger[ロットID],$A4,tbl_ledger[イベント種類],"余剰化"),
_xlpm.不良,SUMIFS(tbl_ledger[数量],tbl_ledger[ロットID],$A4,tbl_ledger[イベント種類],"不良発生"),
_xlpm.割当+_xlpm.充当受入-_xlpm.充当放出-_xlpm.発送済-_xlpm.倉庫戻し-_xlpm.余剰化-_xlpm.不良))</f>
        <v>10</v>
      </c>
      <c r="I4" s="8">
        <f>IF($A4="","",_xlfn.LET(
_xlpm.品番プール,N4,
_xlpm.割当計,SUMIF($B$2:$B$301,$B4,$F$2:$F$301),
_xlpm.余剰化受入,SUMIFS(tbl_ledger[数量],tbl_ledger[localId],$B4,tbl_ledger[イベント種類],"余剰化"),
_xlpm.充当払出,SUMIFS(tbl_ledger[数量],tbl_ledger[localId],$B4,tbl_ledger[イベント種類],"充当",tbl_ledger[ロットID],"="),
_xlpm.品番プール-_xlpm.割当計+_xlpm.余剰化受入-_xlpm.充当払出))</f>
        <v>2</v>
      </c>
      <c r="J4" s="8">
        <f t="shared" si="1"/>
        <v>10</v>
      </c>
      <c r="K4" s="8">
        <f t="shared" si="2"/>
        <v>0</v>
      </c>
      <c r="L4" s="4" t="str">
        <f>IF(
$A4="",
"",
IF(INDEX(tbl_plan[計画状態],ROW()-1)=
  "キャンセル",
  "キャンセル",
  IF(J4=0,"発送済",IF(K4&gt;0,"要搬出","OK"))
  )
)</f>
        <v>OK</v>
      </c>
      <c r="M4" s="8">
        <f t="array" ref="M4">_xlfn.LET(
_xlpm.計画状態,IFERROR(INDEX(tbl_plan[計画状態],ROW()-1)&amp;"",""),
_xlpm.必要数,IFERROR(N(INDEX(tbl_plan[必要数],ROW()-1)),0),
IF(_xlpm.計画状態="キャンセル",0,_xlpm.必要数))</f>
        <v>10</v>
      </c>
      <c r="N4" s="8">
        <f>IF($A4="","",_xlfn.LET(
_xlpm.搬入計,SUMIFS(tbl_ledger[数量],tbl_ledger[localId],$B4,tbl_ledger[イベント種類],"搬入"),
_xlpm.未割当発送,SUMIFS(tbl_ledger[数量],tbl_ledger[localId],$B4,tbl_ledger[イベント種類],"発送",tbl_ledger[ロットID],"="),
_xlpm.未割当倉庫戻し,SUMIFS(tbl_ledger[数量],tbl_ledger[localId],$B4,tbl_ledger[イベント種類],"倉庫戻し",tbl_ledger[ロットID],"="),
_xlpm.未割当不良,SUMIFS(tbl_ledger[数量],tbl_ledger[localId],$B4,tbl_ledger[イベント種類],"不良発生",tbl_ledger[ロットID],"="),
_xlpm.搬入計-_xlpm.未割当発送-_xlpm.未割当倉庫戻し-_xlpm.未割当不良))</f>
        <v>12</v>
      </c>
      <c r="O4" s="8">
        <f t="array" ref="O4">IF($A4="","",_xlfn.LET(
_xlpm.同品番,($B$2:$B$301=$B4),
_xlpm.週が前,($C$2:$C$301&lt;$C4),
_xlpm.同週で上行,($C$2:$C$301=$C4)*(ROW($C$2:$C$301)&lt;ROW()),
SUMPRODUCT(_xlpm.同品番*(_xlpm.週が前+_xlpm.同週で上行)*$M$2:$M$301)))</f>
        <v>0</v>
      </c>
    </row>
    <row r="5" spans="1:15" ht="15" customHeight="1" x14ac:dyDescent="0.25">
      <c r="A5" s="4" t="str">
        <f>IFERROR(INDEX(tbl_plan[ロットID],ROW()-1),"")</f>
        <v>b_001_2026-07-20</v>
      </c>
      <c r="B5" s="4" t="str">
        <f>IF($A5="","",INDEX(tbl_plan[localId],ROW()-1))</f>
        <v>b_001</v>
      </c>
      <c r="C5" s="11">
        <f>IF($A5="","",INDEX(tbl_plan[出荷週],ROW()-1))</f>
        <v>46223</v>
      </c>
      <c r="D5" s="4" t="str">
        <f>IF($A5="","",INDEX(tbl_plan[納期先],ROW()-1)&amp;"")</f>
        <v/>
      </c>
      <c r="E5" s="8">
        <f>IF($A5="","",INDEX(tbl_plan[必要数],ROW()-1))</f>
        <v>8</v>
      </c>
      <c r="F5" s="8">
        <f t="shared" si="0"/>
        <v>8</v>
      </c>
      <c r="G5" s="8">
        <f>IF(
$A5="",
"",
SUMIFS(
  tbl_ledger[数量],
  tbl_ledger[ロットID],
  $A5,
  tbl_ledger[イベント種類],"発送"
  )
)</f>
        <v>0</v>
      </c>
      <c r="H5" s="8">
        <f>IF($A5="","",_xlfn.LET(
_xlpm.割当,F5,
_xlpm.充当受入,SUMIFS(tbl_ledger[数量],tbl_ledger[充当先ロットID],$A5,tbl_ledger[イベント種類],"充当"),
_xlpm.充当放出,SUMIFS(tbl_ledger[数量],tbl_ledger[ロットID],$A5,tbl_ledger[イベント種類],"充当"),
_xlpm.発送済,G5,
_xlpm.倉庫戻し,SUMIFS(tbl_ledger[数量],tbl_ledger[ロットID],$A5,tbl_ledger[イベント種類],"倉庫戻し"),
_xlpm.余剰化,SUMIFS(tbl_ledger[数量],tbl_ledger[ロットID],$A5,tbl_ledger[イベント種類],"余剰化"),
_xlpm.不良,SUMIFS(tbl_ledger[数量],tbl_ledger[ロットID],$A5,tbl_ledger[イベント種類],"不良発生"),
_xlpm.割当+_xlpm.充当受入-_xlpm.充当放出-_xlpm.発送済-_xlpm.倉庫戻し-_xlpm.余剰化-_xlpm.不良))</f>
        <v>8</v>
      </c>
      <c r="I5" s="8">
        <f>IF($A5="","",_xlfn.LET(
_xlpm.品番プール,N5,
_xlpm.割当計,SUMIF($B$2:$B$301,$B5,$F$2:$F$301),
_xlpm.余剰化受入,SUMIFS(tbl_ledger[数量],tbl_ledger[localId],$B5,tbl_ledger[イベント種類],"余剰化"),
_xlpm.充当払出,SUMIFS(tbl_ledger[数量],tbl_ledger[localId],$B5,tbl_ledger[イベント種類],"充当",tbl_ledger[ロットID],"="),
_xlpm.品番プール-_xlpm.割当計+_xlpm.余剰化受入-_xlpm.充当払出))</f>
        <v>0</v>
      </c>
      <c r="J5" s="8">
        <f t="shared" si="1"/>
        <v>8</v>
      </c>
      <c r="K5" s="8">
        <f t="shared" si="2"/>
        <v>0</v>
      </c>
      <c r="L5" s="4" t="str">
        <f>IF(
$A5="",
"",
IF(INDEX(tbl_plan[計画状態],ROW()-1)=
  "キャンセル",
  "キャンセル",
  IF(J5=0,"発送済",IF(K5&gt;0,"要搬出","OK"))
  )
)</f>
        <v>OK</v>
      </c>
      <c r="M5" s="8">
        <f t="array" ref="M5">_xlfn.LET(
_xlpm.計画状態,IFERROR(INDEX(tbl_plan[計画状態],ROW()-1)&amp;"",""),
_xlpm.必要数,IFERROR(N(INDEX(tbl_plan[必要数],ROW()-1)),0),
IF(_xlpm.計画状態="キャンセル",0,_xlpm.必要数))</f>
        <v>8</v>
      </c>
      <c r="N5" s="8">
        <f>IF($A5="","",_xlfn.LET(
_xlpm.搬入計,SUMIFS(tbl_ledger[数量],tbl_ledger[localId],$B5,tbl_ledger[イベント種類],"搬入"),
_xlpm.未割当発送,SUMIFS(tbl_ledger[数量],tbl_ledger[localId],$B5,tbl_ledger[イベント種類],"発送",tbl_ledger[ロットID],"="),
_xlpm.未割当倉庫戻し,SUMIFS(tbl_ledger[数量],tbl_ledger[localId],$B5,tbl_ledger[イベント種類],"倉庫戻し",tbl_ledger[ロットID],"="),
_xlpm.未割当不良,SUMIFS(tbl_ledger[数量],tbl_ledger[localId],$B5,tbl_ledger[イベント種類],"不良発生",tbl_ledger[ロットID],"="),
_xlpm.搬入計-_xlpm.未割当発送-_xlpm.未割当倉庫戻し-_xlpm.未割当不良))</f>
        <v>8</v>
      </c>
      <c r="O5" s="8">
        <f t="array" ref="O5">IF($A5="","",_xlfn.LET(
_xlpm.同品番,($B$2:$B$301=$B5),
_xlpm.週が前,($C$2:$C$301&lt;$C5),
_xlpm.同週で上行,($C$2:$C$301=$C5)*(ROW($C$2:$C$301)&lt;ROW()),
SUMPRODUCT(_xlpm.同品番*(_xlpm.週が前+_xlpm.同週で上行)*$M$2:$M$301)))</f>
        <v>0</v>
      </c>
    </row>
    <row r="6" spans="1:15" ht="15" customHeight="1" x14ac:dyDescent="0.25">
      <c r="A6" s="4" t="str">
        <f>IFERROR(INDEX(tbl_plan[ロットID],ROW()-1),"")</f>
        <v/>
      </c>
      <c r="B6" s="4" t="str">
        <f>IF($A6="","",INDEX(tbl_plan[localId],ROW()-1))</f>
        <v/>
      </c>
      <c r="C6" s="11" t="str">
        <f>IF($A6="","",INDEX(tbl_plan[出荷週],ROW()-1))</f>
        <v/>
      </c>
      <c r="D6" s="4" t="str">
        <f>IF($A6="","",INDEX(tbl_plan[納期先],ROW()-1)&amp;"")</f>
        <v/>
      </c>
      <c r="E6" s="8" t="str">
        <f>IF($A6="","",INDEX(tbl_plan[必要数],ROW()-1))</f>
        <v/>
      </c>
      <c r="F6" s="8" t="str">
        <f t="shared" si="0"/>
        <v/>
      </c>
      <c r="G6" s="8" t="str">
        <f>IF($A6="","",SUMIFS(tbl_ledger[数量],tbl_ledger[ロットID],$A6,tbl_ledger[イベント種類],"発送"))</f>
        <v/>
      </c>
      <c r="H6" s="8" t="str">
        <f>IF($A6="","",_xlfn.LET(
_xlpm.割当,F6,
_xlpm.充当受入,SUMIFS(tbl_ledger[数量],tbl_ledger[充当先ロットID],$A6,tbl_ledger[イベント種類],"充当"),
_xlpm.充当放出,SUMIFS(tbl_ledger[数量],tbl_ledger[ロットID],$A6,tbl_ledger[イベント種類],"充当"),
_xlpm.発送済,G6,
_xlpm.倉庫戻し,SUMIFS(tbl_ledger[数量],tbl_ledger[ロットID],$A6,tbl_ledger[イベント種類],"倉庫戻し"),
_xlpm.余剰化,SUMIFS(tbl_ledger[数量],tbl_ledger[ロットID],$A6,tbl_ledger[イベント種類],"余剰化"),
_xlpm.不良,SUMIFS(tbl_ledger[数量],tbl_ledger[ロットID],$A6,tbl_ledger[イベント種類],"不良発生"),
_xlpm.割当+_xlpm.充当受入-_xlpm.充当放出-_xlpm.発送済-_xlpm.倉庫戻し-_xlpm.余剰化-_xlpm.不良))</f>
        <v/>
      </c>
      <c r="I6" s="8" t="str">
        <f>IF($A6="","",_xlfn.LET(
_xlpm.品番プール,N6,
_xlpm.割当計,SUMIF($B$2:$B$301,$B6,$F$2:$F$301),
_xlpm.余剰化受入,SUMIFS(tbl_ledger[数量],tbl_ledger[localId],$B6,tbl_ledger[イベント種類],"余剰化"),
_xlpm.充当払出,SUMIFS(tbl_ledger[数量],tbl_ledger[localId],$B6,tbl_ledger[イベント種類],"充当",tbl_ledger[ロットID],"="),
_xlpm.品番プール-_xlpm.割当計+_xlpm.余剰化受入-_xlpm.充当払出))</f>
        <v/>
      </c>
      <c r="J6" s="8" t="str">
        <f t="shared" si="1"/>
        <v/>
      </c>
      <c r="K6" s="8" t="str">
        <f t="shared" si="2"/>
        <v/>
      </c>
      <c r="L6" s="4" t="str">
        <f>IF($A6="","",IF(INDEX(tbl_plan[計画状態],ROW()-1)="キャンセル","キャンセル",IF(J6=0,"発送済",IF(K6&gt;0,"要搬出","OK"))))</f>
        <v/>
      </c>
      <c r="M6" s="8">
        <f t="array" ref="M6">_xlfn.LET(
_xlpm.計画状態,IFERROR(INDEX(tbl_plan[計画状態],ROW()-1)&amp;"",""),
_xlpm.必要数,IFERROR(N(INDEX(tbl_plan[必要数],ROW()-1)),0),
IF(_xlpm.計画状態="キャンセル",0,_xlpm.必要数))</f>
        <v>0</v>
      </c>
      <c r="N6" s="8" t="str">
        <f>IF($A6="","",_xlfn.LET(
_xlpm.搬入計,SUMIFS(tbl_ledger[数量],tbl_ledger[localId],$B6,tbl_ledger[イベント種類],"搬入"),
_xlpm.未割当発送,SUMIFS(tbl_ledger[数量],tbl_ledger[localId],$B6,tbl_ledger[イベント種類],"発送",tbl_ledger[ロットID],"="),
_xlpm.未割当倉庫戻し,SUMIFS(tbl_ledger[数量],tbl_ledger[localId],$B6,tbl_ledger[イベント種類],"倉庫戻し",tbl_ledger[ロットID],"="),
_xlpm.未割当不良,SUMIFS(tbl_ledger[数量],tbl_ledger[localId],$B6,tbl_ledger[イベント種類],"不良発生",tbl_ledger[ロットID],"="),
_xlpm.搬入計-_xlpm.未割当発送-_xlpm.未割当倉庫戻し-_xlpm.未割当不良))</f>
        <v/>
      </c>
      <c r="O6" s="8" t="str">
        <f t="array" ref="O6">IF($A6="","",_xlfn.LET(
_xlpm.同品番,($B$2:$B$301=$B6),
_xlpm.週が前,($C$2:$C$301&lt;$C6),
_xlpm.同週で上行,($C$2:$C$301=$C6)*(ROW($C$2:$C$301)&lt;ROW()),
SUMPRODUCT(_xlpm.同品番*(_xlpm.週が前+_xlpm.同週で上行)*$M$2:$M$301)))</f>
        <v/>
      </c>
    </row>
    <row r="7" spans="1:15" ht="15" customHeight="1" x14ac:dyDescent="0.25">
      <c r="A7" s="4" t="str">
        <f>IFERROR(INDEX(tbl_plan[ロットID],ROW()-1),"")</f>
        <v/>
      </c>
      <c r="B7" s="4" t="str">
        <f>IF($A7="","",INDEX(tbl_plan[localId],ROW()-1))</f>
        <v/>
      </c>
      <c r="C7" s="11" t="str">
        <f>IF($A7="","",INDEX(tbl_plan[出荷週],ROW()-1))</f>
        <v/>
      </c>
      <c r="D7" s="4" t="str">
        <f>IF($A7="","",INDEX(tbl_plan[納期先],ROW()-1)&amp;"")</f>
        <v/>
      </c>
      <c r="E7" s="8" t="str">
        <f>IF($A7="","",INDEX(tbl_plan[必要数],ROW()-1))</f>
        <v/>
      </c>
      <c r="F7" s="8" t="str">
        <f t="shared" si="0"/>
        <v/>
      </c>
      <c r="G7" s="8" t="str">
        <f>IF($A7="","",SUMIFS(tbl_ledger[数量],tbl_ledger[ロットID],$A7,tbl_ledger[イベント種類],"発送"))</f>
        <v/>
      </c>
      <c r="H7" s="8" t="str">
        <f>IF($A7="","",_xlfn.LET(
_xlpm.割当,F7,
_xlpm.充当受入,SUMIFS(tbl_ledger[数量],tbl_ledger[充当先ロットID],$A7,tbl_ledger[イベント種類],"充当"),
_xlpm.充当放出,SUMIFS(tbl_ledger[数量],tbl_ledger[ロットID],$A7,tbl_ledger[イベント種類],"充当"),
_xlpm.発送済,G7,
_xlpm.倉庫戻し,SUMIFS(tbl_ledger[数量],tbl_ledger[ロットID],$A7,tbl_ledger[イベント種類],"倉庫戻し"),
_xlpm.余剰化,SUMIFS(tbl_ledger[数量],tbl_ledger[ロットID],$A7,tbl_ledger[イベント種類],"余剰化"),
_xlpm.不良,SUMIFS(tbl_ledger[数量],tbl_ledger[ロットID],$A7,tbl_ledger[イベント種類],"不良発生"),
_xlpm.割当+_xlpm.充当受入-_xlpm.充当放出-_xlpm.発送済-_xlpm.倉庫戻し-_xlpm.余剰化-_xlpm.不良))</f>
        <v/>
      </c>
      <c r="I7" s="8" t="str">
        <f>IF($A7="","",_xlfn.LET(
_xlpm.品番プール,N7,
_xlpm.割当計,SUMIF($B$2:$B$301,$B7,$F$2:$F$301),
_xlpm.余剰化受入,SUMIFS(tbl_ledger[数量],tbl_ledger[localId],$B7,tbl_ledger[イベント種類],"余剰化"),
_xlpm.充当払出,SUMIFS(tbl_ledger[数量],tbl_ledger[localId],$B7,tbl_ledger[イベント種類],"充当",tbl_ledger[ロットID],"="),
_xlpm.品番プール-_xlpm.割当計+_xlpm.余剰化受入-_xlpm.充当払出))</f>
        <v/>
      </c>
      <c r="J7" s="8" t="str">
        <f t="shared" si="1"/>
        <v/>
      </c>
      <c r="K7" s="8" t="str">
        <f t="shared" si="2"/>
        <v/>
      </c>
      <c r="L7" s="4" t="str">
        <f>IF($A7="","",IF(INDEX(tbl_plan[計画状態],ROW()-1)="キャンセル","キャンセル",IF(J7=0,"発送済",IF(K7&gt;0,"要搬出","OK"))))</f>
        <v/>
      </c>
      <c r="M7" s="8">
        <f t="array" ref="M7">_xlfn.LET(
_xlpm.計画状態,IFERROR(INDEX(tbl_plan[計画状態],ROW()-1)&amp;"",""),
_xlpm.必要数,IFERROR(N(INDEX(tbl_plan[必要数],ROW()-1)),0),
IF(_xlpm.計画状態="キャンセル",0,_xlpm.必要数))</f>
        <v>0</v>
      </c>
      <c r="N7" s="8" t="str">
        <f>IF($A7="","",_xlfn.LET(
_xlpm.搬入計,SUMIFS(tbl_ledger[数量],tbl_ledger[localId],$B7,tbl_ledger[イベント種類],"搬入"),
_xlpm.未割当発送,SUMIFS(tbl_ledger[数量],tbl_ledger[localId],$B7,tbl_ledger[イベント種類],"発送",tbl_ledger[ロットID],"="),
_xlpm.未割当倉庫戻し,SUMIFS(tbl_ledger[数量],tbl_ledger[localId],$B7,tbl_ledger[イベント種類],"倉庫戻し",tbl_ledger[ロットID],"="),
_xlpm.未割当不良,SUMIFS(tbl_ledger[数量],tbl_ledger[localId],$B7,tbl_ledger[イベント種類],"不良発生",tbl_ledger[ロットID],"="),
_xlpm.搬入計-_xlpm.未割当発送-_xlpm.未割当倉庫戻し-_xlpm.未割当不良))</f>
        <v/>
      </c>
      <c r="O7" s="8" t="str">
        <f t="array" ref="O7">IF($A7="","",_xlfn.LET(
_xlpm.同品番,($B$2:$B$301=$B7),
_xlpm.週が前,($C$2:$C$301&lt;$C7),
_xlpm.同週で上行,($C$2:$C$301=$C7)*(ROW($C$2:$C$301)&lt;ROW()),
SUMPRODUCT(_xlpm.同品番*(_xlpm.週が前+_xlpm.同週で上行)*$M$2:$M$301)))</f>
        <v/>
      </c>
    </row>
    <row r="8" spans="1:15" ht="15" customHeight="1" x14ac:dyDescent="0.25">
      <c r="A8" s="4" t="str">
        <f>IFERROR(INDEX(tbl_plan[ロットID],ROW()-1),"")</f>
        <v/>
      </c>
      <c r="B8" s="4" t="str">
        <f>IF($A8="","",INDEX(tbl_plan[localId],ROW()-1))</f>
        <v/>
      </c>
      <c r="C8" s="11" t="str">
        <f>IF($A8="","",INDEX(tbl_plan[出荷週],ROW()-1))</f>
        <v/>
      </c>
      <c r="D8" s="4" t="str">
        <f>IF($A8="","",INDEX(tbl_plan[納期先],ROW()-1)&amp;"")</f>
        <v/>
      </c>
      <c r="E8" s="8" t="str">
        <f>IF($A8="","",INDEX(tbl_plan[必要数],ROW()-1))</f>
        <v/>
      </c>
      <c r="F8" s="8" t="str">
        <f t="shared" si="0"/>
        <v/>
      </c>
      <c r="G8" s="8" t="str">
        <f>IF($A8="","",SUMIFS(tbl_ledger[数量],tbl_ledger[ロットID],$A8,tbl_ledger[イベント種類],"発送"))</f>
        <v/>
      </c>
      <c r="H8" s="8" t="str">
        <f>IF($A8="","",_xlfn.LET(
_xlpm.割当,F8,
_xlpm.充当受入,SUMIFS(tbl_ledger[数量],tbl_ledger[充当先ロットID],$A8,tbl_ledger[イベント種類],"充当"),
_xlpm.充当放出,SUMIFS(tbl_ledger[数量],tbl_ledger[ロットID],$A8,tbl_ledger[イベント種類],"充当"),
_xlpm.発送済,G8,
_xlpm.倉庫戻し,SUMIFS(tbl_ledger[数量],tbl_ledger[ロットID],$A8,tbl_ledger[イベント種類],"倉庫戻し"),
_xlpm.余剰化,SUMIFS(tbl_ledger[数量],tbl_ledger[ロットID],$A8,tbl_ledger[イベント種類],"余剰化"),
_xlpm.不良,SUMIFS(tbl_ledger[数量],tbl_ledger[ロットID],$A8,tbl_ledger[イベント種類],"不良発生"),
_xlpm.割当+_xlpm.充当受入-_xlpm.充当放出-_xlpm.発送済-_xlpm.倉庫戻し-_xlpm.余剰化-_xlpm.不良))</f>
        <v/>
      </c>
      <c r="I8" s="8" t="str">
        <f>IF($A8="","",_xlfn.LET(
_xlpm.品番プール,N8,
_xlpm.割当計,SUMIF($B$2:$B$301,$B8,$F$2:$F$301),
_xlpm.余剰化受入,SUMIFS(tbl_ledger[数量],tbl_ledger[localId],$B8,tbl_ledger[イベント種類],"余剰化"),
_xlpm.充当払出,SUMIFS(tbl_ledger[数量],tbl_ledger[localId],$B8,tbl_ledger[イベント種類],"充当",tbl_ledger[ロットID],"="),
_xlpm.品番プール-_xlpm.割当計+_xlpm.余剰化受入-_xlpm.充当払出))</f>
        <v/>
      </c>
      <c r="J8" s="8" t="str">
        <f t="shared" si="1"/>
        <v/>
      </c>
      <c r="K8" s="8" t="str">
        <f t="shared" si="2"/>
        <v/>
      </c>
      <c r="L8" s="4" t="str">
        <f>IF($A8="","",IF(INDEX(tbl_plan[計画状態],ROW()-1)="キャンセル","キャンセル",IF(J8=0,"発送済",IF(K8&gt;0,"要搬出","OK"))))</f>
        <v/>
      </c>
      <c r="M8" s="8">
        <f t="array" ref="M8">_xlfn.LET(
_xlpm.計画状態,IFERROR(INDEX(tbl_plan[計画状態],ROW()-1)&amp;"",""),
_xlpm.必要数,IFERROR(N(INDEX(tbl_plan[必要数],ROW()-1)),0),
IF(_xlpm.計画状態="キャンセル",0,_xlpm.必要数))</f>
        <v>0</v>
      </c>
      <c r="N8" s="8" t="str">
        <f>IF($A8="","",_xlfn.LET(
_xlpm.搬入計,SUMIFS(tbl_ledger[数量],tbl_ledger[localId],$B8,tbl_ledger[イベント種類],"搬入"),
_xlpm.未割当発送,SUMIFS(tbl_ledger[数量],tbl_ledger[localId],$B8,tbl_ledger[イベント種類],"発送",tbl_ledger[ロットID],"="),
_xlpm.未割当倉庫戻し,SUMIFS(tbl_ledger[数量],tbl_ledger[localId],$B8,tbl_ledger[イベント種類],"倉庫戻し",tbl_ledger[ロットID],"="),
_xlpm.未割当不良,SUMIFS(tbl_ledger[数量],tbl_ledger[localId],$B8,tbl_ledger[イベント種類],"不良発生",tbl_ledger[ロットID],"="),
_xlpm.搬入計-_xlpm.未割当発送-_xlpm.未割当倉庫戻し-_xlpm.未割当不良))</f>
        <v/>
      </c>
      <c r="O8" s="8" t="str">
        <f t="array" ref="O8">IF($A8="","",_xlfn.LET(
_xlpm.同品番,($B$2:$B$301=$B8),
_xlpm.週が前,($C$2:$C$301&lt;$C8),
_xlpm.同週で上行,($C$2:$C$301=$C8)*(ROW($C$2:$C$301)&lt;ROW()),
SUMPRODUCT(_xlpm.同品番*(_xlpm.週が前+_xlpm.同週で上行)*$M$2:$M$301)))</f>
        <v/>
      </c>
    </row>
    <row r="9" spans="1:15" ht="15" customHeight="1" x14ac:dyDescent="0.25">
      <c r="A9" s="4" t="str">
        <f>IFERROR(INDEX(tbl_plan[ロットID],ROW()-1),"")</f>
        <v/>
      </c>
      <c r="B9" s="4" t="str">
        <f>IF($A9="","",INDEX(tbl_plan[localId],ROW()-1))</f>
        <v/>
      </c>
      <c r="C9" s="11" t="str">
        <f>IF($A9="","",INDEX(tbl_plan[出荷週],ROW()-1))</f>
        <v/>
      </c>
      <c r="D9" s="4" t="str">
        <f>IF($A9="","",INDEX(tbl_plan[納期先],ROW()-1)&amp;"")</f>
        <v/>
      </c>
      <c r="E9" s="8" t="str">
        <f>IF($A9="","",INDEX(tbl_plan[必要数],ROW()-1))</f>
        <v/>
      </c>
      <c r="F9" s="8" t="str">
        <f t="shared" si="0"/>
        <v/>
      </c>
      <c r="G9" s="8" t="str">
        <f>IF($A9="","",SUMIFS(tbl_ledger[数量],tbl_ledger[ロットID],$A9,tbl_ledger[イベント種類],"発送"))</f>
        <v/>
      </c>
      <c r="H9" s="8" t="str">
        <f>IF($A9="","",_xlfn.LET(
_xlpm.割当,F9,
_xlpm.充当受入,SUMIFS(tbl_ledger[数量],tbl_ledger[充当先ロットID],$A9,tbl_ledger[イベント種類],"充当"),
_xlpm.充当放出,SUMIFS(tbl_ledger[数量],tbl_ledger[ロットID],$A9,tbl_ledger[イベント種類],"充当"),
_xlpm.発送済,G9,
_xlpm.倉庫戻し,SUMIFS(tbl_ledger[数量],tbl_ledger[ロットID],$A9,tbl_ledger[イベント種類],"倉庫戻し"),
_xlpm.余剰化,SUMIFS(tbl_ledger[数量],tbl_ledger[ロットID],$A9,tbl_ledger[イベント種類],"余剰化"),
_xlpm.不良,SUMIFS(tbl_ledger[数量],tbl_ledger[ロットID],$A9,tbl_ledger[イベント種類],"不良発生"),
_xlpm.割当+_xlpm.充当受入-_xlpm.充当放出-_xlpm.発送済-_xlpm.倉庫戻し-_xlpm.余剰化-_xlpm.不良))</f>
        <v/>
      </c>
      <c r="I9" s="8" t="str">
        <f>IF($A9="","",_xlfn.LET(
_xlpm.品番プール,N9,
_xlpm.割当計,SUMIF($B$2:$B$301,$B9,$F$2:$F$301),
_xlpm.余剰化受入,SUMIFS(tbl_ledger[数量],tbl_ledger[localId],$B9,tbl_ledger[イベント種類],"余剰化"),
_xlpm.充当払出,SUMIFS(tbl_ledger[数量],tbl_ledger[localId],$B9,tbl_ledger[イベント種類],"充当",tbl_ledger[ロットID],"="),
_xlpm.品番プール-_xlpm.割当計+_xlpm.余剰化受入-_xlpm.充当払出))</f>
        <v/>
      </c>
      <c r="J9" s="8" t="str">
        <f t="shared" si="1"/>
        <v/>
      </c>
      <c r="K9" s="8" t="str">
        <f t="shared" si="2"/>
        <v/>
      </c>
      <c r="L9" s="4" t="str">
        <f>IF($A9="","",IF(INDEX(tbl_plan[計画状態],ROW()-1)="キャンセル","キャンセル",IF(J9=0,"発送済",IF(K9&gt;0,"要搬出","OK"))))</f>
        <v/>
      </c>
      <c r="M9" s="8">
        <f t="array" ref="M9">_xlfn.LET(
_xlpm.計画状態,IFERROR(INDEX(tbl_plan[計画状態],ROW()-1)&amp;"",""),
_xlpm.必要数,IFERROR(N(INDEX(tbl_plan[必要数],ROW()-1)),0),
IF(_xlpm.計画状態="キャンセル",0,_xlpm.必要数))</f>
        <v>0</v>
      </c>
      <c r="N9" s="8" t="str">
        <f>IF($A9="","",_xlfn.LET(
_xlpm.搬入計,SUMIFS(tbl_ledger[数量],tbl_ledger[localId],$B9,tbl_ledger[イベント種類],"搬入"),
_xlpm.未割当発送,SUMIFS(tbl_ledger[数量],tbl_ledger[localId],$B9,tbl_ledger[イベント種類],"発送",tbl_ledger[ロットID],"="),
_xlpm.未割当倉庫戻し,SUMIFS(tbl_ledger[数量],tbl_ledger[localId],$B9,tbl_ledger[イベント種類],"倉庫戻し",tbl_ledger[ロットID],"="),
_xlpm.未割当不良,SUMIFS(tbl_ledger[数量],tbl_ledger[localId],$B9,tbl_ledger[イベント種類],"不良発生",tbl_ledger[ロットID],"="),
_xlpm.搬入計-_xlpm.未割当発送-_xlpm.未割当倉庫戻し-_xlpm.未割当不良))</f>
        <v/>
      </c>
      <c r="O9" s="8" t="str">
        <f t="array" ref="O9">IF($A9="","",_xlfn.LET(
_xlpm.同品番,($B$2:$B$301=$B9),
_xlpm.週が前,($C$2:$C$301&lt;$C9),
_xlpm.同週で上行,($C$2:$C$301=$C9)*(ROW($C$2:$C$301)&lt;ROW()),
SUMPRODUCT(_xlpm.同品番*(_xlpm.週が前+_xlpm.同週で上行)*$M$2:$M$301)))</f>
        <v/>
      </c>
    </row>
    <row r="10" spans="1:15" ht="15" customHeight="1" x14ac:dyDescent="0.25">
      <c r="A10" s="4" t="str">
        <f>IFERROR(INDEX(tbl_plan[ロットID],ROW()-1),"")</f>
        <v/>
      </c>
      <c r="B10" s="4" t="str">
        <f>IF($A10="","",INDEX(tbl_plan[localId],ROW()-1))</f>
        <v/>
      </c>
      <c r="C10" s="11" t="str">
        <f>IF($A10="","",INDEX(tbl_plan[出荷週],ROW()-1))</f>
        <v/>
      </c>
      <c r="D10" s="4" t="str">
        <f>IF($A10="","",INDEX(tbl_plan[納期先],ROW()-1)&amp;"")</f>
        <v/>
      </c>
      <c r="E10" s="8" t="str">
        <f>IF($A10="","",INDEX(tbl_plan[必要数],ROW()-1))</f>
        <v/>
      </c>
      <c r="F10" s="8" t="str">
        <f t="shared" si="0"/>
        <v/>
      </c>
      <c r="G10" s="8" t="str">
        <f>IF($A10="","",SUMIFS(tbl_ledger[数量],tbl_ledger[ロットID],$A10,tbl_ledger[イベント種類],"発送"))</f>
        <v/>
      </c>
      <c r="H10" s="8" t="str">
        <f>IF($A10="","",_xlfn.LET(
_xlpm.割当,F10,
_xlpm.充当受入,SUMIFS(tbl_ledger[数量],tbl_ledger[充当先ロットID],$A10,tbl_ledger[イベント種類],"充当"),
_xlpm.充当放出,SUMIFS(tbl_ledger[数量],tbl_ledger[ロットID],$A10,tbl_ledger[イベント種類],"充当"),
_xlpm.発送済,G10,
_xlpm.倉庫戻し,SUMIFS(tbl_ledger[数量],tbl_ledger[ロットID],$A10,tbl_ledger[イベント種類],"倉庫戻し"),
_xlpm.余剰化,SUMIFS(tbl_ledger[数量],tbl_ledger[ロットID],$A10,tbl_ledger[イベント種類],"余剰化"),
_xlpm.不良,SUMIFS(tbl_ledger[数量],tbl_ledger[ロットID],$A10,tbl_ledger[イベント種類],"不良発生"),
_xlpm.割当+_xlpm.充当受入-_xlpm.充当放出-_xlpm.発送済-_xlpm.倉庫戻し-_xlpm.余剰化-_xlpm.不良))</f>
        <v/>
      </c>
      <c r="I10" s="8" t="str">
        <f>IF($A10="","",_xlfn.LET(
_xlpm.品番プール,N10,
_xlpm.割当計,SUMIF($B$2:$B$301,$B10,$F$2:$F$301),
_xlpm.余剰化受入,SUMIFS(tbl_ledger[数量],tbl_ledger[localId],$B10,tbl_ledger[イベント種類],"余剰化"),
_xlpm.充当払出,SUMIFS(tbl_ledger[数量],tbl_ledger[localId],$B10,tbl_ledger[イベント種類],"充当",tbl_ledger[ロットID],"="),
_xlpm.品番プール-_xlpm.割当計+_xlpm.余剰化受入-_xlpm.充当払出))</f>
        <v/>
      </c>
      <c r="J10" s="8" t="str">
        <f t="shared" si="1"/>
        <v/>
      </c>
      <c r="K10" s="8" t="str">
        <f t="shared" si="2"/>
        <v/>
      </c>
      <c r="L10" s="4" t="str">
        <f>IF($A10="","",IF(INDEX(tbl_plan[計画状態],ROW()-1)="キャンセル","キャンセル",IF(J10=0,"発送済",IF(K10&gt;0,"要搬出","OK"))))</f>
        <v/>
      </c>
      <c r="M10" s="8">
        <f t="array" ref="M10">_xlfn.LET(
_xlpm.計画状態,IFERROR(INDEX(tbl_plan[計画状態],ROW()-1)&amp;"",""),
_xlpm.必要数,IFERROR(N(INDEX(tbl_plan[必要数],ROW()-1)),0),
IF(_xlpm.計画状態="キャンセル",0,_xlpm.必要数))</f>
        <v>0</v>
      </c>
      <c r="N10" s="8" t="str">
        <f>IF($A10="","",_xlfn.LET(
_xlpm.搬入計,SUMIFS(tbl_ledger[数量],tbl_ledger[localId],$B10,tbl_ledger[イベント種類],"搬入"),
_xlpm.未割当発送,SUMIFS(tbl_ledger[数量],tbl_ledger[localId],$B10,tbl_ledger[イベント種類],"発送",tbl_ledger[ロットID],"="),
_xlpm.未割当倉庫戻し,SUMIFS(tbl_ledger[数量],tbl_ledger[localId],$B10,tbl_ledger[イベント種類],"倉庫戻し",tbl_ledger[ロットID],"="),
_xlpm.未割当不良,SUMIFS(tbl_ledger[数量],tbl_ledger[localId],$B10,tbl_ledger[イベント種類],"不良発生",tbl_ledger[ロットID],"="),
_xlpm.搬入計-_xlpm.未割当発送-_xlpm.未割当倉庫戻し-_xlpm.未割当不良))</f>
        <v/>
      </c>
      <c r="O10" s="8" t="str">
        <f t="array" ref="O10">IF($A10="","",_xlfn.LET(
_xlpm.同品番,($B$2:$B$301=$B10),
_xlpm.週が前,($C$2:$C$301&lt;$C10),
_xlpm.同週で上行,($C$2:$C$301=$C10)*(ROW($C$2:$C$301)&lt;ROW()),
SUMPRODUCT(_xlpm.同品番*(_xlpm.週が前+_xlpm.同週で上行)*$M$2:$M$301)))</f>
        <v/>
      </c>
    </row>
    <row r="11" spans="1:15" ht="15" customHeight="1" x14ac:dyDescent="0.25">
      <c r="A11" s="4" t="str">
        <f>IFERROR(INDEX(tbl_plan[ロットID],ROW()-1),"")</f>
        <v/>
      </c>
      <c r="B11" s="4" t="str">
        <f>IF($A11="","",INDEX(tbl_plan[localId],ROW()-1))</f>
        <v/>
      </c>
      <c r="C11" s="11" t="str">
        <f>IF($A11="","",INDEX(tbl_plan[出荷週],ROW()-1))</f>
        <v/>
      </c>
      <c r="D11" s="4" t="str">
        <f>IF($A11="","",INDEX(tbl_plan[納期先],ROW()-1)&amp;"")</f>
        <v/>
      </c>
      <c r="E11" s="8" t="str">
        <f>IF($A11="","",INDEX(tbl_plan[必要数],ROW()-1))</f>
        <v/>
      </c>
      <c r="F11" s="8" t="str">
        <f t="shared" si="0"/>
        <v/>
      </c>
      <c r="G11" s="8" t="str">
        <f>IF($A11="","",SUMIFS(tbl_ledger[数量],tbl_ledger[ロットID],$A11,tbl_ledger[イベント種類],"発送"))</f>
        <v/>
      </c>
      <c r="H11" s="8" t="str">
        <f>IF($A11="","",_xlfn.LET(
_xlpm.割当,F11,
_xlpm.充当受入,SUMIFS(tbl_ledger[数量],tbl_ledger[充当先ロットID],$A11,tbl_ledger[イベント種類],"充当"),
_xlpm.充当放出,SUMIFS(tbl_ledger[数量],tbl_ledger[ロットID],$A11,tbl_ledger[イベント種類],"充当"),
_xlpm.発送済,G11,
_xlpm.倉庫戻し,SUMIFS(tbl_ledger[数量],tbl_ledger[ロットID],$A11,tbl_ledger[イベント種類],"倉庫戻し"),
_xlpm.余剰化,SUMIFS(tbl_ledger[数量],tbl_ledger[ロットID],$A11,tbl_ledger[イベント種類],"余剰化"),
_xlpm.不良,SUMIFS(tbl_ledger[数量],tbl_ledger[ロットID],$A11,tbl_ledger[イベント種類],"不良発生"),
_xlpm.割当+_xlpm.充当受入-_xlpm.充当放出-_xlpm.発送済-_xlpm.倉庫戻し-_xlpm.余剰化-_xlpm.不良))</f>
        <v/>
      </c>
      <c r="I11" s="8" t="str">
        <f>IF($A11="","",_xlfn.LET(
_xlpm.品番プール,N11,
_xlpm.割当計,SUMIF($B$2:$B$301,$B11,$F$2:$F$301),
_xlpm.余剰化受入,SUMIFS(tbl_ledger[数量],tbl_ledger[localId],$B11,tbl_ledger[イベント種類],"余剰化"),
_xlpm.充当払出,SUMIFS(tbl_ledger[数量],tbl_ledger[localId],$B11,tbl_ledger[イベント種類],"充当",tbl_ledger[ロットID],"="),
_xlpm.品番プール-_xlpm.割当計+_xlpm.余剰化受入-_xlpm.充当払出))</f>
        <v/>
      </c>
      <c r="J11" s="8" t="str">
        <f t="shared" si="1"/>
        <v/>
      </c>
      <c r="K11" s="8" t="str">
        <f t="shared" si="2"/>
        <v/>
      </c>
      <c r="L11" s="4" t="str">
        <f>IF($A11="","",IF(INDEX(tbl_plan[計画状態],ROW()-1)="キャンセル","キャンセル",IF(J11=0,"発送済",IF(K11&gt;0,"要搬出","OK"))))</f>
        <v/>
      </c>
      <c r="M11" s="8">
        <f t="array" ref="M11">_xlfn.LET(
_xlpm.計画状態,IFERROR(INDEX(tbl_plan[計画状態],ROW()-1)&amp;"",""),
_xlpm.必要数,IFERROR(N(INDEX(tbl_plan[必要数],ROW()-1)),0),
IF(_xlpm.計画状態="キャンセル",0,_xlpm.必要数))</f>
        <v>0</v>
      </c>
      <c r="N11" s="8" t="str">
        <f>IF($A11="","",_xlfn.LET(
_xlpm.搬入計,SUMIFS(tbl_ledger[数量],tbl_ledger[localId],$B11,tbl_ledger[イベント種類],"搬入"),
_xlpm.未割当発送,SUMIFS(tbl_ledger[数量],tbl_ledger[localId],$B11,tbl_ledger[イベント種類],"発送",tbl_ledger[ロットID],"="),
_xlpm.未割当倉庫戻し,SUMIFS(tbl_ledger[数量],tbl_ledger[localId],$B11,tbl_ledger[イベント種類],"倉庫戻し",tbl_ledger[ロットID],"="),
_xlpm.未割当不良,SUMIFS(tbl_ledger[数量],tbl_ledger[localId],$B11,tbl_ledger[イベント種類],"不良発生",tbl_ledger[ロットID],"="),
_xlpm.搬入計-_xlpm.未割当発送-_xlpm.未割当倉庫戻し-_xlpm.未割当不良))</f>
        <v/>
      </c>
      <c r="O11" s="8" t="str">
        <f t="array" ref="O11">IF($A11="","",_xlfn.LET(
_xlpm.同品番,($B$2:$B$301=$B11),
_xlpm.週が前,($C$2:$C$301&lt;$C11),
_xlpm.同週で上行,($C$2:$C$301=$C11)*(ROW($C$2:$C$301)&lt;ROW()),
SUMPRODUCT(_xlpm.同品番*(_xlpm.週が前+_xlpm.同週で上行)*$M$2:$M$301)))</f>
        <v/>
      </c>
    </row>
    <row r="12" spans="1:15" ht="15" customHeight="1" x14ac:dyDescent="0.25">
      <c r="A12" s="4" t="str">
        <f>IFERROR(INDEX(tbl_plan[ロットID],ROW()-1),"")</f>
        <v/>
      </c>
      <c r="B12" s="4" t="str">
        <f>IF($A12="","",INDEX(tbl_plan[localId],ROW()-1))</f>
        <v/>
      </c>
      <c r="C12" s="11" t="str">
        <f>IF($A12="","",INDEX(tbl_plan[出荷週],ROW()-1))</f>
        <v/>
      </c>
      <c r="D12" s="4" t="str">
        <f>IF($A12="","",INDEX(tbl_plan[納期先],ROW()-1)&amp;"")</f>
        <v/>
      </c>
      <c r="E12" s="8" t="str">
        <f>IF($A12="","",INDEX(tbl_plan[必要数],ROW()-1))</f>
        <v/>
      </c>
      <c r="F12" s="8" t="str">
        <f t="shared" si="0"/>
        <v/>
      </c>
      <c r="G12" s="8" t="str">
        <f>IF($A12="","",SUMIFS(tbl_ledger[数量],tbl_ledger[ロットID],$A12,tbl_ledger[イベント種類],"発送"))</f>
        <v/>
      </c>
      <c r="H12" s="8" t="str">
        <f>IF($A12="","",_xlfn.LET(
_xlpm.割当,F12,
_xlpm.充当受入,SUMIFS(tbl_ledger[数量],tbl_ledger[充当先ロットID],$A12,tbl_ledger[イベント種類],"充当"),
_xlpm.充当放出,SUMIFS(tbl_ledger[数量],tbl_ledger[ロットID],$A12,tbl_ledger[イベント種類],"充当"),
_xlpm.発送済,G12,
_xlpm.倉庫戻し,SUMIFS(tbl_ledger[数量],tbl_ledger[ロットID],$A12,tbl_ledger[イベント種類],"倉庫戻し"),
_xlpm.余剰化,SUMIFS(tbl_ledger[数量],tbl_ledger[ロットID],$A12,tbl_ledger[イベント種類],"余剰化"),
_xlpm.不良,SUMIFS(tbl_ledger[数量],tbl_ledger[ロットID],$A12,tbl_ledger[イベント種類],"不良発生"),
_xlpm.割当+_xlpm.充当受入-_xlpm.充当放出-_xlpm.発送済-_xlpm.倉庫戻し-_xlpm.余剰化-_xlpm.不良))</f>
        <v/>
      </c>
      <c r="I12" s="8" t="str">
        <f>IF($A12="","",_xlfn.LET(
_xlpm.品番プール,N12,
_xlpm.割当計,SUMIF($B$2:$B$301,$B12,$F$2:$F$301),
_xlpm.余剰化受入,SUMIFS(tbl_ledger[数量],tbl_ledger[localId],$B12,tbl_ledger[イベント種類],"余剰化"),
_xlpm.充当払出,SUMIFS(tbl_ledger[数量],tbl_ledger[localId],$B12,tbl_ledger[イベント種類],"充当",tbl_ledger[ロットID],"="),
_xlpm.品番プール-_xlpm.割当計+_xlpm.余剰化受入-_xlpm.充当払出))</f>
        <v/>
      </c>
      <c r="J12" s="8" t="str">
        <f t="shared" si="1"/>
        <v/>
      </c>
      <c r="K12" s="8" t="str">
        <f t="shared" si="2"/>
        <v/>
      </c>
      <c r="L12" s="4" t="str">
        <f>IF($A12="","",IF(INDEX(tbl_plan[計画状態],ROW()-1)="キャンセル","キャンセル",IF(J12=0,"発送済",IF(K12&gt;0,"要搬出","OK"))))</f>
        <v/>
      </c>
      <c r="M12" s="8">
        <f t="array" ref="M12">_xlfn.LET(
_xlpm.計画状態,IFERROR(INDEX(tbl_plan[計画状態],ROW()-1)&amp;"",""),
_xlpm.必要数,IFERROR(N(INDEX(tbl_plan[必要数],ROW()-1)),0),
IF(_xlpm.計画状態="キャンセル",0,_xlpm.必要数))</f>
        <v>0</v>
      </c>
      <c r="N12" s="8" t="str">
        <f>IF($A12="","",_xlfn.LET(
_xlpm.搬入計,SUMIFS(tbl_ledger[数量],tbl_ledger[localId],$B12,tbl_ledger[イベント種類],"搬入"),
_xlpm.未割当発送,SUMIFS(tbl_ledger[数量],tbl_ledger[localId],$B12,tbl_ledger[イベント種類],"発送",tbl_ledger[ロットID],"="),
_xlpm.未割当倉庫戻し,SUMIFS(tbl_ledger[数量],tbl_ledger[localId],$B12,tbl_ledger[イベント種類],"倉庫戻し",tbl_ledger[ロットID],"="),
_xlpm.未割当不良,SUMIFS(tbl_ledger[数量],tbl_ledger[localId],$B12,tbl_ledger[イベント種類],"不良発生",tbl_ledger[ロットID],"="),
_xlpm.搬入計-_xlpm.未割当発送-_xlpm.未割当倉庫戻し-_xlpm.未割当不良))</f>
        <v/>
      </c>
      <c r="O12" s="8" t="str">
        <f t="array" ref="O12">IF($A12="","",_xlfn.LET(
_xlpm.同品番,($B$2:$B$301=$B12),
_xlpm.週が前,($C$2:$C$301&lt;$C12),
_xlpm.同週で上行,($C$2:$C$301=$C12)*(ROW($C$2:$C$301)&lt;ROW()),
SUMPRODUCT(_xlpm.同品番*(_xlpm.週が前+_xlpm.同週で上行)*$M$2:$M$301)))</f>
        <v/>
      </c>
    </row>
    <row r="13" spans="1:15" ht="15" customHeight="1" x14ac:dyDescent="0.25">
      <c r="A13" s="4" t="str">
        <f>IFERROR(INDEX(tbl_plan[ロットID],ROW()-1),"")</f>
        <v/>
      </c>
      <c r="B13" s="4" t="str">
        <f>IF($A13="","",INDEX(tbl_plan[localId],ROW()-1))</f>
        <v/>
      </c>
      <c r="C13" s="11" t="str">
        <f>IF($A13="","",INDEX(tbl_plan[出荷週],ROW()-1))</f>
        <v/>
      </c>
      <c r="D13" s="4" t="str">
        <f>IF($A13="","",INDEX(tbl_plan[納期先],ROW()-1)&amp;"")</f>
        <v/>
      </c>
      <c r="E13" s="8" t="str">
        <f>IF($A13="","",INDEX(tbl_plan[必要数],ROW()-1))</f>
        <v/>
      </c>
      <c r="F13" s="8" t="str">
        <f t="shared" si="0"/>
        <v/>
      </c>
      <c r="G13" s="8" t="str">
        <f>IF($A13="","",SUMIFS(tbl_ledger[数量],tbl_ledger[ロットID],$A13,tbl_ledger[イベント種類],"発送"))</f>
        <v/>
      </c>
      <c r="H13" s="8" t="str">
        <f>IF($A13="","",_xlfn.LET(
_xlpm.割当,F13,
_xlpm.充当受入,SUMIFS(tbl_ledger[数量],tbl_ledger[充当先ロットID],$A13,tbl_ledger[イベント種類],"充当"),
_xlpm.充当放出,SUMIFS(tbl_ledger[数量],tbl_ledger[ロットID],$A13,tbl_ledger[イベント種類],"充当"),
_xlpm.発送済,G13,
_xlpm.倉庫戻し,SUMIFS(tbl_ledger[数量],tbl_ledger[ロットID],$A13,tbl_ledger[イベント種類],"倉庫戻し"),
_xlpm.余剰化,SUMIFS(tbl_ledger[数量],tbl_ledger[ロットID],$A13,tbl_ledger[イベント種類],"余剰化"),
_xlpm.不良,SUMIFS(tbl_ledger[数量],tbl_ledger[ロットID],$A13,tbl_ledger[イベント種類],"不良発生"),
_xlpm.割当+_xlpm.充当受入-_xlpm.充当放出-_xlpm.発送済-_xlpm.倉庫戻し-_xlpm.余剰化-_xlpm.不良))</f>
        <v/>
      </c>
      <c r="I13" s="8" t="str">
        <f>IF($A13="","",_xlfn.LET(
_xlpm.品番プール,N13,
_xlpm.割当計,SUMIF($B$2:$B$301,$B13,$F$2:$F$301),
_xlpm.余剰化受入,SUMIFS(tbl_ledger[数量],tbl_ledger[localId],$B13,tbl_ledger[イベント種類],"余剰化"),
_xlpm.充当払出,SUMIFS(tbl_ledger[数量],tbl_ledger[localId],$B13,tbl_ledger[イベント種類],"充当",tbl_ledger[ロットID],"="),
_xlpm.品番プール-_xlpm.割当計+_xlpm.余剰化受入-_xlpm.充当払出))</f>
        <v/>
      </c>
      <c r="J13" s="8" t="str">
        <f t="shared" si="1"/>
        <v/>
      </c>
      <c r="K13" s="8" t="str">
        <f t="shared" si="2"/>
        <v/>
      </c>
      <c r="L13" s="4" t="str">
        <f>IF($A13="","",IF(INDEX(tbl_plan[計画状態],ROW()-1)="キャンセル","キャンセル",IF(J13=0,"発送済",IF(K13&gt;0,"要搬出","OK"))))</f>
        <v/>
      </c>
      <c r="M13" s="8">
        <f t="array" ref="M13">_xlfn.LET(
_xlpm.計画状態,IFERROR(INDEX(tbl_plan[計画状態],ROW()-1)&amp;"",""),
_xlpm.必要数,IFERROR(N(INDEX(tbl_plan[必要数],ROW()-1)),0),
IF(_xlpm.計画状態="キャンセル",0,_xlpm.必要数))</f>
        <v>0</v>
      </c>
      <c r="N13" s="8" t="str">
        <f>IF($A13="","",_xlfn.LET(
_xlpm.搬入計,SUMIFS(tbl_ledger[数量],tbl_ledger[localId],$B13,tbl_ledger[イベント種類],"搬入"),
_xlpm.未割当発送,SUMIFS(tbl_ledger[数量],tbl_ledger[localId],$B13,tbl_ledger[イベント種類],"発送",tbl_ledger[ロットID],"="),
_xlpm.未割当倉庫戻し,SUMIFS(tbl_ledger[数量],tbl_ledger[localId],$B13,tbl_ledger[イベント種類],"倉庫戻し",tbl_ledger[ロットID],"="),
_xlpm.未割当不良,SUMIFS(tbl_ledger[数量],tbl_ledger[localId],$B13,tbl_ledger[イベント種類],"不良発生",tbl_ledger[ロットID],"="),
_xlpm.搬入計-_xlpm.未割当発送-_xlpm.未割当倉庫戻し-_xlpm.未割当不良))</f>
        <v/>
      </c>
      <c r="O13" s="8" t="str">
        <f t="array" ref="O13">IF($A13="","",_xlfn.LET(
_xlpm.同品番,($B$2:$B$301=$B13),
_xlpm.週が前,($C$2:$C$301&lt;$C13),
_xlpm.同週で上行,($C$2:$C$301=$C13)*(ROW($C$2:$C$301)&lt;ROW()),
SUMPRODUCT(_xlpm.同品番*(_xlpm.週が前+_xlpm.同週で上行)*$M$2:$M$301)))</f>
        <v/>
      </c>
    </row>
    <row r="14" spans="1:15" ht="15" customHeight="1" x14ac:dyDescent="0.25">
      <c r="A14" s="4" t="str">
        <f>IFERROR(INDEX(tbl_plan[ロットID],ROW()-1),"")</f>
        <v/>
      </c>
      <c r="B14" s="4" t="str">
        <f>IF($A14="","",INDEX(tbl_plan[localId],ROW()-1))</f>
        <v/>
      </c>
      <c r="C14" s="11" t="str">
        <f>IF($A14="","",INDEX(tbl_plan[出荷週],ROW()-1))</f>
        <v/>
      </c>
      <c r="D14" s="4" t="str">
        <f>IF($A14="","",INDEX(tbl_plan[納期先],ROW()-1)&amp;"")</f>
        <v/>
      </c>
      <c r="E14" s="8" t="str">
        <f>IF($A14="","",INDEX(tbl_plan[必要数],ROW()-1))</f>
        <v/>
      </c>
      <c r="F14" s="8" t="str">
        <f t="shared" si="0"/>
        <v/>
      </c>
      <c r="G14" s="8" t="str">
        <f>IF($A14="","",SUMIFS(tbl_ledger[数量],tbl_ledger[ロットID],$A14,tbl_ledger[イベント種類],"発送"))</f>
        <v/>
      </c>
      <c r="H14" s="8" t="str">
        <f>IF($A14="","",_xlfn.LET(
_xlpm.割当,F14,
_xlpm.充当受入,SUMIFS(tbl_ledger[数量],tbl_ledger[充当先ロットID],$A14,tbl_ledger[イベント種類],"充当"),
_xlpm.充当放出,SUMIFS(tbl_ledger[数量],tbl_ledger[ロットID],$A14,tbl_ledger[イベント種類],"充当"),
_xlpm.発送済,G14,
_xlpm.倉庫戻し,SUMIFS(tbl_ledger[数量],tbl_ledger[ロットID],$A14,tbl_ledger[イベント種類],"倉庫戻し"),
_xlpm.余剰化,SUMIFS(tbl_ledger[数量],tbl_ledger[ロットID],$A14,tbl_ledger[イベント種類],"余剰化"),
_xlpm.不良,SUMIFS(tbl_ledger[数量],tbl_ledger[ロットID],$A14,tbl_ledger[イベント種類],"不良発生"),
_xlpm.割当+_xlpm.充当受入-_xlpm.充当放出-_xlpm.発送済-_xlpm.倉庫戻し-_xlpm.余剰化-_xlpm.不良))</f>
        <v/>
      </c>
      <c r="I14" s="8" t="str">
        <f>IF($A14="","",_xlfn.LET(
_xlpm.品番プール,N14,
_xlpm.割当計,SUMIF($B$2:$B$301,$B14,$F$2:$F$301),
_xlpm.余剰化受入,SUMIFS(tbl_ledger[数量],tbl_ledger[localId],$B14,tbl_ledger[イベント種類],"余剰化"),
_xlpm.充当払出,SUMIFS(tbl_ledger[数量],tbl_ledger[localId],$B14,tbl_ledger[イベント種類],"充当",tbl_ledger[ロットID],"="),
_xlpm.品番プール-_xlpm.割当計+_xlpm.余剰化受入-_xlpm.充当払出))</f>
        <v/>
      </c>
      <c r="J14" s="8" t="str">
        <f t="shared" si="1"/>
        <v/>
      </c>
      <c r="K14" s="8" t="str">
        <f t="shared" si="2"/>
        <v/>
      </c>
      <c r="L14" s="4" t="str">
        <f>IF($A14="","",IF(INDEX(tbl_plan[計画状態],ROW()-1)="キャンセル","キャンセル",IF(J14=0,"発送済",IF(K14&gt;0,"要搬出","OK"))))</f>
        <v/>
      </c>
      <c r="M14" s="8">
        <f t="array" ref="M14">_xlfn.LET(
_xlpm.計画状態,IFERROR(INDEX(tbl_plan[計画状態],ROW()-1)&amp;"",""),
_xlpm.必要数,IFERROR(N(INDEX(tbl_plan[必要数],ROW()-1)),0),
IF(_xlpm.計画状態="キャンセル",0,_xlpm.必要数))</f>
        <v>0</v>
      </c>
      <c r="N14" s="8" t="str">
        <f>IF($A14="","",_xlfn.LET(
_xlpm.搬入計,SUMIFS(tbl_ledger[数量],tbl_ledger[localId],$B14,tbl_ledger[イベント種類],"搬入"),
_xlpm.未割当発送,SUMIFS(tbl_ledger[数量],tbl_ledger[localId],$B14,tbl_ledger[イベント種類],"発送",tbl_ledger[ロットID],"="),
_xlpm.未割当倉庫戻し,SUMIFS(tbl_ledger[数量],tbl_ledger[localId],$B14,tbl_ledger[イベント種類],"倉庫戻し",tbl_ledger[ロットID],"="),
_xlpm.未割当不良,SUMIFS(tbl_ledger[数量],tbl_ledger[localId],$B14,tbl_ledger[イベント種類],"不良発生",tbl_ledger[ロットID],"="),
_xlpm.搬入計-_xlpm.未割当発送-_xlpm.未割当倉庫戻し-_xlpm.未割当不良))</f>
        <v/>
      </c>
      <c r="O14" s="8" t="str">
        <f t="array" ref="O14">IF($A14="","",_xlfn.LET(
_xlpm.同品番,($B$2:$B$301=$B14),
_xlpm.週が前,($C$2:$C$301&lt;$C14),
_xlpm.同週で上行,($C$2:$C$301=$C14)*(ROW($C$2:$C$301)&lt;ROW()),
SUMPRODUCT(_xlpm.同品番*(_xlpm.週が前+_xlpm.同週で上行)*$M$2:$M$301)))</f>
        <v/>
      </c>
    </row>
    <row r="15" spans="1:15" ht="15" customHeight="1" x14ac:dyDescent="0.25">
      <c r="A15" s="4" t="str">
        <f>IFERROR(INDEX(tbl_plan[ロットID],ROW()-1),"")</f>
        <v/>
      </c>
      <c r="B15" s="4" t="str">
        <f>IF($A15="","",INDEX(tbl_plan[localId],ROW()-1))</f>
        <v/>
      </c>
      <c r="C15" s="11" t="str">
        <f>IF($A15="","",INDEX(tbl_plan[出荷週],ROW()-1))</f>
        <v/>
      </c>
      <c r="D15" s="4" t="str">
        <f>IF($A15="","",INDEX(tbl_plan[納期先],ROW()-1)&amp;"")</f>
        <v/>
      </c>
      <c r="E15" s="8" t="str">
        <f>IF($A15="","",INDEX(tbl_plan[必要数],ROW()-1))</f>
        <v/>
      </c>
      <c r="F15" s="8" t="str">
        <f t="shared" si="0"/>
        <v/>
      </c>
      <c r="G15" s="8" t="str">
        <f>IF($A15="","",SUMIFS(tbl_ledger[数量],tbl_ledger[ロットID],$A15,tbl_ledger[イベント種類],"発送"))</f>
        <v/>
      </c>
      <c r="H15" s="8" t="str">
        <f>IF($A15="","",_xlfn.LET(
_xlpm.割当,F15,
_xlpm.充当受入,SUMIFS(tbl_ledger[数量],tbl_ledger[充当先ロットID],$A15,tbl_ledger[イベント種類],"充当"),
_xlpm.充当放出,SUMIFS(tbl_ledger[数量],tbl_ledger[ロットID],$A15,tbl_ledger[イベント種類],"充当"),
_xlpm.発送済,G15,
_xlpm.倉庫戻し,SUMIFS(tbl_ledger[数量],tbl_ledger[ロットID],$A15,tbl_ledger[イベント種類],"倉庫戻し"),
_xlpm.余剰化,SUMIFS(tbl_ledger[数量],tbl_ledger[ロットID],$A15,tbl_ledger[イベント種類],"余剰化"),
_xlpm.不良,SUMIFS(tbl_ledger[数量],tbl_ledger[ロットID],$A15,tbl_ledger[イベント種類],"不良発生"),
_xlpm.割当+_xlpm.充当受入-_xlpm.充当放出-_xlpm.発送済-_xlpm.倉庫戻し-_xlpm.余剰化-_xlpm.不良))</f>
        <v/>
      </c>
      <c r="I15" s="8" t="str">
        <f>IF($A15="","",_xlfn.LET(
_xlpm.品番プール,N15,
_xlpm.割当計,SUMIF($B$2:$B$301,$B15,$F$2:$F$301),
_xlpm.余剰化受入,SUMIFS(tbl_ledger[数量],tbl_ledger[localId],$B15,tbl_ledger[イベント種類],"余剰化"),
_xlpm.充当払出,SUMIFS(tbl_ledger[数量],tbl_ledger[localId],$B15,tbl_ledger[イベント種類],"充当",tbl_ledger[ロットID],"="),
_xlpm.品番プール-_xlpm.割当計+_xlpm.余剰化受入-_xlpm.充当払出))</f>
        <v/>
      </c>
      <c r="J15" s="8" t="str">
        <f t="shared" si="1"/>
        <v/>
      </c>
      <c r="K15" s="8" t="str">
        <f t="shared" si="2"/>
        <v/>
      </c>
      <c r="L15" s="4" t="str">
        <f>IF($A15="","",IF(INDEX(tbl_plan[計画状態],ROW()-1)="キャンセル","キャンセル",IF(J15=0,"発送済",IF(K15&gt;0,"要搬出","OK"))))</f>
        <v/>
      </c>
      <c r="M15" s="8">
        <f t="array" ref="M15">_xlfn.LET(
_xlpm.計画状態,IFERROR(INDEX(tbl_plan[計画状態],ROW()-1)&amp;"",""),
_xlpm.必要数,IFERROR(N(INDEX(tbl_plan[必要数],ROW()-1)),0),
IF(_xlpm.計画状態="キャンセル",0,_xlpm.必要数))</f>
        <v>0</v>
      </c>
      <c r="N15" s="8" t="str">
        <f>IF($A15="","",_xlfn.LET(
_xlpm.搬入計,SUMIFS(tbl_ledger[数量],tbl_ledger[localId],$B15,tbl_ledger[イベント種類],"搬入"),
_xlpm.未割当発送,SUMIFS(tbl_ledger[数量],tbl_ledger[localId],$B15,tbl_ledger[イベント種類],"発送",tbl_ledger[ロットID],"="),
_xlpm.未割当倉庫戻し,SUMIFS(tbl_ledger[数量],tbl_ledger[localId],$B15,tbl_ledger[イベント種類],"倉庫戻し",tbl_ledger[ロットID],"="),
_xlpm.未割当不良,SUMIFS(tbl_ledger[数量],tbl_ledger[localId],$B15,tbl_ledger[イベント種類],"不良発生",tbl_ledger[ロットID],"="),
_xlpm.搬入計-_xlpm.未割当発送-_xlpm.未割当倉庫戻し-_xlpm.未割当不良))</f>
        <v/>
      </c>
      <c r="O15" s="8" t="str">
        <f t="array" ref="O15">IF($A15="","",_xlfn.LET(
_xlpm.同品番,($B$2:$B$301=$B15),
_xlpm.週が前,($C$2:$C$301&lt;$C15),
_xlpm.同週で上行,($C$2:$C$301=$C15)*(ROW($C$2:$C$301)&lt;ROW()),
SUMPRODUCT(_xlpm.同品番*(_xlpm.週が前+_xlpm.同週で上行)*$M$2:$M$301)))</f>
        <v/>
      </c>
    </row>
    <row r="16" spans="1:15" ht="15" customHeight="1" x14ac:dyDescent="0.25">
      <c r="A16" s="4" t="str">
        <f>IFERROR(INDEX(tbl_plan[ロットID],ROW()-1),"")</f>
        <v/>
      </c>
      <c r="B16" s="4" t="str">
        <f>IF($A16="","",INDEX(tbl_plan[localId],ROW()-1))</f>
        <v/>
      </c>
      <c r="C16" s="11" t="str">
        <f>IF($A16="","",INDEX(tbl_plan[出荷週],ROW()-1))</f>
        <v/>
      </c>
      <c r="D16" s="4" t="str">
        <f>IF($A16="","",INDEX(tbl_plan[納期先],ROW()-1)&amp;"")</f>
        <v/>
      </c>
      <c r="E16" s="8" t="str">
        <f>IF($A16="","",INDEX(tbl_plan[必要数],ROW()-1))</f>
        <v/>
      </c>
      <c r="F16" s="8" t="str">
        <f t="shared" si="0"/>
        <v/>
      </c>
      <c r="G16" s="8" t="str">
        <f>IF($A16="","",SUMIFS(tbl_ledger[数量],tbl_ledger[ロットID],$A16,tbl_ledger[イベント種類],"発送"))</f>
        <v/>
      </c>
      <c r="H16" s="8" t="str">
        <f>IF($A16="","",_xlfn.LET(
_xlpm.割当,F16,
_xlpm.充当受入,SUMIFS(tbl_ledger[数量],tbl_ledger[充当先ロットID],$A16,tbl_ledger[イベント種類],"充当"),
_xlpm.充当放出,SUMIFS(tbl_ledger[数量],tbl_ledger[ロットID],$A16,tbl_ledger[イベント種類],"充当"),
_xlpm.発送済,G16,
_xlpm.倉庫戻し,SUMIFS(tbl_ledger[数量],tbl_ledger[ロットID],$A16,tbl_ledger[イベント種類],"倉庫戻し"),
_xlpm.余剰化,SUMIFS(tbl_ledger[数量],tbl_ledger[ロットID],$A16,tbl_ledger[イベント種類],"余剰化"),
_xlpm.不良,SUMIFS(tbl_ledger[数量],tbl_ledger[ロットID],$A16,tbl_ledger[イベント種類],"不良発生"),
_xlpm.割当+_xlpm.充当受入-_xlpm.充当放出-_xlpm.発送済-_xlpm.倉庫戻し-_xlpm.余剰化-_xlpm.不良))</f>
        <v/>
      </c>
      <c r="I16" s="8" t="str">
        <f>IF($A16="","",_xlfn.LET(
_xlpm.品番プール,N16,
_xlpm.割当計,SUMIF($B$2:$B$301,$B16,$F$2:$F$301),
_xlpm.余剰化受入,SUMIFS(tbl_ledger[数量],tbl_ledger[localId],$B16,tbl_ledger[イベント種類],"余剰化"),
_xlpm.充当払出,SUMIFS(tbl_ledger[数量],tbl_ledger[localId],$B16,tbl_ledger[イベント種類],"充当",tbl_ledger[ロットID],"="),
_xlpm.品番プール-_xlpm.割当計+_xlpm.余剰化受入-_xlpm.充当払出))</f>
        <v/>
      </c>
      <c r="J16" s="8" t="str">
        <f t="shared" si="1"/>
        <v/>
      </c>
      <c r="K16" s="8" t="str">
        <f t="shared" si="2"/>
        <v/>
      </c>
      <c r="L16" s="4" t="str">
        <f>IF($A16="","",IF(INDEX(tbl_plan[計画状態],ROW()-1)="キャンセル","キャンセル",IF(J16=0,"発送済",IF(K16&gt;0,"要搬出","OK"))))</f>
        <v/>
      </c>
      <c r="M16" s="8">
        <f t="array" ref="M16">_xlfn.LET(
_xlpm.計画状態,IFERROR(INDEX(tbl_plan[計画状態],ROW()-1)&amp;"",""),
_xlpm.必要数,IFERROR(N(INDEX(tbl_plan[必要数],ROW()-1)),0),
IF(_xlpm.計画状態="キャンセル",0,_xlpm.必要数))</f>
        <v>0</v>
      </c>
      <c r="N16" s="8" t="str">
        <f>IF($A16="","",_xlfn.LET(
_xlpm.搬入計,SUMIFS(tbl_ledger[数量],tbl_ledger[localId],$B16,tbl_ledger[イベント種類],"搬入"),
_xlpm.未割当発送,SUMIFS(tbl_ledger[数量],tbl_ledger[localId],$B16,tbl_ledger[イベント種類],"発送",tbl_ledger[ロットID],"="),
_xlpm.未割当倉庫戻し,SUMIFS(tbl_ledger[数量],tbl_ledger[localId],$B16,tbl_ledger[イベント種類],"倉庫戻し",tbl_ledger[ロットID],"="),
_xlpm.未割当不良,SUMIFS(tbl_ledger[数量],tbl_ledger[localId],$B16,tbl_ledger[イベント種類],"不良発生",tbl_ledger[ロットID],"="),
_xlpm.搬入計-_xlpm.未割当発送-_xlpm.未割当倉庫戻し-_xlpm.未割当不良))</f>
        <v/>
      </c>
      <c r="O16" s="8" t="str">
        <f t="array" ref="O16">IF($A16="","",_xlfn.LET(
_xlpm.同品番,($B$2:$B$301=$B16),
_xlpm.週が前,($C$2:$C$301&lt;$C16),
_xlpm.同週で上行,($C$2:$C$301=$C16)*(ROW($C$2:$C$301)&lt;ROW()),
SUMPRODUCT(_xlpm.同品番*(_xlpm.週が前+_xlpm.同週で上行)*$M$2:$M$301)))</f>
        <v/>
      </c>
    </row>
    <row r="17" spans="1:15" ht="15" customHeight="1" x14ac:dyDescent="0.25">
      <c r="A17" s="4" t="str">
        <f>IFERROR(INDEX(tbl_plan[ロットID],ROW()-1),"")</f>
        <v/>
      </c>
      <c r="B17" s="4" t="str">
        <f>IF($A17="","",INDEX(tbl_plan[localId],ROW()-1))</f>
        <v/>
      </c>
      <c r="C17" s="11" t="str">
        <f>IF($A17="","",INDEX(tbl_plan[出荷週],ROW()-1))</f>
        <v/>
      </c>
      <c r="D17" s="4" t="str">
        <f>IF($A17="","",INDEX(tbl_plan[納期先],ROW()-1)&amp;"")</f>
        <v/>
      </c>
      <c r="E17" s="8" t="str">
        <f>IF($A17="","",INDEX(tbl_plan[必要数],ROW()-1))</f>
        <v/>
      </c>
      <c r="F17" s="8" t="str">
        <f t="shared" si="0"/>
        <v/>
      </c>
      <c r="G17" s="8" t="str">
        <f>IF($A17="","",SUMIFS(tbl_ledger[数量],tbl_ledger[ロットID],$A17,tbl_ledger[イベント種類],"発送"))</f>
        <v/>
      </c>
      <c r="H17" s="8" t="str">
        <f>IF($A17="","",_xlfn.LET(
_xlpm.割当,F17,
_xlpm.充当受入,SUMIFS(tbl_ledger[数量],tbl_ledger[充当先ロットID],$A17,tbl_ledger[イベント種類],"充当"),
_xlpm.充当放出,SUMIFS(tbl_ledger[数量],tbl_ledger[ロットID],$A17,tbl_ledger[イベント種類],"充当"),
_xlpm.発送済,G17,
_xlpm.倉庫戻し,SUMIFS(tbl_ledger[数量],tbl_ledger[ロットID],$A17,tbl_ledger[イベント種類],"倉庫戻し"),
_xlpm.余剰化,SUMIFS(tbl_ledger[数量],tbl_ledger[ロットID],$A17,tbl_ledger[イベント種類],"余剰化"),
_xlpm.不良,SUMIFS(tbl_ledger[数量],tbl_ledger[ロットID],$A17,tbl_ledger[イベント種類],"不良発生"),
_xlpm.割当+_xlpm.充当受入-_xlpm.充当放出-_xlpm.発送済-_xlpm.倉庫戻し-_xlpm.余剰化-_xlpm.不良))</f>
        <v/>
      </c>
      <c r="I17" s="8" t="str">
        <f>IF($A17="","",_xlfn.LET(
_xlpm.品番プール,N17,
_xlpm.割当計,SUMIF($B$2:$B$301,$B17,$F$2:$F$301),
_xlpm.余剰化受入,SUMIFS(tbl_ledger[数量],tbl_ledger[localId],$B17,tbl_ledger[イベント種類],"余剰化"),
_xlpm.充当払出,SUMIFS(tbl_ledger[数量],tbl_ledger[localId],$B17,tbl_ledger[イベント種類],"充当",tbl_ledger[ロットID],"="),
_xlpm.品番プール-_xlpm.割当計+_xlpm.余剰化受入-_xlpm.充当払出))</f>
        <v/>
      </c>
      <c r="J17" s="8" t="str">
        <f t="shared" si="1"/>
        <v/>
      </c>
      <c r="K17" s="8" t="str">
        <f t="shared" si="2"/>
        <v/>
      </c>
      <c r="L17" s="4" t="str">
        <f>IF($A17="","",IF(INDEX(tbl_plan[計画状態],ROW()-1)="キャンセル","キャンセル",IF(J17=0,"発送済",IF(K17&gt;0,"要搬出","OK"))))</f>
        <v/>
      </c>
      <c r="M17" s="8">
        <f t="array" ref="M17">_xlfn.LET(
_xlpm.計画状態,IFERROR(INDEX(tbl_plan[計画状態],ROW()-1)&amp;"",""),
_xlpm.必要数,IFERROR(N(INDEX(tbl_plan[必要数],ROW()-1)),0),
IF(_xlpm.計画状態="キャンセル",0,_xlpm.必要数))</f>
        <v>0</v>
      </c>
      <c r="N17" s="8" t="str">
        <f>IF($A17="","",_xlfn.LET(
_xlpm.搬入計,SUMIFS(tbl_ledger[数量],tbl_ledger[localId],$B17,tbl_ledger[イベント種類],"搬入"),
_xlpm.未割当発送,SUMIFS(tbl_ledger[数量],tbl_ledger[localId],$B17,tbl_ledger[イベント種類],"発送",tbl_ledger[ロットID],"="),
_xlpm.未割当倉庫戻し,SUMIFS(tbl_ledger[数量],tbl_ledger[localId],$B17,tbl_ledger[イベント種類],"倉庫戻し",tbl_ledger[ロットID],"="),
_xlpm.未割当不良,SUMIFS(tbl_ledger[数量],tbl_ledger[localId],$B17,tbl_ledger[イベント種類],"不良発生",tbl_ledger[ロットID],"="),
_xlpm.搬入計-_xlpm.未割当発送-_xlpm.未割当倉庫戻し-_xlpm.未割当不良))</f>
        <v/>
      </c>
      <c r="O17" s="8" t="str">
        <f t="array" ref="O17">IF($A17="","",_xlfn.LET(
_xlpm.同品番,($B$2:$B$301=$B17),
_xlpm.週が前,($C$2:$C$301&lt;$C17),
_xlpm.同週で上行,($C$2:$C$301=$C17)*(ROW($C$2:$C$301)&lt;ROW()),
SUMPRODUCT(_xlpm.同品番*(_xlpm.週が前+_xlpm.同週で上行)*$M$2:$M$301)))</f>
        <v/>
      </c>
    </row>
    <row r="18" spans="1:15" ht="15" customHeight="1" x14ac:dyDescent="0.25">
      <c r="A18" s="4" t="str">
        <f>IFERROR(INDEX(tbl_plan[ロットID],ROW()-1),"")</f>
        <v/>
      </c>
      <c r="B18" s="4" t="str">
        <f>IF($A18="","",INDEX(tbl_plan[localId],ROW()-1))</f>
        <v/>
      </c>
      <c r="C18" s="11" t="str">
        <f>IF($A18="","",INDEX(tbl_plan[出荷週],ROW()-1))</f>
        <v/>
      </c>
      <c r="D18" s="4" t="str">
        <f>IF($A18="","",INDEX(tbl_plan[納期先],ROW()-1)&amp;"")</f>
        <v/>
      </c>
      <c r="E18" s="8" t="str">
        <f>IF($A18="","",INDEX(tbl_plan[必要数],ROW()-1))</f>
        <v/>
      </c>
      <c r="F18" s="8" t="str">
        <f t="shared" si="0"/>
        <v/>
      </c>
      <c r="G18" s="8" t="str">
        <f>IF($A18="","",SUMIFS(tbl_ledger[数量],tbl_ledger[ロットID],$A18,tbl_ledger[イベント種類],"発送"))</f>
        <v/>
      </c>
      <c r="H18" s="8" t="str">
        <f>IF($A18="","",_xlfn.LET(
_xlpm.割当,F18,
_xlpm.充当受入,SUMIFS(tbl_ledger[数量],tbl_ledger[充当先ロットID],$A18,tbl_ledger[イベント種類],"充当"),
_xlpm.充当放出,SUMIFS(tbl_ledger[数量],tbl_ledger[ロットID],$A18,tbl_ledger[イベント種類],"充当"),
_xlpm.発送済,G18,
_xlpm.倉庫戻し,SUMIFS(tbl_ledger[数量],tbl_ledger[ロットID],$A18,tbl_ledger[イベント種類],"倉庫戻し"),
_xlpm.余剰化,SUMIFS(tbl_ledger[数量],tbl_ledger[ロットID],$A18,tbl_ledger[イベント種類],"余剰化"),
_xlpm.不良,SUMIFS(tbl_ledger[数量],tbl_ledger[ロットID],$A18,tbl_ledger[イベント種類],"不良発生"),
_xlpm.割当+_xlpm.充当受入-_xlpm.充当放出-_xlpm.発送済-_xlpm.倉庫戻し-_xlpm.余剰化-_xlpm.不良))</f>
        <v/>
      </c>
      <c r="I18" s="8" t="str">
        <f>IF($A18="","",_xlfn.LET(
_xlpm.品番プール,N18,
_xlpm.割当計,SUMIF($B$2:$B$301,$B18,$F$2:$F$301),
_xlpm.余剰化受入,SUMIFS(tbl_ledger[数量],tbl_ledger[localId],$B18,tbl_ledger[イベント種類],"余剰化"),
_xlpm.充当払出,SUMIFS(tbl_ledger[数量],tbl_ledger[localId],$B18,tbl_ledger[イベント種類],"充当",tbl_ledger[ロットID],"="),
_xlpm.品番プール-_xlpm.割当計+_xlpm.余剰化受入-_xlpm.充当払出))</f>
        <v/>
      </c>
      <c r="J18" s="8" t="str">
        <f t="shared" si="1"/>
        <v/>
      </c>
      <c r="K18" s="8" t="str">
        <f t="shared" si="2"/>
        <v/>
      </c>
      <c r="L18" s="4" t="str">
        <f>IF($A18="","",IF(INDEX(tbl_plan[計画状態],ROW()-1)="キャンセル","キャンセル",IF(J18=0,"発送済",IF(K18&gt;0,"要搬出","OK"))))</f>
        <v/>
      </c>
      <c r="M18" s="8">
        <f t="array" ref="M18">_xlfn.LET(
_xlpm.計画状態,IFERROR(INDEX(tbl_plan[計画状態],ROW()-1)&amp;"",""),
_xlpm.必要数,IFERROR(N(INDEX(tbl_plan[必要数],ROW()-1)),0),
IF(_xlpm.計画状態="キャンセル",0,_xlpm.必要数))</f>
        <v>0</v>
      </c>
      <c r="N18" s="8" t="str">
        <f>IF($A18="","",_xlfn.LET(
_xlpm.搬入計,SUMIFS(tbl_ledger[数量],tbl_ledger[localId],$B18,tbl_ledger[イベント種類],"搬入"),
_xlpm.未割当発送,SUMIFS(tbl_ledger[数量],tbl_ledger[localId],$B18,tbl_ledger[イベント種類],"発送",tbl_ledger[ロットID],"="),
_xlpm.未割当倉庫戻し,SUMIFS(tbl_ledger[数量],tbl_ledger[localId],$B18,tbl_ledger[イベント種類],"倉庫戻し",tbl_ledger[ロットID],"="),
_xlpm.未割当不良,SUMIFS(tbl_ledger[数量],tbl_ledger[localId],$B18,tbl_ledger[イベント種類],"不良発生",tbl_ledger[ロットID],"="),
_xlpm.搬入計-_xlpm.未割当発送-_xlpm.未割当倉庫戻し-_xlpm.未割当不良))</f>
        <v/>
      </c>
      <c r="O18" s="8" t="str">
        <f t="array" ref="O18">IF($A18="","",_xlfn.LET(
_xlpm.同品番,($B$2:$B$301=$B18),
_xlpm.週が前,($C$2:$C$301&lt;$C18),
_xlpm.同週で上行,($C$2:$C$301=$C18)*(ROW($C$2:$C$301)&lt;ROW()),
SUMPRODUCT(_xlpm.同品番*(_xlpm.週が前+_xlpm.同週で上行)*$M$2:$M$301)))</f>
        <v/>
      </c>
    </row>
    <row r="19" spans="1:15" ht="15" customHeight="1" x14ac:dyDescent="0.25">
      <c r="A19" s="4" t="str">
        <f>IFERROR(INDEX(tbl_plan[ロットID],ROW()-1),"")</f>
        <v/>
      </c>
      <c r="B19" s="4" t="str">
        <f>IF($A19="","",INDEX(tbl_plan[localId],ROW()-1))</f>
        <v/>
      </c>
      <c r="C19" s="11" t="str">
        <f>IF($A19="","",INDEX(tbl_plan[出荷週],ROW()-1))</f>
        <v/>
      </c>
      <c r="D19" s="4" t="str">
        <f>IF($A19="","",INDEX(tbl_plan[納期先],ROW()-1)&amp;"")</f>
        <v/>
      </c>
      <c r="E19" s="8" t="str">
        <f>IF($A19="","",INDEX(tbl_plan[必要数],ROW()-1))</f>
        <v/>
      </c>
      <c r="F19" s="8" t="str">
        <f t="shared" si="0"/>
        <v/>
      </c>
      <c r="G19" s="8" t="str">
        <f>IF($A19="","",SUMIFS(tbl_ledger[数量],tbl_ledger[ロットID],$A19,tbl_ledger[イベント種類],"発送"))</f>
        <v/>
      </c>
      <c r="H19" s="8" t="str">
        <f>IF($A19="","",_xlfn.LET(
_xlpm.割当,F19,
_xlpm.充当受入,SUMIFS(tbl_ledger[数量],tbl_ledger[充当先ロットID],$A19,tbl_ledger[イベント種類],"充当"),
_xlpm.充当放出,SUMIFS(tbl_ledger[数量],tbl_ledger[ロットID],$A19,tbl_ledger[イベント種類],"充当"),
_xlpm.発送済,G19,
_xlpm.倉庫戻し,SUMIFS(tbl_ledger[数量],tbl_ledger[ロットID],$A19,tbl_ledger[イベント種類],"倉庫戻し"),
_xlpm.余剰化,SUMIFS(tbl_ledger[数量],tbl_ledger[ロットID],$A19,tbl_ledger[イベント種類],"余剰化"),
_xlpm.不良,SUMIFS(tbl_ledger[数量],tbl_ledger[ロットID],$A19,tbl_ledger[イベント種類],"不良発生"),
_xlpm.割当+_xlpm.充当受入-_xlpm.充当放出-_xlpm.発送済-_xlpm.倉庫戻し-_xlpm.余剰化-_xlpm.不良))</f>
        <v/>
      </c>
      <c r="I19" s="8" t="str">
        <f>IF($A19="","",_xlfn.LET(
_xlpm.品番プール,N19,
_xlpm.割当計,SUMIF($B$2:$B$301,$B19,$F$2:$F$301),
_xlpm.余剰化受入,SUMIFS(tbl_ledger[数量],tbl_ledger[localId],$B19,tbl_ledger[イベント種類],"余剰化"),
_xlpm.充当払出,SUMIFS(tbl_ledger[数量],tbl_ledger[localId],$B19,tbl_ledger[イベント種類],"充当",tbl_ledger[ロットID],"="),
_xlpm.品番プール-_xlpm.割当計+_xlpm.余剰化受入-_xlpm.充当払出))</f>
        <v/>
      </c>
      <c r="J19" s="8" t="str">
        <f t="shared" si="1"/>
        <v/>
      </c>
      <c r="K19" s="8" t="str">
        <f t="shared" si="2"/>
        <v/>
      </c>
      <c r="L19" s="4" t="str">
        <f>IF($A19="","",IF(INDEX(tbl_plan[計画状態],ROW()-1)="キャンセル","キャンセル",IF(J19=0,"発送済",IF(K19&gt;0,"要搬出","OK"))))</f>
        <v/>
      </c>
      <c r="M19" s="8">
        <f t="array" ref="M19">_xlfn.LET(
_xlpm.計画状態,IFERROR(INDEX(tbl_plan[計画状態],ROW()-1)&amp;"",""),
_xlpm.必要数,IFERROR(N(INDEX(tbl_plan[必要数],ROW()-1)),0),
IF(_xlpm.計画状態="キャンセル",0,_xlpm.必要数))</f>
        <v>0</v>
      </c>
      <c r="N19" s="8" t="str">
        <f>IF($A19="","",_xlfn.LET(
_xlpm.搬入計,SUMIFS(tbl_ledger[数量],tbl_ledger[localId],$B19,tbl_ledger[イベント種類],"搬入"),
_xlpm.未割当発送,SUMIFS(tbl_ledger[数量],tbl_ledger[localId],$B19,tbl_ledger[イベント種類],"発送",tbl_ledger[ロットID],"="),
_xlpm.未割当倉庫戻し,SUMIFS(tbl_ledger[数量],tbl_ledger[localId],$B19,tbl_ledger[イベント種類],"倉庫戻し",tbl_ledger[ロットID],"="),
_xlpm.未割当不良,SUMIFS(tbl_ledger[数量],tbl_ledger[localId],$B19,tbl_ledger[イベント種類],"不良発生",tbl_ledger[ロットID],"="),
_xlpm.搬入計-_xlpm.未割当発送-_xlpm.未割当倉庫戻し-_xlpm.未割当不良))</f>
        <v/>
      </c>
      <c r="O19" s="8" t="str">
        <f t="array" ref="O19">IF($A19="","",_xlfn.LET(
_xlpm.同品番,($B$2:$B$301=$B19),
_xlpm.週が前,($C$2:$C$301&lt;$C19),
_xlpm.同週で上行,($C$2:$C$301=$C19)*(ROW($C$2:$C$301)&lt;ROW()),
SUMPRODUCT(_xlpm.同品番*(_xlpm.週が前+_xlpm.同週で上行)*$M$2:$M$301)))</f>
        <v/>
      </c>
    </row>
    <row r="20" spans="1:15" ht="15" customHeight="1" x14ac:dyDescent="0.25">
      <c r="A20" s="4" t="str">
        <f>IFERROR(INDEX(tbl_plan[ロットID],ROW()-1),"")</f>
        <v/>
      </c>
      <c r="B20" s="4" t="str">
        <f>IF($A20="","",INDEX(tbl_plan[localId],ROW()-1))</f>
        <v/>
      </c>
      <c r="C20" s="11" t="str">
        <f>IF($A20="","",INDEX(tbl_plan[出荷週],ROW()-1))</f>
        <v/>
      </c>
      <c r="D20" s="4" t="str">
        <f>IF($A20="","",INDEX(tbl_plan[納期先],ROW()-1)&amp;"")</f>
        <v/>
      </c>
      <c r="E20" s="8" t="str">
        <f>IF($A20="","",INDEX(tbl_plan[必要数],ROW()-1))</f>
        <v/>
      </c>
      <c r="F20" s="8" t="str">
        <f t="shared" si="0"/>
        <v/>
      </c>
      <c r="G20" s="8" t="str">
        <f>IF($A20="","",SUMIFS(tbl_ledger[数量],tbl_ledger[ロットID],$A20,tbl_ledger[イベント種類],"発送"))</f>
        <v/>
      </c>
      <c r="H20" s="8" t="str">
        <f>IF($A20="","",_xlfn.LET(
_xlpm.割当,F20,
_xlpm.充当受入,SUMIFS(tbl_ledger[数量],tbl_ledger[充当先ロットID],$A20,tbl_ledger[イベント種類],"充当"),
_xlpm.充当放出,SUMIFS(tbl_ledger[数量],tbl_ledger[ロットID],$A20,tbl_ledger[イベント種類],"充当"),
_xlpm.発送済,G20,
_xlpm.倉庫戻し,SUMIFS(tbl_ledger[数量],tbl_ledger[ロットID],$A20,tbl_ledger[イベント種類],"倉庫戻し"),
_xlpm.余剰化,SUMIFS(tbl_ledger[数量],tbl_ledger[ロットID],$A20,tbl_ledger[イベント種類],"余剰化"),
_xlpm.不良,SUMIFS(tbl_ledger[数量],tbl_ledger[ロットID],$A20,tbl_ledger[イベント種類],"不良発生"),
_xlpm.割当+_xlpm.充当受入-_xlpm.充当放出-_xlpm.発送済-_xlpm.倉庫戻し-_xlpm.余剰化-_xlpm.不良))</f>
        <v/>
      </c>
      <c r="I20" s="8" t="str">
        <f>IF($A20="","",_xlfn.LET(
_xlpm.品番プール,N20,
_xlpm.割当計,SUMIF($B$2:$B$301,$B20,$F$2:$F$301),
_xlpm.余剰化受入,SUMIFS(tbl_ledger[数量],tbl_ledger[localId],$B20,tbl_ledger[イベント種類],"余剰化"),
_xlpm.充当払出,SUMIFS(tbl_ledger[数量],tbl_ledger[localId],$B20,tbl_ledger[イベント種類],"充当",tbl_ledger[ロットID],"="),
_xlpm.品番プール-_xlpm.割当計+_xlpm.余剰化受入-_xlpm.充当払出))</f>
        <v/>
      </c>
      <c r="J20" s="8" t="str">
        <f t="shared" si="1"/>
        <v/>
      </c>
      <c r="K20" s="8" t="str">
        <f t="shared" si="2"/>
        <v/>
      </c>
      <c r="L20" s="4" t="str">
        <f>IF($A20="","",IF(INDEX(tbl_plan[計画状態],ROW()-1)="キャンセル","キャンセル",IF(J20=0,"発送済",IF(K20&gt;0,"要搬出","OK"))))</f>
        <v/>
      </c>
      <c r="M20" s="8">
        <f t="array" ref="M20">_xlfn.LET(
_xlpm.計画状態,IFERROR(INDEX(tbl_plan[計画状態],ROW()-1)&amp;"",""),
_xlpm.必要数,IFERROR(N(INDEX(tbl_plan[必要数],ROW()-1)),0),
IF(_xlpm.計画状態="キャンセル",0,_xlpm.必要数))</f>
        <v>0</v>
      </c>
      <c r="N20" s="8" t="str">
        <f>IF($A20="","",_xlfn.LET(
_xlpm.搬入計,SUMIFS(tbl_ledger[数量],tbl_ledger[localId],$B20,tbl_ledger[イベント種類],"搬入"),
_xlpm.未割当発送,SUMIFS(tbl_ledger[数量],tbl_ledger[localId],$B20,tbl_ledger[イベント種類],"発送",tbl_ledger[ロットID],"="),
_xlpm.未割当倉庫戻し,SUMIFS(tbl_ledger[数量],tbl_ledger[localId],$B20,tbl_ledger[イベント種類],"倉庫戻し",tbl_ledger[ロットID],"="),
_xlpm.未割当不良,SUMIFS(tbl_ledger[数量],tbl_ledger[localId],$B20,tbl_ledger[イベント種類],"不良発生",tbl_ledger[ロットID],"="),
_xlpm.搬入計-_xlpm.未割当発送-_xlpm.未割当倉庫戻し-_xlpm.未割当不良))</f>
        <v/>
      </c>
      <c r="O20" s="8" t="str">
        <f t="array" ref="O20">IF($A20="","",_xlfn.LET(
_xlpm.同品番,($B$2:$B$301=$B20),
_xlpm.週が前,($C$2:$C$301&lt;$C20),
_xlpm.同週で上行,($C$2:$C$301=$C20)*(ROW($C$2:$C$301)&lt;ROW()),
SUMPRODUCT(_xlpm.同品番*(_xlpm.週が前+_xlpm.同週で上行)*$M$2:$M$301)))</f>
        <v/>
      </c>
    </row>
    <row r="21" spans="1:15" ht="15" customHeight="1" x14ac:dyDescent="0.25">
      <c r="A21" s="4" t="str">
        <f>IFERROR(INDEX(tbl_plan[ロットID],ROW()-1),"")</f>
        <v/>
      </c>
      <c r="B21" s="4" t="str">
        <f>IF($A21="","",INDEX(tbl_plan[localId],ROW()-1))</f>
        <v/>
      </c>
      <c r="C21" s="11" t="str">
        <f>IF($A21="","",INDEX(tbl_plan[出荷週],ROW()-1))</f>
        <v/>
      </c>
      <c r="D21" s="4" t="str">
        <f>IF($A21="","",INDEX(tbl_plan[納期先],ROW()-1)&amp;"")</f>
        <v/>
      </c>
      <c r="E21" s="8" t="str">
        <f>IF($A21="","",INDEX(tbl_plan[必要数],ROW()-1))</f>
        <v/>
      </c>
      <c r="F21" s="8" t="str">
        <f t="shared" si="0"/>
        <v/>
      </c>
      <c r="G21" s="8" t="str">
        <f>IF($A21="","",SUMIFS(tbl_ledger[数量],tbl_ledger[ロットID],$A21,tbl_ledger[イベント種類],"発送"))</f>
        <v/>
      </c>
      <c r="H21" s="8" t="str">
        <f>IF($A21="","",_xlfn.LET(
_xlpm.割当,F21,
_xlpm.充当受入,SUMIFS(tbl_ledger[数量],tbl_ledger[充当先ロットID],$A21,tbl_ledger[イベント種類],"充当"),
_xlpm.充当放出,SUMIFS(tbl_ledger[数量],tbl_ledger[ロットID],$A21,tbl_ledger[イベント種類],"充当"),
_xlpm.発送済,G21,
_xlpm.倉庫戻し,SUMIFS(tbl_ledger[数量],tbl_ledger[ロットID],$A21,tbl_ledger[イベント種類],"倉庫戻し"),
_xlpm.余剰化,SUMIFS(tbl_ledger[数量],tbl_ledger[ロットID],$A21,tbl_ledger[イベント種類],"余剰化"),
_xlpm.不良,SUMIFS(tbl_ledger[数量],tbl_ledger[ロットID],$A21,tbl_ledger[イベント種類],"不良発生"),
_xlpm.割当+_xlpm.充当受入-_xlpm.充当放出-_xlpm.発送済-_xlpm.倉庫戻し-_xlpm.余剰化-_xlpm.不良))</f>
        <v/>
      </c>
      <c r="I21" s="8" t="str">
        <f>IF($A21="","",_xlfn.LET(
_xlpm.品番プール,N21,
_xlpm.割当計,SUMIF($B$2:$B$301,$B21,$F$2:$F$301),
_xlpm.余剰化受入,SUMIFS(tbl_ledger[数量],tbl_ledger[localId],$B21,tbl_ledger[イベント種類],"余剰化"),
_xlpm.充当払出,SUMIFS(tbl_ledger[数量],tbl_ledger[localId],$B21,tbl_ledger[イベント種類],"充当",tbl_ledger[ロットID],"="),
_xlpm.品番プール-_xlpm.割当計+_xlpm.余剰化受入-_xlpm.充当払出))</f>
        <v/>
      </c>
      <c r="J21" s="8" t="str">
        <f t="shared" si="1"/>
        <v/>
      </c>
      <c r="K21" s="8" t="str">
        <f t="shared" si="2"/>
        <v/>
      </c>
      <c r="L21" s="4" t="str">
        <f>IF($A21="","",IF(INDEX(tbl_plan[計画状態],ROW()-1)="キャンセル","キャンセル",IF(J21=0,"発送済",IF(K21&gt;0,"要搬出","OK"))))</f>
        <v/>
      </c>
      <c r="M21" s="8">
        <f t="array" ref="M21">_xlfn.LET(
_xlpm.計画状態,IFERROR(INDEX(tbl_plan[計画状態],ROW()-1)&amp;"",""),
_xlpm.必要数,IFERROR(N(INDEX(tbl_plan[必要数],ROW()-1)),0),
IF(_xlpm.計画状態="キャンセル",0,_xlpm.必要数))</f>
        <v>0</v>
      </c>
      <c r="N21" s="8" t="str">
        <f>IF($A21="","",_xlfn.LET(
_xlpm.搬入計,SUMIFS(tbl_ledger[数量],tbl_ledger[localId],$B21,tbl_ledger[イベント種類],"搬入"),
_xlpm.未割当発送,SUMIFS(tbl_ledger[数量],tbl_ledger[localId],$B21,tbl_ledger[イベント種類],"発送",tbl_ledger[ロットID],"="),
_xlpm.未割当倉庫戻し,SUMIFS(tbl_ledger[数量],tbl_ledger[localId],$B21,tbl_ledger[イベント種類],"倉庫戻し",tbl_ledger[ロットID],"="),
_xlpm.未割当不良,SUMIFS(tbl_ledger[数量],tbl_ledger[localId],$B21,tbl_ledger[イベント種類],"不良発生",tbl_ledger[ロットID],"="),
_xlpm.搬入計-_xlpm.未割当発送-_xlpm.未割当倉庫戻し-_xlpm.未割当不良))</f>
        <v/>
      </c>
      <c r="O21" s="8" t="str">
        <f t="array" ref="O21">IF($A21="","",_xlfn.LET(
_xlpm.同品番,($B$2:$B$301=$B21),
_xlpm.週が前,($C$2:$C$301&lt;$C21),
_xlpm.同週で上行,($C$2:$C$301=$C21)*(ROW($C$2:$C$301)&lt;ROW()),
SUMPRODUCT(_xlpm.同品番*(_xlpm.週が前+_xlpm.同週で上行)*$M$2:$M$301)))</f>
        <v/>
      </c>
    </row>
    <row r="22" spans="1:15" ht="15" customHeight="1" x14ac:dyDescent="0.25">
      <c r="A22" s="4" t="str">
        <f>IFERROR(INDEX(tbl_plan[ロットID],ROW()-1),"")</f>
        <v/>
      </c>
      <c r="B22" s="4" t="str">
        <f>IF($A22="","",INDEX(tbl_plan[localId],ROW()-1))</f>
        <v/>
      </c>
      <c r="C22" s="11" t="str">
        <f>IF($A22="","",INDEX(tbl_plan[出荷週],ROW()-1))</f>
        <v/>
      </c>
      <c r="D22" s="4" t="str">
        <f>IF($A22="","",INDEX(tbl_plan[納期先],ROW()-1)&amp;"")</f>
        <v/>
      </c>
      <c r="E22" s="8" t="str">
        <f>IF($A22="","",INDEX(tbl_plan[必要数],ROW()-1))</f>
        <v/>
      </c>
      <c r="F22" s="8" t="str">
        <f t="shared" si="0"/>
        <v/>
      </c>
      <c r="G22" s="8" t="str">
        <f>IF($A22="","",SUMIFS(tbl_ledger[数量],tbl_ledger[ロットID],$A22,tbl_ledger[イベント種類],"発送"))</f>
        <v/>
      </c>
      <c r="H22" s="8" t="str">
        <f>IF($A22="","",_xlfn.LET(
_xlpm.割当,F22,
_xlpm.充当受入,SUMIFS(tbl_ledger[数量],tbl_ledger[充当先ロットID],$A22,tbl_ledger[イベント種類],"充当"),
_xlpm.充当放出,SUMIFS(tbl_ledger[数量],tbl_ledger[ロットID],$A22,tbl_ledger[イベント種類],"充当"),
_xlpm.発送済,G22,
_xlpm.倉庫戻し,SUMIFS(tbl_ledger[数量],tbl_ledger[ロットID],$A22,tbl_ledger[イベント種類],"倉庫戻し"),
_xlpm.余剰化,SUMIFS(tbl_ledger[数量],tbl_ledger[ロットID],$A22,tbl_ledger[イベント種類],"余剰化"),
_xlpm.不良,SUMIFS(tbl_ledger[数量],tbl_ledger[ロットID],$A22,tbl_ledger[イベント種類],"不良発生"),
_xlpm.割当+_xlpm.充当受入-_xlpm.充当放出-_xlpm.発送済-_xlpm.倉庫戻し-_xlpm.余剰化-_xlpm.不良))</f>
        <v/>
      </c>
      <c r="I22" s="8" t="str">
        <f>IF($A22="","",_xlfn.LET(
_xlpm.品番プール,N22,
_xlpm.割当計,SUMIF($B$2:$B$301,$B22,$F$2:$F$301),
_xlpm.余剰化受入,SUMIFS(tbl_ledger[数量],tbl_ledger[localId],$B22,tbl_ledger[イベント種類],"余剰化"),
_xlpm.充当払出,SUMIFS(tbl_ledger[数量],tbl_ledger[localId],$B22,tbl_ledger[イベント種類],"充当",tbl_ledger[ロットID],"="),
_xlpm.品番プール-_xlpm.割当計+_xlpm.余剰化受入-_xlpm.充当払出))</f>
        <v/>
      </c>
      <c r="J22" s="8" t="str">
        <f t="shared" si="1"/>
        <v/>
      </c>
      <c r="K22" s="8" t="str">
        <f t="shared" si="2"/>
        <v/>
      </c>
      <c r="L22" s="4" t="str">
        <f>IF($A22="","",IF(INDEX(tbl_plan[計画状態],ROW()-1)="キャンセル","キャンセル",IF(J22=0,"発送済",IF(K22&gt;0,"要搬出","OK"))))</f>
        <v/>
      </c>
      <c r="M22" s="8">
        <f t="array" ref="M22">_xlfn.LET(
_xlpm.計画状態,IFERROR(INDEX(tbl_plan[計画状態],ROW()-1)&amp;"",""),
_xlpm.必要数,IFERROR(N(INDEX(tbl_plan[必要数],ROW()-1)),0),
IF(_xlpm.計画状態="キャンセル",0,_xlpm.必要数))</f>
        <v>0</v>
      </c>
      <c r="N22" s="8" t="str">
        <f>IF($A22="","",_xlfn.LET(
_xlpm.搬入計,SUMIFS(tbl_ledger[数量],tbl_ledger[localId],$B22,tbl_ledger[イベント種類],"搬入"),
_xlpm.未割当発送,SUMIFS(tbl_ledger[数量],tbl_ledger[localId],$B22,tbl_ledger[イベント種類],"発送",tbl_ledger[ロットID],"="),
_xlpm.未割当倉庫戻し,SUMIFS(tbl_ledger[数量],tbl_ledger[localId],$B22,tbl_ledger[イベント種類],"倉庫戻し",tbl_ledger[ロットID],"="),
_xlpm.未割当不良,SUMIFS(tbl_ledger[数量],tbl_ledger[localId],$B22,tbl_ledger[イベント種類],"不良発生",tbl_ledger[ロットID],"="),
_xlpm.搬入計-_xlpm.未割当発送-_xlpm.未割当倉庫戻し-_xlpm.未割当不良))</f>
        <v/>
      </c>
      <c r="O22" s="8" t="str">
        <f t="array" ref="O22">IF($A22="","",_xlfn.LET(
_xlpm.同品番,($B$2:$B$301=$B22),
_xlpm.週が前,($C$2:$C$301&lt;$C22),
_xlpm.同週で上行,($C$2:$C$301=$C22)*(ROW($C$2:$C$301)&lt;ROW()),
SUMPRODUCT(_xlpm.同品番*(_xlpm.週が前+_xlpm.同週で上行)*$M$2:$M$301)))</f>
        <v/>
      </c>
    </row>
    <row r="23" spans="1:15" ht="15" customHeight="1" x14ac:dyDescent="0.25">
      <c r="A23" s="4" t="str">
        <f>IFERROR(INDEX(tbl_plan[ロットID],ROW()-1),"")</f>
        <v/>
      </c>
      <c r="B23" s="4" t="str">
        <f>IF($A23="","",INDEX(tbl_plan[localId],ROW()-1))</f>
        <v/>
      </c>
      <c r="C23" s="11" t="str">
        <f>IF($A23="","",INDEX(tbl_plan[出荷週],ROW()-1))</f>
        <v/>
      </c>
      <c r="D23" s="4" t="str">
        <f>IF($A23="","",INDEX(tbl_plan[納期先],ROW()-1)&amp;"")</f>
        <v/>
      </c>
      <c r="E23" s="8" t="str">
        <f>IF($A23="","",INDEX(tbl_plan[必要数],ROW()-1))</f>
        <v/>
      </c>
      <c r="F23" s="8" t="str">
        <f t="shared" si="0"/>
        <v/>
      </c>
      <c r="G23" s="8" t="str">
        <f>IF($A23="","",SUMIFS(tbl_ledger[数量],tbl_ledger[ロットID],$A23,tbl_ledger[イベント種類],"発送"))</f>
        <v/>
      </c>
      <c r="H23" s="8" t="str">
        <f>IF($A23="","",_xlfn.LET(
_xlpm.割当,F23,
_xlpm.充当受入,SUMIFS(tbl_ledger[数量],tbl_ledger[充当先ロットID],$A23,tbl_ledger[イベント種類],"充当"),
_xlpm.充当放出,SUMIFS(tbl_ledger[数量],tbl_ledger[ロットID],$A23,tbl_ledger[イベント種類],"充当"),
_xlpm.発送済,G23,
_xlpm.倉庫戻し,SUMIFS(tbl_ledger[数量],tbl_ledger[ロットID],$A23,tbl_ledger[イベント種類],"倉庫戻し"),
_xlpm.余剰化,SUMIFS(tbl_ledger[数量],tbl_ledger[ロットID],$A23,tbl_ledger[イベント種類],"余剰化"),
_xlpm.不良,SUMIFS(tbl_ledger[数量],tbl_ledger[ロットID],$A23,tbl_ledger[イベント種類],"不良発生"),
_xlpm.割当+_xlpm.充当受入-_xlpm.充当放出-_xlpm.発送済-_xlpm.倉庫戻し-_xlpm.余剰化-_xlpm.不良))</f>
        <v/>
      </c>
      <c r="I23" s="8" t="str">
        <f>IF($A23="","",_xlfn.LET(
_xlpm.品番プール,N23,
_xlpm.割当計,SUMIF($B$2:$B$301,$B23,$F$2:$F$301),
_xlpm.余剰化受入,SUMIFS(tbl_ledger[数量],tbl_ledger[localId],$B23,tbl_ledger[イベント種類],"余剰化"),
_xlpm.充当払出,SUMIFS(tbl_ledger[数量],tbl_ledger[localId],$B23,tbl_ledger[イベント種類],"充当",tbl_ledger[ロットID],"="),
_xlpm.品番プール-_xlpm.割当計+_xlpm.余剰化受入-_xlpm.充当払出))</f>
        <v/>
      </c>
      <c r="J23" s="8" t="str">
        <f t="shared" si="1"/>
        <v/>
      </c>
      <c r="K23" s="8" t="str">
        <f t="shared" si="2"/>
        <v/>
      </c>
      <c r="L23" s="4" t="str">
        <f>IF($A23="","",IF(INDEX(tbl_plan[計画状態],ROW()-1)="キャンセル","キャンセル",IF(J23=0,"発送済",IF(K23&gt;0,"要搬出","OK"))))</f>
        <v/>
      </c>
      <c r="M23" s="8">
        <f t="array" ref="M23">_xlfn.LET(
_xlpm.計画状態,IFERROR(INDEX(tbl_plan[計画状態],ROW()-1)&amp;"",""),
_xlpm.必要数,IFERROR(N(INDEX(tbl_plan[必要数],ROW()-1)),0),
IF(_xlpm.計画状態="キャンセル",0,_xlpm.必要数))</f>
        <v>0</v>
      </c>
      <c r="N23" s="8" t="str">
        <f>IF($A23="","",_xlfn.LET(
_xlpm.搬入計,SUMIFS(tbl_ledger[数量],tbl_ledger[localId],$B23,tbl_ledger[イベント種類],"搬入"),
_xlpm.未割当発送,SUMIFS(tbl_ledger[数量],tbl_ledger[localId],$B23,tbl_ledger[イベント種類],"発送",tbl_ledger[ロットID],"="),
_xlpm.未割当倉庫戻し,SUMIFS(tbl_ledger[数量],tbl_ledger[localId],$B23,tbl_ledger[イベント種類],"倉庫戻し",tbl_ledger[ロットID],"="),
_xlpm.未割当不良,SUMIFS(tbl_ledger[数量],tbl_ledger[localId],$B23,tbl_ledger[イベント種類],"不良発生",tbl_ledger[ロットID],"="),
_xlpm.搬入計-_xlpm.未割当発送-_xlpm.未割当倉庫戻し-_xlpm.未割当不良))</f>
        <v/>
      </c>
      <c r="O23" s="8" t="str">
        <f t="array" ref="O23">IF($A23="","",_xlfn.LET(
_xlpm.同品番,($B$2:$B$301=$B23),
_xlpm.週が前,($C$2:$C$301&lt;$C23),
_xlpm.同週で上行,($C$2:$C$301=$C23)*(ROW($C$2:$C$301)&lt;ROW()),
SUMPRODUCT(_xlpm.同品番*(_xlpm.週が前+_xlpm.同週で上行)*$M$2:$M$301)))</f>
        <v/>
      </c>
    </row>
    <row r="24" spans="1:15" ht="15" customHeight="1" x14ac:dyDescent="0.25">
      <c r="A24" s="4" t="str">
        <f>IFERROR(INDEX(tbl_plan[ロットID],ROW()-1),"")</f>
        <v/>
      </c>
      <c r="B24" s="4" t="str">
        <f>IF($A24="","",INDEX(tbl_plan[localId],ROW()-1))</f>
        <v/>
      </c>
      <c r="C24" s="11" t="str">
        <f>IF($A24="","",INDEX(tbl_plan[出荷週],ROW()-1))</f>
        <v/>
      </c>
      <c r="D24" s="4" t="str">
        <f>IF($A24="","",INDEX(tbl_plan[納期先],ROW()-1)&amp;"")</f>
        <v/>
      </c>
      <c r="E24" s="8" t="str">
        <f>IF($A24="","",INDEX(tbl_plan[必要数],ROW()-1))</f>
        <v/>
      </c>
      <c r="F24" s="8" t="str">
        <f t="shared" si="0"/>
        <v/>
      </c>
      <c r="G24" s="8" t="str">
        <f>IF($A24="","",SUMIFS(tbl_ledger[数量],tbl_ledger[ロットID],$A24,tbl_ledger[イベント種類],"発送"))</f>
        <v/>
      </c>
      <c r="H24" s="8" t="str">
        <f>IF($A24="","",_xlfn.LET(
_xlpm.割当,F24,
_xlpm.充当受入,SUMIFS(tbl_ledger[数量],tbl_ledger[充当先ロットID],$A24,tbl_ledger[イベント種類],"充当"),
_xlpm.充当放出,SUMIFS(tbl_ledger[数量],tbl_ledger[ロットID],$A24,tbl_ledger[イベント種類],"充当"),
_xlpm.発送済,G24,
_xlpm.倉庫戻し,SUMIFS(tbl_ledger[数量],tbl_ledger[ロットID],$A24,tbl_ledger[イベント種類],"倉庫戻し"),
_xlpm.余剰化,SUMIFS(tbl_ledger[数量],tbl_ledger[ロットID],$A24,tbl_ledger[イベント種類],"余剰化"),
_xlpm.不良,SUMIFS(tbl_ledger[数量],tbl_ledger[ロットID],$A24,tbl_ledger[イベント種類],"不良発生"),
_xlpm.割当+_xlpm.充当受入-_xlpm.充当放出-_xlpm.発送済-_xlpm.倉庫戻し-_xlpm.余剰化-_xlpm.不良))</f>
        <v/>
      </c>
      <c r="I24" s="8" t="str">
        <f>IF($A24="","",_xlfn.LET(
_xlpm.品番プール,N24,
_xlpm.割当計,SUMIF($B$2:$B$301,$B24,$F$2:$F$301),
_xlpm.余剰化受入,SUMIFS(tbl_ledger[数量],tbl_ledger[localId],$B24,tbl_ledger[イベント種類],"余剰化"),
_xlpm.充当払出,SUMIFS(tbl_ledger[数量],tbl_ledger[localId],$B24,tbl_ledger[イベント種類],"充当",tbl_ledger[ロットID],"="),
_xlpm.品番プール-_xlpm.割当計+_xlpm.余剰化受入-_xlpm.充当払出))</f>
        <v/>
      </c>
      <c r="J24" s="8" t="str">
        <f t="shared" si="1"/>
        <v/>
      </c>
      <c r="K24" s="8" t="str">
        <f t="shared" si="2"/>
        <v/>
      </c>
      <c r="L24" s="4" t="str">
        <f>IF($A24="","",IF(INDEX(tbl_plan[計画状態],ROW()-1)="キャンセル","キャンセル",IF(J24=0,"発送済",IF(K24&gt;0,"要搬出","OK"))))</f>
        <v/>
      </c>
      <c r="M24" s="8">
        <f t="array" ref="M24">_xlfn.LET(
_xlpm.計画状態,IFERROR(INDEX(tbl_plan[計画状態],ROW()-1)&amp;"",""),
_xlpm.必要数,IFERROR(N(INDEX(tbl_plan[必要数],ROW()-1)),0),
IF(_xlpm.計画状態="キャンセル",0,_xlpm.必要数))</f>
        <v>0</v>
      </c>
      <c r="N24" s="8" t="str">
        <f>IF($A24="","",_xlfn.LET(
_xlpm.搬入計,SUMIFS(tbl_ledger[数量],tbl_ledger[localId],$B24,tbl_ledger[イベント種類],"搬入"),
_xlpm.未割当発送,SUMIFS(tbl_ledger[数量],tbl_ledger[localId],$B24,tbl_ledger[イベント種類],"発送",tbl_ledger[ロットID],"="),
_xlpm.未割当倉庫戻し,SUMIFS(tbl_ledger[数量],tbl_ledger[localId],$B24,tbl_ledger[イベント種類],"倉庫戻し",tbl_ledger[ロットID],"="),
_xlpm.未割当不良,SUMIFS(tbl_ledger[数量],tbl_ledger[localId],$B24,tbl_ledger[イベント種類],"不良発生",tbl_ledger[ロットID],"="),
_xlpm.搬入計-_xlpm.未割当発送-_xlpm.未割当倉庫戻し-_xlpm.未割当不良))</f>
        <v/>
      </c>
      <c r="O24" s="8" t="str">
        <f t="array" ref="O24">IF($A24="","",_xlfn.LET(
_xlpm.同品番,($B$2:$B$301=$B24),
_xlpm.週が前,($C$2:$C$301&lt;$C24),
_xlpm.同週で上行,($C$2:$C$301=$C24)*(ROW($C$2:$C$301)&lt;ROW()),
SUMPRODUCT(_xlpm.同品番*(_xlpm.週が前+_xlpm.同週で上行)*$M$2:$M$301)))</f>
        <v/>
      </c>
    </row>
    <row r="25" spans="1:15" ht="15" customHeight="1" x14ac:dyDescent="0.25">
      <c r="A25" s="4" t="str">
        <f>IFERROR(INDEX(tbl_plan[ロットID],ROW()-1),"")</f>
        <v/>
      </c>
      <c r="B25" s="4" t="str">
        <f>IF($A25="","",INDEX(tbl_plan[localId],ROW()-1))</f>
        <v/>
      </c>
      <c r="C25" s="11" t="str">
        <f>IF($A25="","",INDEX(tbl_plan[出荷週],ROW()-1))</f>
        <v/>
      </c>
      <c r="D25" s="4" t="str">
        <f>IF($A25="","",INDEX(tbl_plan[納期先],ROW()-1)&amp;"")</f>
        <v/>
      </c>
      <c r="E25" s="8" t="str">
        <f>IF($A25="","",INDEX(tbl_plan[必要数],ROW()-1))</f>
        <v/>
      </c>
      <c r="F25" s="8" t="str">
        <f t="shared" si="0"/>
        <v/>
      </c>
      <c r="G25" s="8" t="str">
        <f>IF($A25="","",SUMIFS(tbl_ledger[数量],tbl_ledger[ロットID],$A25,tbl_ledger[イベント種類],"発送"))</f>
        <v/>
      </c>
      <c r="H25" s="8" t="str">
        <f>IF($A25="","",_xlfn.LET(
_xlpm.割当,F25,
_xlpm.充当受入,SUMIFS(tbl_ledger[数量],tbl_ledger[充当先ロットID],$A25,tbl_ledger[イベント種類],"充当"),
_xlpm.充当放出,SUMIFS(tbl_ledger[数量],tbl_ledger[ロットID],$A25,tbl_ledger[イベント種類],"充当"),
_xlpm.発送済,G25,
_xlpm.倉庫戻し,SUMIFS(tbl_ledger[数量],tbl_ledger[ロットID],$A25,tbl_ledger[イベント種類],"倉庫戻し"),
_xlpm.余剰化,SUMIFS(tbl_ledger[数量],tbl_ledger[ロットID],$A25,tbl_ledger[イベント種類],"余剰化"),
_xlpm.不良,SUMIFS(tbl_ledger[数量],tbl_ledger[ロットID],$A25,tbl_ledger[イベント種類],"不良発生"),
_xlpm.割当+_xlpm.充当受入-_xlpm.充当放出-_xlpm.発送済-_xlpm.倉庫戻し-_xlpm.余剰化-_xlpm.不良))</f>
        <v/>
      </c>
      <c r="I25" s="8" t="str">
        <f>IF($A25="","",_xlfn.LET(
_xlpm.品番プール,N25,
_xlpm.割当計,SUMIF($B$2:$B$301,$B25,$F$2:$F$301),
_xlpm.余剰化受入,SUMIFS(tbl_ledger[数量],tbl_ledger[localId],$B25,tbl_ledger[イベント種類],"余剰化"),
_xlpm.充当払出,SUMIFS(tbl_ledger[数量],tbl_ledger[localId],$B25,tbl_ledger[イベント種類],"充当",tbl_ledger[ロットID],"="),
_xlpm.品番プール-_xlpm.割当計+_xlpm.余剰化受入-_xlpm.充当払出))</f>
        <v/>
      </c>
      <c r="J25" s="8" t="str">
        <f t="shared" si="1"/>
        <v/>
      </c>
      <c r="K25" s="8" t="str">
        <f t="shared" si="2"/>
        <v/>
      </c>
      <c r="L25" s="4" t="str">
        <f>IF($A25="","",IF(INDEX(tbl_plan[計画状態],ROW()-1)="キャンセル","キャンセル",IF(J25=0,"発送済",IF(K25&gt;0,"要搬出","OK"))))</f>
        <v/>
      </c>
      <c r="M25" s="8">
        <f t="array" ref="M25">_xlfn.LET(
_xlpm.計画状態,IFERROR(INDEX(tbl_plan[計画状態],ROW()-1)&amp;"",""),
_xlpm.必要数,IFERROR(N(INDEX(tbl_plan[必要数],ROW()-1)),0),
IF(_xlpm.計画状態="キャンセル",0,_xlpm.必要数))</f>
        <v>0</v>
      </c>
      <c r="N25" s="8" t="str">
        <f>IF($A25="","",_xlfn.LET(
_xlpm.搬入計,SUMIFS(tbl_ledger[数量],tbl_ledger[localId],$B25,tbl_ledger[イベント種類],"搬入"),
_xlpm.未割当発送,SUMIFS(tbl_ledger[数量],tbl_ledger[localId],$B25,tbl_ledger[イベント種類],"発送",tbl_ledger[ロットID],"="),
_xlpm.未割当倉庫戻し,SUMIFS(tbl_ledger[数量],tbl_ledger[localId],$B25,tbl_ledger[イベント種類],"倉庫戻し",tbl_ledger[ロットID],"="),
_xlpm.未割当不良,SUMIFS(tbl_ledger[数量],tbl_ledger[localId],$B25,tbl_ledger[イベント種類],"不良発生",tbl_ledger[ロットID],"="),
_xlpm.搬入計-_xlpm.未割当発送-_xlpm.未割当倉庫戻し-_xlpm.未割当不良))</f>
        <v/>
      </c>
      <c r="O25" s="8" t="str">
        <f t="array" ref="O25">IF($A25="","",_xlfn.LET(
_xlpm.同品番,($B$2:$B$301=$B25),
_xlpm.週が前,($C$2:$C$301&lt;$C25),
_xlpm.同週で上行,($C$2:$C$301=$C25)*(ROW($C$2:$C$301)&lt;ROW()),
SUMPRODUCT(_xlpm.同品番*(_xlpm.週が前+_xlpm.同週で上行)*$M$2:$M$301)))</f>
        <v/>
      </c>
    </row>
    <row r="26" spans="1:15" ht="15" customHeight="1" x14ac:dyDescent="0.25">
      <c r="A26" s="4" t="str">
        <f>IFERROR(INDEX(tbl_plan[ロットID],ROW()-1),"")</f>
        <v/>
      </c>
      <c r="B26" s="4" t="str">
        <f>IF($A26="","",INDEX(tbl_plan[localId],ROW()-1))</f>
        <v/>
      </c>
      <c r="C26" s="11" t="str">
        <f>IF($A26="","",INDEX(tbl_plan[出荷週],ROW()-1))</f>
        <v/>
      </c>
      <c r="D26" s="4" t="str">
        <f>IF($A26="","",INDEX(tbl_plan[納期先],ROW()-1)&amp;"")</f>
        <v/>
      </c>
      <c r="E26" s="8" t="str">
        <f>IF($A26="","",INDEX(tbl_plan[必要数],ROW()-1))</f>
        <v/>
      </c>
      <c r="F26" s="8" t="str">
        <f t="shared" si="0"/>
        <v/>
      </c>
      <c r="G26" s="8" t="str">
        <f>IF($A26="","",SUMIFS(tbl_ledger[数量],tbl_ledger[ロットID],$A26,tbl_ledger[イベント種類],"発送"))</f>
        <v/>
      </c>
      <c r="H26" s="8" t="str">
        <f>IF($A26="","",_xlfn.LET(
_xlpm.割当,F26,
_xlpm.充当受入,SUMIFS(tbl_ledger[数量],tbl_ledger[充当先ロットID],$A26,tbl_ledger[イベント種類],"充当"),
_xlpm.充当放出,SUMIFS(tbl_ledger[数量],tbl_ledger[ロットID],$A26,tbl_ledger[イベント種類],"充当"),
_xlpm.発送済,G26,
_xlpm.倉庫戻し,SUMIFS(tbl_ledger[数量],tbl_ledger[ロットID],$A26,tbl_ledger[イベント種類],"倉庫戻し"),
_xlpm.余剰化,SUMIFS(tbl_ledger[数量],tbl_ledger[ロットID],$A26,tbl_ledger[イベント種類],"余剰化"),
_xlpm.不良,SUMIFS(tbl_ledger[数量],tbl_ledger[ロットID],$A26,tbl_ledger[イベント種類],"不良発生"),
_xlpm.割当+_xlpm.充当受入-_xlpm.充当放出-_xlpm.発送済-_xlpm.倉庫戻し-_xlpm.余剰化-_xlpm.不良))</f>
        <v/>
      </c>
      <c r="I26" s="8" t="str">
        <f>IF($A26="","",_xlfn.LET(
_xlpm.品番プール,N26,
_xlpm.割当計,SUMIF($B$2:$B$301,$B26,$F$2:$F$301),
_xlpm.余剰化受入,SUMIFS(tbl_ledger[数量],tbl_ledger[localId],$B26,tbl_ledger[イベント種類],"余剰化"),
_xlpm.充当払出,SUMIFS(tbl_ledger[数量],tbl_ledger[localId],$B26,tbl_ledger[イベント種類],"充当",tbl_ledger[ロットID],"="),
_xlpm.品番プール-_xlpm.割当計+_xlpm.余剰化受入-_xlpm.充当払出))</f>
        <v/>
      </c>
      <c r="J26" s="8" t="str">
        <f t="shared" si="1"/>
        <v/>
      </c>
      <c r="K26" s="8" t="str">
        <f t="shared" si="2"/>
        <v/>
      </c>
      <c r="L26" s="4" t="str">
        <f>IF($A26="","",IF(INDEX(tbl_plan[計画状態],ROW()-1)="キャンセル","キャンセル",IF(J26=0,"発送済",IF(K26&gt;0,"要搬出","OK"))))</f>
        <v/>
      </c>
      <c r="M26" s="8">
        <f t="array" ref="M26">_xlfn.LET(
_xlpm.計画状態,IFERROR(INDEX(tbl_plan[計画状態],ROW()-1)&amp;"",""),
_xlpm.必要数,IFERROR(N(INDEX(tbl_plan[必要数],ROW()-1)),0),
IF(_xlpm.計画状態="キャンセル",0,_xlpm.必要数))</f>
        <v>0</v>
      </c>
      <c r="N26" s="8" t="str">
        <f>IF($A26="","",_xlfn.LET(
_xlpm.搬入計,SUMIFS(tbl_ledger[数量],tbl_ledger[localId],$B26,tbl_ledger[イベント種類],"搬入"),
_xlpm.未割当発送,SUMIFS(tbl_ledger[数量],tbl_ledger[localId],$B26,tbl_ledger[イベント種類],"発送",tbl_ledger[ロットID],"="),
_xlpm.未割当倉庫戻し,SUMIFS(tbl_ledger[数量],tbl_ledger[localId],$B26,tbl_ledger[イベント種類],"倉庫戻し",tbl_ledger[ロットID],"="),
_xlpm.未割当不良,SUMIFS(tbl_ledger[数量],tbl_ledger[localId],$B26,tbl_ledger[イベント種類],"不良発生",tbl_ledger[ロットID],"="),
_xlpm.搬入計-_xlpm.未割当発送-_xlpm.未割当倉庫戻し-_xlpm.未割当不良))</f>
        <v/>
      </c>
      <c r="O26" s="8" t="str">
        <f t="array" ref="O26">IF($A26="","",_xlfn.LET(
_xlpm.同品番,($B$2:$B$301=$B26),
_xlpm.週が前,($C$2:$C$301&lt;$C26),
_xlpm.同週で上行,($C$2:$C$301=$C26)*(ROW($C$2:$C$301)&lt;ROW()),
SUMPRODUCT(_xlpm.同品番*(_xlpm.週が前+_xlpm.同週で上行)*$M$2:$M$301)))</f>
        <v/>
      </c>
    </row>
    <row r="27" spans="1:15" ht="15" customHeight="1" x14ac:dyDescent="0.25">
      <c r="A27" s="4" t="str">
        <f>IFERROR(INDEX(tbl_plan[ロットID],ROW()-1),"")</f>
        <v/>
      </c>
      <c r="B27" s="4" t="str">
        <f>IF($A27="","",INDEX(tbl_plan[localId],ROW()-1))</f>
        <v/>
      </c>
      <c r="C27" s="11" t="str">
        <f>IF($A27="","",INDEX(tbl_plan[出荷週],ROW()-1))</f>
        <v/>
      </c>
      <c r="D27" s="4" t="str">
        <f>IF($A27="","",INDEX(tbl_plan[納期先],ROW()-1)&amp;"")</f>
        <v/>
      </c>
      <c r="E27" s="8" t="str">
        <f>IF($A27="","",INDEX(tbl_plan[必要数],ROW()-1))</f>
        <v/>
      </c>
      <c r="F27" s="8" t="str">
        <f t="shared" si="0"/>
        <v/>
      </c>
      <c r="G27" s="8" t="str">
        <f>IF($A27="","",SUMIFS(tbl_ledger[数量],tbl_ledger[ロットID],$A27,tbl_ledger[イベント種類],"発送"))</f>
        <v/>
      </c>
      <c r="H27" s="8" t="str">
        <f>IF($A27="","",_xlfn.LET(
_xlpm.割当,F27,
_xlpm.充当受入,SUMIFS(tbl_ledger[数量],tbl_ledger[充当先ロットID],$A27,tbl_ledger[イベント種類],"充当"),
_xlpm.充当放出,SUMIFS(tbl_ledger[数量],tbl_ledger[ロットID],$A27,tbl_ledger[イベント種類],"充当"),
_xlpm.発送済,G27,
_xlpm.倉庫戻し,SUMIFS(tbl_ledger[数量],tbl_ledger[ロットID],$A27,tbl_ledger[イベント種類],"倉庫戻し"),
_xlpm.余剰化,SUMIFS(tbl_ledger[数量],tbl_ledger[ロットID],$A27,tbl_ledger[イベント種類],"余剰化"),
_xlpm.不良,SUMIFS(tbl_ledger[数量],tbl_ledger[ロットID],$A27,tbl_ledger[イベント種類],"不良発生"),
_xlpm.割当+_xlpm.充当受入-_xlpm.充当放出-_xlpm.発送済-_xlpm.倉庫戻し-_xlpm.余剰化-_xlpm.不良))</f>
        <v/>
      </c>
      <c r="I27" s="8" t="str">
        <f>IF($A27="","",_xlfn.LET(
_xlpm.品番プール,N27,
_xlpm.割当計,SUMIF($B$2:$B$301,$B27,$F$2:$F$301),
_xlpm.余剰化受入,SUMIFS(tbl_ledger[数量],tbl_ledger[localId],$B27,tbl_ledger[イベント種類],"余剰化"),
_xlpm.充当払出,SUMIFS(tbl_ledger[数量],tbl_ledger[localId],$B27,tbl_ledger[イベント種類],"充当",tbl_ledger[ロットID],"="),
_xlpm.品番プール-_xlpm.割当計+_xlpm.余剰化受入-_xlpm.充当払出))</f>
        <v/>
      </c>
      <c r="J27" s="8" t="str">
        <f t="shared" si="1"/>
        <v/>
      </c>
      <c r="K27" s="8" t="str">
        <f t="shared" si="2"/>
        <v/>
      </c>
      <c r="L27" s="4" t="str">
        <f>IF($A27="","",IF(INDEX(tbl_plan[計画状態],ROW()-1)="キャンセル","キャンセル",IF(J27=0,"発送済",IF(K27&gt;0,"要搬出","OK"))))</f>
        <v/>
      </c>
      <c r="M27" s="8">
        <f t="array" ref="M27">_xlfn.LET(
_xlpm.計画状態,IFERROR(INDEX(tbl_plan[計画状態],ROW()-1)&amp;"",""),
_xlpm.必要数,IFERROR(N(INDEX(tbl_plan[必要数],ROW()-1)),0),
IF(_xlpm.計画状態="キャンセル",0,_xlpm.必要数))</f>
        <v>0</v>
      </c>
      <c r="N27" s="8" t="str">
        <f>IF($A27="","",_xlfn.LET(
_xlpm.搬入計,SUMIFS(tbl_ledger[数量],tbl_ledger[localId],$B27,tbl_ledger[イベント種類],"搬入"),
_xlpm.未割当発送,SUMIFS(tbl_ledger[数量],tbl_ledger[localId],$B27,tbl_ledger[イベント種類],"発送",tbl_ledger[ロットID],"="),
_xlpm.未割当倉庫戻し,SUMIFS(tbl_ledger[数量],tbl_ledger[localId],$B27,tbl_ledger[イベント種類],"倉庫戻し",tbl_ledger[ロットID],"="),
_xlpm.未割当不良,SUMIFS(tbl_ledger[数量],tbl_ledger[localId],$B27,tbl_ledger[イベント種類],"不良発生",tbl_ledger[ロットID],"="),
_xlpm.搬入計-_xlpm.未割当発送-_xlpm.未割当倉庫戻し-_xlpm.未割当不良))</f>
        <v/>
      </c>
      <c r="O27" s="8" t="str">
        <f t="array" ref="O27">IF($A27="","",_xlfn.LET(
_xlpm.同品番,($B$2:$B$301=$B27),
_xlpm.週が前,($C$2:$C$301&lt;$C27),
_xlpm.同週で上行,($C$2:$C$301=$C27)*(ROW($C$2:$C$301)&lt;ROW()),
SUMPRODUCT(_xlpm.同品番*(_xlpm.週が前+_xlpm.同週で上行)*$M$2:$M$301)))</f>
        <v/>
      </c>
    </row>
    <row r="28" spans="1:15" ht="15" customHeight="1" x14ac:dyDescent="0.25">
      <c r="A28" s="4" t="str">
        <f>IFERROR(INDEX(tbl_plan[ロットID],ROW()-1),"")</f>
        <v/>
      </c>
      <c r="B28" s="4" t="str">
        <f>IF($A28="","",INDEX(tbl_plan[localId],ROW()-1))</f>
        <v/>
      </c>
      <c r="C28" s="11" t="str">
        <f>IF($A28="","",INDEX(tbl_plan[出荷週],ROW()-1))</f>
        <v/>
      </c>
      <c r="D28" s="4" t="str">
        <f>IF($A28="","",INDEX(tbl_plan[納期先],ROW()-1)&amp;"")</f>
        <v/>
      </c>
      <c r="E28" s="8" t="str">
        <f>IF($A28="","",INDEX(tbl_plan[必要数],ROW()-1))</f>
        <v/>
      </c>
      <c r="F28" s="8" t="str">
        <f t="shared" si="0"/>
        <v/>
      </c>
      <c r="G28" s="8" t="str">
        <f>IF($A28="","",SUMIFS(tbl_ledger[数量],tbl_ledger[ロットID],$A28,tbl_ledger[イベント種類],"発送"))</f>
        <v/>
      </c>
      <c r="H28" s="8" t="str">
        <f>IF($A28="","",_xlfn.LET(
_xlpm.割当,F28,
_xlpm.充当受入,SUMIFS(tbl_ledger[数量],tbl_ledger[充当先ロットID],$A28,tbl_ledger[イベント種類],"充当"),
_xlpm.充当放出,SUMIFS(tbl_ledger[数量],tbl_ledger[ロットID],$A28,tbl_ledger[イベント種類],"充当"),
_xlpm.発送済,G28,
_xlpm.倉庫戻し,SUMIFS(tbl_ledger[数量],tbl_ledger[ロットID],$A28,tbl_ledger[イベント種類],"倉庫戻し"),
_xlpm.余剰化,SUMIFS(tbl_ledger[数量],tbl_ledger[ロットID],$A28,tbl_ledger[イベント種類],"余剰化"),
_xlpm.不良,SUMIFS(tbl_ledger[数量],tbl_ledger[ロットID],$A28,tbl_ledger[イベント種類],"不良発生"),
_xlpm.割当+_xlpm.充当受入-_xlpm.充当放出-_xlpm.発送済-_xlpm.倉庫戻し-_xlpm.余剰化-_xlpm.不良))</f>
        <v/>
      </c>
      <c r="I28" s="8" t="str">
        <f>IF($A28="","",_xlfn.LET(
_xlpm.品番プール,N28,
_xlpm.割当計,SUMIF($B$2:$B$301,$B28,$F$2:$F$301),
_xlpm.余剰化受入,SUMIFS(tbl_ledger[数量],tbl_ledger[localId],$B28,tbl_ledger[イベント種類],"余剰化"),
_xlpm.充当払出,SUMIFS(tbl_ledger[数量],tbl_ledger[localId],$B28,tbl_ledger[イベント種類],"充当",tbl_ledger[ロットID],"="),
_xlpm.品番プール-_xlpm.割当計+_xlpm.余剰化受入-_xlpm.充当払出))</f>
        <v/>
      </c>
      <c r="J28" s="8" t="str">
        <f t="shared" si="1"/>
        <v/>
      </c>
      <c r="K28" s="8" t="str">
        <f t="shared" si="2"/>
        <v/>
      </c>
      <c r="L28" s="4" t="str">
        <f>IF($A28="","",IF(INDEX(tbl_plan[計画状態],ROW()-1)="キャンセル","キャンセル",IF(J28=0,"発送済",IF(K28&gt;0,"要搬出","OK"))))</f>
        <v/>
      </c>
      <c r="M28" s="8">
        <f t="array" ref="M28">_xlfn.LET(
_xlpm.計画状態,IFERROR(INDEX(tbl_plan[計画状態],ROW()-1)&amp;"",""),
_xlpm.必要数,IFERROR(N(INDEX(tbl_plan[必要数],ROW()-1)),0),
IF(_xlpm.計画状態="キャンセル",0,_xlpm.必要数))</f>
        <v>0</v>
      </c>
      <c r="N28" s="8" t="str">
        <f>IF($A28="","",_xlfn.LET(
_xlpm.搬入計,SUMIFS(tbl_ledger[数量],tbl_ledger[localId],$B28,tbl_ledger[イベント種類],"搬入"),
_xlpm.未割当発送,SUMIFS(tbl_ledger[数量],tbl_ledger[localId],$B28,tbl_ledger[イベント種類],"発送",tbl_ledger[ロットID],"="),
_xlpm.未割当倉庫戻し,SUMIFS(tbl_ledger[数量],tbl_ledger[localId],$B28,tbl_ledger[イベント種類],"倉庫戻し",tbl_ledger[ロットID],"="),
_xlpm.未割当不良,SUMIFS(tbl_ledger[数量],tbl_ledger[localId],$B28,tbl_ledger[イベント種類],"不良発生",tbl_ledger[ロットID],"="),
_xlpm.搬入計-_xlpm.未割当発送-_xlpm.未割当倉庫戻し-_xlpm.未割当不良))</f>
        <v/>
      </c>
      <c r="O28" s="8" t="str">
        <f t="array" ref="O28">IF($A28="","",_xlfn.LET(
_xlpm.同品番,($B$2:$B$301=$B28),
_xlpm.週が前,($C$2:$C$301&lt;$C28),
_xlpm.同週で上行,($C$2:$C$301=$C28)*(ROW($C$2:$C$301)&lt;ROW()),
SUMPRODUCT(_xlpm.同品番*(_xlpm.週が前+_xlpm.同週で上行)*$M$2:$M$301)))</f>
        <v/>
      </c>
    </row>
    <row r="29" spans="1:15" ht="15" customHeight="1" x14ac:dyDescent="0.25">
      <c r="A29" s="4" t="str">
        <f>IFERROR(INDEX(tbl_plan[ロットID],ROW()-1),"")</f>
        <v/>
      </c>
      <c r="B29" s="4" t="str">
        <f>IF($A29="","",INDEX(tbl_plan[localId],ROW()-1))</f>
        <v/>
      </c>
      <c r="C29" s="11" t="str">
        <f>IF($A29="","",INDEX(tbl_plan[出荷週],ROW()-1))</f>
        <v/>
      </c>
      <c r="D29" s="4" t="str">
        <f>IF($A29="","",INDEX(tbl_plan[納期先],ROW()-1)&amp;"")</f>
        <v/>
      </c>
      <c r="E29" s="8" t="str">
        <f>IF($A29="","",INDEX(tbl_plan[必要数],ROW()-1))</f>
        <v/>
      </c>
      <c r="F29" s="8" t="str">
        <f t="shared" si="0"/>
        <v/>
      </c>
      <c r="G29" s="8" t="str">
        <f>IF($A29="","",SUMIFS(tbl_ledger[数量],tbl_ledger[ロットID],$A29,tbl_ledger[イベント種類],"発送"))</f>
        <v/>
      </c>
      <c r="H29" s="8" t="str">
        <f>IF($A29="","",_xlfn.LET(
_xlpm.割当,F29,
_xlpm.充当受入,SUMIFS(tbl_ledger[数量],tbl_ledger[充当先ロットID],$A29,tbl_ledger[イベント種類],"充当"),
_xlpm.充当放出,SUMIFS(tbl_ledger[数量],tbl_ledger[ロットID],$A29,tbl_ledger[イベント種類],"充当"),
_xlpm.発送済,G29,
_xlpm.倉庫戻し,SUMIFS(tbl_ledger[数量],tbl_ledger[ロットID],$A29,tbl_ledger[イベント種類],"倉庫戻し"),
_xlpm.余剰化,SUMIFS(tbl_ledger[数量],tbl_ledger[ロットID],$A29,tbl_ledger[イベント種類],"余剰化"),
_xlpm.不良,SUMIFS(tbl_ledger[数量],tbl_ledger[ロットID],$A29,tbl_ledger[イベント種類],"不良発生"),
_xlpm.割当+_xlpm.充当受入-_xlpm.充当放出-_xlpm.発送済-_xlpm.倉庫戻し-_xlpm.余剰化-_xlpm.不良))</f>
        <v/>
      </c>
      <c r="I29" s="8" t="str">
        <f>IF($A29="","",_xlfn.LET(
_xlpm.品番プール,N29,
_xlpm.割当計,SUMIF($B$2:$B$301,$B29,$F$2:$F$301),
_xlpm.余剰化受入,SUMIFS(tbl_ledger[数量],tbl_ledger[localId],$B29,tbl_ledger[イベント種類],"余剰化"),
_xlpm.充当払出,SUMIFS(tbl_ledger[数量],tbl_ledger[localId],$B29,tbl_ledger[イベント種類],"充当",tbl_ledger[ロットID],"="),
_xlpm.品番プール-_xlpm.割当計+_xlpm.余剰化受入-_xlpm.充当払出))</f>
        <v/>
      </c>
      <c r="J29" s="8" t="str">
        <f t="shared" si="1"/>
        <v/>
      </c>
      <c r="K29" s="8" t="str">
        <f t="shared" si="2"/>
        <v/>
      </c>
      <c r="L29" s="4" t="str">
        <f>IF($A29="","",IF(INDEX(tbl_plan[計画状態],ROW()-1)="キャンセル","キャンセル",IF(J29=0,"発送済",IF(K29&gt;0,"要搬出","OK"))))</f>
        <v/>
      </c>
      <c r="M29" s="8">
        <f t="array" ref="M29">_xlfn.LET(
_xlpm.計画状態,IFERROR(INDEX(tbl_plan[計画状態],ROW()-1)&amp;"",""),
_xlpm.必要数,IFERROR(N(INDEX(tbl_plan[必要数],ROW()-1)),0),
IF(_xlpm.計画状態="キャンセル",0,_xlpm.必要数))</f>
        <v>0</v>
      </c>
      <c r="N29" s="8" t="str">
        <f>IF($A29="","",_xlfn.LET(
_xlpm.搬入計,SUMIFS(tbl_ledger[数量],tbl_ledger[localId],$B29,tbl_ledger[イベント種類],"搬入"),
_xlpm.未割当発送,SUMIFS(tbl_ledger[数量],tbl_ledger[localId],$B29,tbl_ledger[イベント種類],"発送",tbl_ledger[ロットID],"="),
_xlpm.未割当倉庫戻し,SUMIFS(tbl_ledger[数量],tbl_ledger[localId],$B29,tbl_ledger[イベント種類],"倉庫戻し",tbl_ledger[ロットID],"="),
_xlpm.未割当不良,SUMIFS(tbl_ledger[数量],tbl_ledger[localId],$B29,tbl_ledger[イベント種類],"不良発生",tbl_ledger[ロットID],"="),
_xlpm.搬入計-_xlpm.未割当発送-_xlpm.未割当倉庫戻し-_xlpm.未割当不良))</f>
        <v/>
      </c>
      <c r="O29" s="8" t="str">
        <f t="array" ref="O29">IF($A29="","",_xlfn.LET(
_xlpm.同品番,($B$2:$B$301=$B29),
_xlpm.週が前,($C$2:$C$301&lt;$C29),
_xlpm.同週で上行,($C$2:$C$301=$C29)*(ROW($C$2:$C$301)&lt;ROW()),
SUMPRODUCT(_xlpm.同品番*(_xlpm.週が前+_xlpm.同週で上行)*$M$2:$M$301)))</f>
        <v/>
      </c>
    </row>
    <row r="30" spans="1:15" ht="15" customHeight="1" x14ac:dyDescent="0.25">
      <c r="A30" s="4" t="str">
        <f>IFERROR(INDEX(tbl_plan[ロットID],ROW()-1),"")</f>
        <v/>
      </c>
      <c r="B30" s="4" t="str">
        <f>IF($A30="","",INDEX(tbl_plan[localId],ROW()-1))</f>
        <v/>
      </c>
      <c r="C30" s="11" t="str">
        <f>IF($A30="","",INDEX(tbl_plan[出荷週],ROW()-1))</f>
        <v/>
      </c>
      <c r="D30" s="4" t="str">
        <f>IF($A30="","",INDEX(tbl_plan[納期先],ROW()-1)&amp;"")</f>
        <v/>
      </c>
      <c r="E30" s="8" t="str">
        <f>IF($A30="","",INDEX(tbl_plan[必要数],ROW()-1))</f>
        <v/>
      </c>
      <c r="F30" s="8" t="str">
        <f t="shared" si="0"/>
        <v/>
      </c>
      <c r="G30" s="8" t="str">
        <f>IF($A30="","",SUMIFS(tbl_ledger[数量],tbl_ledger[ロットID],$A30,tbl_ledger[イベント種類],"発送"))</f>
        <v/>
      </c>
      <c r="H30" s="8" t="str">
        <f>IF($A30="","",_xlfn.LET(
_xlpm.割当,F30,
_xlpm.充当受入,SUMIFS(tbl_ledger[数量],tbl_ledger[充当先ロットID],$A30,tbl_ledger[イベント種類],"充当"),
_xlpm.充当放出,SUMIFS(tbl_ledger[数量],tbl_ledger[ロットID],$A30,tbl_ledger[イベント種類],"充当"),
_xlpm.発送済,G30,
_xlpm.倉庫戻し,SUMIFS(tbl_ledger[数量],tbl_ledger[ロットID],$A30,tbl_ledger[イベント種類],"倉庫戻し"),
_xlpm.余剰化,SUMIFS(tbl_ledger[数量],tbl_ledger[ロットID],$A30,tbl_ledger[イベント種類],"余剰化"),
_xlpm.不良,SUMIFS(tbl_ledger[数量],tbl_ledger[ロットID],$A30,tbl_ledger[イベント種類],"不良発生"),
_xlpm.割当+_xlpm.充当受入-_xlpm.充当放出-_xlpm.発送済-_xlpm.倉庫戻し-_xlpm.余剰化-_xlpm.不良))</f>
        <v/>
      </c>
      <c r="I30" s="8" t="str">
        <f>IF($A30="","",_xlfn.LET(
_xlpm.品番プール,N30,
_xlpm.割当計,SUMIF($B$2:$B$301,$B30,$F$2:$F$301),
_xlpm.余剰化受入,SUMIFS(tbl_ledger[数量],tbl_ledger[localId],$B30,tbl_ledger[イベント種類],"余剰化"),
_xlpm.充当払出,SUMIFS(tbl_ledger[数量],tbl_ledger[localId],$B30,tbl_ledger[イベント種類],"充当",tbl_ledger[ロットID],"="),
_xlpm.品番プール-_xlpm.割当計+_xlpm.余剰化受入-_xlpm.充当払出))</f>
        <v/>
      </c>
      <c r="J30" s="8" t="str">
        <f t="shared" si="1"/>
        <v/>
      </c>
      <c r="K30" s="8" t="str">
        <f t="shared" si="2"/>
        <v/>
      </c>
      <c r="L30" s="4" t="str">
        <f>IF($A30="","",IF(INDEX(tbl_plan[計画状態],ROW()-1)="キャンセル","キャンセル",IF(J30=0,"発送済",IF(K30&gt;0,"要搬出","OK"))))</f>
        <v/>
      </c>
      <c r="M30" s="8">
        <f t="array" ref="M30">_xlfn.LET(
_xlpm.計画状態,IFERROR(INDEX(tbl_plan[計画状態],ROW()-1)&amp;"",""),
_xlpm.必要数,IFERROR(N(INDEX(tbl_plan[必要数],ROW()-1)),0),
IF(_xlpm.計画状態="キャンセル",0,_xlpm.必要数))</f>
        <v>0</v>
      </c>
      <c r="N30" s="8" t="str">
        <f>IF($A30="","",_xlfn.LET(
_xlpm.搬入計,SUMIFS(tbl_ledger[数量],tbl_ledger[localId],$B30,tbl_ledger[イベント種類],"搬入"),
_xlpm.未割当発送,SUMIFS(tbl_ledger[数量],tbl_ledger[localId],$B30,tbl_ledger[イベント種類],"発送",tbl_ledger[ロットID],"="),
_xlpm.未割当倉庫戻し,SUMIFS(tbl_ledger[数量],tbl_ledger[localId],$B30,tbl_ledger[イベント種類],"倉庫戻し",tbl_ledger[ロットID],"="),
_xlpm.未割当不良,SUMIFS(tbl_ledger[数量],tbl_ledger[localId],$B30,tbl_ledger[イベント種類],"不良発生",tbl_ledger[ロットID],"="),
_xlpm.搬入計-_xlpm.未割当発送-_xlpm.未割当倉庫戻し-_xlpm.未割当不良))</f>
        <v/>
      </c>
      <c r="O30" s="8" t="str">
        <f t="array" ref="O30">IF($A30="","",_xlfn.LET(
_xlpm.同品番,($B$2:$B$301=$B30),
_xlpm.週が前,($C$2:$C$301&lt;$C30),
_xlpm.同週で上行,($C$2:$C$301=$C30)*(ROW($C$2:$C$301)&lt;ROW()),
SUMPRODUCT(_xlpm.同品番*(_xlpm.週が前+_xlpm.同週で上行)*$M$2:$M$301)))</f>
        <v/>
      </c>
    </row>
    <row r="31" spans="1:15" ht="15" customHeight="1" x14ac:dyDescent="0.25">
      <c r="A31" s="4" t="str">
        <f>IFERROR(INDEX(tbl_plan[ロットID],ROW()-1),"")</f>
        <v/>
      </c>
      <c r="B31" s="4" t="str">
        <f>IF($A31="","",INDEX(tbl_plan[localId],ROW()-1))</f>
        <v/>
      </c>
      <c r="C31" s="11" t="str">
        <f>IF($A31="","",INDEX(tbl_plan[出荷週],ROW()-1))</f>
        <v/>
      </c>
      <c r="D31" s="4" t="str">
        <f>IF($A31="","",INDEX(tbl_plan[納期先],ROW()-1)&amp;"")</f>
        <v/>
      </c>
      <c r="E31" s="8" t="str">
        <f>IF($A31="","",INDEX(tbl_plan[必要数],ROW()-1))</f>
        <v/>
      </c>
      <c r="F31" s="8" t="str">
        <f t="shared" si="0"/>
        <v/>
      </c>
      <c r="G31" s="8" t="str">
        <f>IF($A31="","",SUMIFS(tbl_ledger[数量],tbl_ledger[ロットID],$A31,tbl_ledger[イベント種類],"発送"))</f>
        <v/>
      </c>
      <c r="H31" s="8" t="str">
        <f>IF($A31="","",_xlfn.LET(
_xlpm.割当,F31,
_xlpm.充当受入,SUMIFS(tbl_ledger[数量],tbl_ledger[充当先ロットID],$A31,tbl_ledger[イベント種類],"充当"),
_xlpm.充当放出,SUMIFS(tbl_ledger[数量],tbl_ledger[ロットID],$A31,tbl_ledger[イベント種類],"充当"),
_xlpm.発送済,G31,
_xlpm.倉庫戻し,SUMIFS(tbl_ledger[数量],tbl_ledger[ロットID],$A31,tbl_ledger[イベント種類],"倉庫戻し"),
_xlpm.余剰化,SUMIFS(tbl_ledger[数量],tbl_ledger[ロットID],$A31,tbl_ledger[イベント種類],"余剰化"),
_xlpm.不良,SUMIFS(tbl_ledger[数量],tbl_ledger[ロットID],$A31,tbl_ledger[イベント種類],"不良発生"),
_xlpm.割当+_xlpm.充当受入-_xlpm.充当放出-_xlpm.発送済-_xlpm.倉庫戻し-_xlpm.余剰化-_xlpm.不良))</f>
        <v/>
      </c>
      <c r="I31" s="8" t="str">
        <f>IF($A31="","",_xlfn.LET(
_xlpm.品番プール,N31,
_xlpm.割当計,SUMIF($B$2:$B$301,$B31,$F$2:$F$301),
_xlpm.余剰化受入,SUMIFS(tbl_ledger[数量],tbl_ledger[localId],$B31,tbl_ledger[イベント種類],"余剰化"),
_xlpm.充当払出,SUMIFS(tbl_ledger[数量],tbl_ledger[localId],$B31,tbl_ledger[イベント種類],"充当",tbl_ledger[ロットID],"="),
_xlpm.品番プール-_xlpm.割当計+_xlpm.余剰化受入-_xlpm.充当払出))</f>
        <v/>
      </c>
      <c r="J31" s="8" t="str">
        <f t="shared" si="1"/>
        <v/>
      </c>
      <c r="K31" s="8" t="str">
        <f t="shared" si="2"/>
        <v/>
      </c>
      <c r="L31" s="4" t="str">
        <f>IF($A31="","",IF(INDEX(tbl_plan[計画状態],ROW()-1)="キャンセル","キャンセル",IF(J31=0,"発送済",IF(K31&gt;0,"要搬出","OK"))))</f>
        <v/>
      </c>
      <c r="M31" s="8">
        <f t="array" ref="M31">_xlfn.LET(
_xlpm.計画状態,IFERROR(INDEX(tbl_plan[計画状態],ROW()-1)&amp;"",""),
_xlpm.必要数,IFERROR(N(INDEX(tbl_plan[必要数],ROW()-1)),0),
IF(_xlpm.計画状態="キャンセル",0,_xlpm.必要数))</f>
        <v>0</v>
      </c>
      <c r="N31" s="8" t="str">
        <f>IF($A31="","",_xlfn.LET(
_xlpm.搬入計,SUMIFS(tbl_ledger[数量],tbl_ledger[localId],$B31,tbl_ledger[イベント種類],"搬入"),
_xlpm.未割当発送,SUMIFS(tbl_ledger[数量],tbl_ledger[localId],$B31,tbl_ledger[イベント種類],"発送",tbl_ledger[ロットID],"="),
_xlpm.未割当倉庫戻し,SUMIFS(tbl_ledger[数量],tbl_ledger[localId],$B31,tbl_ledger[イベント種類],"倉庫戻し",tbl_ledger[ロットID],"="),
_xlpm.未割当不良,SUMIFS(tbl_ledger[数量],tbl_ledger[localId],$B31,tbl_ledger[イベント種類],"不良発生",tbl_ledger[ロットID],"="),
_xlpm.搬入計-_xlpm.未割当発送-_xlpm.未割当倉庫戻し-_xlpm.未割当不良))</f>
        <v/>
      </c>
      <c r="O31" s="8" t="str">
        <f t="array" ref="O31">IF($A31="","",_xlfn.LET(
_xlpm.同品番,($B$2:$B$301=$B31),
_xlpm.週が前,($C$2:$C$301&lt;$C31),
_xlpm.同週で上行,($C$2:$C$301=$C31)*(ROW($C$2:$C$301)&lt;ROW()),
SUMPRODUCT(_xlpm.同品番*(_xlpm.週が前+_xlpm.同週で上行)*$M$2:$M$301)))</f>
        <v/>
      </c>
    </row>
    <row r="32" spans="1:15" ht="15" customHeight="1" x14ac:dyDescent="0.25">
      <c r="A32" s="4" t="str">
        <f>IFERROR(INDEX(tbl_plan[ロットID],ROW()-1),"")</f>
        <v/>
      </c>
      <c r="B32" s="4" t="str">
        <f>IF($A32="","",INDEX(tbl_plan[localId],ROW()-1))</f>
        <v/>
      </c>
      <c r="C32" s="11" t="str">
        <f>IF($A32="","",INDEX(tbl_plan[出荷週],ROW()-1))</f>
        <v/>
      </c>
      <c r="D32" s="4" t="str">
        <f>IF($A32="","",INDEX(tbl_plan[納期先],ROW()-1)&amp;"")</f>
        <v/>
      </c>
      <c r="E32" s="8" t="str">
        <f>IF($A32="","",INDEX(tbl_plan[必要数],ROW()-1))</f>
        <v/>
      </c>
      <c r="F32" s="8" t="str">
        <f t="shared" si="0"/>
        <v/>
      </c>
      <c r="G32" s="8" t="str">
        <f>IF($A32="","",SUMIFS(tbl_ledger[数量],tbl_ledger[ロットID],$A32,tbl_ledger[イベント種類],"発送"))</f>
        <v/>
      </c>
      <c r="H32" s="8" t="str">
        <f>IF($A32="","",_xlfn.LET(
_xlpm.割当,F32,
_xlpm.充当受入,SUMIFS(tbl_ledger[数量],tbl_ledger[充当先ロットID],$A32,tbl_ledger[イベント種類],"充当"),
_xlpm.充当放出,SUMIFS(tbl_ledger[数量],tbl_ledger[ロットID],$A32,tbl_ledger[イベント種類],"充当"),
_xlpm.発送済,G32,
_xlpm.倉庫戻し,SUMIFS(tbl_ledger[数量],tbl_ledger[ロットID],$A32,tbl_ledger[イベント種類],"倉庫戻し"),
_xlpm.余剰化,SUMIFS(tbl_ledger[数量],tbl_ledger[ロットID],$A32,tbl_ledger[イベント種類],"余剰化"),
_xlpm.不良,SUMIFS(tbl_ledger[数量],tbl_ledger[ロットID],$A32,tbl_ledger[イベント種類],"不良発生"),
_xlpm.割当+_xlpm.充当受入-_xlpm.充当放出-_xlpm.発送済-_xlpm.倉庫戻し-_xlpm.余剰化-_xlpm.不良))</f>
        <v/>
      </c>
      <c r="I32" s="8" t="str">
        <f>IF($A32="","",_xlfn.LET(
_xlpm.品番プール,N32,
_xlpm.割当計,SUMIF($B$2:$B$301,$B32,$F$2:$F$301),
_xlpm.余剰化受入,SUMIFS(tbl_ledger[数量],tbl_ledger[localId],$B32,tbl_ledger[イベント種類],"余剰化"),
_xlpm.充当払出,SUMIFS(tbl_ledger[数量],tbl_ledger[localId],$B32,tbl_ledger[イベント種類],"充当",tbl_ledger[ロットID],"="),
_xlpm.品番プール-_xlpm.割当計+_xlpm.余剰化受入-_xlpm.充当払出))</f>
        <v/>
      </c>
      <c r="J32" s="8" t="str">
        <f t="shared" si="1"/>
        <v/>
      </c>
      <c r="K32" s="8" t="str">
        <f t="shared" si="2"/>
        <v/>
      </c>
      <c r="L32" s="4" t="str">
        <f>IF($A32="","",IF(INDEX(tbl_plan[計画状態],ROW()-1)="キャンセル","キャンセル",IF(J32=0,"発送済",IF(K32&gt;0,"要搬出","OK"))))</f>
        <v/>
      </c>
      <c r="M32" s="8">
        <f t="array" ref="M32">_xlfn.LET(
_xlpm.計画状態,IFERROR(INDEX(tbl_plan[計画状態],ROW()-1)&amp;"",""),
_xlpm.必要数,IFERROR(N(INDEX(tbl_plan[必要数],ROW()-1)),0),
IF(_xlpm.計画状態="キャンセル",0,_xlpm.必要数))</f>
        <v>0</v>
      </c>
      <c r="N32" s="8" t="str">
        <f>IF($A32="","",_xlfn.LET(
_xlpm.搬入計,SUMIFS(tbl_ledger[数量],tbl_ledger[localId],$B32,tbl_ledger[イベント種類],"搬入"),
_xlpm.未割当発送,SUMIFS(tbl_ledger[数量],tbl_ledger[localId],$B32,tbl_ledger[イベント種類],"発送",tbl_ledger[ロットID],"="),
_xlpm.未割当倉庫戻し,SUMIFS(tbl_ledger[数量],tbl_ledger[localId],$B32,tbl_ledger[イベント種類],"倉庫戻し",tbl_ledger[ロットID],"="),
_xlpm.未割当不良,SUMIFS(tbl_ledger[数量],tbl_ledger[localId],$B32,tbl_ledger[イベント種類],"不良発生",tbl_ledger[ロットID],"="),
_xlpm.搬入計-_xlpm.未割当発送-_xlpm.未割当倉庫戻し-_xlpm.未割当不良))</f>
        <v/>
      </c>
      <c r="O32" s="8" t="str">
        <f t="array" ref="O32">IF($A32="","",_xlfn.LET(
_xlpm.同品番,($B$2:$B$301=$B32),
_xlpm.週が前,($C$2:$C$301&lt;$C32),
_xlpm.同週で上行,($C$2:$C$301=$C32)*(ROW($C$2:$C$301)&lt;ROW()),
SUMPRODUCT(_xlpm.同品番*(_xlpm.週が前+_xlpm.同週で上行)*$M$2:$M$301)))</f>
        <v/>
      </c>
    </row>
    <row r="33" spans="1:15" ht="15" customHeight="1" x14ac:dyDescent="0.25">
      <c r="A33" s="4" t="str">
        <f>IFERROR(INDEX(tbl_plan[ロットID],ROW()-1),"")</f>
        <v/>
      </c>
      <c r="B33" s="4" t="str">
        <f>IF($A33="","",INDEX(tbl_plan[localId],ROW()-1))</f>
        <v/>
      </c>
      <c r="C33" s="11" t="str">
        <f>IF($A33="","",INDEX(tbl_plan[出荷週],ROW()-1))</f>
        <v/>
      </c>
      <c r="D33" s="4" t="str">
        <f>IF($A33="","",INDEX(tbl_plan[納期先],ROW()-1)&amp;"")</f>
        <v/>
      </c>
      <c r="E33" s="8" t="str">
        <f>IF($A33="","",INDEX(tbl_plan[必要数],ROW()-1))</f>
        <v/>
      </c>
      <c r="F33" s="8" t="str">
        <f t="shared" si="0"/>
        <v/>
      </c>
      <c r="G33" s="8" t="str">
        <f>IF($A33="","",SUMIFS(tbl_ledger[数量],tbl_ledger[ロットID],$A33,tbl_ledger[イベント種類],"発送"))</f>
        <v/>
      </c>
      <c r="H33" s="8" t="str">
        <f>IF($A33="","",_xlfn.LET(
_xlpm.割当,F33,
_xlpm.充当受入,SUMIFS(tbl_ledger[数量],tbl_ledger[充当先ロットID],$A33,tbl_ledger[イベント種類],"充当"),
_xlpm.充当放出,SUMIFS(tbl_ledger[数量],tbl_ledger[ロットID],$A33,tbl_ledger[イベント種類],"充当"),
_xlpm.発送済,G33,
_xlpm.倉庫戻し,SUMIFS(tbl_ledger[数量],tbl_ledger[ロットID],$A33,tbl_ledger[イベント種類],"倉庫戻し"),
_xlpm.余剰化,SUMIFS(tbl_ledger[数量],tbl_ledger[ロットID],$A33,tbl_ledger[イベント種類],"余剰化"),
_xlpm.不良,SUMIFS(tbl_ledger[数量],tbl_ledger[ロットID],$A33,tbl_ledger[イベント種類],"不良発生"),
_xlpm.割当+_xlpm.充当受入-_xlpm.充当放出-_xlpm.発送済-_xlpm.倉庫戻し-_xlpm.余剰化-_xlpm.不良))</f>
        <v/>
      </c>
      <c r="I33" s="8" t="str">
        <f>IF($A33="","",_xlfn.LET(
_xlpm.品番プール,N33,
_xlpm.割当計,SUMIF($B$2:$B$301,$B33,$F$2:$F$301),
_xlpm.余剰化受入,SUMIFS(tbl_ledger[数量],tbl_ledger[localId],$B33,tbl_ledger[イベント種類],"余剰化"),
_xlpm.充当払出,SUMIFS(tbl_ledger[数量],tbl_ledger[localId],$B33,tbl_ledger[イベント種類],"充当",tbl_ledger[ロットID],"="),
_xlpm.品番プール-_xlpm.割当計+_xlpm.余剰化受入-_xlpm.充当払出))</f>
        <v/>
      </c>
      <c r="J33" s="8" t="str">
        <f t="shared" si="1"/>
        <v/>
      </c>
      <c r="K33" s="8" t="str">
        <f t="shared" si="2"/>
        <v/>
      </c>
      <c r="L33" s="4" t="str">
        <f>IF($A33="","",IF(INDEX(tbl_plan[計画状態],ROW()-1)="キャンセル","キャンセル",IF(J33=0,"発送済",IF(K33&gt;0,"要搬出","OK"))))</f>
        <v/>
      </c>
      <c r="M33" s="8">
        <f t="array" ref="M33">_xlfn.LET(
_xlpm.計画状態,IFERROR(INDEX(tbl_plan[計画状態],ROW()-1)&amp;"",""),
_xlpm.必要数,IFERROR(N(INDEX(tbl_plan[必要数],ROW()-1)),0),
IF(_xlpm.計画状態="キャンセル",0,_xlpm.必要数))</f>
        <v>0</v>
      </c>
      <c r="N33" s="8" t="str">
        <f>IF($A33="","",_xlfn.LET(
_xlpm.搬入計,SUMIFS(tbl_ledger[数量],tbl_ledger[localId],$B33,tbl_ledger[イベント種類],"搬入"),
_xlpm.未割当発送,SUMIFS(tbl_ledger[数量],tbl_ledger[localId],$B33,tbl_ledger[イベント種類],"発送",tbl_ledger[ロットID],"="),
_xlpm.未割当倉庫戻し,SUMIFS(tbl_ledger[数量],tbl_ledger[localId],$B33,tbl_ledger[イベント種類],"倉庫戻し",tbl_ledger[ロットID],"="),
_xlpm.未割当不良,SUMIFS(tbl_ledger[数量],tbl_ledger[localId],$B33,tbl_ledger[イベント種類],"不良発生",tbl_ledger[ロットID],"="),
_xlpm.搬入計-_xlpm.未割当発送-_xlpm.未割当倉庫戻し-_xlpm.未割当不良))</f>
        <v/>
      </c>
      <c r="O33" s="8" t="str">
        <f t="array" ref="O33">IF($A33="","",_xlfn.LET(
_xlpm.同品番,($B$2:$B$301=$B33),
_xlpm.週が前,($C$2:$C$301&lt;$C33),
_xlpm.同週で上行,($C$2:$C$301=$C33)*(ROW($C$2:$C$301)&lt;ROW()),
SUMPRODUCT(_xlpm.同品番*(_xlpm.週が前+_xlpm.同週で上行)*$M$2:$M$301)))</f>
        <v/>
      </c>
    </row>
    <row r="34" spans="1:15" ht="15" customHeight="1" x14ac:dyDescent="0.25">
      <c r="A34" s="4" t="str">
        <f>IFERROR(INDEX(tbl_plan[ロットID],ROW()-1),"")</f>
        <v/>
      </c>
      <c r="B34" s="4" t="str">
        <f>IF($A34="","",INDEX(tbl_plan[localId],ROW()-1))</f>
        <v/>
      </c>
      <c r="C34" s="11" t="str">
        <f>IF($A34="","",INDEX(tbl_plan[出荷週],ROW()-1))</f>
        <v/>
      </c>
      <c r="D34" s="4" t="str">
        <f>IF($A34="","",INDEX(tbl_plan[納期先],ROW()-1)&amp;"")</f>
        <v/>
      </c>
      <c r="E34" s="8" t="str">
        <f>IF($A34="","",INDEX(tbl_plan[必要数],ROW()-1))</f>
        <v/>
      </c>
      <c r="F34" s="8" t="str">
        <f t="shared" si="0"/>
        <v/>
      </c>
      <c r="G34" s="8" t="str">
        <f>IF($A34="","",SUMIFS(tbl_ledger[数量],tbl_ledger[ロットID],$A34,tbl_ledger[イベント種類],"発送"))</f>
        <v/>
      </c>
      <c r="H34" s="8" t="str">
        <f>IF($A34="","",_xlfn.LET(
_xlpm.割当,F34,
_xlpm.充当受入,SUMIFS(tbl_ledger[数量],tbl_ledger[充当先ロットID],$A34,tbl_ledger[イベント種類],"充当"),
_xlpm.充当放出,SUMIFS(tbl_ledger[数量],tbl_ledger[ロットID],$A34,tbl_ledger[イベント種類],"充当"),
_xlpm.発送済,G34,
_xlpm.倉庫戻し,SUMIFS(tbl_ledger[数量],tbl_ledger[ロットID],$A34,tbl_ledger[イベント種類],"倉庫戻し"),
_xlpm.余剰化,SUMIFS(tbl_ledger[数量],tbl_ledger[ロットID],$A34,tbl_ledger[イベント種類],"余剰化"),
_xlpm.不良,SUMIFS(tbl_ledger[数量],tbl_ledger[ロットID],$A34,tbl_ledger[イベント種類],"不良発生"),
_xlpm.割当+_xlpm.充当受入-_xlpm.充当放出-_xlpm.発送済-_xlpm.倉庫戻し-_xlpm.余剰化-_xlpm.不良))</f>
        <v/>
      </c>
      <c r="I34" s="8" t="str">
        <f>IF($A34="","",_xlfn.LET(
_xlpm.品番プール,N34,
_xlpm.割当計,SUMIF($B$2:$B$301,$B34,$F$2:$F$301),
_xlpm.余剰化受入,SUMIFS(tbl_ledger[数量],tbl_ledger[localId],$B34,tbl_ledger[イベント種類],"余剰化"),
_xlpm.充当払出,SUMIFS(tbl_ledger[数量],tbl_ledger[localId],$B34,tbl_ledger[イベント種類],"充当",tbl_ledger[ロットID],"="),
_xlpm.品番プール-_xlpm.割当計+_xlpm.余剰化受入-_xlpm.充当払出))</f>
        <v/>
      </c>
      <c r="J34" s="8" t="str">
        <f t="shared" si="1"/>
        <v/>
      </c>
      <c r="K34" s="8" t="str">
        <f t="shared" si="2"/>
        <v/>
      </c>
      <c r="L34" s="4" t="str">
        <f>IF($A34="","",IF(INDEX(tbl_plan[計画状態],ROW()-1)="キャンセル","キャンセル",IF(J34=0,"発送済",IF(K34&gt;0,"要搬出","OK"))))</f>
        <v/>
      </c>
      <c r="M34" s="8">
        <f t="array" ref="M34">_xlfn.LET(
_xlpm.計画状態,IFERROR(INDEX(tbl_plan[計画状態],ROW()-1)&amp;"",""),
_xlpm.必要数,IFERROR(N(INDEX(tbl_plan[必要数],ROW()-1)),0),
IF(_xlpm.計画状態="キャンセル",0,_xlpm.必要数))</f>
        <v>0</v>
      </c>
      <c r="N34" s="8" t="str">
        <f>IF($A34="","",_xlfn.LET(
_xlpm.搬入計,SUMIFS(tbl_ledger[数量],tbl_ledger[localId],$B34,tbl_ledger[イベント種類],"搬入"),
_xlpm.未割当発送,SUMIFS(tbl_ledger[数量],tbl_ledger[localId],$B34,tbl_ledger[イベント種類],"発送",tbl_ledger[ロットID],"="),
_xlpm.未割当倉庫戻し,SUMIFS(tbl_ledger[数量],tbl_ledger[localId],$B34,tbl_ledger[イベント種類],"倉庫戻し",tbl_ledger[ロットID],"="),
_xlpm.未割当不良,SUMIFS(tbl_ledger[数量],tbl_ledger[localId],$B34,tbl_ledger[イベント種類],"不良発生",tbl_ledger[ロットID],"="),
_xlpm.搬入計-_xlpm.未割当発送-_xlpm.未割当倉庫戻し-_xlpm.未割当不良))</f>
        <v/>
      </c>
      <c r="O34" s="8" t="str">
        <f t="array" ref="O34">IF($A34="","",_xlfn.LET(
_xlpm.同品番,($B$2:$B$301=$B34),
_xlpm.週が前,($C$2:$C$301&lt;$C34),
_xlpm.同週で上行,($C$2:$C$301=$C34)*(ROW($C$2:$C$301)&lt;ROW()),
SUMPRODUCT(_xlpm.同品番*(_xlpm.週が前+_xlpm.同週で上行)*$M$2:$M$301)))</f>
        <v/>
      </c>
    </row>
    <row r="35" spans="1:15" ht="15" customHeight="1" x14ac:dyDescent="0.25">
      <c r="A35" s="4" t="str">
        <f>IFERROR(INDEX(tbl_plan[ロットID],ROW()-1),"")</f>
        <v/>
      </c>
      <c r="B35" s="4" t="str">
        <f>IF($A35="","",INDEX(tbl_plan[localId],ROW()-1))</f>
        <v/>
      </c>
      <c r="C35" s="11" t="str">
        <f>IF($A35="","",INDEX(tbl_plan[出荷週],ROW()-1))</f>
        <v/>
      </c>
      <c r="D35" s="4" t="str">
        <f>IF($A35="","",INDEX(tbl_plan[納期先],ROW()-1)&amp;"")</f>
        <v/>
      </c>
      <c r="E35" s="8" t="str">
        <f>IF($A35="","",INDEX(tbl_plan[必要数],ROW()-1))</f>
        <v/>
      </c>
      <c r="F35" s="8" t="str">
        <f t="shared" si="0"/>
        <v/>
      </c>
      <c r="G35" s="8" t="str">
        <f>IF($A35="","",SUMIFS(tbl_ledger[数量],tbl_ledger[ロットID],$A35,tbl_ledger[イベント種類],"発送"))</f>
        <v/>
      </c>
      <c r="H35" s="8" t="str">
        <f>IF($A35="","",_xlfn.LET(
_xlpm.割当,F35,
_xlpm.充当受入,SUMIFS(tbl_ledger[数量],tbl_ledger[充当先ロットID],$A35,tbl_ledger[イベント種類],"充当"),
_xlpm.充当放出,SUMIFS(tbl_ledger[数量],tbl_ledger[ロットID],$A35,tbl_ledger[イベント種類],"充当"),
_xlpm.発送済,G35,
_xlpm.倉庫戻し,SUMIFS(tbl_ledger[数量],tbl_ledger[ロットID],$A35,tbl_ledger[イベント種類],"倉庫戻し"),
_xlpm.余剰化,SUMIFS(tbl_ledger[数量],tbl_ledger[ロットID],$A35,tbl_ledger[イベント種類],"余剰化"),
_xlpm.不良,SUMIFS(tbl_ledger[数量],tbl_ledger[ロットID],$A35,tbl_ledger[イベント種類],"不良発生"),
_xlpm.割当+_xlpm.充当受入-_xlpm.充当放出-_xlpm.発送済-_xlpm.倉庫戻し-_xlpm.余剰化-_xlpm.不良))</f>
        <v/>
      </c>
      <c r="I35" s="8" t="str">
        <f>IF($A35="","",_xlfn.LET(
_xlpm.品番プール,N35,
_xlpm.割当計,SUMIF($B$2:$B$301,$B35,$F$2:$F$301),
_xlpm.余剰化受入,SUMIFS(tbl_ledger[数量],tbl_ledger[localId],$B35,tbl_ledger[イベント種類],"余剰化"),
_xlpm.充当払出,SUMIFS(tbl_ledger[数量],tbl_ledger[localId],$B35,tbl_ledger[イベント種類],"充当",tbl_ledger[ロットID],"="),
_xlpm.品番プール-_xlpm.割当計+_xlpm.余剰化受入-_xlpm.充当払出))</f>
        <v/>
      </c>
      <c r="J35" s="8" t="str">
        <f t="shared" si="1"/>
        <v/>
      </c>
      <c r="K35" s="8" t="str">
        <f t="shared" si="2"/>
        <v/>
      </c>
      <c r="L35" s="4" t="str">
        <f>IF($A35="","",IF(INDEX(tbl_plan[計画状態],ROW()-1)="キャンセル","キャンセル",IF(J35=0,"発送済",IF(K35&gt;0,"要搬出","OK"))))</f>
        <v/>
      </c>
      <c r="M35" s="8">
        <f t="array" ref="M35">_xlfn.LET(
_xlpm.計画状態,IFERROR(INDEX(tbl_plan[計画状態],ROW()-1)&amp;"",""),
_xlpm.必要数,IFERROR(N(INDEX(tbl_plan[必要数],ROW()-1)),0),
IF(_xlpm.計画状態="キャンセル",0,_xlpm.必要数))</f>
        <v>0</v>
      </c>
      <c r="N35" s="8" t="str">
        <f>IF($A35="","",_xlfn.LET(
_xlpm.搬入計,SUMIFS(tbl_ledger[数量],tbl_ledger[localId],$B35,tbl_ledger[イベント種類],"搬入"),
_xlpm.未割当発送,SUMIFS(tbl_ledger[数量],tbl_ledger[localId],$B35,tbl_ledger[イベント種類],"発送",tbl_ledger[ロットID],"="),
_xlpm.未割当倉庫戻し,SUMIFS(tbl_ledger[数量],tbl_ledger[localId],$B35,tbl_ledger[イベント種類],"倉庫戻し",tbl_ledger[ロットID],"="),
_xlpm.未割当不良,SUMIFS(tbl_ledger[数量],tbl_ledger[localId],$B35,tbl_ledger[イベント種類],"不良発生",tbl_ledger[ロットID],"="),
_xlpm.搬入計-_xlpm.未割当発送-_xlpm.未割当倉庫戻し-_xlpm.未割当不良))</f>
        <v/>
      </c>
      <c r="O35" s="8" t="str">
        <f t="array" ref="O35">IF($A35="","",_xlfn.LET(
_xlpm.同品番,($B$2:$B$301=$B35),
_xlpm.週が前,($C$2:$C$301&lt;$C35),
_xlpm.同週で上行,($C$2:$C$301=$C35)*(ROW($C$2:$C$301)&lt;ROW()),
SUMPRODUCT(_xlpm.同品番*(_xlpm.週が前+_xlpm.同週で上行)*$M$2:$M$301)))</f>
        <v/>
      </c>
    </row>
    <row r="36" spans="1:15" ht="15" customHeight="1" x14ac:dyDescent="0.25">
      <c r="A36" s="4" t="str">
        <f>IFERROR(INDEX(tbl_plan[ロットID],ROW()-1),"")</f>
        <v/>
      </c>
      <c r="B36" s="4" t="str">
        <f>IF($A36="","",INDEX(tbl_plan[localId],ROW()-1))</f>
        <v/>
      </c>
      <c r="C36" s="11" t="str">
        <f>IF($A36="","",INDEX(tbl_plan[出荷週],ROW()-1))</f>
        <v/>
      </c>
      <c r="D36" s="4" t="str">
        <f>IF($A36="","",INDEX(tbl_plan[納期先],ROW()-1)&amp;"")</f>
        <v/>
      </c>
      <c r="E36" s="8" t="str">
        <f>IF($A36="","",INDEX(tbl_plan[必要数],ROW()-1))</f>
        <v/>
      </c>
      <c r="F36" s="8" t="str">
        <f t="shared" si="0"/>
        <v/>
      </c>
      <c r="G36" s="8" t="str">
        <f>IF($A36="","",SUMIFS(tbl_ledger[数量],tbl_ledger[ロットID],$A36,tbl_ledger[イベント種類],"発送"))</f>
        <v/>
      </c>
      <c r="H36" s="8" t="str">
        <f>IF($A36="","",_xlfn.LET(
_xlpm.割当,F36,
_xlpm.充当受入,SUMIFS(tbl_ledger[数量],tbl_ledger[充当先ロットID],$A36,tbl_ledger[イベント種類],"充当"),
_xlpm.充当放出,SUMIFS(tbl_ledger[数量],tbl_ledger[ロットID],$A36,tbl_ledger[イベント種類],"充当"),
_xlpm.発送済,G36,
_xlpm.倉庫戻し,SUMIFS(tbl_ledger[数量],tbl_ledger[ロットID],$A36,tbl_ledger[イベント種類],"倉庫戻し"),
_xlpm.余剰化,SUMIFS(tbl_ledger[数量],tbl_ledger[ロットID],$A36,tbl_ledger[イベント種類],"余剰化"),
_xlpm.不良,SUMIFS(tbl_ledger[数量],tbl_ledger[ロットID],$A36,tbl_ledger[イベント種類],"不良発生"),
_xlpm.割当+_xlpm.充当受入-_xlpm.充当放出-_xlpm.発送済-_xlpm.倉庫戻し-_xlpm.余剰化-_xlpm.不良))</f>
        <v/>
      </c>
      <c r="I36" s="8" t="str">
        <f>IF($A36="","",_xlfn.LET(
_xlpm.品番プール,N36,
_xlpm.割当計,SUMIF($B$2:$B$301,$B36,$F$2:$F$301),
_xlpm.余剰化受入,SUMIFS(tbl_ledger[数量],tbl_ledger[localId],$B36,tbl_ledger[イベント種類],"余剰化"),
_xlpm.充当払出,SUMIFS(tbl_ledger[数量],tbl_ledger[localId],$B36,tbl_ledger[イベント種類],"充当",tbl_ledger[ロットID],"="),
_xlpm.品番プール-_xlpm.割当計+_xlpm.余剰化受入-_xlpm.充当払出))</f>
        <v/>
      </c>
      <c r="J36" s="8" t="str">
        <f t="shared" si="1"/>
        <v/>
      </c>
      <c r="K36" s="8" t="str">
        <f t="shared" si="2"/>
        <v/>
      </c>
      <c r="L36" s="4" t="str">
        <f>IF($A36="","",IF(INDEX(tbl_plan[計画状態],ROW()-1)="キャンセル","キャンセル",IF(J36=0,"発送済",IF(K36&gt;0,"要搬出","OK"))))</f>
        <v/>
      </c>
      <c r="M36" s="8">
        <f t="array" ref="M36">_xlfn.LET(
_xlpm.計画状態,IFERROR(INDEX(tbl_plan[計画状態],ROW()-1)&amp;"",""),
_xlpm.必要数,IFERROR(N(INDEX(tbl_plan[必要数],ROW()-1)),0),
IF(_xlpm.計画状態="キャンセル",0,_xlpm.必要数))</f>
        <v>0</v>
      </c>
      <c r="N36" s="8" t="str">
        <f>IF($A36="","",_xlfn.LET(
_xlpm.搬入計,SUMIFS(tbl_ledger[数量],tbl_ledger[localId],$B36,tbl_ledger[イベント種類],"搬入"),
_xlpm.未割当発送,SUMIFS(tbl_ledger[数量],tbl_ledger[localId],$B36,tbl_ledger[イベント種類],"発送",tbl_ledger[ロットID],"="),
_xlpm.未割当倉庫戻し,SUMIFS(tbl_ledger[数量],tbl_ledger[localId],$B36,tbl_ledger[イベント種類],"倉庫戻し",tbl_ledger[ロットID],"="),
_xlpm.未割当不良,SUMIFS(tbl_ledger[数量],tbl_ledger[localId],$B36,tbl_ledger[イベント種類],"不良発生",tbl_ledger[ロットID],"="),
_xlpm.搬入計-_xlpm.未割当発送-_xlpm.未割当倉庫戻し-_xlpm.未割当不良))</f>
        <v/>
      </c>
      <c r="O36" s="8" t="str">
        <f t="array" ref="O36">IF($A36="","",_xlfn.LET(
_xlpm.同品番,($B$2:$B$301=$B36),
_xlpm.週が前,($C$2:$C$301&lt;$C36),
_xlpm.同週で上行,($C$2:$C$301=$C36)*(ROW($C$2:$C$301)&lt;ROW()),
SUMPRODUCT(_xlpm.同品番*(_xlpm.週が前+_xlpm.同週で上行)*$M$2:$M$301)))</f>
        <v/>
      </c>
    </row>
    <row r="37" spans="1:15" ht="15" customHeight="1" x14ac:dyDescent="0.25">
      <c r="A37" s="4" t="str">
        <f>IFERROR(INDEX(tbl_plan[ロットID],ROW()-1),"")</f>
        <v/>
      </c>
      <c r="B37" s="4" t="str">
        <f>IF($A37="","",INDEX(tbl_plan[localId],ROW()-1))</f>
        <v/>
      </c>
      <c r="C37" s="11" t="str">
        <f>IF($A37="","",INDEX(tbl_plan[出荷週],ROW()-1))</f>
        <v/>
      </c>
      <c r="D37" s="4" t="str">
        <f>IF($A37="","",INDEX(tbl_plan[納期先],ROW()-1)&amp;"")</f>
        <v/>
      </c>
      <c r="E37" s="8" t="str">
        <f>IF($A37="","",INDEX(tbl_plan[必要数],ROW()-1))</f>
        <v/>
      </c>
      <c r="F37" s="8" t="str">
        <f t="shared" si="0"/>
        <v/>
      </c>
      <c r="G37" s="8" t="str">
        <f>IF($A37="","",SUMIFS(tbl_ledger[数量],tbl_ledger[ロットID],$A37,tbl_ledger[イベント種類],"発送"))</f>
        <v/>
      </c>
      <c r="H37" s="8" t="str">
        <f>IF($A37="","",_xlfn.LET(
_xlpm.割当,F37,
_xlpm.充当受入,SUMIFS(tbl_ledger[数量],tbl_ledger[充当先ロットID],$A37,tbl_ledger[イベント種類],"充当"),
_xlpm.充当放出,SUMIFS(tbl_ledger[数量],tbl_ledger[ロットID],$A37,tbl_ledger[イベント種類],"充当"),
_xlpm.発送済,G37,
_xlpm.倉庫戻し,SUMIFS(tbl_ledger[数量],tbl_ledger[ロットID],$A37,tbl_ledger[イベント種類],"倉庫戻し"),
_xlpm.余剰化,SUMIFS(tbl_ledger[数量],tbl_ledger[ロットID],$A37,tbl_ledger[イベント種類],"余剰化"),
_xlpm.不良,SUMIFS(tbl_ledger[数量],tbl_ledger[ロットID],$A37,tbl_ledger[イベント種類],"不良発生"),
_xlpm.割当+_xlpm.充当受入-_xlpm.充当放出-_xlpm.発送済-_xlpm.倉庫戻し-_xlpm.余剰化-_xlpm.不良))</f>
        <v/>
      </c>
      <c r="I37" s="8" t="str">
        <f>IF($A37="","",_xlfn.LET(
_xlpm.品番プール,N37,
_xlpm.割当計,SUMIF($B$2:$B$301,$B37,$F$2:$F$301),
_xlpm.余剰化受入,SUMIFS(tbl_ledger[数量],tbl_ledger[localId],$B37,tbl_ledger[イベント種類],"余剰化"),
_xlpm.充当払出,SUMIFS(tbl_ledger[数量],tbl_ledger[localId],$B37,tbl_ledger[イベント種類],"充当",tbl_ledger[ロットID],"="),
_xlpm.品番プール-_xlpm.割当計+_xlpm.余剰化受入-_xlpm.充当払出))</f>
        <v/>
      </c>
      <c r="J37" s="8" t="str">
        <f t="shared" si="1"/>
        <v/>
      </c>
      <c r="K37" s="8" t="str">
        <f t="shared" si="2"/>
        <v/>
      </c>
      <c r="L37" s="4" t="str">
        <f>IF($A37="","",IF(INDEX(tbl_plan[計画状態],ROW()-1)="キャンセル","キャンセル",IF(J37=0,"発送済",IF(K37&gt;0,"要搬出","OK"))))</f>
        <v/>
      </c>
      <c r="M37" s="8">
        <f t="array" ref="M37">_xlfn.LET(
_xlpm.計画状態,IFERROR(INDEX(tbl_plan[計画状態],ROW()-1)&amp;"",""),
_xlpm.必要数,IFERROR(N(INDEX(tbl_plan[必要数],ROW()-1)),0),
IF(_xlpm.計画状態="キャンセル",0,_xlpm.必要数))</f>
        <v>0</v>
      </c>
      <c r="N37" s="8" t="str">
        <f>IF($A37="","",_xlfn.LET(
_xlpm.搬入計,SUMIFS(tbl_ledger[数量],tbl_ledger[localId],$B37,tbl_ledger[イベント種類],"搬入"),
_xlpm.未割当発送,SUMIFS(tbl_ledger[数量],tbl_ledger[localId],$B37,tbl_ledger[イベント種類],"発送",tbl_ledger[ロットID],"="),
_xlpm.未割当倉庫戻し,SUMIFS(tbl_ledger[数量],tbl_ledger[localId],$B37,tbl_ledger[イベント種類],"倉庫戻し",tbl_ledger[ロットID],"="),
_xlpm.未割当不良,SUMIFS(tbl_ledger[数量],tbl_ledger[localId],$B37,tbl_ledger[イベント種類],"不良発生",tbl_ledger[ロットID],"="),
_xlpm.搬入計-_xlpm.未割当発送-_xlpm.未割当倉庫戻し-_xlpm.未割当不良))</f>
        <v/>
      </c>
      <c r="O37" s="8" t="str">
        <f t="array" ref="O37">IF($A37="","",_xlfn.LET(
_xlpm.同品番,($B$2:$B$301=$B37),
_xlpm.週が前,($C$2:$C$301&lt;$C37),
_xlpm.同週で上行,($C$2:$C$301=$C37)*(ROW($C$2:$C$301)&lt;ROW()),
SUMPRODUCT(_xlpm.同品番*(_xlpm.週が前+_xlpm.同週で上行)*$M$2:$M$301)))</f>
        <v/>
      </c>
    </row>
    <row r="38" spans="1:15" ht="15" customHeight="1" x14ac:dyDescent="0.25">
      <c r="A38" s="4" t="str">
        <f>IFERROR(INDEX(tbl_plan[ロットID],ROW()-1),"")</f>
        <v/>
      </c>
      <c r="B38" s="4" t="str">
        <f>IF($A38="","",INDEX(tbl_plan[localId],ROW()-1))</f>
        <v/>
      </c>
      <c r="C38" s="11" t="str">
        <f>IF($A38="","",INDEX(tbl_plan[出荷週],ROW()-1))</f>
        <v/>
      </c>
      <c r="D38" s="4" t="str">
        <f>IF($A38="","",INDEX(tbl_plan[納期先],ROW()-1)&amp;"")</f>
        <v/>
      </c>
      <c r="E38" s="8" t="str">
        <f>IF($A38="","",INDEX(tbl_plan[必要数],ROW()-1))</f>
        <v/>
      </c>
      <c r="F38" s="8" t="str">
        <f t="shared" si="0"/>
        <v/>
      </c>
      <c r="G38" s="8" t="str">
        <f>IF($A38="","",SUMIFS(tbl_ledger[数量],tbl_ledger[ロットID],$A38,tbl_ledger[イベント種類],"発送"))</f>
        <v/>
      </c>
      <c r="H38" s="8" t="str">
        <f>IF($A38="","",_xlfn.LET(
_xlpm.割当,F38,
_xlpm.充当受入,SUMIFS(tbl_ledger[数量],tbl_ledger[充当先ロットID],$A38,tbl_ledger[イベント種類],"充当"),
_xlpm.充当放出,SUMIFS(tbl_ledger[数量],tbl_ledger[ロットID],$A38,tbl_ledger[イベント種類],"充当"),
_xlpm.発送済,G38,
_xlpm.倉庫戻し,SUMIFS(tbl_ledger[数量],tbl_ledger[ロットID],$A38,tbl_ledger[イベント種類],"倉庫戻し"),
_xlpm.余剰化,SUMIFS(tbl_ledger[数量],tbl_ledger[ロットID],$A38,tbl_ledger[イベント種類],"余剰化"),
_xlpm.不良,SUMIFS(tbl_ledger[数量],tbl_ledger[ロットID],$A38,tbl_ledger[イベント種類],"不良発生"),
_xlpm.割当+_xlpm.充当受入-_xlpm.充当放出-_xlpm.発送済-_xlpm.倉庫戻し-_xlpm.余剰化-_xlpm.不良))</f>
        <v/>
      </c>
      <c r="I38" s="8" t="str">
        <f>IF($A38="","",_xlfn.LET(
_xlpm.品番プール,N38,
_xlpm.割当計,SUMIF($B$2:$B$301,$B38,$F$2:$F$301),
_xlpm.余剰化受入,SUMIFS(tbl_ledger[数量],tbl_ledger[localId],$B38,tbl_ledger[イベント種類],"余剰化"),
_xlpm.充当払出,SUMIFS(tbl_ledger[数量],tbl_ledger[localId],$B38,tbl_ledger[イベント種類],"充当",tbl_ledger[ロットID],"="),
_xlpm.品番プール-_xlpm.割当計+_xlpm.余剰化受入-_xlpm.充当払出))</f>
        <v/>
      </c>
      <c r="J38" s="8" t="str">
        <f t="shared" si="1"/>
        <v/>
      </c>
      <c r="K38" s="8" t="str">
        <f t="shared" si="2"/>
        <v/>
      </c>
      <c r="L38" s="4" t="str">
        <f>IF($A38="","",IF(INDEX(tbl_plan[計画状態],ROW()-1)="キャンセル","キャンセル",IF(J38=0,"発送済",IF(K38&gt;0,"要搬出","OK"))))</f>
        <v/>
      </c>
      <c r="M38" s="8">
        <f t="array" ref="M38">_xlfn.LET(
_xlpm.計画状態,IFERROR(INDEX(tbl_plan[計画状態],ROW()-1)&amp;"",""),
_xlpm.必要数,IFERROR(N(INDEX(tbl_plan[必要数],ROW()-1)),0),
IF(_xlpm.計画状態="キャンセル",0,_xlpm.必要数))</f>
        <v>0</v>
      </c>
      <c r="N38" s="8" t="str">
        <f>IF($A38="","",_xlfn.LET(
_xlpm.搬入計,SUMIFS(tbl_ledger[数量],tbl_ledger[localId],$B38,tbl_ledger[イベント種類],"搬入"),
_xlpm.未割当発送,SUMIFS(tbl_ledger[数量],tbl_ledger[localId],$B38,tbl_ledger[イベント種類],"発送",tbl_ledger[ロットID],"="),
_xlpm.未割当倉庫戻し,SUMIFS(tbl_ledger[数量],tbl_ledger[localId],$B38,tbl_ledger[イベント種類],"倉庫戻し",tbl_ledger[ロットID],"="),
_xlpm.未割当不良,SUMIFS(tbl_ledger[数量],tbl_ledger[localId],$B38,tbl_ledger[イベント種類],"不良発生",tbl_ledger[ロットID],"="),
_xlpm.搬入計-_xlpm.未割当発送-_xlpm.未割当倉庫戻し-_xlpm.未割当不良))</f>
        <v/>
      </c>
      <c r="O38" s="8" t="str">
        <f t="array" ref="O38">IF($A38="","",_xlfn.LET(
_xlpm.同品番,($B$2:$B$301=$B38),
_xlpm.週が前,($C$2:$C$301&lt;$C38),
_xlpm.同週で上行,($C$2:$C$301=$C38)*(ROW($C$2:$C$301)&lt;ROW()),
SUMPRODUCT(_xlpm.同品番*(_xlpm.週が前+_xlpm.同週で上行)*$M$2:$M$301)))</f>
        <v/>
      </c>
    </row>
    <row r="39" spans="1:15" ht="15" customHeight="1" x14ac:dyDescent="0.25">
      <c r="A39" s="4" t="str">
        <f>IFERROR(INDEX(tbl_plan[ロットID],ROW()-1),"")</f>
        <v/>
      </c>
      <c r="B39" s="4" t="str">
        <f>IF($A39="","",INDEX(tbl_plan[localId],ROW()-1))</f>
        <v/>
      </c>
      <c r="C39" s="11" t="str">
        <f>IF($A39="","",INDEX(tbl_plan[出荷週],ROW()-1))</f>
        <v/>
      </c>
      <c r="D39" s="4" t="str">
        <f>IF($A39="","",INDEX(tbl_plan[納期先],ROW()-1)&amp;"")</f>
        <v/>
      </c>
      <c r="E39" s="8" t="str">
        <f>IF($A39="","",INDEX(tbl_plan[必要数],ROW()-1))</f>
        <v/>
      </c>
      <c r="F39" s="8" t="str">
        <f t="shared" si="0"/>
        <v/>
      </c>
      <c r="G39" s="8" t="str">
        <f>IF($A39="","",SUMIFS(tbl_ledger[数量],tbl_ledger[ロットID],$A39,tbl_ledger[イベント種類],"発送"))</f>
        <v/>
      </c>
      <c r="H39" s="8" t="str">
        <f>IF($A39="","",_xlfn.LET(
_xlpm.割当,F39,
_xlpm.充当受入,SUMIFS(tbl_ledger[数量],tbl_ledger[充当先ロットID],$A39,tbl_ledger[イベント種類],"充当"),
_xlpm.充当放出,SUMIFS(tbl_ledger[数量],tbl_ledger[ロットID],$A39,tbl_ledger[イベント種類],"充当"),
_xlpm.発送済,G39,
_xlpm.倉庫戻し,SUMIFS(tbl_ledger[数量],tbl_ledger[ロットID],$A39,tbl_ledger[イベント種類],"倉庫戻し"),
_xlpm.余剰化,SUMIFS(tbl_ledger[数量],tbl_ledger[ロットID],$A39,tbl_ledger[イベント種類],"余剰化"),
_xlpm.不良,SUMIFS(tbl_ledger[数量],tbl_ledger[ロットID],$A39,tbl_ledger[イベント種類],"不良発生"),
_xlpm.割当+_xlpm.充当受入-_xlpm.充当放出-_xlpm.発送済-_xlpm.倉庫戻し-_xlpm.余剰化-_xlpm.不良))</f>
        <v/>
      </c>
      <c r="I39" s="8" t="str">
        <f>IF($A39="","",_xlfn.LET(
_xlpm.品番プール,N39,
_xlpm.割当計,SUMIF($B$2:$B$301,$B39,$F$2:$F$301),
_xlpm.余剰化受入,SUMIFS(tbl_ledger[数量],tbl_ledger[localId],$B39,tbl_ledger[イベント種類],"余剰化"),
_xlpm.充当払出,SUMIFS(tbl_ledger[数量],tbl_ledger[localId],$B39,tbl_ledger[イベント種類],"充当",tbl_ledger[ロットID],"="),
_xlpm.品番プール-_xlpm.割当計+_xlpm.余剰化受入-_xlpm.充当払出))</f>
        <v/>
      </c>
      <c r="J39" s="8" t="str">
        <f t="shared" si="1"/>
        <v/>
      </c>
      <c r="K39" s="8" t="str">
        <f t="shared" si="2"/>
        <v/>
      </c>
      <c r="L39" s="4" t="str">
        <f>IF($A39="","",IF(INDEX(tbl_plan[計画状態],ROW()-1)="キャンセル","キャンセル",IF(J39=0,"発送済",IF(K39&gt;0,"要搬出","OK"))))</f>
        <v/>
      </c>
      <c r="M39" s="8">
        <f t="array" ref="M39">_xlfn.LET(
_xlpm.計画状態,IFERROR(INDEX(tbl_plan[計画状態],ROW()-1)&amp;"",""),
_xlpm.必要数,IFERROR(N(INDEX(tbl_plan[必要数],ROW()-1)),0),
IF(_xlpm.計画状態="キャンセル",0,_xlpm.必要数))</f>
        <v>0</v>
      </c>
      <c r="N39" s="8" t="str">
        <f>IF($A39="","",_xlfn.LET(
_xlpm.搬入計,SUMIFS(tbl_ledger[数量],tbl_ledger[localId],$B39,tbl_ledger[イベント種類],"搬入"),
_xlpm.未割当発送,SUMIFS(tbl_ledger[数量],tbl_ledger[localId],$B39,tbl_ledger[イベント種類],"発送",tbl_ledger[ロットID],"="),
_xlpm.未割当倉庫戻し,SUMIFS(tbl_ledger[数量],tbl_ledger[localId],$B39,tbl_ledger[イベント種類],"倉庫戻し",tbl_ledger[ロットID],"="),
_xlpm.未割当不良,SUMIFS(tbl_ledger[数量],tbl_ledger[localId],$B39,tbl_ledger[イベント種類],"不良発生",tbl_ledger[ロットID],"="),
_xlpm.搬入計-_xlpm.未割当発送-_xlpm.未割当倉庫戻し-_xlpm.未割当不良))</f>
        <v/>
      </c>
      <c r="O39" s="8" t="str">
        <f t="array" ref="O39">IF($A39="","",_xlfn.LET(
_xlpm.同品番,($B$2:$B$301=$B39),
_xlpm.週が前,($C$2:$C$301&lt;$C39),
_xlpm.同週で上行,($C$2:$C$301=$C39)*(ROW($C$2:$C$301)&lt;ROW()),
SUMPRODUCT(_xlpm.同品番*(_xlpm.週が前+_xlpm.同週で上行)*$M$2:$M$301)))</f>
        <v/>
      </c>
    </row>
    <row r="40" spans="1:15" ht="15" customHeight="1" x14ac:dyDescent="0.25">
      <c r="A40" s="4" t="str">
        <f>IFERROR(INDEX(tbl_plan[ロットID],ROW()-1),"")</f>
        <v/>
      </c>
      <c r="B40" s="4" t="str">
        <f>IF($A40="","",INDEX(tbl_plan[localId],ROW()-1))</f>
        <v/>
      </c>
      <c r="C40" s="11" t="str">
        <f>IF($A40="","",INDEX(tbl_plan[出荷週],ROW()-1))</f>
        <v/>
      </c>
      <c r="D40" s="4" t="str">
        <f>IF($A40="","",INDEX(tbl_plan[納期先],ROW()-1)&amp;"")</f>
        <v/>
      </c>
      <c r="E40" s="8" t="str">
        <f>IF($A40="","",INDEX(tbl_plan[必要数],ROW()-1))</f>
        <v/>
      </c>
      <c r="F40" s="8" t="str">
        <f t="shared" si="0"/>
        <v/>
      </c>
      <c r="G40" s="8" t="str">
        <f>IF($A40="","",SUMIFS(tbl_ledger[数量],tbl_ledger[ロットID],$A40,tbl_ledger[イベント種類],"発送"))</f>
        <v/>
      </c>
      <c r="H40" s="8" t="str">
        <f>IF($A40="","",_xlfn.LET(
_xlpm.割当,F40,
_xlpm.充当受入,SUMIFS(tbl_ledger[数量],tbl_ledger[充当先ロットID],$A40,tbl_ledger[イベント種類],"充当"),
_xlpm.充当放出,SUMIFS(tbl_ledger[数量],tbl_ledger[ロットID],$A40,tbl_ledger[イベント種類],"充当"),
_xlpm.発送済,G40,
_xlpm.倉庫戻し,SUMIFS(tbl_ledger[数量],tbl_ledger[ロットID],$A40,tbl_ledger[イベント種類],"倉庫戻し"),
_xlpm.余剰化,SUMIFS(tbl_ledger[数量],tbl_ledger[ロットID],$A40,tbl_ledger[イベント種類],"余剰化"),
_xlpm.不良,SUMIFS(tbl_ledger[数量],tbl_ledger[ロットID],$A40,tbl_ledger[イベント種類],"不良発生"),
_xlpm.割当+_xlpm.充当受入-_xlpm.充当放出-_xlpm.発送済-_xlpm.倉庫戻し-_xlpm.余剰化-_xlpm.不良))</f>
        <v/>
      </c>
      <c r="I40" s="8" t="str">
        <f>IF($A40="","",_xlfn.LET(
_xlpm.品番プール,N40,
_xlpm.割当計,SUMIF($B$2:$B$301,$B40,$F$2:$F$301),
_xlpm.余剰化受入,SUMIFS(tbl_ledger[数量],tbl_ledger[localId],$B40,tbl_ledger[イベント種類],"余剰化"),
_xlpm.充当払出,SUMIFS(tbl_ledger[数量],tbl_ledger[localId],$B40,tbl_ledger[イベント種類],"充当",tbl_ledger[ロットID],"="),
_xlpm.品番プール-_xlpm.割当計+_xlpm.余剰化受入-_xlpm.充当払出))</f>
        <v/>
      </c>
      <c r="J40" s="8" t="str">
        <f t="shared" si="1"/>
        <v/>
      </c>
      <c r="K40" s="8" t="str">
        <f t="shared" si="2"/>
        <v/>
      </c>
      <c r="L40" s="4" t="str">
        <f>IF($A40="","",IF(INDEX(tbl_plan[計画状態],ROW()-1)="キャンセル","キャンセル",IF(J40=0,"発送済",IF(K40&gt;0,"要搬出","OK"))))</f>
        <v/>
      </c>
      <c r="M40" s="8">
        <f t="array" ref="M40">_xlfn.LET(
_xlpm.計画状態,IFERROR(INDEX(tbl_plan[計画状態],ROW()-1)&amp;"",""),
_xlpm.必要数,IFERROR(N(INDEX(tbl_plan[必要数],ROW()-1)),0),
IF(_xlpm.計画状態="キャンセル",0,_xlpm.必要数))</f>
        <v>0</v>
      </c>
      <c r="N40" s="8" t="str">
        <f>IF($A40="","",_xlfn.LET(
_xlpm.搬入計,SUMIFS(tbl_ledger[数量],tbl_ledger[localId],$B40,tbl_ledger[イベント種類],"搬入"),
_xlpm.未割当発送,SUMIFS(tbl_ledger[数量],tbl_ledger[localId],$B40,tbl_ledger[イベント種類],"発送",tbl_ledger[ロットID],"="),
_xlpm.未割当倉庫戻し,SUMIFS(tbl_ledger[数量],tbl_ledger[localId],$B40,tbl_ledger[イベント種類],"倉庫戻し",tbl_ledger[ロットID],"="),
_xlpm.未割当不良,SUMIFS(tbl_ledger[数量],tbl_ledger[localId],$B40,tbl_ledger[イベント種類],"不良発生",tbl_ledger[ロットID],"="),
_xlpm.搬入計-_xlpm.未割当発送-_xlpm.未割当倉庫戻し-_xlpm.未割当不良))</f>
        <v/>
      </c>
      <c r="O40" s="8" t="str">
        <f t="array" ref="O40">IF($A40="","",_xlfn.LET(
_xlpm.同品番,($B$2:$B$301=$B40),
_xlpm.週が前,($C$2:$C$301&lt;$C40),
_xlpm.同週で上行,($C$2:$C$301=$C40)*(ROW($C$2:$C$301)&lt;ROW()),
SUMPRODUCT(_xlpm.同品番*(_xlpm.週が前+_xlpm.同週で上行)*$M$2:$M$301)))</f>
        <v/>
      </c>
    </row>
    <row r="41" spans="1:15" ht="15" customHeight="1" x14ac:dyDescent="0.25">
      <c r="A41" s="4" t="str">
        <f>IFERROR(INDEX(tbl_plan[ロットID],ROW()-1),"")</f>
        <v/>
      </c>
      <c r="B41" s="4" t="str">
        <f>IF($A41="","",INDEX(tbl_plan[localId],ROW()-1))</f>
        <v/>
      </c>
      <c r="C41" s="11" t="str">
        <f>IF($A41="","",INDEX(tbl_plan[出荷週],ROW()-1))</f>
        <v/>
      </c>
      <c r="D41" s="4" t="str">
        <f>IF($A41="","",INDEX(tbl_plan[納期先],ROW()-1)&amp;"")</f>
        <v/>
      </c>
      <c r="E41" s="8" t="str">
        <f>IF($A41="","",INDEX(tbl_plan[必要数],ROW()-1))</f>
        <v/>
      </c>
      <c r="F41" s="8" t="str">
        <f t="shared" si="0"/>
        <v/>
      </c>
      <c r="G41" s="8" t="str">
        <f>IF($A41="","",SUMIFS(tbl_ledger[数量],tbl_ledger[ロットID],$A41,tbl_ledger[イベント種類],"発送"))</f>
        <v/>
      </c>
      <c r="H41" s="8" t="str">
        <f>IF($A41="","",_xlfn.LET(
_xlpm.割当,F41,
_xlpm.充当受入,SUMIFS(tbl_ledger[数量],tbl_ledger[充当先ロットID],$A41,tbl_ledger[イベント種類],"充当"),
_xlpm.充当放出,SUMIFS(tbl_ledger[数量],tbl_ledger[ロットID],$A41,tbl_ledger[イベント種類],"充当"),
_xlpm.発送済,G41,
_xlpm.倉庫戻し,SUMIFS(tbl_ledger[数量],tbl_ledger[ロットID],$A41,tbl_ledger[イベント種類],"倉庫戻し"),
_xlpm.余剰化,SUMIFS(tbl_ledger[数量],tbl_ledger[ロットID],$A41,tbl_ledger[イベント種類],"余剰化"),
_xlpm.不良,SUMIFS(tbl_ledger[数量],tbl_ledger[ロットID],$A41,tbl_ledger[イベント種類],"不良発生"),
_xlpm.割当+_xlpm.充当受入-_xlpm.充当放出-_xlpm.発送済-_xlpm.倉庫戻し-_xlpm.余剰化-_xlpm.不良))</f>
        <v/>
      </c>
      <c r="I41" s="8" t="str">
        <f>IF($A41="","",_xlfn.LET(
_xlpm.品番プール,N41,
_xlpm.割当計,SUMIF($B$2:$B$301,$B41,$F$2:$F$301),
_xlpm.余剰化受入,SUMIFS(tbl_ledger[数量],tbl_ledger[localId],$B41,tbl_ledger[イベント種類],"余剰化"),
_xlpm.充当払出,SUMIFS(tbl_ledger[数量],tbl_ledger[localId],$B41,tbl_ledger[イベント種類],"充当",tbl_ledger[ロットID],"="),
_xlpm.品番プール-_xlpm.割当計+_xlpm.余剰化受入-_xlpm.充当払出))</f>
        <v/>
      </c>
      <c r="J41" s="8" t="str">
        <f t="shared" si="1"/>
        <v/>
      </c>
      <c r="K41" s="8" t="str">
        <f t="shared" si="2"/>
        <v/>
      </c>
      <c r="L41" s="4" t="str">
        <f>IF($A41="","",IF(INDEX(tbl_plan[計画状態],ROW()-1)="キャンセル","キャンセル",IF(J41=0,"発送済",IF(K41&gt;0,"要搬出","OK"))))</f>
        <v/>
      </c>
      <c r="M41" s="8">
        <f t="array" ref="M41">_xlfn.LET(
_xlpm.計画状態,IFERROR(INDEX(tbl_plan[計画状態],ROW()-1)&amp;"",""),
_xlpm.必要数,IFERROR(N(INDEX(tbl_plan[必要数],ROW()-1)),0),
IF(_xlpm.計画状態="キャンセル",0,_xlpm.必要数))</f>
        <v>0</v>
      </c>
      <c r="N41" s="8" t="str">
        <f>IF($A41="","",_xlfn.LET(
_xlpm.搬入計,SUMIFS(tbl_ledger[数量],tbl_ledger[localId],$B41,tbl_ledger[イベント種類],"搬入"),
_xlpm.未割当発送,SUMIFS(tbl_ledger[数量],tbl_ledger[localId],$B41,tbl_ledger[イベント種類],"発送",tbl_ledger[ロットID],"="),
_xlpm.未割当倉庫戻し,SUMIFS(tbl_ledger[数量],tbl_ledger[localId],$B41,tbl_ledger[イベント種類],"倉庫戻し",tbl_ledger[ロットID],"="),
_xlpm.未割当不良,SUMIFS(tbl_ledger[数量],tbl_ledger[localId],$B41,tbl_ledger[イベント種類],"不良発生",tbl_ledger[ロットID],"="),
_xlpm.搬入計-_xlpm.未割当発送-_xlpm.未割当倉庫戻し-_xlpm.未割当不良))</f>
        <v/>
      </c>
      <c r="O41" s="8" t="str">
        <f t="array" ref="O41">IF($A41="","",_xlfn.LET(
_xlpm.同品番,($B$2:$B$301=$B41),
_xlpm.週が前,($C$2:$C$301&lt;$C41),
_xlpm.同週で上行,($C$2:$C$301=$C41)*(ROW($C$2:$C$301)&lt;ROW()),
SUMPRODUCT(_xlpm.同品番*(_xlpm.週が前+_xlpm.同週で上行)*$M$2:$M$301)))</f>
        <v/>
      </c>
    </row>
    <row r="42" spans="1:15" ht="15" customHeight="1" x14ac:dyDescent="0.25">
      <c r="A42" s="4" t="str">
        <f>IFERROR(INDEX(tbl_plan[ロットID],ROW()-1),"")</f>
        <v/>
      </c>
      <c r="B42" s="4" t="str">
        <f>IF($A42="","",INDEX(tbl_plan[localId],ROW()-1))</f>
        <v/>
      </c>
      <c r="C42" s="11" t="str">
        <f>IF($A42="","",INDEX(tbl_plan[出荷週],ROW()-1))</f>
        <v/>
      </c>
      <c r="D42" s="4" t="str">
        <f>IF($A42="","",INDEX(tbl_plan[納期先],ROW()-1)&amp;"")</f>
        <v/>
      </c>
      <c r="E42" s="8" t="str">
        <f>IF($A42="","",INDEX(tbl_plan[必要数],ROW()-1))</f>
        <v/>
      </c>
      <c r="F42" s="8" t="str">
        <f t="shared" si="0"/>
        <v/>
      </c>
      <c r="G42" s="8" t="str">
        <f>IF($A42="","",SUMIFS(tbl_ledger[数量],tbl_ledger[ロットID],$A42,tbl_ledger[イベント種類],"発送"))</f>
        <v/>
      </c>
      <c r="H42" s="8" t="str">
        <f>IF($A42="","",_xlfn.LET(
_xlpm.割当,F42,
_xlpm.充当受入,SUMIFS(tbl_ledger[数量],tbl_ledger[充当先ロットID],$A42,tbl_ledger[イベント種類],"充当"),
_xlpm.充当放出,SUMIFS(tbl_ledger[数量],tbl_ledger[ロットID],$A42,tbl_ledger[イベント種類],"充当"),
_xlpm.発送済,G42,
_xlpm.倉庫戻し,SUMIFS(tbl_ledger[数量],tbl_ledger[ロットID],$A42,tbl_ledger[イベント種類],"倉庫戻し"),
_xlpm.余剰化,SUMIFS(tbl_ledger[数量],tbl_ledger[ロットID],$A42,tbl_ledger[イベント種類],"余剰化"),
_xlpm.不良,SUMIFS(tbl_ledger[数量],tbl_ledger[ロットID],$A42,tbl_ledger[イベント種類],"不良発生"),
_xlpm.割当+_xlpm.充当受入-_xlpm.充当放出-_xlpm.発送済-_xlpm.倉庫戻し-_xlpm.余剰化-_xlpm.不良))</f>
        <v/>
      </c>
      <c r="I42" s="8" t="str">
        <f>IF($A42="","",_xlfn.LET(
_xlpm.品番プール,N42,
_xlpm.割当計,SUMIF($B$2:$B$301,$B42,$F$2:$F$301),
_xlpm.余剰化受入,SUMIFS(tbl_ledger[数量],tbl_ledger[localId],$B42,tbl_ledger[イベント種類],"余剰化"),
_xlpm.充当払出,SUMIFS(tbl_ledger[数量],tbl_ledger[localId],$B42,tbl_ledger[イベント種類],"充当",tbl_ledger[ロットID],"="),
_xlpm.品番プール-_xlpm.割当計+_xlpm.余剰化受入-_xlpm.充当払出))</f>
        <v/>
      </c>
      <c r="J42" s="8" t="str">
        <f t="shared" si="1"/>
        <v/>
      </c>
      <c r="K42" s="8" t="str">
        <f t="shared" si="2"/>
        <v/>
      </c>
      <c r="L42" s="4" t="str">
        <f>IF($A42="","",IF(INDEX(tbl_plan[計画状態],ROW()-1)="キャンセル","キャンセル",IF(J42=0,"発送済",IF(K42&gt;0,"要搬出","OK"))))</f>
        <v/>
      </c>
      <c r="M42" s="8">
        <f t="array" ref="M42">_xlfn.LET(
_xlpm.計画状態,IFERROR(INDEX(tbl_plan[計画状態],ROW()-1)&amp;"",""),
_xlpm.必要数,IFERROR(N(INDEX(tbl_plan[必要数],ROW()-1)),0),
IF(_xlpm.計画状態="キャンセル",0,_xlpm.必要数))</f>
        <v>0</v>
      </c>
      <c r="N42" s="8" t="str">
        <f>IF($A42="","",_xlfn.LET(
_xlpm.搬入計,SUMIFS(tbl_ledger[数量],tbl_ledger[localId],$B42,tbl_ledger[イベント種類],"搬入"),
_xlpm.未割当発送,SUMIFS(tbl_ledger[数量],tbl_ledger[localId],$B42,tbl_ledger[イベント種類],"発送",tbl_ledger[ロットID],"="),
_xlpm.未割当倉庫戻し,SUMIFS(tbl_ledger[数量],tbl_ledger[localId],$B42,tbl_ledger[イベント種類],"倉庫戻し",tbl_ledger[ロットID],"="),
_xlpm.未割当不良,SUMIFS(tbl_ledger[数量],tbl_ledger[localId],$B42,tbl_ledger[イベント種類],"不良発生",tbl_ledger[ロットID],"="),
_xlpm.搬入計-_xlpm.未割当発送-_xlpm.未割当倉庫戻し-_xlpm.未割当不良))</f>
        <v/>
      </c>
      <c r="O42" s="8" t="str">
        <f t="array" ref="O42">IF($A42="","",_xlfn.LET(
_xlpm.同品番,($B$2:$B$301=$B42),
_xlpm.週が前,($C$2:$C$301&lt;$C42),
_xlpm.同週で上行,($C$2:$C$301=$C42)*(ROW($C$2:$C$301)&lt;ROW()),
SUMPRODUCT(_xlpm.同品番*(_xlpm.週が前+_xlpm.同週で上行)*$M$2:$M$301)))</f>
        <v/>
      </c>
    </row>
    <row r="43" spans="1:15" ht="15" customHeight="1" x14ac:dyDescent="0.25">
      <c r="A43" s="4" t="str">
        <f>IFERROR(INDEX(tbl_plan[ロットID],ROW()-1),"")</f>
        <v/>
      </c>
      <c r="B43" s="4" t="str">
        <f>IF($A43="","",INDEX(tbl_plan[localId],ROW()-1))</f>
        <v/>
      </c>
      <c r="C43" s="11" t="str">
        <f>IF($A43="","",INDEX(tbl_plan[出荷週],ROW()-1))</f>
        <v/>
      </c>
      <c r="D43" s="4" t="str">
        <f>IF($A43="","",INDEX(tbl_plan[納期先],ROW()-1)&amp;"")</f>
        <v/>
      </c>
      <c r="E43" s="8" t="str">
        <f>IF($A43="","",INDEX(tbl_plan[必要数],ROW()-1))</f>
        <v/>
      </c>
      <c r="F43" s="8" t="str">
        <f t="shared" si="0"/>
        <v/>
      </c>
      <c r="G43" s="8" t="str">
        <f>IF($A43="","",SUMIFS(tbl_ledger[数量],tbl_ledger[ロットID],$A43,tbl_ledger[イベント種類],"発送"))</f>
        <v/>
      </c>
      <c r="H43" s="8" t="str">
        <f>IF($A43="","",_xlfn.LET(
_xlpm.割当,F43,
_xlpm.充当受入,SUMIFS(tbl_ledger[数量],tbl_ledger[充当先ロットID],$A43,tbl_ledger[イベント種類],"充当"),
_xlpm.充当放出,SUMIFS(tbl_ledger[数量],tbl_ledger[ロットID],$A43,tbl_ledger[イベント種類],"充当"),
_xlpm.発送済,G43,
_xlpm.倉庫戻し,SUMIFS(tbl_ledger[数量],tbl_ledger[ロットID],$A43,tbl_ledger[イベント種類],"倉庫戻し"),
_xlpm.余剰化,SUMIFS(tbl_ledger[数量],tbl_ledger[ロットID],$A43,tbl_ledger[イベント種類],"余剰化"),
_xlpm.不良,SUMIFS(tbl_ledger[数量],tbl_ledger[ロットID],$A43,tbl_ledger[イベント種類],"不良発生"),
_xlpm.割当+_xlpm.充当受入-_xlpm.充当放出-_xlpm.発送済-_xlpm.倉庫戻し-_xlpm.余剰化-_xlpm.不良))</f>
        <v/>
      </c>
      <c r="I43" s="8" t="str">
        <f>IF($A43="","",_xlfn.LET(
_xlpm.品番プール,N43,
_xlpm.割当計,SUMIF($B$2:$B$301,$B43,$F$2:$F$301),
_xlpm.余剰化受入,SUMIFS(tbl_ledger[数量],tbl_ledger[localId],$B43,tbl_ledger[イベント種類],"余剰化"),
_xlpm.充当払出,SUMIFS(tbl_ledger[数量],tbl_ledger[localId],$B43,tbl_ledger[イベント種類],"充当",tbl_ledger[ロットID],"="),
_xlpm.品番プール-_xlpm.割当計+_xlpm.余剰化受入-_xlpm.充当払出))</f>
        <v/>
      </c>
      <c r="J43" s="8" t="str">
        <f t="shared" si="1"/>
        <v/>
      </c>
      <c r="K43" s="8" t="str">
        <f t="shared" si="2"/>
        <v/>
      </c>
      <c r="L43" s="4" t="str">
        <f>IF($A43="","",IF(INDEX(tbl_plan[計画状態],ROW()-1)="キャンセル","キャンセル",IF(J43=0,"発送済",IF(K43&gt;0,"要搬出","OK"))))</f>
        <v/>
      </c>
      <c r="M43" s="8">
        <f t="array" ref="M43">_xlfn.LET(
_xlpm.計画状態,IFERROR(INDEX(tbl_plan[計画状態],ROW()-1)&amp;"",""),
_xlpm.必要数,IFERROR(N(INDEX(tbl_plan[必要数],ROW()-1)),0),
IF(_xlpm.計画状態="キャンセル",0,_xlpm.必要数))</f>
        <v>0</v>
      </c>
      <c r="N43" s="8" t="str">
        <f>IF($A43="","",_xlfn.LET(
_xlpm.搬入計,SUMIFS(tbl_ledger[数量],tbl_ledger[localId],$B43,tbl_ledger[イベント種類],"搬入"),
_xlpm.未割当発送,SUMIFS(tbl_ledger[数量],tbl_ledger[localId],$B43,tbl_ledger[イベント種類],"発送",tbl_ledger[ロットID],"="),
_xlpm.未割当倉庫戻し,SUMIFS(tbl_ledger[数量],tbl_ledger[localId],$B43,tbl_ledger[イベント種類],"倉庫戻し",tbl_ledger[ロットID],"="),
_xlpm.未割当不良,SUMIFS(tbl_ledger[数量],tbl_ledger[localId],$B43,tbl_ledger[イベント種類],"不良発生",tbl_ledger[ロットID],"="),
_xlpm.搬入計-_xlpm.未割当発送-_xlpm.未割当倉庫戻し-_xlpm.未割当不良))</f>
        <v/>
      </c>
      <c r="O43" s="8" t="str">
        <f t="array" ref="O43">IF($A43="","",_xlfn.LET(
_xlpm.同品番,($B$2:$B$301=$B43),
_xlpm.週が前,($C$2:$C$301&lt;$C43),
_xlpm.同週で上行,($C$2:$C$301=$C43)*(ROW($C$2:$C$301)&lt;ROW()),
SUMPRODUCT(_xlpm.同品番*(_xlpm.週が前+_xlpm.同週で上行)*$M$2:$M$301)))</f>
        <v/>
      </c>
    </row>
    <row r="44" spans="1:15" ht="15" customHeight="1" x14ac:dyDescent="0.25">
      <c r="A44" s="4" t="str">
        <f>IFERROR(INDEX(tbl_plan[ロットID],ROW()-1),"")</f>
        <v/>
      </c>
      <c r="B44" s="4" t="str">
        <f>IF($A44="","",INDEX(tbl_plan[localId],ROW()-1))</f>
        <v/>
      </c>
      <c r="C44" s="11" t="str">
        <f>IF($A44="","",INDEX(tbl_plan[出荷週],ROW()-1))</f>
        <v/>
      </c>
      <c r="D44" s="4" t="str">
        <f>IF($A44="","",INDEX(tbl_plan[納期先],ROW()-1)&amp;"")</f>
        <v/>
      </c>
      <c r="E44" s="8" t="str">
        <f>IF($A44="","",INDEX(tbl_plan[必要数],ROW()-1))</f>
        <v/>
      </c>
      <c r="F44" s="8" t="str">
        <f t="shared" si="0"/>
        <v/>
      </c>
      <c r="G44" s="8" t="str">
        <f>IF($A44="","",SUMIFS(tbl_ledger[数量],tbl_ledger[ロットID],$A44,tbl_ledger[イベント種類],"発送"))</f>
        <v/>
      </c>
      <c r="H44" s="8" t="str">
        <f>IF($A44="","",_xlfn.LET(
_xlpm.割当,F44,
_xlpm.充当受入,SUMIFS(tbl_ledger[数量],tbl_ledger[充当先ロットID],$A44,tbl_ledger[イベント種類],"充当"),
_xlpm.充当放出,SUMIFS(tbl_ledger[数量],tbl_ledger[ロットID],$A44,tbl_ledger[イベント種類],"充当"),
_xlpm.発送済,G44,
_xlpm.倉庫戻し,SUMIFS(tbl_ledger[数量],tbl_ledger[ロットID],$A44,tbl_ledger[イベント種類],"倉庫戻し"),
_xlpm.余剰化,SUMIFS(tbl_ledger[数量],tbl_ledger[ロットID],$A44,tbl_ledger[イベント種類],"余剰化"),
_xlpm.不良,SUMIFS(tbl_ledger[数量],tbl_ledger[ロットID],$A44,tbl_ledger[イベント種類],"不良発生"),
_xlpm.割当+_xlpm.充当受入-_xlpm.充当放出-_xlpm.発送済-_xlpm.倉庫戻し-_xlpm.余剰化-_xlpm.不良))</f>
        <v/>
      </c>
      <c r="I44" s="8" t="str">
        <f>IF($A44="","",_xlfn.LET(
_xlpm.品番プール,N44,
_xlpm.割当計,SUMIF($B$2:$B$301,$B44,$F$2:$F$301),
_xlpm.余剰化受入,SUMIFS(tbl_ledger[数量],tbl_ledger[localId],$B44,tbl_ledger[イベント種類],"余剰化"),
_xlpm.充当払出,SUMIFS(tbl_ledger[数量],tbl_ledger[localId],$B44,tbl_ledger[イベント種類],"充当",tbl_ledger[ロットID],"="),
_xlpm.品番プール-_xlpm.割当計+_xlpm.余剰化受入-_xlpm.充当払出))</f>
        <v/>
      </c>
      <c r="J44" s="8" t="str">
        <f t="shared" si="1"/>
        <v/>
      </c>
      <c r="K44" s="8" t="str">
        <f t="shared" si="2"/>
        <v/>
      </c>
      <c r="L44" s="4" t="str">
        <f>IF($A44="","",IF(INDEX(tbl_plan[計画状態],ROW()-1)="キャンセル","キャンセル",IF(J44=0,"発送済",IF(K44&gt;0,"要搬出","OK"))))</f>
        <v/>
      </c>
      <c r="M44" s="8">
        <f t="array" ref="M44">_xlfn.LET(
_xlpm.計画状態,IFERROR(INDEX(tbl_plan[計画状態],ROW()-1)&amp;"",""),
_xlpm.必要数,IFERROR(N(INDEX(tbl_plan[必要数],ROW()-1)),0),
IF(_xlpm.計画状態="キャンセル",0,_xlpm.必要数))</f>
        <v>0</v>
      </c>
      <c r="N44" s="8" t="str">
        <f>IF($A44="","",_xlfn.LET(
_xlpm.搬入計,SUMIFS(tbl_ledger[数量],tbl_ledger[localId],$B44,tbl_ledger[イベント種類],"搬入"),
_xlpm.未割当発送,SUMIFS(tbl_ledger[数量],tbl_ledger[localId],$B44,tbl_ledger[イベント種類],"発送",tbl_ledger[ロットID],"="),
_xlpm.未割当倉庫戻し,SUMIFS(tbl_ledger[数量],tbl_ledger[localId],$B44,tbl_ledger[イベント種類],"倉庫戻し",tbl_ledger[ロットID],"="),
_xlpm.未割当不良,SUMIFS(tbl_ledger[数量],tbl_ledger[localId],$B44,tbl_ledger[イベント種類],"不良発生",tbl_ledger[ロットID],"="),
_xlpm.搬入計-_xlpm.未割当発送-_xlpm.未割当倉庫戻し-_xlpm.未割当不良))</f>
        <v/>
      </c>
      <c r="O44" s="8" t="str">
        <f t="array" ref="O44">IF($A44="","",_xlfn.LET(
_xlpm.同品番,($B$2:$B$301=$B44),
_xlpm.週が前,($C$2:$C$301&lt;$C44),
_xlpm.同週で上行,($C$2:$C$301=$C44)*(ROW($C$2:$C$301)&lt;ROW()),
SUMPRODUCT(_xlpm.同品番*(_xlpm.週が前+_xlpm.同週で上行)*$M$2:$M$301)))</f>
        <v/>
      </c>
    </row>
    <row r="45" spans="1:15" ht="15" customHeight="1" x14ac:dyDescent="0.25">
      <c r="A45" s="4" t="str">
        <f>IFERROR(INDEX(tbl_plan[ロットID],ROW()-1),"")</f>
        <v/>
      </c>
      <c r="B45" s="4" t="str">
        <f>IF($A45="","",INDEX(tbl_plan[localId],ROW()-1))</f>
        <v/>
      </c>
      <c r="C45" s="11" t="str">
        <f>IF($A45="","",INDEX(tbl_plan[出荷週],ROW()-1))</f>
        <v/>
      </c>
      <c r="D45" s="4" t="str">
        <f>IF($A45="","",INDEX(tbl_plan[納期先],ROW()-1)&amp;"")</f>
        <v/>
      </c>
      <c r="E45" s="8" t="str">
        <f>IF($A45="","",INDEX(tbl_plan[必要数],ROW()-1))</f>
        <v/>
      </c>
      <c r="F45" s="8" t="str">
        <f t="shared" si="0"/>
        <v/>
      </c>
      <c r="G45" s="8" t="str">
        <f>IF($A45="","",SUMIFS(tbl_ledger[数量],tbl_ledger[ロットID],$A45,tbl_ledger[イベント種類],"発送"))</f>
        <v/>
      </c>
      <c r="H45" s="8" t="str">
        <f>IF($A45="","",_xlfn.LET(
_xlpm.割当,F45,
_xlpm.充当受入,SUMIFS(tbl_ledger[数量],tbl_ledger[充当先ロットID],$A45,tbl_ledger[イベント種類],"充当"),
_xlpm.充当放出,SUMIFS(tbl_ledger[数量],tbl_ledger[ロットID],$A45,tbl_ledger[イベント種類],"充当"),
_xlpm.発送済,G45,
_xlpm.倉庫戻し,SUMIFS(tbl_ledger[数量],tbl_ledger[ロットID],$A45,tbl_ledger[イベント種類],"倉庫戻し"),
_xlpm.余剰化,SUMIFS(tbl_ledger[数量],tbl_ledger[ロットID],$A45,tbl_ledger[イベント種類],"余剰化"),
_xlpm.不良,SUMIFS(tbl_ledger[数量],tbl_ledger[ロットID],$A45,tbl_ledger[イベント種類],"不良発生"),
_xlpm.割当+_xlpm.充当受入-_xlpm.充当放出-_xlpm.発送済-_xlpm.倉庫戻し-_xlpm.余剰化-_xlpm.不良))</f>
        <v/>
      </c>
      <c r="I45" s="8" t="str">
        <f>IF($A45="","",_xlfn.LET(
_xlpm.品番プール,N45,
_xlpm.割当計,SUMIF($B$2:$B$301,$B45,$F$2:$F$301),
_xlpm.余剰化受入,SUMIFS(tbl_ledger[数量],tbl_ledger[localId],$B45,tbl_ledger[イベント種類],"余剰化"),
_xlpm.充当払出,SUMIFS(tbl_ledger[数量],tbl_ledger[localId],$B45,tbl_ledger[イベント種類],"充当",tbl_ledger[ロットID],"="),
_xlpm.品番プール-_xlpm.割当計+_xlpm.余剰化受入-_xlpm.充当払出))</f>
        <v/>
      </c>
      <c r="J45" s="8" t="str">
        <f t="shared" si="1"/>
        <v/>
      </c>
      <c r="K45" s="8" t="str">
        <f t="shared" si="2"/>
        <v/>
      </c>
      <c r="L45" s="4" t="str">
        <f>IF($A45="","",IF(INDEX(tbl_plan[計画状態],ROW()-1)="キャンセル","キャンセル",IF(J45=0,"発送済",IF(K45&gt;0,"要搬出","OK"))))</f>
        <v/>
      </c>
      <c r="M45" s="8">
        <f t="array" ref="M45">_xlfn.LET(
_xlpm.計画状態,IFERROR(INDEX(tbl_plan[計画状態],ROW()-1)&amp;"",""),
_xlpm.必要数,IFERROR(N(INDEX(tbl_plan[必要数],ROW()-1)),0),
IF(_xlpm.計画状態="キャンセル",0,_xlpm.必要数))</f>
        <v>0</v>
      </c>
      <c r="N45" s="8" t="str">
        <f>IF($A45="","",_xlfn.LET(
_xlpm.搬入計,SUMIFS(tbl_ledger[数量],tbl_ledger[localId],$B45,tbl_ledger[イベント種類],"搬入"),
_xlpm.未割当発送,SUMIFS(tbl_ledger[数量],tbl_ledger[localId],$B45,tbl_ledger[イベント種類],"発送",tbl_ledger[ロットID],"="),
_xlpm.未割当倉庫戻し,SUMIFS(tbl_ledger[数量],tbl_ledger[localId],$B45,tbl_ledger[イベント種類],"倉庫戻し",tbl_ledger[ロットID],"="),
_xlpm.未割当不良,SUMIFS(tbl_ledger[数量],tbl_ledger[localId],$B45,tbl_ledger[イベント種類],"不良発生",tbl_ledger[ロットID],"="),
_xlpm.搬入計-_xlpm.未割当発送-_xlpm.未割当倉庫戻し-_xlpm.未割当不良))</f>
        <v/>
      </c>
      <c r="O45" s="8" t="str">
        <f t="array" ref="O45">IF($A45="","",_xlfn.LET(
_xlpm.同品番,($B$2:$B$301=$B45),
_xlpm.週が前,($C$2:$C$301&lt;$C45),
_xlpm.同週で上行,($C$2:$C$301=$C45)*(ROW($C$2:$C$301)&lt;ROW()),
SUMPRODUCT(_xlpm.同品番*(_xlpm.週が前+_xlpm.同週で上行)*$M$2:$M$301)))</f>
        <v/>
      </c>
    </row>
    <row r="46" spans="1:15" ht="15" customHeight="1" x14ac:dyDescent="0.25">
      <c r="A46" s="4" t="str">
        <f>IFERROR(INDEX(tbl_plan[ロットID],ROW()-1),"")</f>
        <v/>
      </c>
      <c r="B46" s="4" t="str">
        <f>IF($A46="","",INDEX(tbl_plan[localId],ROW()-1))</f>
        <v/>
      </c>
      <c r="C46" s="11" t="str">
        <f>IF($A46="","",INDEX(tbl_plan[出荷週],ROW()-1))</f>
        <v/>
      </c>
      <c r="D46" s="4" t="str">
        <f>IF($A46="","",INDEX(tbl_plan[納期先],ROW()-1)&amp;"")</f>
        <v/>
      </c>
      <c r="E46" s="8" t="str">
        <f>IF($A46="","",INDEX(tbl_plan[必要数],ROW()-1))</f>
        <v/>
      </c>
      <c r="F46" s="8" t="str">
        <f t="shared" si="0"/>
        <v/>
      </c>
      <c r="G46" s="8" t="str">
        <f>IF($A46="","",SUMIFS(tbl_ledger[数量],tbl_ledger[ロットID],$A46,tbl_ledger[イベント種類],"発送"))</f>
        <v/>
      </c>
      <c r="H46" s="8" t="str">
        <f>IF($A46="","",_xlfn.LET(
_xlpm.割当,F46,
_xlpm.充当受入,SUMIFS(tbl_ledger[数量],tbl_ledger[充当先ロットID],$A46,tbl_ledger[イベント種類],"充当"),
_xlpm.充当放出,SUMIFS(tbl_ledger[数量],tbl_ledger[ロットID],$A46,tbl_ledger[イベント種類],"充当"),
_xlpm.発送済,G46,
_xlpm.倉庫戻し,SUMIFS(tbl_ledger[数量],tbl_ledger[ロットID],$A46,tbl_ledger[イベント種類],"倉庫戻し"),
_xlpm.余剰化,SUMIFS(tbl_ledger[数量],tbl_ledger[ロットID],$A46,tbl_ledger[イベント種類],"余剰化"),
_xlpm.不良,SUMIFS(tbl_ledger[数量],tbl_ledger[ロットID],$A46,tbl_ledger[イベント種類],"不良発生"),
_xlpm.割当+_xlpm.充当受入-_xlpm.充当放出-_xlpm.発送済-_xlpm.倉庫戻し-_xlpm.余剰化-_xlpm.不良))</f>
        <v/>
      </c>
      <c r="I46" s="8" t="str">
        <f>IF($A46="","",_xlfn.LET(
_xlpm.品番プール,N46,
_xlpm.割当計,SUMIF($B$2:$B$301,$B46,$F$2:$F$301),
_xlpm.余剰化受入,SUMIFS(tbl_ledger[数量],tbl_ledger[localId],$B46,tbl_ledger[イベント種類],"余剰化"),
_xlpm.充当払出,SUMIFS(tbl_ledger[数量],tbl_ledger[localId],$B46,tbl_ledger[イベント種類],"充当",tbl_ledger[ロットID],"="),
_xlpm.品番プール-_xlpm.割当計+_xlpm.余剰化受入-_xlpm.充当払出))</f>
        <v/>
      </c>
      <c r="J46" s="8" t="str">
        <f t="shared" si="1"/>
        <v/>
      </c>
      <c r="K46" s="8" t="str">
        <f t="shared" si="2"/>
        <v/>
      </c>
      <c r="L46" s="4" t="str">
        <f>IF($A46="","",IF(INDEX(tbl_plan[計画状態],ROW()-1)="キャンセル","キャンセル",IF(J46=0,"発送済",IF(K46&gt;0,"要搬出","OK"))))</f>
        <v/>
      </c>
      <c r="M46" s="8">
        <f t="array" ref="M46">_xlfn.LET(
_xlpm.計画状態,IFERROR(INDEX(tbl_plan[計画状態],ROW()-1)&amp;"",""),
_xlpm.必要数,IFERROR(N(INDEX(tbl_plan[必要数],ROW()-1)),0),
IF(_xlpm.計画状態="キャンセル",0,_xlpm.必要数))</f>
        <v>0</v>
      </c>
      <c r="N46" s="8" t="str">
        <f>IF($A46="","",_xlfn.LET(
_xlpm.搬入計,SUMIFS(tbl_ledger[数量],tbl_ledger[localId],$B46,tbl_ledger[イベント種類],"搬入"),
_xlpm.未割当発送,SUMIFS(tbl_ledger[数量],tbl_ledger[localId],$B46,tbl_ledger[イベント種類],"発送",tbl_ledger[ロットID],"="),
_xlpm.未割当倉庫戻し,SUMIFS(tbl_ledger[数量],tbl_ledger[localId],$B46,tbl_ledger[イベント種類],"倉庫戻し",tbl_ledger[ロットID],"="),
_xlpm.未割当不良,SUMIFS(tbl_ledger[数量],tbl_ledger[localId],$B46,tbl_ledger[イベント種類],"不良発生",tbl_ledger[ロットID],"="),
_xlpm.搬入計-_xlpm.未割当発送-_xlpm.未割当倉庫戻し-_xlpm.未割当不良))</f>
        <v/>
      </c>
      <c r="O46" s="8" t="str">
        <f t="array" ref="O46">IF($A46="","",_xlfn.LET(
_xlpm.同品番,($B$2:$B$301=$B46),
_xlpm.週が前,($C$2:$C$301&lt;$C46),
_xlpm.同週で上行,($C$2:$C$301=$C46)*(ROW($C$2:$C$301)&lt;ROW()),
SUMPRODUCT(_xlpm.同品番*(_xlpm.週が前+_xlpm.同週で上行)*$M$2:$M$301)))</f>
        <v/>
      </c>
    </row>
    <row r="47" spans="1:15" ht="15" customHeight="1" x14ac:dyDescent="0.25">
      <c r="A47" s="4" t="str">
        <f>IFERROR(INDEX(tbl_plan[ロットID],ROW()-1),"")</f>
        <v/>
      </c>
      <c r="B47" s="4" t="str">
        <f>IF($A47="","",INDEX(tbl_plan[localId],ROW()-1))</f>
        <v/>
      </c>
      <c r="C47" s="11" t="str">
        <f>IF($A47="","",INDEX(tbl_plan[出荷週],ROW()-1))</f>
        <v/>
      </c>
      <c r="D47" s="4" t="str">
        <f>IF($A47="","",INDEX(tbl_plan[納期先],ROW()-1)&amp;"")</f>
        <v/>
      </c>
      <c r="E47" s="8" t="str">
        <f>IF($A47="","",INDEX(tbl_plan[必要数],ROW()-1))</f>
        <v/>
      </c>
      <c r="F47" s="8" t="str">
        <f t="shared" si="0"/>
        <v/>
      </c>
      <c r="G47" s="8" t="str">
        <f>IF($A47="","",SUMIFS(tbl_ledger[数量],tbl_ledger[ロットID],$A47,tbl_ledger[イベント種類],"発送"))</f>
        <v/>
      </c>
      <c r="H47" s="8" t="str">
        <f>IF($A47="","",_xlfn.LET(
_xlpm.割当,F47,
_xlpm.充当受入,SUMIFS(tbl_ledger[数量],tbl_ledger[充当先ロットID],$A47,tbl_ledger[イベント種類],"充当"),
_xlpm.充当放出,SUMIFS(tbl_ledger[数量],tbl_ledger[ロットID],$A47,tbl_ledger[イベント種類],"充当"),
_xlpm.発送済,G47,
_xlpm.倉庫戻し,SUMIFS(tbl_ledger[数量],tbl_ledger[ロットID],$A47,tbl_ledger[イベント種類],"倉庫戻し"),
_xlpm.余剰化,SUMIFS(tbl_ledger[数量],tbl_ledger[ロットID],$A47,tbl_ledger[イベント種類],"余剰化"),
_xlpm.不良,SUMIFS(tbl_ledger[数量],tbl_ledger[ロットID],$A47,tbl_ledger[イベント種類],"不良発生"),
_xlpm.割当+_xlpm.充当受入-_xlpm.充当放出-_xlpm.発送済-_xlpm.倉庫戻し-_xlpm.余剰化-_xlpm.不良))</f>
        <v/>
      </c>
      <c r="I47" s="8" t="str">
        <f>IF($A47="","",_xlfn.LET(
_xlpm.品番プール,N47,
_xlpm.割当計,SUMIF($B$2:$B$301,$B47,$F$2:$F$301),
_xlpm.余剰化受入,SUMIFS(tbl_ledger[数量],tbl_ledger[localId],$B47,tbl_ledger[イベント種類],"余剰化"),
_xlpm.充当払出,SUMIFS(tbl_ledger[数量],tbl_ledger[localId],$B47,tbl_ledger[イベント種類],"充当",tbl_ledger[ロットID],"="),
_xlpm.品番プール-_xlpm.割当計+_xlpm.余剰化受入-_xlpm.充当払出))</f>
        <v/>
      </c>
      <c r="J47" s="8" t="str">
        <f t="shared" si="1"/>
        <v/>
      </c>
      <c r="K47" s="8" t="str">
        <f t="shared" si="2"/>
        <v/>
      </c>
      <c r="L47" s="4" t="str">
        <f>IF($A47="","",IF(INDEX(tbl_plan[計画状態],ROW()-1)="キャンセル","キャンセル",IF(J47=0,"発送済",IF(K47&gt;0,"要搬出","OK"))))</f>
        <v/>
      </c>
      <c r="M47" s="8">
        <f t="array" ref="M47">_xlfn.LET(
_xlpm.計画状態,IFERROR(INDEX(tbl_plan[計画状態],ROW()-1)&amp;"",""),
_xlpm.必要数,IFERROR(N(INDEX(tbl_plan[必要数],ROW()-1)),0),
IF(_xlpm.計画状態="キャンセル",0,_xlpm.必要数))</f>
        <v>0</v>
      </c>
      <c r="N47" s="8" t="str">
        <f>IF($A47="","",_xlfn.LET(
_xlpm.搬入計,SUMIFS(tbl_ledger[数量],tbl_ledger[localId],$B47,tbl_ledger[イベント種類],"搬入"),
_xlpm.未割当発送,SUMIFS(tbl_ledger[数量],tbl_ledger[localId],$B47,tbl_ledger[イベント種類],"発送",tbl_ledger[ロットID],"="),
_xlpm.未割当倉庫戻し,SUMIFS(tbl_ledger[数量],tbl_ledger[localId],$B47,tbl_ledger[イベント種類],"倉庫戻し",tbl_ledger[ロットID],"="),
_xlpm.未割当不良,SUMIFS(tbl_ledger[数量],tbl_ledger[localId],$B47,tbl_ledger[イベント種類],"不良発生",tbl_ledger[ロットID],"="),
_xlpm.搬入計-_xlpm.未割当発送-_xlpm.未割当倉庫戻し-_xlpm.未割当不良))</f>
        <v/>
      </c>
      <c r="O47" s="8" t="str">
        <f t="array" ref="O47">IF($A47="","",_xlfn.LET(
_xlpm.同品番,($B$2:$B$301=$B47),
_xlpm.週が前,($C$2:$C$301&lt;$C47),
_xlpm.同週で上行,($C$2:$C$301=$C47)*(ROW($C$2:$C$301)&lt;ROW()),
SUMPRODUCT(_xlpm.同品番*(_xlpm.週が前+_xlpm.同週で上行)*$M$2:$M$301)))</f>
        <v/>
      </c>
    </row>
    <row r="48" spans="1:15" ht="15" customHeight="1" x14ac:dyDescent="0.25">
      <c r="A48" s="4" t="str">
        <f>IFERROR(INDEX(tbl_plan[ロットID],ROW()-1),"")</f>
        <v/>
      </c>
      <c r="B48" s="4" t="str">
        <f>IF($A48="","",INDEX(tbl_plan[localId],ROW()-1))</f>
        <v/>
      </c>
      <c r="C48" s="11" t="str">
        <f>IF($A48="","",INDEX(tbl_plan[出荷週],ROW()-1))</f>
        <v/>
      </c>
      <c r="D48" s="4" t="str">
        <f>IF($A48="","",INDEX(tbl_plan[納期先],ROW()-1)&amp;"")</f>
        <v/>
      </c>
      <c r="E48" s="8" t="str">
        <f>IF($A48="","",INDEX(tbl_plan[必要数],ROW()-1))</f>
        <v/>
      </c>
      <c r="F48" s="8" t="str">
        <f t="shared" si="0"/>
        <v/>
      </c>
      <c r="G48" s="8" t="str">
        <f>IF($A48="","",SUMIFS(tbl_ledger[数量],tbl_ledger[ロットID],$A48,tbl_ledger[イベント種類],"発送"))</f>
        <v/>
      </c>
      <c r="H48" s="8" t="str">
        <f>IF($A48="","",_xlfn.LET(
_xlpm.割当,F48,
_xlpm.充当受入,SUMIFS(tbl_ledger[数量],tbl_ledger[充当先ロットID],$A48,tbl_ledger[イベント種類],"充当"),
_xlpm.充当放出,SUMIFS(tbl_ledger[数量],tbl_ledger[ロットID],$A48,tbl_ledger[イベント種類],"充当"),
_xlpm.発送済,G48,
_xlpm.倉庫戻し,SUMIFS(tbl_ledger[数量],tbl_ledger[ロットID],$A48,tbl_ledger[イベント種類],"倉庫戻し"),
_xlpm.余剰化,SUMIFS(tbl_ledger[数量],tbl_ledger[ロットID],$A48,tbl_ledger[イベント種類],"余剰化"),
_xlpm.不良,SUMIFS(tbl_ledger[数量],tbl_ledger[ロットID],$A48,tbl_ledger[イベント種類],"不良発生"),
_xlpm.割当+_xlpm.充当受入-_xlpm.充当放出-_xlpm.発送済-_xlpm.倉庫戻し-_xlpm.余剰化-_xlpm.不良))</f>
        <v/>
      </c>
      <c r="I48" s="8" t="str">
        <f>IF($A48="","",_xlfn.LET(
_xlpm.品番プール,N48,
_xlpm.割当計,SUMIF($B$2:$B$301,$B48,$F$2:$F$301),
_xlpm.余剰化受入,SUMIFS(tbl_ledger[数量],tbl_ledger[localId],$B48,tbl_ledger[イベント種類],"余剰化"),
_xlpm.充当払出,SUMIFS(tbl_ledger[数量],tbl_ledger[localId],$B48,tbl_ledger[イベント種類],"充当",tbl_ledger[ロットID],"="),
_xlpm.品番プール-_xlpm.割当計+_xlpm.余剰化受入-_xlpm.充当払出))</f>
        <v/>
      </c>
      <c r="J48" s="8" t="str">
        <f t="shared" si="1"/>
        <v/>
      </c>
      <c r="K48" s="8" t="str">
        <f t="shared" si="2"/>
        <v/>
      </c>
      <c r="L48" s="4" t="str">
        <f>IF($A48="","",IF(INDEX(tbl_plan[計画状態],ROW()-1)="キャンセル","キャンセル",IF(J48=0,"発送済",IF(K48&gt;0,"要搬出","OK"))))</f>
        <v/>
      </c>
      <c r="M48" s="8">
        <f t="array" ref="M48">_xlfn.LET(
_xlpm.計画状態,IFERROR(INDEX(tbl_plan[計画状態],ROW()-1)&amp;"",""),
_xlpm.必要数,IFERROR(N(INDEX(tbl_plan[必要数],ROW()-1)),0),
IF(_xlpm.計画状態="キャンセル",0,_xlpm.必要数))</f>
        <v>0</v>
      </c>
      <c r="N48" s="8" t="str">
        <f>IF($A48="","",_xlfn.LET(
_xlpm.搬入計,SUMIFS(tbl_ledger[数量],tbl_ledger[localId],$B48,tbl_ledger[イベント種類],"搬入"),
_xlpm.未割当発送,SUMIFS(tbl_ledger[数量],tbl_ledger[localId],$B48,tbl_ledger[イベント種類],"発送",tbl_ledger[ロットID],"="),
_xlpm.未割当倉庫戻し,SUMIFS(tbl_ledger[数量],tbl_ledger[localId],$B48,tbl_ledger[イベント種類],"倉庫戻し",tbl_ledger[ロットID],"="),
_xlpm.未割当不良,SUMIFS(tbl_ledger[数量],tbl_ledger[localId],$B48,tbl_ledger[イベント種類],"不良発生",tbl_ledger[ロットID],"="),
_xlpm.搬入計-_xlpm.未割当発送-_xlpm.未割当倉庫戻し-_xlpm.未割当不良))</f>
        <v/>
      </c>
      <c r="O48" s="8" t="str">
        <f t="array" ref="O48">IF($A48="","",_xlfn.LET(
_xlpm.同品番,($B$2:$B$301=$B48),
_xlpm.週が前,($C$2:$C$301&lt;$C48),
_xlpm.同週で上行,($C$2:$C$301=$C48)*(ROW($C$2:$C$301)&lt;ROW()),
SUMPRODUCT(_xlpm.同品番*(_xlpm.週が前+_xlpm.同週で上行)*$M$2:$M$301)))</f>
        <v/>
      </c>
    </row>
    <row r="49" spans="1:15" ht="15" customHeight="1" x14ac:dyDescent="0.25">
      <c r="A49" s="4" t="str">
        <f>IFERROR(INDEX(tbl_plan[ロットID],ROW()-1),"")</f>
        <v/>
      </c>
      <c r="B49" s="4" t="str">
        <f>IF($A49="","",INDEX(tbl_plan[localId],ROW()-1))</f>
        <v/>
      </c>
      <c r="C49" s="11" t="str">
        <f>IF($A49="","",INDEX(tbl_plan[出荷週],ROW()-1))</f>
        <v/>
      </c>
      <c r="D49" s="4" t="str">
        <f>IF($A49="","",INDEX(tbl_plan[納期先],ROW()-1)&amp;"")</f>
        <v/>
      </c>
      <c r="E49" s="8" t="str">
        <f>IF($A49="","",INDEX(tbl_plan[必要数],ROW()-1))</f>
        <v/>
      </c>
      <c r="F49" s="8" t="str">
        <f t="shared" si="0"/>
        <v/>
      </c>
      <c r="G49" s="8" t="str">
        <f>IF($A49="","",SUMIFS(tbl_ledger[数量],tbl_ledger[ロットID],$A49,tbl_ledger[イベント種類],"発送"))</f>
        <v/>
      </c>
      <c r="H49" s="8" t="str">
        <f>IF($A49="","",_xlfn.LET(
_xlpm.割当,F49,
_xlpm.充当受入,SUMIFS(tbl_ledger[数量],tbl_ledger[充当先ロットID],$A49,tbl_ledger[イベント種類],"充当"),
_xlpm.充当放出,SUMIFS(tbl_ledger[数量],tbl_ledger[ロットID],$A49,tbl_ledger[イベント種類],"充当"),
_xlpm.発送済,G49,
_xlpm.倉庫戻し,SUMIFS(tbl_ledger[数量],tbl_ledger[ロットID],$A49,tbl_ledger[イベント種類],"倉庫戻し"),
_xlpm.余剰化,SUMIFS(tbl_ledger[数量],tbl_ledger[ロットID],$A49,tbl_ledger[イベント種類],"余剰化"),
_xlpm.不良,SUMIFS(tbl_ledger[数量],tbl_ledger[ロットID],$A49,tbl_ledger[イベント種類],"不良発生"),
_xlpm.割当+_xlpm.充当受入-_xlpm.充当放出-_xlpm.発送済-_xlpm.倉庫戻し-_xlpm.余剰化-_xlpm.不良))</f>
        <v/>
      </c>
      <c r="I49" s="8" t="str">
        <f>IF($A49="","",_xlfn.LET(
_xlpm.品番プール,N49,
_xlpm.割当計,SUMIF($B$2:$B$301,$B49,$F$2:$F$301),
_xlpm.余剰化受入,SUMIFS(tbl_ledger[数量],tbl_ledger[localId],$B49,tbl_ledger[イベント種類],"余剰化"),
_xlpm.充当払出,SUMIFS(tbl_ledger[数量],tbl_ledger[localId],$B49,tbl_ledger[イベント種類],"充当",tbl_ledger[ロットID],"="),
_xlpm.品番プール-_xlpm.割当計+_xlpm.余剰化受入-_xlpm.充当払出))</f>
        <v/>
      </c>
      <c r="J49" s="8" t="str">
        <f t="shared" si="1"/>
        <v/>
      </c>
      <c r="K49" s="8" t="str">
        <f t="shared" si="2"/>
        <v/>
      </c>
      <c r="L49" s="4" t="str">
        <f>IF($A49="","",IF(INDEX(tbl_plan[計画状態],ROW()-1)="キャンセル","キャンセル",IF(J49=0,"発送済",IF(K49&gt;0,"要搬出","OK"))))</f>
        <v/>
      </c>
      <c r="M49" s="8">
        <f t="array" ref="M49">_xlfn.LET(
_xlpm.計画状態,IFERROR(INDEX(tbl_plan[計画状態],ROW()-1)&amp;"",""),
_xlpm.必要数,IFERROR(N(INDEX(tbl_plan[必要数],ROW()-1)),0),
IF(_xlpm.計画状態="キャンセル",0,_xlpm.必要数))</f>
        <v>0</v>
      </c>
      <c r="N49" s="8" t="str">
        <f>IF($A49="","",_xlfn.LET(
_xlpm.搬入計,SUMIFS(tbl_ledger[数量],tbl_ledger[localId],$B49,tbl_ledger[イベント種類],"搬入"),
_xlpm.未割当発送,SUMIFS(tbl_ledger[数量],tbl_ledger[localId],$B49,tbl_ledger[イベント種類],"発送",tbl_ledger[ロットID],"="),
_xlpm.未割当倉庫戻し,SUMIFS(tbl_ledger[数量],tbl_ledger[localId],$B49,tbl_ledger[イベント種類],"倉庫戻し",tbl_ledger[ロットID],"="),
_xlpm.未割当不良,SUMIFS(tbl_ledger[数量],tbl_ledger[localId],$B49,tbl_ledger[イベント種類],"不良発生",tbl_ledger[ロットID],"="),
_xlpm.搬入計-_xlpm.未割当発送-_xlpm.未割当倉庫戻し-_xlpm.未割当不良))</f>
        <v/>
      </c>
      <c r="O49" s="8" t="str">
        <f t="array" ref="O49">IF($A49="","",_xlfn.LET(
_xlpm.同品番,($B$2:$B$301=$B49),
_xlpm.週が前,($C$2:$C$301&lt;$C49),
_xlpm.同週で上行,($C$2:$C$301=$C49)*(ROW($C$2:$C$301)&lt;ROW()),
SUMPRODUCT(_xlpm.同品番*(_xlpm.週が前+_xlpm.同週で上行)*$M$2:$M$301)))</f>
        <v/>
      </c>
    </row>
    <row r="50" spans="1:15" ht="15" customHeight="1" x14ac:dyDescent="0.25">
      <c r="A50" s="4" t="str">
        <f>IFERROR(INDEX(tbl_plan[ロットID],ROW()-1),"")</f>
        <v/>
      </c>
      <c r="B50" s="4" t="str">
        <f>IF($A50="","",INDEX(tbl_plan[localId],ROW()-1))</f>
        <v/>
      </c>
      <c r="C50" s="11" t="str">
        <f>IF($A50="","",INDEX(tbl_plan[出荷週],ROW()-1))</f>
        <v/>
      </c>
      <c r="D50" s="4" t="str">
        <f>IF($A50="","",INDEX(tbl_plan[納期先],ROW()-1)&amp;"")</f>
        <v/>
      </c>
      <c r="E50" s="8" t="str">
        <f>IF($A50="","",INDEX(tbl_plan[必要数],ROW()-1))</f>
        <v/>
      </c>
      <c r="F50" s="8" t="str">
        <f t="shared" si="0"/>
        <v/>
      </c>
      <c r="G50" s="8" t="str">
        <f>IF($A50="","",SUMIFS(tbl_ledger[数量],tbl_ledger[ロットID],$A50,tbl_ledger[イベント種類],"発送"))</f>
        <v/>
      </c>
      <c r="H50" s="8" t="str">
        <f>IF($A50="","",_xlfn.LET(
_xlpm.割当,F50,
_xlpm.充当受入,SUMIFS(tbl_ledger[数量],tbl_ledger[充当先ロットID],$A50,tbl_ledger[イベント種類],"充当"),
_xlpm.充当放出,SUMIFS(tbl_ledger[数量],tbl_ledger[ロットID],$A50,tbl_ledger[イベント種類],"充当"),
_xlpm.発送済,G50,
_xlpm.倉庫戻し,SUMIFS(tbl_ledger[数量],tbl_ledger[ロットID],$A50,tbl_ledger[イベント種類],"倉庫戻し"),
_xlpm.余剰化,SUMIFS(tbl_ledger[数量],tbl_ledger[ロットID],$A50,tbl_ledger[イベント種類],"余剰化"),
_xlpm.不良,SUMIFS(tbl_ledger[数量],tbl_ledger[ロットID],$A50,tbl_ledger[イベント種類],"不良発生"),
_xlpm.割当+_xlpm.充当受入-_xlpm.充当放出-_xlpm.発送済-_xlpm.倉庫戻し-_xlpm.余剰化-_xlpm.不良))</f>
        <v/>
      </c>
      <c r="I50" s="8" t="str">
        <f>IF($A50="","",_xlfn.LET(
_xlpm.品番プール,N50,
_xlpm.割当計,SUMIF($B$2:$B$301,$B50,$F$2:$F$301),
_xlpm.余剰化受入,SUMIFS(tbl_ledger[数量],tbl_ledger[localId],$B50,tbl_ledger[イベント種類],"余剰化"),
_xlpm.充当払出,SUMIFS(tbl_ledger[数量],tbl_ledger[localId],$B50,tbl_ledger[イベント種類],"充当",tbl_ledger[ロットID],"="),
_xlpm.品番プール-_xlpm.割当計+_xlpm.余剰化受入-_xlpm.充当払出))</f>
        <v/>
      </c>
      <c r="J50" s="8" t="str">
        <f t="shared" si="1"/>
        <v/>
      </c>
      <c r="K50" s="8" t="str">
        <f t="shared" si="2"/>
        <v/>
      </c>
      <c r="L50" s="4" t="str">
        <f>IF($A50="","",IF(INDEX(tbl_plan[計画状態],ROW()-1)="キャンセル","キャンセル",IF(J50=0,"発送済",IF(K50&gt;0,"要搬出","OK"))))</f>
        <v/>
      </c>
      <c r="M50" s="8">
        <f t="array" ref="M50">_xlfn.LET(
_xlpm.計画状態,IFERROR(INDEX(tbl_plan[計画状態],ROW()-1)&amp;"",""),
_xlpm.必要数,IFERROR(N(INDEX(tbl_plan[必要数],ROW()-1)),0),
IF(_xlpm.計画状態="キャンセル",0,_xlpm.必要数))</f>
        <v>0</v>
      </c>
      <c r="N50" s="8" t="str">
        <f>IF($A50="","",_xlfn.LET(
_xlpm.搬入計,SUMIFS(tbl_ledger[数量],tbl_ledger[localId],$B50,tbl_ledger[イベント種類],"搬入"),
_xlpm.未割当発送,SUMIFS(tbl_ledger[数量],tbl_ledger[localId],$B50,tbl_ledger[イベント種類],"発送",tbl_ledger[ロットID],"="),
_xlpm.未割当倉庫戻し,SUMIFS(tbl_ledger[数量],tbl_ledger[localId],$B50,tbl_ledger[イベント種類],"倉庫戻し",tbl_ledger[ロットID],"="),
_xlpm.未割当不良,SUMIFS(tbl_ledger[数量],tbl_ledger[localId],$B50,tbl_ledger[イベント種類],"不良発生",tbl_ledger[ロットID],"="),
_xlpm.搬入計-_xlpm.未割当発送-_xlpm.未割当倉庫戻し-_xlpm.未割当不良))</f>
        <v/>
      </c>
      <c r="O50" s="8" t="str">
        <f t="array" ref="O50">IF($A50="","",_xlfn.LET(
_xlpm.同品番,($B$2:$B$301=$B50),
_xlpm.週が前,($C$2:$C$301&lt;$C50),
_xlpm.同週で上行,($C$2:$C$301=$C50)*(ROW($C$2:$C$301)&lt;ROW()),
SUMPRODUCT(_xlpm.同品番*(_xlpm.週が前+_xlpm.同週で上行)*$M$2:$M$301)))</f>
        <v/>
      </c>
    </row>
    <row r="51" spans="1:15" ht="15" customHeight="1" x14ac:dyDescent="0.25">
      <c r="A51" s="4" t="str">
        <f>IFERROR(INDEX(tbl_plan[ロットID],ROW()-1),"")</f>
        <v/>
      </c>
      <c r="B51" s="4" t="str">
        <f>IF($A51="","",INDEX(tbl_plan[localId],ROW()-1))</f>
        <v/>
      </c>
      <c r="C51" s="11" t="str">
        <f>IF($A51="","",INDEX(tbl_plan[出荷週],ROW()-1))</f>
        <v/>
      </c>
      <c r="D51" s="4" t="str">
        <f>IF($A51="","",INDEX(tbl_plan[納期先],ROW()-1)&amp;"")</f>
        <v/>
      </c>
      <c r="E51" s="8" t="str">
        <f>IF($A51="","",INDEX(tbl_plan[必要数],ROW()-1))</f>
        <v/>
      </c>
      <c r="F51" s="8" t="str">
        <f t="shared" si="0"/>
        <v/>
      </c>
      <c r="G51" s="8" t="str">
        <f>IF($A51="","",SUMIFS(tbl_ledger[数量],tbl_ledger[ロットID],$A51,tbl_ledger[イベント種類],"発送"))</f>
        <v/>
      </c>
      <c r="H51" s="8" t="str">
        <f>IF($A51="","",_xlfn.LET(
_xlpm.割当,F51,
_xlpm.充当受入,SUMIFS(tbl_ledger[数量],tbl_ledger[充当先ロットID],$A51,tbl_ledger[イベント種類],"充当"),
_xlpm.充当放出,SUMIFS(tbl_ledger[数量],tbl_ledger[ロットID],$A51,tbl_ledger[イベント種類],"充当"),
_xlpm.発送済,G51,
_xlpm.倉庫戻し,SUMIFS(tbl_ledger[数量],tbl_ledger[ロットID],$A51,tbl_ledger[イベント種類],"倉庫戻し"),
_xlpm.余剰化,SUMIFS(tbl_ledger[数量],tbl_ledger[ロットID],$A51,tbl_ledger[イベント種類],"余剰化"),
_xlpm.不良,SUMIFS(tbl_ledger[数量],tbl_ledger[ロットID],$A51,tbl_ledger[イベント種類],"不良発生"),
_xlpm.割当+_xlpm.充当受入-_xlpm.充当放出-_xlpm.発送済-_xlpm.倉庫戻し-_xlpm.余剰化-_xlpm.不良))</f>
        <v/>
      </c>
      <c r="I51" s="8" t="str">
        <f>IF($A51="","",_xlfn.LET(
_xlpm.品番プール,N51,
_xlpm.割当計,SUMIF($B$2:$B$301,$B51,$F$2:$F$301),
_xlpm.余剰化受入,SUMIFS(tbl_ledger[数量],tbl_ledger[localId],$B51,tbl_ledger[イベント種類],"余剰化"),
_xlpm.充当払出,SUMIFS(tbl_ledger[数量],tbl_ledger[localId],$B51,tbl_ledger[イベント種類],"充当",tbl_ledger[ロットID],"="),
_xlpm.品番プール-_xlpm.割当計+_xlpm.余剰化受入-_xlpm.充当払出))</f>
        <v/>
      </c>
      <c r="J51" s="8" t="str">
        <f t="shared" si="1"/>
        <v/>
      </c>
      <c r="K51" s="8" t="str">
        <f t="shared" si="2"/>
        <v/>
      </c>
      <c r="L51" s="4" t="str">
        <f>IF($A51="","",IF(INDEX(tbl_plan[計画状態],ROW()-1)="キャンセル","キャンセル",IF(J51=0,"発送済",IF(K51&gt;0,"要搬出","OK"))))</f>
        <v/>
      </c>
      <c r="M51" s="8">
        <f t="array" ref="M51">_xlfn.LET(
_xlpm.計画状態,IFERROR(INDEX(tbl_plan[計画状態],ROW()-1)&amp;"",""),
_xlpm.必要数,IFERROR(N(INDEX(tbl_plan[必要数],ROW()-1)),0),
IF(_xlpm.計画状態="キャンセル",0,_xlpm.必要数))</f>
        <v>0</v>
      </c>
      <c r="N51" s="8" t="str">
        <f>IF($A51="","",_xlfn.LET(
_xlpm.搬入計,SUMIFS(tbl_ledger[数量],tbl_ledger[localId],$B51,tbl_ledger[イベント種類],"搬入"),
_xlpm.未割当発送,SUMIFS(tbl_ledger[数量],tbl_ledger[localId],$B51,tbl_ledger[イベント種類],"発送",tbl_ledger[ロットID],"="),
_xlpm.未割当倉庫戻し,SUMIFS(tbl_ledger[数量],tbl_ledger[localId],$B51,tbl_ledger[イベント種類],"倉庫戻し",tbl_ledger[ロットID],"="),
_xlpm.未割当不良,SUMIFS(tbl_ledger[数量],tbl_ledger[localId],$B51,tbl_ledger[イベント種類],"不良発生",tbl_ledger[ロットID],"="),
_xlpm.搬入計-_xlpm.未割当発送-_xlpm.未割当倉庫戻し-_xlpm.未割当不良))</f>
        <v/>
      </c>
      <c r="O51" s="8" t="str">
        <f t="array" ref="O51">IF($A51="","",_xlfn.LET(
_xlpm.同品番,($B$2:$B$301=$B51),
_xlpm.週が前,($C$2:$C$301&lt;$C51),
_xlpm.同週で上行,($C$2:$C$301=$C51)*(ROW($C$2:$C$301)&lt;ROW()),
SUMPRODUCT(_xlpm.同品番*(_xlpm.週が前+_xlpm.同週で上行)*$M$2:$M$301)))</f>
        <v/>
      </c>
    </row>
    <row r="52" spans="1:15" ht="15" customHeight="1" x14ac:dyDescent="0.25">
      <c r="A52" s="4" t="str">
        <f>IFERROR(INDEX(tbl_plan[ロットID],ROW()-1),"")</f>
        <v/>
      </c>
      <c r="B52" s="4" t="str">
        <f>IF($A52="","",INDEX(tbl_plan[localId],ROW()-1))</f>
        <v/>
      </c>
      <c r="C52" s="11" t="str">
        <f>IF($A52="","",INDEX(tbl_plan[出荷週],ROW()-1))</f>
        <v/>
      </c>
      <c r="D52" s="4" t="str">
        <f>IF($A52="","",INDEX(tbl_plan[納期先],ROW()-1)&amp;"")</f>
        <v/>
      </c>
      <c r="E52" s="8" t="str">
        <f>IF($A52="","",INDEX(tbl_plan[必要数],ROW()-1))</f>
        <v/>
      </c>
      <c r="F52" s="8" t="str">
        <f t="shared" si="0"/>
        <v/>
      </c>
      <c r="G52" s="8" t="str">
        <f>IF($A52="","",SUMIFS(tbl_ledger[数量],tbl_ledger[ロットID],$A52,tbl_ledger[イベント種類],"発送"))</f>
        <v/>
      </c>
      <c r="H52" s="8" t="str">
        <f>IF($A52="","",_xlfn.LET(
_xlpm.割当,F52,
_xlpm.充当受入,SUMIFS(tbl_ledger[数量],tbl_ledger[充当先ロットID],$A52,tbl_ledger[イベント種類],"充当"),
_xlpm.充当放出,SUMIFS(tbl_ledger[数量],tbl_ledger[ロットID],$A52,tbl_ledger[イベント種類],"充当"),
_xlpm.発送済,G52,
_xlpm.倉庫戻し,SUMIFS(tbl_ledger[数量],tbl_ledger[ロットID],$A52,tbl_ledger[イベント種類],"倉庫戻し"),
_xlpm.余剰化,SUMIFS(tbl_ledger[数量],tbl_ledger[ロットID],$A52,tbl_ledger[イベント種類],"余剰化"),
_xlpm.不良,SUMIFS(tbl_ledger[数量],tbl_ledger[ロットID],$A52,tbl_ledger[イベント種類],"不良発生"),
_xlpm.割当+_xlpm.充当受入-_xlpm.充当放出-_xlpm.発送済-_xlpm.倉庫戻し-_xlpm.余剰化-_xlpm.不良))</f>
        <v/>
      </c>
      <c r="I52" s="8" t="str">
        <f>IF($A52="","",_xlfn.LET(
_xlpm.品番プール,N52,
_xlpm.割当計,SUMIF($B$2:$B$301,$B52,$F$2:$F$301),
_xlpm.余剰化受入,SUMIFS(tbl_ledger[数量],tbl_ledger[localId],$B52,tbl_ledger[イベント種類],"余剰化"),
_xlpm.充当払出,SUMIFS(tbl_ledger[数量],tbl_ledger[localId],$B52,tbl_ledger[イベント種類],"充当",tbl_ledger[ロットID],"="),
_xlpm.品番プール-_xlpm.割当計+_xlpm.余剰化受入-_xlpm.充当払出))</f>
        <v/>
      </c>
      <c r="J52" s="8" t="str">
        <f t="shared" si="1"/>
        <v/>
      </c>
      <c r="K52" s="8" t="str">
        <f t="shared" si="2"/>
        <v/>
      </c>
      <c r="L52" s="4" t="str">
        <f>IF($A52="","",IF(INDEX(tbl_plan[計画状態],ROW()-1)="キャンセル","キャンセル",IF(J52=0,"発送済",IF(K52&gt;0,"要搬出","OK"))))</f>
        <v/>
      </c>
      <c r="M52" s="8">
        <f t="array" ref="M52">_xlfn.LET(
_xlpm.計画状態,IFERROR(INDEX(tbl_plan[計画状態],ROW()-1)&amp;"",""),
_xlpm.必要数,IFERROR(N(INDEX(tbl_plan[必要数],ROW()-1)),0),
IF(_xlpm.計画状態="キャンセル",0,_xlpm.必要数))</f>
        <v>0</v>
      </c>
      <c r="N52" s="8" t="str">
        <f>IF($A52="","",_xlfn.LET(
_xlpm.搬入計,SUMIFS(tbl_ledger[数量],tbl_ledger[localId],$B52,tbl_ledger[イベント種類],"搬入"),
_xlpm.未割当発送,SUMIFS(tbl_ledger[数量],tbl_ledger[localId],$B52,tbl_ledger[イベント種類],"発送",tbl_ledger[ロットID],"="),
_xlpm.未割当倉庫戻し,SUMIFS(tbl_ledger[数量],tbl_ledger[localId],$B52,tbl_ledger[イベント種類],"倉庫戻し",tbl_ledger[ロットID],"="),
_xlpm.未割当不良,SUMIFS(tbl_ledger[数量],tbl_ledger[localId],$B52,tbl_ledger[イベント種類],"不良発生",tbl_ledger[ロットID],"="),
_xlpm.搬入計-_xlpm.未割当発送-_xlpm.未割当倉庫戻し-_xlpm.未割当不良))</f>
        <v/>
      </c>
      <c r="O52" s="8" t="str">
        <f t="array" ref="O52">IF($A52="","",_xlfn.LET(
_xlpm.同品番,($B$2:$B$301=$B52),
_xlpm.週が前,($C$2:$C$301&lt;$C52),
_xlpm.同週で上行,($C$2:$C$301=$C52)*(ROW($C$2:$C$301)&lt;ROW()),
SUMPRODUCT(_xlpm.同品番*(_xlpm.週が前+_xlpm.同週で上行)*$M$2:$M$301)))</f>
        <v/>
      </c>
    </row>
    <row r="53" spans="1:15" ht="15" customHeight="1" x14ac:dyDescent="0.25">
      <c r="A53" s="4" t="str">
        <f>IFERROR(INDEX(tbl_plan[ロットID],ROW()-1),"")</f>
        <v/>
      </c>
      <c r="B53" s="4" t="str">
        <f>IF($A53="","",INDEX(tbl_plan[localId],ROW()-1))</f>
        <v/>
      </c>
      <c r="C53" s="11" t="str">
        <f>IF($A53="","",INDEX(tbl_plan[出荷週],ROW()-1))</f>
        <v/>
      </c>
      <c r="D53" s="4" t="str">
        <f>IF($A53="","",INDEX(tbl_plan[納期先],ROW()-1)&amp;"")</f>
        <v/>
      </c>
      <c r="E53" s="8" t="str">
        <f>IF($A53="","",INDEX(tbl_plan[必要数],ROW()-1))</f>
        <v/>
      </c>
      <c r="F53" s="8" t="str">
        <f t="shared" si="0"/>
        <v/>
      </c>
      <c r="G53" s="8" t="str">
        <f>IF($A53="","",SUMIFS(tbl_ledger[数量],tbl_ledger[ロットID],$A53,tbl_ledger[イベント種類],"発送"))</f>
        <v/>
      </c>
      <c r="H53" s="8" t="str">
        <f>IF($A53="","",_xlfn.LET(
_xlpm.割当,F53,
_xlpm.充当受入,SUMIFS(tbl_ledger[数量],tbl_ledger[充当先ロットID],$A53,tbl_ledger[イベント種類],"充当"),
_xlpm.充当放出,SUMIFS(tbl_ledger[数量],tbl_ledger[ロットID],$A53,tbl_ledger[イベント種類],"充当"),
_xlpm.発送済,G53,
_xlpm.倉庫戻し,SUMIFS(tbl_ledger[数量],tbl_ledger[ロットID],$A53,tbl_ledger[イベント種類],"倉庫戻し"),
_xlpm.余剰化,SUMIFS(tbl_ledger[数量],tbl_ledger[ロットID],$A53,tbl_ledger[イベント種類],"余剰化"),
_xlpm.不良,SUMIFS(tbl_ledger[数量],tbl_ledger[ロットID],$A53,tbl_ledger[イベント種類],"不良発生"),
_xlpm.割当+_xlpm.充当受入-_xlpm.充当放出-_xlpm.発送済-_xlpm.倉庫戻し-_xlpm.余剰化-_xlpm.不良))</f>
        <v/>
      </c>
      <c r="I53" s="8" t="str">
        <f>IF($A53="","",_xlfn.LET(
_xlpm.品番プール,N53,
_xlpm.割当計,SUMIF($B$2:$B$301,$B53,$F$2:$F$301),
_xlpm.余剰化受入,SUMIFS(tbl_ledger[数量],tbl_ledger[localId],$B53,tbl_ledger[イベント種類],"余剰化"),
_xlpm.充当払出,SUMIFS(tbl_ledger[数量],tbl_ledger[localId],$B53,tbl_ledger[イベント種類],"充当",tbl_ledger[ロットID],"="),
_xlpm.品番プール-_xlpm.割当計+_xlpm.余剰化受入-_xlpm.充当払出))</f>
        <v/>
      </c>
      <c r="J53" s="8" t="str">
        <f t="shared" si="1"/>
        <v/>
      </c>
      <c r="K53" s="8" t="str">
        <f t="shared" si="2"/>
        <v/>
      </c>
      <c r="L53" s="4" t="str">
        <f>IF($A53="","",IF(INDEX(tbl_plan[計画状態],ROW()-1)="キャンセル","キャンセル",IF(J53=0,"発送済",IF(K53&gt;0,"要搬出","OK"))))</f>
        <v/>
      </c>
      <c r="M53" s="8">
        <f t="array" ref="M53">_xlfn.LET(
_xlpm.計画状態,IFERROR(INDEX(tbl_plan[計画状態],ROW()-1)&amp;"",""),
_xlpm.必要数,IFERROR(N(INDEX(tbl_plan[必要数],ROW()-1)),0),
IF(_xlpm.計画状態="キャンセル",0,_xlpm.必要数))</f>
        <v>0</v>
      </c>
      <c r="N53" s="8" t="str">
        <f>IF($A53="","",_xlfn.LET(
_xlpm.搬入計,SUMIFS(tbl_ledger[数量],tbl_ledger[localId],$B53,tbl_ledger[イベント種類],"搬入"),
_xlpm.未割当発送,SUMIFS(tbl_ledger[数量],tbl_ledger[localId],$B53,tbl_ledger[イベント種類],"発送",tbl_ledger[ロットID],"="),
_xlpm.未割当倉庫戻し,SUMIFS(tbl_ledger[数量],tbl_ledger[localId],$B53,tbl_ledger[イベント種類],"倉庫戻し",tbl_ledger[ロットID],"="),
_xlpm.未割当不良,SUMIFS(tbl_ledger[数量],tbl_ledger[localId],$B53,tbl_ledger[イベント種類],"不良発生",tbl_ledger[ロットID],"="),
_xlpm.搬入計-_xlpm.未割当発送-_xlpm.未割当倉庫戻し-_xlpm.未割当不良))</f>
        <v/>
      </c>
      <c r="O53" s="8" t="str">
        <f t="array" ref="O53">IF($A53="","",_xlfn.LET(
_xlpm.同品番,($B$2:$B$301=$B53),
_xlpm.週が前,($C$2:$C$301&lt;$C53),
_xlpm.同週で上行,($C$2:$C$301=$C53)*(ROW($C$2:$C$301)&lt;ROW()),
SUMPRODUCT(_xlpm.同品番*(_xlpm.週が前+_xlpm.同週で上行)*$M$2:$M$301)))</f>
        <v/>
      </c>
    </row>
    <row r="54" spans="1:15" ht="15" customHeight="1" x14ac:dyDescent="0.25">
      <c r="A54" s="4" t="str">
        <f>IFERROR(INDEX(tbl_plan[ロットID],ROW()-1),"")</f>
        <v/>
      </c>
      <c r="B54" s="4" t="str">
        <f>IF($A54="","",INDEX(tbl_plan[localId],ROW()-1))</f>
        <v/>
      </c>
      <c r="C54" s="11" t="str">
        <f>IF($A54="","",INDEX(tbl_plan[出荷週],ROW()-1))</f>
        <v/>
      </c>
      <c r="D54" s="4" t="str">
        <f>IF($A54="","",INDEX(tbl_plan[納期先],ROW()-1)&amp;"")</f>
        <v/>
      </c>
      <c r="E54" s="8" t="str">
        <f>IF($A54="","",INDEX(tbl_plan[必要数],ROW()-1))</f>
        <v/>
      </c>
      <c r="F54" s="8" t="str">
        <f t="shared" si="0"/>
        <v/>
      </c>
      <c r="G54" s="8" t="str">
        <f>IF($A54="","",SUMIFS(tbl_ledger[数量],tbl_ledger[ロットID],$A54,tbl_ledger[イベント種類],"発送"))</f>
        <v/>
      </c>
      <c r="H54" s="8" t="str">
        <f>IF($A54="","",_xlfn.LET(
_xlpm.割当,F54,
_xlpm.充当受入,SUMIFS(tbl_ledger[数量],tbl_ledger[充当先ロットID],$A54,tbl_ledger[イベント種類],"充当"),
_xlpm.充当放出,SUMIFS(tbl_ledger[数量],tbl_ledger[ロットID],$A54,tbl_ledger[イベント種類],"充当"),
_xlpm.発送済,G54,
_xlpm.倉庫戻し,SUMIFS(tbl_ledger[数量],tbl_ledger[ロットID],$A54,tbl_ledger[イベント種類],"倉庫戻し"),
_xlpm.余剰化,SUMIFS(tbl_ledger[数量],tbl_ledger[ロットID],$A54,tbl_ledger[イベント種類],"余剰化"),
_xlpm.不良,SUMIFS(tbl_ledger[数量],tbl_ledger[ロットID],$A54,tbl_ledger[イベント種類],"不良発生"),
_xlpm.割当+_xlpm.充当受入-_xlpm.充当放出-_xlpm.発送済-_xlpm.倉庫戻し-_xlpm.余剰化-_xlpm.不良))</f>
        <v/>
      </c>
      <c r="I54" s="8" t="str">
        <f>IF($A54="","",_xlfn.LET(
_xlpm.品番プール,N54,
_xlpm.割当計,SUMIF($B$2:$B$301,$B54,$F$2:$F$301),
_xlpm.余剰化受入,SUMIFS(tbl_ledger[数量],tbl_ledger[localId],$B54,tbl_ledger[イベント種類],"余剰化"),
_xlpm.充当払出,SUMIFS(tbl_ledger[数量],tbl_ledger[localId],$B54,tbl_ledger[イベント種類],"充当",tbl_ledger[ロットID],"="),
_xlpm.品番プール-_xlpm.割当計+_xlpm.余剰化受入-_xlpm.充当払出))</f>
        <v/>
      </c>
      <c r="J54" s="8" t="str">
        <f t="shared" si="1"/>
        <v/>
      </c>
      <c r="K54" s="8" t="str">
        <f t="shared" si="2"/>
        <v/>
      </c>
      <c r="L54" s="4" t="str">
        <f>IF($A54="","",IF(INDEX(tbl_plan[計画状態],ROW()-1)="キャンセル","キャンセル",IF(J54=0,"発送済",IF(K54&gt;0,"要搬出","OK"))))</f>
        <v/>
      </c>
      <c r="M54" s="8">
        <f t="array" ref="M54">_xlfn.LET(
_xlpm.計画状態,IFERROR(INDEX(tbl_plan[計画状態],ROW()-1)&amp;"",""),
_xlpm.必要数,IFERROR(N(INDEX(tbl_plan[必要数],ROW()-1)),0),
IF(_xlpm.計画状態="キャンセル",0,_xlpm.必要数))</f>
        <v>0</v>
      </c>
      <c r="N54" s="8" t="str">
        <f>IF($A54="","",_xlfn.LET(
_xlpm.搬入計,SUMIFS(tbl_ledger[数量],tbl_ledger[localId],$B54,tbl_ledger[イベント種類],"搬入"),
_xlpm.未割当発送,SUMIFS(tbl_ledger[数量],tbl_ledger[localId],$B54,tbl_ledger[イベント種類],"発送",tbl_ledger[ロットID],"="),
_xlpm.未割当倉庫戻し,SUMIFS(tbl_ledger[数量],tbl_ledger[localId],$B54,tbl_ledger[イベント種類],"倉庫戻し",tbl_ledger[ロットID],"="),
_xlpm.未割当不良,SUMIFS(tbl_ledger[数量],tbl_ledger[localId],$B54,tbl_ledger[イベント種類],"不良発生",tbl_ledger[ロットID],"="),
_xlpm.搬入計-_xlpm.未割当発送-_xlpm.未割当倉庫戻し-_xlpm.未割当不良))</f>
        <v/>
      </c>
      <c r="O54" s="8" t="str">
        <f t="array" ref="O54">IF($A54="","",_xlfn.LET(
_xlpm.同品番,($B$2:$B$301=$B54),
_xlpm.週が前,($C$2:$C$301&lt;$C54),
_xlpm.同週で上行,($C$2:$C$301=$C54)*(ROW($C$2:$C$301)&lt;ROW()),
SUMPRODUCT(_xlpm.同品番*(_xlpm.週が前+_xlpm.同週で上行)*$M$2:$M$301)))</f>
        <v/>
      </c>
    </row>
    <row r="55" spans="1:15" ht="15" customHeight="1" x14ac:dyDescent="0.25">
      <c r="A55" s="4" t="str">
        <f>IFERROR(INDEX(tbl_plan[ロットID],ROW()-1),"")</f>
        <v/>
      </c>
      <c r="B55" s="4" t="str">
        <f>IF($A55="","",INDEX(tbl_plan[localId],ROW()-1))</f>
        <v/>
      </c>
      <c r="C55" s="11" t="str">
        <f>IF($A55="","",INDEX(tbl_plan[出荷週],ROW()-1))</f>
        <v/>
      </c>
      <c r="D55" s="4" t="str">
        <f>IF($A55="","",INDEX(tbl_plan[納期先],ROW()-1)&amp;"")</f>
        <v/>
      </c>
      <c r="E55" s="8" t="str">
        <f>IF($A55="","",INDEX(tbl_plan[必要数],ROW()-1))</f>
        <v/>
      </c>
      <c r="F55" s="8" t="str">
        <f t="shared" si="0"/>
        <v/>
      </c>
      <c r="G55" s="8" t="str">
        <f>IF($A55="","",SUMIFS(tbl_ledger[数量],tbl_ledger[ロットID],$A55,tbl_ledger[イベント種類],"発送"))</f>
        <v/>
      </c>
      <c r="H55" s="8" t="str">
        <f>IF($A55="","",_xlfn.LET(
_xlpm.割当,F55,
_xlpm.充当受入,SUMIFS(tbl_ledger[数量],tbl_ledger[充当先ロットID],$A55,tbl_ledger[イベント種類],"充当"),
_xlpm.充当放出,SUMIFS(tbl_ledger[数量],tbl_ledger[ロットID],$A55,tbl_ledger[イベント種類],"充当"),
_xlpm.発送済,G55,
_xlpm.倉庫戻し,SUMIFS(tbl_ledger[数量],tbl_ledger[ロットID],$A55,tbl_ledger[イベント種類],"倉庫戻し"),
_xlpm.余剰化,SUMIFS(tbl_ledger[数量],tbl_ledger[ロットID],$A55,tbl_ledger[イベント種類],"余剰化"),
_xlpm.不良,SUMIFS(tbl_ledger[数量],tbl_ledger[ロットID],$A55,tbl_ledger[イベント種類],"不良発生"),
_xlpm.割当+_xlpm.充当受入-_xlpm.充当放出-_xlpm.発送済-_xlpm.倉庫戻し-_xlpm.余剰化-_xlpm.不良))</f>
        <v/>
      </c>
      <c r="I55" s="8" t="str">
        <f>IF($A55="","",_xlfn.LET(
_xlpm.品番プール,N55,
_xlpm.割当計,SUMIF($B$2:$B$301,$B55,$F$2:$F$301),
_xlpm.余剰化受入,SUMIFS(tbl_ledger[数量],tbl_ledger[localId],$B55,tbl_ledger[イベント種類],"余剰化"),
_xlpm.充当払出,SUMIFS(tbl_ledger[数量],tbl_ledger[localId],$B55,tbl_ledger[イベント種類],"充当",tbl_ledger[ロットID],"="),
_xlpm.品番プール-_xlpm.割当計+_xlpm.余剰化受入-_xlpm.充当払出))</f>
        <v/>
      </c>
      <c r="J55" s="8" t="str">
        <f t="shared" si="1"/>
        <v/>
      </c>
      <c r="K55" s="8" t="str">
        <f t="shared" si="2"/>
        <v/>
      </c>
      <c r="L55" s="4" t="str">
        <f>IF($A55="","",IF(INDEX(tbl_plan[計画状態],ROW()-1)="キャンセル","キャンセル",IF(J55=0,"発送済",IF(K55&gt;0,"要搬出","OK"))))</f>
        <v/>
      </c>
      <c r="M55" s="8">
        <f t="array" ref="M55">_xlfn.LET(
_xlpm.計画状態,IFERROR(INDEX(tbl_plan[計画状態],ROW()-1)&amp;"",""),
_xlpm.必要数,IFERROR(N(INDEX(tbl_plan[必要数],ROW()-1)),0),
IF(_xlpm.計画状態="キャンセル",0,_xlpm.必要数))</f>
        <v>0</v>
      </c>
      <c r="N55" s="8" t="str">
        <f>IF($A55="","",_xlfn.LET(
_xlpm.搬入計,SUMIFS(tbl_ledger[数量],tbl_ledger[localId],$B55,tbl_ledger[イベント種類],"搬入"),
_xlpm.未割当発送,SUMIFS(tbl_ledger[数量],tbl_ledger[localId],$B55,tbl_ledger[イベント種類],"発送",tbl_ledger[ロットID],"="),
_xlpm.未割当倉庫戻し,SUMIFS(tbl_ledger[数量],tbl_ledger[localId],$B55,tbl_ledger[イベント種類],"倉庫戻し",tbl_ledger[ロットID],"="),
_xlpm.未割当不良,SUMIFS(tbl_ledger[数量],tbl_ledger[localId],$B55,tbl_ledger[イベント種類],"不良発生",tbl_ledger[ロットID],"="),
_xlpm.搬入計-_xlpm.未割当発送-_xlpm.未割当倉庫戻し-_xlpm.未割当不良))</f>
        <v/>
      </c>
      <c r="O55" s="8" t="str">
        <f t="array" ref="O55">IF($A55="","",_xlfn.LET(
_xlpm.同品番,($B$2:$B$301=$B55),
_xlpm.週が前,($C$2:$C$301&lt;$C55),
_xlpm.同週で上行,($C$2:$C$301=$C55)*(ROW($C$2:$C$301)&lt;ROW()),
SUMPRODUCT(_xlpm.同品番*(_xlpm.週が前+_xlpm.同週で上行)*$M$2:$M$301)))</f>
        <v/>
      </c>
    </row>
    <row r="56" spans="1:15" ht="15" customHeight="1" x14ac:dyDescent="0.25">
      <c r="A56" s="4" t="str">
        <f>IFERROR(INDEX(tbl_plan[ロットID],ROW()-1),"")</f>
        <v/>
      </c>
      <c r="B56" s="4" t="str">
        <f>IF($A56="","",INDEX(tbl_plan[localId],ROW()-1))</f>
        <v/>
      </c>
      <c r="C56" s="11" t="str">
        <f>IF($A56="","",INDEX(tbl_plan[出荷週],ROW()-1))</f>
        <v/>
      </c>
      <c r="D56" s="4" t="str">
        <f>IF($A56="","",INDEX(tbl_plan[納期先],ROW()-1)&amp;"")</f>
        <v/>
      </c>
      <c r="E56" s="8" t="str">
        <f>IF($A56="","",INDEX(tbl_plan[必要数],ROW()-1))</f>
        <v/>
      </c>
      <c r="F56" s="8" t="str">
        <f t="shared" si="0"/>
        <v/>
      </c>
      <c r="G56" s="8" t="str">
        <f>IF($A56="","",SUMIFS(tbl_ledger[数量],tbl_ledger[ロットID],$A56,tbl_ledger[イベント種類],"発送"))</f>
        <v/>
      </c>
      <c r="H56" s="8" t="str">
        <f>IF($A56="","",_xlfn.LET(
_xlpm.割当,F56,
_xlpm.充当受入,SUMIFS(tbl_ledger[数量],tbl_ledger[充当先ロットID],$A56,tbl_ledger[イベント種類],"充当"),
_xlpm.充当放出,SUMIFS(tbl_ledger[数量],tbl_ledger[ロットID],$A56,tbl_ledger[イベント種類],"充当"),
_xlpm.発送済,G56,
_xlpm.倉庫戻し,SUMIFS(tbl_ledger[数量],tbl_ledger[ロットID],$A56,tbl_ledger[イベント種類],"倉庫戻し"),
_xlpm.余剰化,SUMIFS(tbl_ledger[数量],tbl_ledger[ロットID],$A56,tbl_ledger[イベント種類],"余剰化"),
_xlpm.不良,SUMIFS(tbl_ledger[数量],tbl_ledger[ロットID],$A56,tbl_ledger[イベント種類],"不良発生"),
_xlpm.割当+_xlpm.充当受入-_xlpm.充当放出-_xlpm.発送済-_xlpm.倉庫戻し-_xlpm.余剰化-_xlpm.不良))</f>
        <v/>
      </c>
      <c r="I56" s="8" t="str">
        <f>IF($A56="","",_xlfn.LET(
_xlpm.品番プール,N56,
_xlpm.割当計,SUMIF($B$2:$B$301,$B56,$F$2:$F$301),
_xlpm.余剰化受入,SUMIFS(tbl_ledger[数量],tbl_ledger[localId],$B56,tbl_ledger[イベント種類],"余剰化"),
_xlpm.充当払出,SUMIFS(tbl_ledger[数量],tbl_ledger[localId],$B56,tbl_ledger[イベント種類],"充当",tbl_ledger[ロットID],"="),
_xlpm.品番プール-_xlpm.割当計+_xlpm.余剰化受入-_xlpm.充当払出))</f>
        <v/>
      </c>
      <c r="J56" s="8" t="str">
        <f t="shared" si="1"/>
        <v/>
      </c>
      <c r="K56" s="8" t="str">
        <f t="shared" si="2"/>
        <v/>
      </c>
      <c r="L56" s="4" t="str">
        <f>IF($A56="","",IF(INDEX(tbl_plan[計画状態],ROW()-1)="キャンセル","キャンセル",IF(J56=0,"発送済",IF(K56&gt;0,"要搬出","OK"))))</f>
        <v/>
      </c>
      <c r="M56" s="8">
        <f t="array" ref="M56">_xlfn.LET(
_xlpm.計画状態,IFERROR(INDEX(tbl_plan[計画状態],ROW()-1)&amp;"",""),
_xlpm.必要数,IFERROR(N(INDEX(tbl_plan[必要数],ROW()-1)),0),
IF(_xlpm.計画状態="キャンセル",0,_xlpm.必要数))</f>
        <v>0</v>
      </c>
      <c r="N56" s="8" t="str">
        <f>IF($A56="","",_xlfn.LET(
_xlpm.搬入計,SUMIFS(tbl_ledger[数量],tbl_ledger[localId],$B56,tbl_ledger[イベント種類],"搬入"),
_xlpm.未割当発送,SUMIFS(tbl_ledger[数量],tbl_ledger[localId],$B56,tbl_ledger[イベント種類],"発送",tbl_ledger[ロットID],"="),
_xlpm.未割当倉庫戻し,SUMIFS(tbl_ledger[数量],tbl_ledger[localId],$B56,tbl_ledger[イベント種類],"倉庫戻し",tbl_ledger[ロットID],"="),
_xlpm.未割当不良,SUMIFS(tbl_ledger[数量],tbl_ledger[localId],$B56,tbl_ledger[イベント種類],"不良発生",tbl_ledger[ロットID],"="),
_xlpm.搬入計-_xlpm.未割当発送-_xlpm.未割当倉庫戻し-_xlpm.未割当不良))</f>
        <v/>
      </c>
      <c r="O56" s="8" t="str">
        <f t="array" ref="O56">IF($A56="","",_xlfn.LET(
_xlpm.同品番,($B$2:$B$301=$B56),
_xlpm.週が前,($C$2:$C$301&lt;$C56),
_xlpm.同週で上行,($C$2:$C$301=$C56)*(ROW($C$2:$C$301)&lt;ROW()),
SUMPRODUCT(_xlpm.同品番*(_xlpm.週が前+_xlpm.同週で上行)*$M$2:$M$301)))</f>
        <v/>
      </c>
    </row>
    <row r="57" spans="1:15" ht="15" customHeight="1" x14ac:dyDescent="0.25">
      <c r="A57" s="4" t="str">
        <f>IFERROR(INDEX(tbl_plan[ロットID],ROW()-1),"")</f>
        <v/>
      </c>
      <c r="B57" s="4" t="str">
        <f>IF($A57="","",INDEX(tbl_plan[localId],ROW()-1))</f>
        <v/>
      </c>
      <c r="C57" s="11" t="str">
        <f>IF($A57="","",INDEX(tbl_plan[出荷週],ROW()-1))</f>
        <v/>
      </c>
      <c r="D57" s="4" t="str">
        <f>IF($A57="","",INDEX(tbl_plan[納期先],ROW()-1)&amp;"")</f>
        <v/>
      </c>
      <c r="E57" s="8" t="str">
        <f>IF($A57="","",INDEX(tbl_plan[必要数],ROW()-1))</f>
        <v/>
      </c>
      <c r="F57" s="8" t="str">
        <f t="shared" si="0"/>
        <v/>
      </c>
      <c r="G57" s="8" t="str">
        <f>IF($A57="","",SUMIFS(tbl_ledger[数量],tbl_ledger[ロットID],$A57,tbl_ledger[イベント種類],"発送"))</f>
        <v/>
      </c>
      <c r="H57" s="8" t="str">
        <f>IF($A57="","",_xlfn.LET(
_xlpm.割当,F57,
_xlpm.充当受入,SUMIFS(tbl_ledger[数量],tbl_ledger[充当先ロットID],$A57,tbl_ledger[イベント種類],"充当"),
_xlpm.充当放出,SUMIFS(tbl_ledger[数量],tbl_ledger[ロットID],$A57,tbl_ledger[イベント種類],"充当"),
_xlpm.発送済,G57,
_xlpm.倉庫戻し,SUMIFS(tbl_ledger[数量],tbl_ledger[ロットID],$A57,tbl_ledger[イベント種類],"倉庫戻し"),
_xlpm.余剰化,SUMIFS(tbl_ledger[数量],tbl_ledger[ロットID],$A57,tbl_ledger[イベント種類],"余剰化"),
_xlpm.不良,SUMIFS(tbl_ledger[数量],tbl_ledger[ロットID],$A57,tbl_ledger[イベント種類],"不良発生"),
_xlpm.割当+_xlpm.充当受入-_xlpm.充当放出-_xlpm.発送済-_xlpm.倉庫戻し-_xlpm.余剰化-_xlpm.不良))</f>
        <v/>
      </c>
      <c r="I57" s="8" t="str">
        <f>IF($A57="","",_xlfn.LET(
_xlpm.品番プール,N57,
_xlpm.割当計,SUMIF($B$2:$B$301,$B57,$F$2:$F$301),
_xlpm.余剰化受入,SUMIFS(tbl_ledger[数量],tbl_ledger[localId],$B57,tbl_ledger[イベント種類],"余剰化"),
_xlpm.充当払出,SUMIFS(tbl_ledger[数量],tbl_ledger[localId],$B57,tbl_ledger[イベント種類],"充当",tbl_ledger[ロットID],"="),
_xlpm.品番プール-_xlpm.割当計+_xlpm.余剰化受入-_xlpm.充当払出))</f>
        <v/>
      </c>
      <c r="J57" s="8" t="str">
        <f t="shared" si="1"/>
        <v/>
      </c>
      <c r="K57" s="8" t="str">
        <f t="shared" si="2"/>
        <v/>
      </c>
      <c r="L57" s="4" t="str">
        <f>IF($A57="","",IF(INDEX(tbl_plan[計画状態],ROW()-1)="キャンセル","キャンセル",IF(J57=0,"発送済",IF(K57&gt;0,"要搬出","OK"))))</f>
        <v/>
      </c>
      <c r="M57" s="8">
        <f t="array" ref="M57">_xlfn.LET(
_xlpm.計画状態,IFERROR(INDEX(tbl_plan[計画状態],ROW()-1)&amp;"",""),
_xlpm.必要数,IFERROR(N(INDEX(tbl_plan[必要数],ROW()-1)),0),
IF(_xlpm.計画状態="キャンセル",0,_xlpm.必要数))</f>
        <v>0</v>
      </c>
      <c r="N57" s="8" t="str">
        <f>IF($A57="","",_xlfn.LET(
_xlpm.搬入計,SUMIFS(tbl_ledger[数量],tbl_ledger[localId],$B57,tbl_ledger[イベント種類],"搬入"),
_xlpm.未割当発送,SUMIFS(tbl_ledger[数量],tbl_ledger[localId],$B57,tbl_ledger[イベント種類],"発送",tbl_ledger[ロットID],"="),
_xlpm.未割当倉庫戻し,SUMIFS(tbl_ledger[数量],tbl_ledger[localId],$B57,tbl_ledger[イベント種類],"倉庫戻し",tbl_ledger[ロットID],"="),
_xlpm.未割当不良,SUMIFS(tbl_ledger[数量],tbl_ledger[localId],$B57,tbl_ledger[イベント種類],"不良発生",tbl_ledger[ロットID],"="),
_xlpm.搬入計-_xlpm.未割当発送-_xlpm.未割当倉庫戻し-_xlpm.未割当不良))</f>
        <v/>
      </c>
      <c r="O57" s="8" t="str">
        <f t="array" ref="O57">IF($A57="","",_xlfn.LET(
_xlpm.同品番,($B$2:$B$301=$B57),
_xlpm.週が前,($C$2:$C$301&lt;$C57),
_xlpm.同週で上行,($C$2:$C$301=$C57)*(ROW($C$2:$C$301)&lt;ROW()),
SUMPRODUCT(_xlpm.同品番*(_xlpm.週が前+_xlpm.同週で上行)*$M$2:$M$301)))</f>
        <v/>
      </c>
    </row>
    <row r="58" spans="1:15" ht="15" customHeight="1" x14ac:dyDescent="0.25">
      <c r="A58" s="4" t="str">
        <f>IFERROR(INDEX(tbl_plan[ロットID],ROW()-1),"")</f>
        <v/>
      </c>
      <c r="B58" s="4" t="str">
        <f>IF($A58="","",INDEX(tbl_plan[localId],ROW()-1))</f>
        <v/>
      </c>
      <c r="C58" s="11" t="str">
        <f>IF($A58="","",INDEX(tbl_plan[出荷週],ROW()-1))</f>
        <v/>
      </c>
      <c r="D58" s="4" t="str">
        <f>IF($A58="","",INDEX(tbl_plan[納期先],ROW()-1)&amp;"")</f>
        <v/>
      </c>
      <c r="E58" s="8" t="str">
        <f>IF($A58="","",INDEX(tbl_plan[必要数],ROW()-1))</f>
        <v/>
      </c>
      <c r="F58" s="8" t="str">
        <f t="shared" si="0"/>
        <v/>
      </c>
      <c r="G58" s="8" t="str">
        <f>IF($A58="","",SUMIFS(tbl_ledger[数量],tbl_ledger[ロットID],$A58,tbl_ledger[イベント種類],"発送"))</f>
        <v/>
      </c>
      <c r="H58" s="8" t="str">
        <f>IF($A58="","",_xlfn.LET(
_xlpm.割当,F58,
_xlpm.充当受入,SUMIFS(tbl_ledger[数量],tbl_ledger[充当先ロットID],$A58,tbl_ledger[イベント種類],"充当"),
_xlpm.充当放出,SUMIFS(tbl_ledger[数量],tbl_ledger[ロットID],$A58,tbl_ledger[イベント種類],"充当"),
_xlpm.発送済,G58,
_xlpm.倉庫戻し,SUMIFS(tbl_ledger[数量],tbl_ledger[ロットID],$A58,tbl_ledger[イベント種類],"倉庫戻し"),
_xlpm.余剰化,SUMIFS(tbl_ledger[数量],tbl_ledger[ロットID],$A58,tbl_ledger[イベント種類],"余剰化"),
_xlpm.不良,SUMIFS(tbl_ledger[数量],tbl_ledger[ロットID],$A58,tbl_ledger[イベント種類],"不良発生"),
_xlpm.割当+_xlpm.充当受入-_xlpm.充当放出-_xlpm.発送済-_xlpm.倉庫戻し-_xlpm.余剰化-_xlpm.不良))</f>
        <v/>
      </c>
      <c r="I58" s="8" t="str">
        <f>IF($A58="","",_xlfn.LET(
_xlpm.品番プール,N58,
_xlpm.割当計,SUMIF($B$2:$B$301,$B58,$F$2:$F$301),
_xlpm.余剰化受入,SUMIFS(tbl_ledger[数量],tbl_ledger[localId],$B58,tbl_ledger[イベント種類],"余剰化"),
_xlpm.充当払出,SUMIFS(tbl_ledger[数量],tbl_ledger[localId],$B58,tbl_ledger[イベント種類],"充当",tbl_ledger[ロットID],"="),
_xlpm.品番プール-_xlpm.割当計+_xlpm.余剰化受入-_xlpm.充当払出))</f>
        <v/>
      </c>
      <c r="J58" s="8" t="str">
        <f t="shared" si="1"/>
        <v/>
      </c>
      <c r="K58" s="8" t="str">
        <f t="shared" si="2"/>
        <v/>
      </c>
      <c r="L58" s="4" t="str">
        <f>IF($A58="","",IF(INDEX(tbl_plan[計画状態],ROW()-1)="キャンセル","キャンセル",IF(J58=0,"発送済",IF(K58&gt;0,"要搬出","OK"))))</f>
        <v/>
      </c>
      <c r="M58" s="8">
        <f t="array" ref="M58">_xlfn.LET(
_xlpm.計画状態,IFERROR(INDEX(tbl_plan[計画状態],ROW()-1)&amp;"",""),
_xlpm.必要数,IFERROR(N(INDEX(tbl_plan[必要数],ROW()-1)),0),
IF(_xlpm.計画状態="キャンセル",0,_xlpm.必要数))</f>
        <v>0</v>
      </c>
      <c r="N58" s="8" t="str">
        <f>IF($A58="","",_xlfn.LET(
_xlpm.搬入計,SUMIFS(tbl_ledger[数量],tbl_ledger[localId],$B58,tbl_ledger[イベント種類],"搬入"),
_xlpm.未割当発送,SUMIFS(tbl_ledger[数量],tbl_ledger[localId],$B58,tbl_ledger[イベント種類],"発送",tbl_ledger[ロットID],"="),
_xlpm.未割当倉庫戻し,SUMIFS(tbl_ledger[数量],tbl_ledger[localId],$B58,tbl_ledger[イベント種類],"倉庫戻し",tbl_ledger[ロットID],"="),
_xlpm.未割当不良,SUMIFS(tbl_ledger[数量],tbl_ledger[localId],$B58,tbl_ledger[イベント種類],"不良発生",tbl_ledger[ロットID],"="),
_xlpm.搬入計-_xlpm.未割当発送-_xlpm.未割当倉庫戻し-_xlpm.未割当不良))</f>
        <v/>
      </c>
      <c r="O58" s="8" t="str">
        <f t="array" ref="O58">IF($A58="","",_xlfn.LET(
_xlpm.同品番,($B$2:$B$301=$B58),
_xlpm.週が前,($C$2:$C$301&lt;$C58),
_xlpm.同週で上行,($C$2:$C$301=$C58)*(ROW($C$2:$C$301)&lt;ROW()),
SUMPRODUCT(_xlpm.同品番*(_xlpm.週が前+_xlpm.同週で上行)*$M$2:$M$301)))</f>
        <v/>
      </c>
    </row>
    <row r="59" spans="1:15" ht="15" customHeight="1" x14ac:dyDescent="0.25">
      <c r="A59" s="4" t="str">
        <f>IFERROR(INDEX(tbl_plan[ロットID],ROW()-1),"")</f>
        <v/>
      </c>
      <c r="B59" s="4" t="str">
        <f>IF($A59="","",INDEX(tbl_plan[localId],ROW()-1))</f>
        <v/>
      </c>
      <c r="C59" s="11" t="str">
        <f>IF($A59="","",INDEX(tbl_plan[出荷週],ROW()-1))</f>
        <v/>
      </c>
      <c r="D59" s="4" t="str">
        <f>IF($A59="","",INDEX(tbl_plan[納期先],ROW()-1)&amp;"")</f>
        <v/>
      </c>
      <c r="E59" s="8" t="str">
        <f>IF($A59="","",INDEX(tbl_plan[必要数],ROW()-1))</f>
        <v/>
      </c>
      <c r="F59" s="8" t="str">
        <f t="shared" si="0"/>
        <v/>
      </c>
      <c r="G59" s="8" t="str">
        <f>IF($A59="","",SUMIFS(tbl_ledger[数量],tbl_ledger[ロットID],$A59,tbl_ledger[イベント種類],"発送"))</f>
        <v/>
      </c>
      <c r="H59" s="8" t="str">
        <f>IF($A59="","",_xlfn.LET(
_xlpm.割当,F59,
_xlpm.充当受入,SUMIFS(tbl_ledger[数量],tbl_ledger[充当先ロットID],$A59,tbl_ledger[イベント種類],"充当"),
_xlpm.充当放出,SUMIFS(tbl_ledger[数量],tbl_ledger[ロットID],$A59,tbl_ledger[イベント種類],"充当"),
_xlpm.発送済,G59,
_xlpm.倉庫戻し,SUMIFS(tbl_ledger[数量],tbl_ledger[ロットID],$A59,tbl_ledger[イベント種類],"倉庫戻し"),
_xlpm.余剰化,SUMIFS(tbl_ledger[数量],tbl_ledger[ロットID],$A59,tbl_ledger[イベント種類],"余剰化"),
_xlpm.不良,SUMIFS(tbl_ledger[数量],tbl_ledger[ロットID],$A59,tbl_ledger[イベント種類],"不良発生"),
_xlpm.割当+_xlpm.充当受入-_xlpm.充当放出-_xlpm.発送済-_xlpm.倉庫戻し-_xlpm.余剰化-_xlpm.不良))</f>
        <v/>
      </c>
      <c r="I59" s="8" t="str">
        <f>IF($A59="","",_xlfn.LET(
_xlpm.品番プール,N59,
_xlpm.割当計,SUMIF($B$2:$B$301,$B59,$F$2:$F$301),
_xlpm.余剰化受入,SUMIFS(tbl_ledger[数量],tbl_ledger[localId],$B59,tbl_ledger[イベント種類],"余剰化"),
_xlpm.充当払出,SUMIFS(tbl_ledger[数量],tbl_ledger[localId],$B59,tbl_ledger[イベント種類],"充当",tbl_ledger[ロットID],"="),
_xlpm.品番プール-_xlpm.割当計+_xlpm.余剰化受入-_xlpm.充当払出))</f>
        <v/>
      </c>
      <c r="J59" s="8" t="str">
        <f t="shared" si="1"/>
        <v/>
      </c>
      <c r="K59" s="8" t="str">
        <f t="shared" si="2"/>
        <v/>
      </c>
      <c r="L59" s="4" t="str">
        <f>IF($A59="","",IF(INDEX(tbl_plan[計画状態],ROW()-1)="キャンセル","キャンセル",IF(J59=0,"発送済",IF(K59&gt;0,"要搬出","OK"))))</f>
        <v/>
      </c>
      <c r="M59" s="8">
        <f t="array" ref="M59">_xlfn.LET(
_xlpm.計画状態,IFERROR(INDEX(tbl_plan[計画状態],ROW()-1)&amp;"",""),
_xlpm.必要数,IFERROR(N(INDEX(tbl_plan[必要数],ROW()-1)),0),
IF(_xlpm.計画状態="キャンセル",0,_xlpm.必要数))</f>
        <v>0</v>
      </c>
      <c r="N59" s="8" t="str">
        <f>IF($A59="","",_xlfn.LET(
_xlpm.搬入計,SUMIFS(tbl_ledger[数量],tbl_ledger[localId],$B59,tbl_ledger[イベント種類],"搬入"),
_xlpm.未割当発送,SUMIFS(tbl_ledger[数量],tbl_ledger[localId],$B59,tbl_ledger[イベント種類],"発送",tbl_ledger[ロットID],"="),
_xlpm.未割当倉庫戻し,SUMIFS(tbl_ledger[数量],tbl_ledger[localId],$B59,tbl_ledger[イベント種類],"倉庫戻し",tbl_ledger[ロットID],"="),
_xlpm.未割当不良,SUMIFS(tbl_ledger[数量],tbl_ledger[localId],$B59,tbl_ledger[イベント種類],"不良発生",tbl_ledger[ロットID],"="),
_xlpm.搬入計-_xlpm.未割当発送-_xlpm.未割当倉庫戻し-_xlpm.未割当不良))</f>
        <v/>
      </c>
      <c r="O59" s="8" t="str">
        <f t="array" ref="O59">IF($A59="","",_xlfn.LET(
_xlpm.同品番,($B$2:$B$301=$B59),
_xlpm.週が前,($C$2:$C$301&lt;$C59),
_xlpm.同週で上行,($C$2:$C$301=$C59)*(ROW($C$2:$C$301)&lt;ROW()),
SUMPRODUCT(_xlpm.同品番*(_xlpm.週が前+_xlpm.同週で上行)*$M$2:$M$301)))</f>
        <v/>
      </c>
    </row>
    <row r="60" spans="1:15" ht="15" customHeight="1" x14ac:dyDescent="0.25">
      <c r="A60" s="4" t="str">
        <f>IFERROR(INDEX(tbl_plan[ロットID],ROW()-1),"")</f>
        <v/>
      </c>
      <c r="B60" s="4" t="str">
        <f>IF($A60="","",INDEX(tbl_plan[localId],ROW()-1))</f>
        <v/>
      </c>
      <c r="C60" s="11" t="str">
        <f>IF($A60="","",INDEX(tbl_plan[出荷週],ROW()-1))</f>
        <v/>
      </c>
      <c r="D60" s="4" t="str">
        <f>IF($A60="","",INDEX(tbl_plan[納期先],ROW()-1)&amp;"")</f>
        <v/>
      </c>
      <c r="E60" s="8" t="str">
        <f>IF($A60="","",INDEX(tbl_plan[必要数],ROW()-1))</f>
        <v/>
      </c>
      <c r="F60" s="8" t="str">
        <f t="shared" si="0"/>
        <v/>
      </c>
      <c r="G60" s="8" t="str">
        <f>IF($A60="","",SUMIFS(tbl_ledger[数量],tbl_ledger[ロットID],$A60,tbl_ledger[イベント種類],"発送"))</f>
        <v/>
      </c>
      <c r="H60" s="8" t="str">
        <f>IF($A60="","",_xlfn.LET(
_xlpm.割当,F60,
_xlpm.充当受入,SUMIFS(tbl_ledger[数量],tbl_ledger[充当先ロットID],$A60,tbl_ledger[イベント種類],"充当"),
_xlpm.充当放出,SUMIFS(tbl_ledger[数量],tbl_ledger[ロットID],$A60,tbl_ledger[イベント種類],"充当"),
_xlpm.発送済,G60,
_xlpm.倉庫戻し,SUMIFS(tbl_ledger[数量],tbl_ledger[ロットID],$A60,tbl_ledger[イベント種類],"倉庫戻し"),
_xlpm.余剰化,SUMIFS(tbl_ledger[数量],tbl_ledger[ロットID],$A60,tbl_ledger[イベント種類],"余剰化"),
_xlpm.不良,SUMIFS(tbl_ledger[数量],tbl_ledger[ロットID],$A60,tbl_ledger[イベント種類],"不良発生"),
_xlpm.割当+_xlpm.充当受入-_xlpm.充当放出-_xlpm.発送済-_xlpm.倉庫戻し-_xlpm.余剰化-_xlpm.不良))</f>
        <v/>
      </c>
      <c r="I60" s="8" t="str">
        <f>IF($A60="","",_xlfn.LET(
_xlpm.品番プール,N60,
_xlpm.割当計,SUMIF($B$2:$B$301,$B60,$F$2:$F$301),
_xlpm.余剰化受入,SUMIFS(tbl_ledger[数量],tbl_ledger[localId],$B60,tbl_ledger[イベント種類],"余剰化"),
_xlpm.充当払出,SUMIFS(tbl_ledger[数量],tbl_ledger[localId],$B60,tbl_ledger[イベント種類],"充当",tbl_ledger[ロットID],"="),
_xlpm.品番プール-_xlpm.割当計+_xlpm.余剰化受入-_xlpm.充当払出))</f>
        <v/>
      </c>
      <c r="J60" s="8" t="str">
        <f t="shared" si="1"/>
        <v/>
      </c>
      <c r="K60" s="8" t="str">
        <f t="shared" si="2"/>
        <v/>
      </c>
      <c r="L60" s="4" t="str">
        <f>IF($A60="","",IF(INDEX(tbl_plan[計画状態],ROW()-1)="キャンセル","キャンセル",IF(J60=0,"発送済",IF(K60&gt;0,"要搬出","OK"))))</f>
        <v/>
      </c>
      <c r="M60" s="8">
        <f t="array" ref="M60">_xlfn.LET(
_xlpm.計画状態,IFERROR(INDEX(tbl_plan[計画状態],ROW()-1)&amp;"",""),
_xlpm.必要数,IFERROR(N(INDEX(tbl_plan[必要数],ROW()-1)),0),
IF(_xlpm.計画状態="キャンセル",0,_xlpm.必要数))</f>
        <v>0</v>
      </c>
      <c r="N60" s="8" t="str">
        <f>IF($A60="","",_xlfn.LET(
_xlpm.搬入計,SUMIFS(tbl_ledger[数量],tbl_ledger[localId],$B60,tbl_ledger[イベント種類],"搬入"),
_xlpm.未割当発送,SUMIFS(tbl_ledger[数量],tbl_ledger[localId],$B60,tbl_ledger[イベント種類],"発送",tbl_ledger[ロットID],"="),
_xlpm.未割当倉庫戻し,SUMIFS(tbl_ledger[数量],tbl_ledger[localId],$B60,tbl_ledger[イベント種類],"倉庫戻し",tbl_ledger[ロットID],"="),
_xlpm.未割当不良,SUMIFS(tbl_ledger[数量],tbl_ledger[localId],$B60,tbl_ledger[イベント種類],"不良発生",tbl_ledger[ロットID],"="),
_xlpm.搬入計-_xlpm.未割当発送-_xlpm.未割当倉庫戻し-_xlpm.未割当不良))</f>
        <v/>
      </c>
      <c r="O60" s="8" t="str">
        <f t="array" ref="O60">IF($A60="","",_xlfn.LET(
_xlpm.同品番,($B$2:$B$301=$B60),
_xlpm.週が前,($C$2:$C$301&lt;$C60),
_xlpm.同週で上行,($C$2:$C$301=$C60)*(ROW($C$2:$C$301)&lt;ROW()),
SUMPRODUCT(_xlpm.同品番*(_xlpm.週が前+_xlpm.同週で上行)*$M$2:$M$301)))</f>
        <v/>
      </c>
    </row>
    <row r="61" spans="1:15" ht="15" customHeight="1" x14ac:dyDescent="0.25">
      <c r="A61" s="4" t="str">
        <f>IFERROR(INDEX(tbl_plan[ロットID],ROW()-1),"")</f>
        <v/>
      </c>
      <c r="B61" s="4" t="str">
        <f>IF($A61="","",INDEX(tbl_plan[localId],ROW()-1))</f>
        <v/>
      </c>
      <c r="C61" s="11" t="str">
        <f>IF($A61="","",INDEX(tbl_plan[出荷週],ROW()-1))</f>
        <v/>
      </c>
      <c r="D61" s="4" t="str">
        <f>IF($A61="","",INDEX(tbl_plan[納期先],ROW()-1)&amp;"")</f>
        <v/>
      </c>
      <c r="E61" s="8" t="str">
        <f>IF($A61="","",INDEX(tbl_plan[必要数],ROW()-1))</f>
        <v/>
      </c>
      <c r="F61" s="8" t="str">
        <f t="shared" si="0"/>
        <v/>
      </c>
      <c r="G61" s="8" t="str">
        <f>IF($A61="","",SUMIFS(tbl_ledger[数量],tbl_ledger[ロットID],$A61,tbl_ledger[イベント種類],"発送"))</f>
        <v/>
      </c>
      <c r="H61" s="8" t="str">
        <f>IF($A61="","",_xlfn.LET(
_xlpm.割当,F61,
_xlpm.充当受入,SUMIFS(tbl_ledger[数量],tbl_ledger[充当先ロットID],$A61,tbl_ledger[イベント種類],"充当"),
_xlpm.充当放出,SUMIFS(tbl_ledger[数量],tbl_ledger[ロットID],$A61,tbl_ledger[イベント種類],"充当"),
_xlpm.発送済,G61,
_xlpm.倉庫戻し,SUMIFS(tbl_ledger[数量],tbl_ledger[ロットID],$A61,tbl_ledger[イベント種類],"倉庫戻し"),
_xlpm.余剰化,SUMIFS(tbl_ledger[数量],tbl_ledger[ロットID],$A61,tbl_ledger[イベント種類],"余剰化"),
_xlpm.不良,SUMIFS(tbl_ledger[数量],tbl_ledger[ロットID],$A61,tbl_ledger[イベント種類],"不良発生"),
_xlpm.割当+_xlpm.充当受入-_xlpm.充当放出-_xlpm.発送済-_xlpm.倉庫戻し-_xlpm.余剰化-_xlpm.不良))</f>
        <v/>
      </c>
      <c r="I61" s="8" t="str">
        <f>IF($A61="","",_xlfn.LET(
_xlpm.品番プール,N61,
_xlpm.割当計,SUMIF($B$2:$B$301,$B61,$F$2:$F$301),
_xlpm.余剰化受入,SUMIFS(tbl_ledger[数量],tbl_ledger[localId],$B61,tbl_ledger[イベント種類],"余剰化"),
_xlpm.充当払出,SUMIFS(tbl_ledger[数量],tbl_ledger[localId],$B61,tbl_ledger[イベント種類],"充当",tbl_ledger[ロットID],"="),
_xlpm.品番プール-_xlpm.割当計+_xlpm.余剰化受入-_xlpm.充当払出))</f>
        <v/>
      </c>
      <c r="J61" s="8" t="str">
        <f t="shared" si="1"/>
        <v/>
      </c>
      <c r="K61" s="8" t="str">
        <f t="shared" si="2"/>
        <v/>
      </c>
      <c r="L61" s="4" t="str">
        <f>IF($A61="","",IF(INDEX(tbl_plan[計画状態],ROW()-1)="キャンセル","キャンセル",IF(J61=0,"発送済",IF(K61&gt;0,"要搬出","OK"))))</f>
        <v/>
      </c>
      <c r="M61" s="8">
        <f t="array" ref="M61">_xlfn.LET(
_xlpm.計画状態,IFERROR(INDEX(tbl_plan[計画状態],ROW()-1)&amp;"",""),
_xlpm.必要数,IFERROR(N(INDEX(tbl_plan[必要数],ROW()-1)),0),
IF(_xlpm.計画状態="キャンセル",0,_xlpm.必要数))</f>
        <v>0</v>
      </c>
      <c r="N61" s="8" t="str">
        <f>IF($A61="","",_xlfn.LET(
_xlpm.搬入計,SUMIFS(tbl_ledger[数量],tbl_ledger[localId],$B61,tbl_ledger[イベント種類],"搬入"),
_xlpm.未割当発送,SUMIFS(tbl_ledger[数量],tbl_ledger[localId],$B61,tbl_ledger[イベント種類],"発送",tbl_ledger[ロットID],"="),
_xlpm.未割当倉庫戻し,SUMIFS(tbl_ledger[数量],tbl_ledger[localId],$B61,tbl_ledger[イベント種類],"倉庫戻し",tbl_ledger[ロットID],"="),
_xlpm.未割当不良,SUMIFS(tbl_ledger[数量],tbl_ledger[localId],$B61,tbl_ledger[イベント種類],"不良発生",tbl_ledger[ロットID],"="),
_xlpm.搬入計-_xlpm.未割当発送-_xlpm.未割当倉庫戻し-_xlpm.未割当不良))</f>
        <v/>
      </c>
      <c r="O61" s="8" t="str">
        <f t="array" ref="O61">IF($A61="","",_xlfn.LET(
_xlpm.同品番,($B$2:$B$301=$B61),
_xlpm.週が前,($C$2:$C$301&lt;$C61),
_xlpm.同週で上行,($C$2:$C$301=$C61)*(ROW($C$2:$C$301)&lt;ROW()),
SUMPRODUCT(_xlpm.同品番*(_xlpm.週が前+_xlpm.同週で上行)*$M$2:$M$301)))</f>
        <v/>
      </c>
    </row>
    <row r="62" spans="1:15" ht="15" customHeight="1" x14ac:dyDescent="0.25">
      <c r="A62" s="4" t="str">
        <f>IFERROR(INDEX(tbl_plan[ロットID],ROW()-1),"")</f>
        <v/>
      </c>
      <c r="B62" s="4" t="str">
        <f>IF($A62="","",INDEX(tbl_plan[localId],ROW()-1))</f>
        <v/>
      </c>
      <c r="C62" s="11" t="str">
        <f>IF($A62="","",INDEX(tbl_plan[出荷週],ROW()-1))</f>
        <v/>
      </c>
      <c r="D62" s="4" t="str">
        <f>IF($A62="","",INDEX(tbl_plan[納期先],ROW()-1)&amp;"")</f>
        <v/>
      </c>
      <c r="E62" s="8" t="str">
        <f>IF($A62="","",INDEX(tbl_plan[必要数],ROW()-1))</f>
        <v/>
      </c>
      <c r="F62" s="8" t="str">
        <f t="shared" si="0"/>
        <v/>
      </c>
      <c r="G62" s="8" t="str">
        <f>IF($A62="","",SUMIFS(tbl_ledger[数量],tbl_ledger[ロットID],$A62,tbl_ledger[イベント種類],"発送"))</f>
        <v/>
      </c>
      <c r="H62" s="8" t="str">
        <f>IF($A62="","",_xlfn.LET(
_xlpm.割当,F62,
_xlpm.充当受入,SUMIFS(tbl_ledger[数量],tbl_ledger[充当先ロットID],$A62,tbl_ledger[イベント種類],"充当"),
_xlpm.充当放出,SUMIFS(tbl_ledger[数量],tbl_ledger[ロットID],$A62,tbl_ledger[イベント種類],"充当"),
_xlpm.発送済,G62,
_xlpm.倉庫戻し,SUMIFS(tbl_ledger[数量],tbl_ledger[ロットID],$A62,tbl_ledger[イベント種類],"倉庫戻し"),
_xlpm.余剰化,SUMIFS(tbl_ledger[数量],tbl_ledger[ロットID],$A62,tbl_ledger[イベント種類],"余剰化"),
_xlpm.不良,SUMIFS(tbl_ledger[数量],tbl_ledger[ロットID],$A62,tbl_ledger[イベント種類],"不良発生"),
_xlpm.割当+_xlpm.充当受入-_xlpm.充当放出-_xlpm.発送済-_xlpm.倉庫戻し-_xlpm.余剰化-_xlpm.不良))</f>
        <v/>
      </c>
      <c r="I62" s="8" t="str">
        <f>IF($A62="","",_xlfn.LET(
_xlpm.品番プール,N62,
_xlpm.割当計,SUMIF($B$2:$B$301,$B62,$F$2:$F$301),
_xlpm.余剰化受入,SUMIFS(tbl_ledger[数量],tbl_ledger[localId],$B62,tbl_ledger[イベント種類],"余剰化"),
_xlpm.充当払出,SUMIFS(tbl_ledger[数量],tbl_ledger[localId],$B62,tbl_ledger[イベント種類],"充当",tbl_ledger[ロットID],"="),
_xlpm.品番プール-_xlpm.割当計+_xlpm.余剰化受入-_xlpm.充当払出))</f>
        <v/>
      </c>
      <c r="J62" s="8" t="str">
        <f t="shared" si="1"/>
        <v/>
      </c>
      <c r="K62" s="8" t="str">
        <f t="shared" si="2"/>
        <v/>
      </c>
      <c r="L62" s="4" t="str">
        <f>IF($A62="","",IF(INDEX(tbl_plan[計画状態],ROW()-1)="キャンセル","キャンセル",IF(J62=0,"発送済",IF(K62&gt;0,"要搬出","OK"))))</f>
        <v/>
      </c>
      <c r="M62" s="8">
        <f t="array" ref="M62">_xlfn.LET(
_xlpm.計画状態,IFERROR(INDEX(tbl_plan[計画状態],ROW()-1)&amp;"",""),
_xlpm.必要数,IFERROR(N(INDEX(tbl_plan[必要数],ROW()-1)),0),
IF(_xlpm.計画状態="キャンセル",0,_xlpm.必要数))</f>
        <v>0</v>
      </c>
      <c r="N62" s="8" t="str">
        <f>IF($A62="","",_xlfn.LET(
_xlpm.搬入計,SUMIFS(tbl_ledger[数量],tbl_ledger[localId],$B62,tbl_ledger[イベント種類],"搬入"),
_xlpm.未割当発送,SUMIFS(tbl_ledger[数量],tbl_ledger[localId],$B62,tbl_ledger[イベント種類],"発送",tbl_ledger[ロットID],"="),
_xlpm.未割当倉庫戻し,SUMIFS(tbl_ledger[数量],tbl_ledger[localId],$B62,tbl_ledger[イベント種類],"倉庫戻し",tbl_ledger[ロットID],"="),
_xlpm.未割当不良,SUMIFS(tbl_ledger[数量],tbl_ledger[localId],$B62,tbl_ledger[イベント種類],"不良発生",tbl_ledger[ロットID],"="),
_xlpm.搬入計-_xlpm.未割当発送-_xlpm.未割当倉庫戻し-_xlpm.未割当不良))</f>
        <v/>
      </c>
      <c r="O62" s="8" t="str">
        <f t="array" ref="O62">IF($A62="","",_xlfn.LET(
_xlpm.同品番,($B$2:$B$301=$B62),
_xlpm.週が前,($C$2:$C$301&lt;$C62),
_xlpm.同週で上行,($C$2:$C$301=$C62)*(ROW($C$2:$C$301)&lt;ROW()),
SUMPRODUCT(_xlpm.同品番*(_xlpm.週が前+_xlpm.同週で上行)*$M$2:$M$301)))</f>
        <v/>
      </c>
    </row>
    <row r="63" spans="1:15" ht="15" customHeight="1" x14ac:dyDescent="0.25">
      <c r="A63" s="4" t="str">
        <f>IFERROR(INDEX(tbl_plan[ロットID],ROW()-1),"")</f>
        <v/>
      </c>
      <c r="B63" s="4" t="str">
        <f>IF($A63="","",INDEX(tbl_plan[localId],ROW()-1))</f>
        <v/>
      </c>
      <c r="C63" s="11" t="str">
        <f>IF($A63="","",INDEX(tbl_plan[出荷週],ROW()-1))</f>
        <v/>
      </c>
      <c r="D63" s="4" t="str">
        <f>IF($A63="","",INDEX(tbl_plan[納期先],ROW()-1)&amp;"")</f>
        <v/>
      </c>
      <c r="E63" s="8" t="str">
        <f>IF($A63="","",INDEX(tbl_plan[必要数],ROW()-1))</f>
        <v/>
      </c>
      <c r="F63" s="8" t="str">
        <f t="shared" si="0"/>
        <v/>
      </c>
      <c r="G63" s="8" t="str">
        <f>IF($A63="","",SUMIFS(tbl_ledger[数量],tbl_ledger[ロットID],$A63,tbl_ledger[イベント種類],"発送"))</f>
        <v/>
      </c>
      <c r="H63" s="8" t="str">
        <f>IF($A63="","",_xlfn.LET(
_xlpm.割当,F63,
_xlpm.充当受入,SUMIFS(tbl_ledger[数量],tbl_ledger[充当先ロットID],$A63,tbl_ledger[イベント種類],"充当"),
_xlpm.充当放出,SUMIFS(tbl_ledger[数量],tbl_ledger[ロットID],$A63,tbl_ledger[イベント種類],"充当"),
_xlpm.発送済,G63,
_xlpm.倉庫戻し,SUMIFS(tbl_ledger[数量],tbl_ledger[ロットID],$A63,tbl_ledger[イベント種類],"倉庫戻し"),
_xlpm.余剰化,SUMIFS(tbl_ledger[数量],tbl_ledger[ロットID],$A63,tbl_ledger[イベント種類],"余剰化"),
_xlpm.不良,SUMIFS(tbl_ledger[数量],tbl_ledger[ロットID],$A63,tbl_ledger[イベント種類],"不良発生"),
_xlpm.割当+_xlpm.充当受入-_xlpm.充当放出-_xlpm.発送済-_xlpm.倉庫戻し-_xlpm.余剰化-_xlpm.不良))</f>
        <v/>
      </c>
      <c r="I63" s="8" t="str">
        <f>IF($A63="","",_xlfn.LET(
_xlpm.品番プール,N63,
_xlpm.割当計,SUMIF($B$2:$B$301,$B63,$F$2:$F$301),
_xlpm.余剰化受入,SUMIFS(tbl_ledger[数量],tbl_ledger[localId],$B63,tbl_ledger[イベント種類],"余剰化"),
_xlpm.充当払出,SUMIFS(tbl_ledger[数量],tbl_ledger[localId],$B63,tbl_ledger[イベント種類],"充当",tbl_ledger[ロットID],"="),
_xlpm.品番プール-_xlpm.割当計+_xlpm.余剰化受入-_xlpm.充当払出))</f>
        <v/>
      </c>
      <c r="J63" s="8" t="str">
        <f t="shared" si="1"/>
        <v/>
      </c>
      <c r="K63" s="8" t="str">
        <f t="shared" si="2"/>
        <v/>
      </c>
      <c r="L63" s="4" t="str">
        <f>IF($A63="","",IF(INDEX(tbl_plan[計画状態],ROW()-1)="キャンセル","キャンセル",IF(J63=0,"発送済",IF(K63&gt;0,"要搬出","OK"))))</f>
        <v/>
      </c>
      <c r="M63" s="8">
        <f t="array" ref="M63">_xlfn.LET(
_xlpm.計画状態,IFERROR(INDEX(tbl_plan[計画状態],ROW()-1)&amp;"",""),
_xlpm.必要数,IFERROR(N(INDEX(tbl_plan[必要数],ROW()-1)),0),
IF(_xlpm.計画状態="キャンセル",0,_xlpm.必要数))</f>
        <v>0</v>
      </c>
      <c r="N63" s="8" t="str">
        <f>IF($A63="","",_xlfn.LET(
_xlpm.搬入計,SUMIFS(tbl_ledger[数量],tbl_ledger[localId],$B63,tbl_ledger[イベント種類],"搬入"),
_xlpm.未割当発送,SUMIFS(tbl_ledger[数量],tbl_ledger[localId],$B63,tbl_ledger[イベント種類],"発送",tbl_ledger[ロットID],"="),
_xlpm.未割当倉庫戻し,SUMIFS(tbl_ledger[数量],tbl_ledger[localId],$B63,tbl_ledger[イベント種類],"倉庫戻し",tbl_ledger[ロットID],"="),
_xlpm.未割当不良,SUMIFS(tbl_ledger[数量],tbl_ledger[localId],$B63,tbl_ledger[イベント種類],"不良発生",tbl_ledger[ロットID],"="),
_xlpm.搬入計-_xlpm.未割当発送-_xlpm.未割当倉庫戻し-_xlpm.未割当不良))</f>
        <v/>
      </c>
      <c r="O63" s="8" t="str">
        <f t="array" ref="O63">IF($A63="","",_xlfn.LET(
_xlpm.同品番,($B$2:$B$301=$B63),
_xlpm.週が前,($C$2:$C$301&lt;$C63),
_xlpm.同週で上行,($C$2:$C$301=$C63)*(ROW($C$2:$C$301)&lt;ROW()),
SUMPRODUCT(_xlpm.同品番*(_xlpm.週が前+_xlpm.同週で上行)*$M$2:$M$301)))</f>
        <v/>
      </c>
    </row>
    <row r="64" spans="1:15" ht="15" customHeight="1" x14ac:dyDescent="0.25">
      <c r="A64" s="4" t="str">
        <f>IFERROR(INDEX(tbl_plan[ロットID],ROW()-1),"")</f>
        <v/>
      </c>
      <c r="B64" s="4" t="str">
        <f>IF($A64="","",INDEX(tbl_plan[localId],ROW()-1))</f>
        <v/>
      </c>
      <c r="C64" s="11" t="str">
        <f>IF($A64="","",INDEX(tbl_plan[出荷週],ROW()-1))</f>
        <v/>
      </c>
      <c r="D64" s="4" t="str">
        <f>IF($A64="","",INDEX(tbl_plan[納期先],ROW()-1)&amp;"")</f>
        <v/>
      </c>
      <c r="E64" s="8" t="str">
        <f>IF($A64="","",INDEX(tbl_plan[必要数],ROW()-1))</f>
        <v/>
      </c>
      <c r="F64" s="8" t="str">
        <f t="shared" si="0"/>
        <v/>
      </c>
      <c r="G64" s="8" t="str">
        <f>IF($A64="","",SUMIFS(tbl_ledger[数量],tbl_ledger[ロットID],$A64,tbl_ledger[イベント種類],"発送"))</f>
        <v/>
      </c>
      <c r="H64" s="8" t="str">
        <f>IF($A64="","",_xlfn.LET(
_xlpm.割当,F64,
_xlpm.充当受入,SUMIFS(tbl_ledger[数量],tbl_ledger[充当先ロットID],$A64,tbl_ledger[イベント種類],"充当"),
_xlpm.充当放出,SUMIFS(tbl_ledger[数量],tbl_ledger[ロットID],$A64,tbl_ledger[イベント種類],"充当"),
_xlpm.発送済,G64,
_xlpm.倉庫戻し,SUMIFS(tbl_ledger[数量],tbl_ledger[ロットID],$A64,tbl_ledger[イベント種類],"倉庫戻し"),
_xlpm.余剰化,SUMIFS(tbl_ledger[数量],tbl_ledger[ロットID],$A64,tbl_ledger[イベント種類],"余剰化"),
_xlpm.不良,SUMIFS(tbl_ledger[数量],tbl_ledger[ロットID],$A64,tbl_ledger[イベント種類],"不良発生"),
_xlpm.割当+_xlpm.充当受入-_xlpm.充当放出-_xlpm.発送済-_xlpm.倉庫戻し-_xlpm.余剰化-_xlpm.不良))</f>
        <v/>
      </c>
      <c r="I64" s="8" t="str">
        <f>IF($A64="","",_xlfn.LET(
_xlpm.品番プール,N64,
_xlpm.割当計,SUMIF($B$2:$B$301,$B64,$F$2:$F$301),
_xlpm.余剰化受入,SUMIFS(tbl_ledger[数量],tbl_ledger[localId],$B64,tbl_ledger[イベント種類],"余剰化"),
_xlpm.充当払出,SUMIFS(tbl_ledger[数量],tbl_ledger[localId],$B64,tbl_ledger[イベント種類],"充当",tbl_ledger[ロットID],"="),
_xlpm.品番プール-_xlpm.割当計+_xlpm.余剰化受入-_xlpm.充当払出))</f>
        <v/>
      </c>
      <c r="J64" s="8" t="str">
        <f t="shared" si="1"/>
        <v/>
      </c>
      <c r="K64" s="8" t="str">
        <f t="shared" si="2"/>
        <v/>
      </c>
      <c r="L64" s="4" t="str">
        <f>IF($A64="","",IF(INDEX(tbl_plan[計画状態],ROW()-1)="キャンセル","キャンセル",IF(J64=0,"発送済",IF(K64&gt;0,"要搬出","OK"))))</f>
        <v/>
      </c>
      <c r="M64" s="8">
        <f t="array" ref="M64">_xlfn.LET(
_xlpm.計画状態,IFERROR(INDEX(tbl_plan[計画状態],ROW()-1)&amp;"",""),
_xlpm.必要数,IFERROR(N(INDEX(tbl_plan[必要数],ROW()-1)),0),
IF(_xlpm.計画状態="キャンセル",0,_xlpm.必要数))</f>
        <v>0</v>
      </c>
      <c r="N64" s="8" t="str">
        <f>IF($A64="","",_xlfn.LET(
_xlpm.搬入計,SUMIFS(tbl_ledger[数量],tbl_ledger[localId],$B64,tbl_ledger[イベント種類],"搬入"),
_xlpm.未割当発送,SUMIFS(tbl_ledger[数量],tbl_ledger[localId],$B64,tbl_ledger[イベント種類],"発送",tbl_ledger[ロットID],"="),
_xlpm.未割当倉庫戻し,SUMIFS(tbl_ledger[数量],tbl_ledger[localId],$B64,tbl_ledger[イベント種類],"倉庫戻し",tbl_ledger[ロットID],"="),
_xlpm.未割当不良,SUMIFS(tbl_ledger[数量],tbl_ledger[localId],$B64,tbl_ledger[イベント種類],"不良発生",tbl_ledger[ロットID],"="),
_xlpm.搬入計-_xlpm.未割当発送-_xlpm.未割当倉庫戻し-_xlpm.未割当不良))</f>
        <v/>
      </c>
      <c r="O64" s="8" t="str">
        <f t="array" ref="O64">IF($A64="","",_xlfn.LET(
_xlpm.同品番,($B$2:$B$301=$B64),
_xlpm.週が前,($C$2:$C$301&lt;$C64),
_xlpm.同週で上行,($C$2:$C$301=$C64)*(ROW($C$2:$C$301)&lt;ROW()),
SUMPRODUCT(_xlpm.同品番*(_xlpm.週が前+_xlpm.同週で上行)*$M$2:$M$301)))</f>
        <v/>
      </c>
    </row>
    <row r="65" spans="1:15" ht="15" customHeight="1" x14ac:dyDescent="0.25">
      <c r="A65" s="4" t="str">
        <f>IFERROR(INDEX(tbl_plan[ロットID],ROW()-1),"")</f>
        <v/>
      </c>
      <c r="B65" s="4" t="str">
        <f>IF($A65="","",INDEX(tbl_plan[localId],ROW()-1))</f>
        <v/>
      </c>
      <c r="C65" s="11" t="str">
        <f>IF($A65="","",INDEX(tbl_plan[出荷週],ROW()-1))</f>
        <v/>
      </c>
      <c r="D65" s="4" t="str">
        <f>IF($A65="","",INDEX(tbl_plan[納期先],ROW()-1)&amp;"")</f>
        <v/>
      </c>
      <c r="E65" s="8" t="str">
        <f>IF($A65="","",INDEX(tbl_plan[必要数],ROW()-1))</f>
        <v/>
      </c>
      <c r="F65" s="8" t="str">
        <f t="shared" si="0"/>
        <v/>
      </c>
      <c r="G65" s="8" t="str">
        <f>IF($A65="","",SUMIFS(tbl_ledger[数量],tbl_ledger[ロットID],$A65,tbl_ledger[イベント種類],"発送"))</f>
        <v/>
      </c>
      <c r="H65" s="8" t="str">
        <f>IF($A65="","",_xlfn.LET(
_xlpm.割当,F65,
_xlpm.充当受入,SUMIFS(tbl_ledger[数量],tbl_ledger[充当先ロットID],$A65,tbl_ledger[イベント種類],"充当"),
_xlpm.充当放出,SUMIFS(tbl_ledger[数量],tbl_ledger[ロットID],$A65,tbl_ledger[イベント種類],"充当"),
_xlpm.発送済,G65,
_xlpm.倉庫戻し,SUMIFS(tbl_ledger[数量],tbl_ledger[ロットID],$A65,tbl_ledger[イベント種類],"倉庫戻し"),
_xlpm.余剰化,SUMIFS(tbl_ledger[数量],tbl_ledger[ロットID],$A65,tbl_ledger[イベント種類],"余剰化"),
_xlpm.不良,SUMIFS(tbl_ledger[数量],tbl_ledger[ロットID],$A65,tbl_ledger[イベント種類],"不良発生"),
_xlpm.割当+_xlpm.充当受入-_xlpm.充当放出-_xlpm.発送済-_xlpm.倉庫戻し-_xlpm.余剰化-_xlpm.不良))</f>
        <v/>
      </c>
      <c r="I65" s="8" t="str">
        <f>IF($A65="","",_xlfn.LET(
_xlpm.品番プール,N65,
_xlpm.割当計,SUMIF($B$2:$B$301,$B65,$F$2:$F$301),
_xlpm.余剰化受入,SUMIFS(tbl_ledger[数量],tbl_ledger[localId],$B65,tbl_ledger[イベント種類],"余剰化"),
_xlpm.充当払出,SUMIFS(tbl_ledger[数量],tbl_ledger[localId],$B65,tbl_ledger[イベント種類],"充当",tbl_ledger[ロットID],"="),
_xlpm.品番プール-_xlpm.割当計+_xlpm.余剰化受入-_xlpm.充当払出))</f>
        <v/>
      </c>
      <c r="J65" s="8" t="str">
        <f t="shared" si="1"/>
        <v/>
      </c>
      <c r="K65" s="8" t="str">
        <f t="shared" si="2"/>
        <v/>
      </c>
      <c r="L65" s="4" t="str">
        <f>IF($A65="","",IF(INDEX(tbl_plan[計画状態],ROW()-1)="キャンセル","キャンセル",IF(J65=0,"発送済",IF(K65&gt;0,"要搬出","OK"))))</f>
        <v/>
      </c>
      <c r="M65" s="8">
        <f t="array" ref="M65">_xlfn.LET(
_xlpm.計画状態,IFERROR(INDEX(tbl_plan[計画状態],ROW()-1)&amp;"",""),
_xlpm.必要数,IFERROR(N(INDEX(tbl_plan[必要数],ROW()-1)),0),
IF(_xlpm.計画状態="キャンセル",0,_xlpm.必要数))</f>
        <v>0</v>
      </c>
      <c r="N65" s="8" t="str">
        <f>IF($A65="","",_xlfn.LET(
_xlpm.搬入計,SUMIFS(tbl_ledger[数量],tbl_ledger[localId],$B65,tbl_ledger[イベント種類],"搬入"),
_xlpm.未割当発送,SUMIFS(tbl_ledger[数量],tbl_ledger[localId],$B65,tbl_ledger[イベント種類],"発送",tbl_ledger[ロットID],"="),
_xlpm.未割当倉庫戻し,SUMIFS(tbl_ledger[数量],tbl_ledger[localId],$B65,tbl_ledger[イベント種類],"倉庫戻し",tbl_ledger[ロットID],"="),
_xlpm.未割当不良,SUMIFS(tbl_ledger[数量],tbl_ledger[localId],$B65,tbl_ledger[イベント種類],"不良発生",tbl_ledger[ロットID],"="),
_xlpm.搬入計-_xlpm.未割当発送-_xlpm.未割当倉庫戻し-_xlpm.未割当不良))</f>
        <v/>
      </c>
      <c r="O65" s="8" t="str">
        <f t="array" ref="O65">IF($A65="","",_xlfn.LET(
_xlpm.同品番,($B$2:$B$301=$B65),
_xlpm.週が前,($C$2:$C$301&lt;$C65),
_xlpm.同週で上行,($C$2:$C$301=$C65)*(ROW($C$2:$C$301)&lt;ROW()),
SUMPRODUCT(_xlpm.同品番*(_xlpm.週が前+_xlpm.同週で上行)*$M$2:$M$301)))</f>
        <v/>
      </c>
    </row>
    <row r="66" spans="1:15" ht="15" customHeight="1" x14ac:dyDescent="0.25">
      <c r="A66" s="4" t="str">
        <f>IFERROR(INDEX(tbl_plan[ロットID],ROW()-1),"")</f>
        <v/>
      </c>
      <c r="B66" s="4" t="str">
        <f>IF($A66="","",INDEX(tbl_plan[localId],ROW()-1))</f>
        <v/>
      </c>
      <c r="C66" s="11" t="str">
        <f>IF($A66="","",INDEX(tbl_plan[出荷週],ROW()-1))</f>
        <v/>
      </c>
      <c r="D66" s="4" t="str">
        <f>IF($A66="","",INDEX(tbl_plan[納期先],ROW()-1)&amp;"")</f>
        <v/>
      </c>
      <c r="E66" s="8" t="str">
        <f>IF($A66="","",INDEX(tbl_plan[必要数],ROW()-1))</f>
        <v/>
      </c>
      <c r="F66" s="8" t="str">
        <f t="shared" ref="F66:F129" si="3">IF($A66="","",MIN(M66,MAX(0,N66-O66)))</f>
        <v/>
      </c>
      <c r="G66" s="8" t="str">
        <f>IF($A66="","",SUMIFS(tbl_ledger[数量],tbl_ledger[ロットID],$A66,tbl_ledger[イベント種類],"発送"))</f>
        <v/>
      </c>
      <c r="H66" s="8" t="str">
        <f>IF($A66="","",_xlfn.LET(
_xlpm.割当,F66,
_xlpm.充当受入,SUMIFS(tbl_ledger[数量],tbl_ledger[充当先ロットID],$A66,tbl_ledger[イベント種類],"充当"),
_xlpm.充当放出,SUMIFS(tbl_ledger[数量],tbl_ledger[ロットID],$A66,tbl_ledger[イベント種類],"充当"),
_xlpm.発送済,G66,
_xlpm.倉庫戻し,SUMIFS(tbl_ledger[数量],tbl_ledger[ロットID],$A66,tbl_ledger[イベント種類],"倉庫戻し"),
_xlpm.余剰化,SUMIFS(tbl_ledger[数量],tbl_ledger[ロットID],$A66,tbl_ledger[イベント種類],"余剰化"),
_xlpm.不良,SUMIFS(tbl_ledger[数量],tbl_ledger[ロットID],$A66,tbl_ledger[イベント種類],"不良発生"),
_xlpm.割当+_xlpm.充当受入-_xlpm.充当放出-_xlpm.発送済-_xlpm.倉庫戻し-_xlpm.余剰化-_xlpm.不良))</f>
        <v/>
      </c>
      <c r="I66" s="8" t="str">
        <f>IF($A66="","",_xlfn.LET(
_xlpm.品番プール,N66,
_xlpm.割当計,SUMIF($B$2:$B$301,$B66,$F$2:$F$301),
_xlpm.余剰化受入,SUMIFS(tbl_ledger[数量],tbl_ledger[localId],$B66,tbl_ledger[イベント種類],"余剰化"),
_xlpm.充当払出,SUMIFS(tbl_ledger[数量],tbl_ledger[localId],$B66,tbl_ledger[イベント種類],"充当",tbl_ledger[ロットID],"="),
_xlpm.品番プール-_xlpm.割当計+_xlpm.余剰化受入-_xlpm.充当払出))</f>
        <v/>
      </c>
      <c r="J66" s="8" t="str">
        <f t="shared" ref="J66:J129" si="4">IF($A66="","",MAX(0,M66-G66))</f>
        <v/>
      </c>
      <c r="K66" s="8" t="str">
        <f t="shared" ref="K66:K129" si="5">IF($A66="","",MAX(0,J66-H66-I66))</f>
        <v/>
      </c>
      <c r="L66" s="4" t="str">
        <f>IF($A66="","",IF(INDEX(tbl_plan[計画状態],ROW()-1)="キャンセル","キャンセル",IF(J66=0,"発送済",IF(K66&gt;0,"要搬出","OK"))))</f>
        <v/>
      </c>
      <c r="M66" s="8">
        <f t="array" ref="M66">_xlfn.LET(
_xlpm.計画状態,IFERROR(INDEX(tbl_plan[計画状態],ROW()-1)&amp;"",""),
_xlpm.必要数,IFERROR(N(INDEX(tbl_plan[必要数],ROW()-1)),0),
IF(_xlpm.計画状態="キャンセル",0,_xlpm.必要数))</f>
        <v>0</v>
      </c>
      <c r="N66" s="8" t="str">
        <f>IF($A66="","",_xlfn.LET(
_xlpm.搬入計,SUMIFS(tbl_ledger[数量],tbl_ledger[localId],$B66,tbl_ledger[イベント種類],"搬入"),
_xlpm.未割当発送,SUMIFS(tbl_ledger[数量],tbl_ledger[localId],$B66,tbl_ledger[イベント種類],"発送",tbl_ledger[ロットID],"="),
_xlpm.未割当倉庫戻し,SUMIFS(tbl_ledger[数量],tbl_ledger[localId],$B66,tbl_ledger[イベント種類],"倉庫戻し",tbl_ledger[ロットID],"="),
_xlpm.未割当不良,SUMIFS(tbl_ledger[数量],tbl_ledger[localId],$B66,tbl_ledger[イベント種類],"不良発生",tbl_ledger[ロットID],"="),
_xlpm.搬入計-_xlpm.未割当発送-_xlpm.未割当倉庫戻し-_xlpm.未割当不良))</f>
        <v/>
      </c>
      <c r="O66" s="8" t="str">
        <f t="array" ref="O66">IF($A66="","",_xlfn.LET(
_xlpm.同品番,($B$2:$B$301=$B66),
_xlpm.週が前,($C$2:$C$301&lt;$C66),
_xlpm.同週で上行,($C$2:$C$301=$C66)*(ROW($C$2:$C$301)&lt;ROW()),
SUMPRODUCT(_xlpm.同品番*(_xlpm.週が前+_xlpm.同週で上行)*$M$2:$M$301)))</f>
        <v/>
      </c>
    </row>
    <row r="67" spans="1:15" ht="15" customHeight="1" x14ac:dyDescent="0.25">
      <c r="A67" s="4" t="str">
        <f>IFERROR(INDEX(tbl_plan[ロットID],ROW()-1),"")</f>
        <v/>
      </c>
      <c r="B67" s="4" t="str">
        <f>IF($A67="","",INDEX(tbl_plan[localId],ROW()-1))</f>
        <v/>
      </c>
      <c r="C67" s="11" t="str">
        <f>IF($A67="","",INDEX(tbl_plan[出荷週],ROW()-1))</f>
        <v/>
      </c>
      <c r="D67" s="4" t="str">
        <f>IF($A67="","",INDEX(tbl_plan[納期先],ROW()-1)&amp;"")</f>
        <v/>
      </c>
      <c r="E67" s="8" t="str">
        <f>IF($A67="","",INDEX(tbl_plan[必要数],ROW()-1))</f>
        <v/>
      </c>
      <c r="F67" s="8" t="str">
        <f t="shared" si="3"/>
        <v/>
      </c>
      <c r="G67" s="8" t="str">
        <f>IF($A67="","",SUMIFS(tbl_ledger[数量],tbl_ledger[ロットID],$A67,tbl_ledger[イベント種類],"発送"))</f>
        <v/>
      </c>
      <c r="H67" s="8" t="str">
        <f>IF($A67="","",_xlfn.LET(
_xlpm.割当,F67,
_xlpm.充当受入,SUMIFS(tbl_ledger[数量],tbl_ledger[充当先ロットID],$A67,tbl_ledger[イベント種類],"充当"),
_xlpm.充当放出,SUMIFS(tbl_ledger[数量],tbl_ledger[ロットID],$A67,tbl_ledger[イベント種類],"充当"),
_xlpm.発送済,G67,
_xlpm.倉庫戻し,SUMIFS(tbl_ledger[数量],tbl_ledger[ロットID],$A67,tbl_ledger[イベント種類],"倉庫戻し"),
_xlpm.余剰化,SUMIFS(tbl_ledger[数量],tbl_ledger[ロットID],$A67,tbl_ledger[イベント種類],"余剰化"),
_xlpm.不良,SUMIFS(tbl_ledger[数量],tbl_ledger[ロットID],$A67,tbl_ledger[イベント種類],"不良発生"),
_xlpm.割当+_xlpm.充当受入-_xlpm.充当放出-_xlpm.発送済-_xlpm.倉庫戻し-_xlpm.余剰化-_xlpm.不良))</f>
        <v/>
      </c>
      <c r="I67" s="8" t="str">
        <f>IF($A67="","",_xlfn.LET(
_xlpm.品番プール,N67,
_xlpm.割当計,SUMIF($B$2:$B$301,$B67,$F$2:$F$301),
_xlpm.余剰化受入,SUMIFS(tbl_ledger[数量],tbl_ledger[localId],$B67,tbl_ledger[イベント種類],"余剰化"),
_xlpm.充当払出,SUMIFS(tbl_ledger[数量],tbl_ledger[localId],$B67,tbl_ledger[イベント種類],"充当",tbl_ledger[ロットID],"="),
_xlpm.品番プール-_xlpm.割当計+_xlpm.余剰化受入-_xlpm.充当払出))</f>
        <v/>
      </c>
      <c r="J67" s="8" t="str">
        <f t="shared" si="4"/>
        <v/>
      </c>
      <c r="K67" s="8" t="str">
        <f t="shared" si="5"/>
        <v/>
      </c>
      <c r="L67" s="4" t="str">
        <f>IF($A67="","",IF(INDEX(tbl_plan[計画状態],ROW()-1)="キャンセル","キャンセル",IF(J67=0,"発送済",IF(K67&gt;0,"要搬出","OK"))))</f>
        <v/>
      </c>
      <c r="M67" s="8">
        <f t="array" ref="M67">_xlfn.LET(
_xlpm.計画状態,IFERROR(INDEX(tbl_plan[計画状態],ROW()-1)&amp;"",""),
_xlpm.必要数,IFERROR(N(INDEX(tbl_plan[必要数],ROW()-1)),0),
IF(_xlpm.計画状態="キャンセル",0,_xlpm.必要数))</f>
        <v>0</v>
      </c>
      <c r="N67" s="8" t="str">
        <f>IF($A67="","",_xlfn.LET(
_xlpm.搬入計,SUMIFS(tbl_ledger[数量],tbl_ledger[localId],$B67,tbl_ledger[イベント種類],"搬入"),
_xlpm.未割当発送,SUMIFS(tbl_ledger[数量],tbl_ledger[localId],$B67,tbl_ledger[イベント種類],"発送",tbl_ledger[ロットID],"="),
_xlpm.未割当倉庫戻し,SUMIFS(tbl_ledger[数量],tbl_ledger[localId],$B67,tbl_ledger[イベント種類],"倉庫戻し",tbl_ledger[ロットID],"="),
_xlpm.未割当不良,SUMIFS(tbl_ledger[数量],tbl_ledger[localId],$B67,tbl_ledger[イベント種類],"不良発生",tbl_ledger[ロットID],"="),
_xlpm.搬入計-_xlpm.未割当発送-_xlpm.未割当倉庫戻し-_xlpm.未割当不良))</f>
        <v/>
      </c>
      <c r="O67" s="8" t="str">
        <f t="array" ref="O67">IF($A67="","",_xlfn.LET(
_xlpm.同品番,($B$2:$B$301=$B67),
_xlpm.週が前,($C$2:$C$301&lt;$C67),
_xlpm.同週で上行,($C$2:$C$301=$C67)*(ROW($C$2:$C$301)&lt;ROW()),
SUMPRODUCT(_xlpm.同品番*(_xlpm.週が前+_xlpm.同週で上行)*$M$2:$M$301)))</f>
        <v/>
      </c>
    </row>
    <row r="68" spans="1:15" ht="15" customHeight="1" x14ac:dyDescent="0.25">
      <c r="A68" s="4" t="str">
        <f>IFERROR(INDEX(tbl_plan[ロットID],ROW()-1),"")</f>
        <v/>
      </c>
      <c r="B68" s="4" t="str">
        <f>IF($A68="","",INDEX(tbl_plan[localId],ROW()-1))</f>
        <v/>
      </c>
      <c r="C68" s="11" t="str">
        <f>IF($A68="","",INDEX(tbl_plan[出荷週],ROW()-1))</f>
        <v/>
      </c>
      <c r="D68" s="4" t="str">
        <f>IF($A68="","",INDEX(tbl_plan[納期先],ROW()-1)&amp;"")</f>
        <v/>
      </c>
      <c r="E68" s="8" t="str">
        <f>IF($A68="","",INDEX(tbl_plan[必要数],ROW()-1))</f>
        <v/>
      </c>
      <c r="F68" s="8" t="str">
        <f t="shared" si="3"/>
        <v/>
      </c>
      <c r="G68" s="8" t="str">
        <f>IF($A68="","",SUMIFS(tbl_ledger[数量],tbl_ledger[ロットID],$A68,tbl_ledger[イベント種類],"発送"))</f>
        <v/>
      </c>
      <c r="H68" s="8" t="str">
        <f>IF($A68="","",_xlfn.LET(
_xlpm.割当,F68,
_xlpm.充当受入,SUMIFS(tbl_ledger[数量],tbl_ledger[充当先ロットID],$A68,tbl_ledger[イベント種類],"充当"),
_xlpm.充当放出,SUMIFS(tbl_ledger[数量],tbl_ledger[ロットID],$A68,tbl_ledger[イベント種類],"充当"),
_xlpm.発送済,G68,
_xlpm.倉庫戻し,SUMIFS(tbl_ledger[数量],tbl_ledger[ロットID],$A68,tbl_ledger[イベント種類],"倉庫戻し"),
_xlpm.余剰化,SUMIFS(tbl_ledger[数量],tbl_ledger[ロットID],$A68,tbl_ledger[イベント種類],"余剰化"),
_xlpm.不良,SUMIFS(tbl_ledger[数量],tbl_ledger[ロットID],$A68,tbl_ledger[イベント種類],"不良発生"),
_xlpm.割当+_xlpm.充当受入-_xlpm.充当放出-_xlpm.発送済-_xlpm.倉庫戻し-_xlpm.余剰化-_xlpm.不良))</f>
        <v/>
      </c>
      <c r="I68" s="8" t="str">
        <f>IF($A68="","",_xlfn.LET(
_xlpm.品番プール,N68,
_xlpm.割当計,SUMIF($B$2:$B$301,$B68,$F$2:$F$301),
_xlpm.余剰化受入,SUMIFS(tbl_ledger[数量],tbl_ledger[localId],$B68,tbl_ledger[イベント種類],"余剰化"),
_xlpm.充当払出,SUMIFS(tbl_ledger[数量],tbl_ledger[localId],$B68,tbl_ledger[イベント種類],"充当",tbl_ledger[ロットID],"="),
_xlpm.品番プール-_xlpm.割当計+_xlpm.余剰化受入-_xlpm.充当払出))</f>
        <v/>
      </c>
      <c r="J68" s="8" t="str">
        <f t="shared" si="4"/>
        <v/>
      </c>
      <c r="K68" s="8" t="str">
        <f t="shared" si="5"/>
        <v/>
      </c>
      <c r="L68" s="4" t="str">
        <f>IF($A68="","",IF(INDEX(tbl_plan[計画状態],ROW()-1)="キャンセル","キャンセル",IF(J68=0,"発送済",IF(K68&gt;0,"要搬出","OK"))))</f>
        <v/>
      </c>
      <c r="M68" s="8">
        <f t="array" ref="M68">_xlfn.LET(
_xlpm.計画状態,IFERROR(INDEX(tbl_plan[計画状態],ROW()-1)&amp;"",""),
_xlpm.必要数,IFERROR(N(INDEX(tbl_plan[必要数],ROW()-1)),0),
IF(_xlpm.計画状態="キャンセル",0,_xlpm.必要数))</f>
        <v>0</v>
      </c>
      <c r="N68" s="8" t="str">
        <f>IF($A68="","",_xlfn.LET(
_xlpm.搬入計,SUMIFS(tbl_ledger[数量],tbl_ledger[localId],$B68,tbl_ledger[イベント種類],"搬入"),
_xlpm.未割当発送,SUMIFS(tbl_ledger[数量],tbl_ledger[localId],$B68,tbl_ledger[イベント種類],"発送",tbl_ledger[ロットID],"="),
_xlpm.未割当倉庫戻し,SUMIFS(tbl_ledger[数量],tbl_ledger[localId],$B68,tbl_ledger[イベント種類],"倉庫戻し",tbl_ledger[ロットID],"="),
_xlpm.未割当不良,SUMIFS(tbl_ledger[数量],tbl_ledger[localId],$B68,tbl_ledger[イベント種類],"不良発生",tbl_ledger[ロットID],"="),
_xlpm.搬入計-_xlpm.未割当発送-_xlpm.未割当倉庫戻し-_xlpm.未割当不良))</f>
        <v/>
      </c>
      <c r="O68" s="8" t="str">
        <f t="array" ref="O68">IF($A68="","",_xlfn.LET(
_xlpm.同品番,($B$2:$B$301=$B68),
_xlpm.週が前,($C$2:$C$301&lt;$C68),
_xlpm.同週で上行,($C$2:$C$301=$C68)*(ROW($C$2:$C$301)&lt;ROW()),
SUMPRODUCT(_xlpm.同品番*(_xlpm.週が前+_xlpm.同週で上行)*$M$2:$M$301)))</f>
        <v/>
      </c>
    </row>
    <row r="69" spans="1:15" ht="15" customHeight="1" x14ac:dyDescent="0.25">
      <c r="A69" s="4" t="str">
        <f>IFERROR(INDEX(tbl_plan[ロットID],ROW()-1),"")</f>
        <v/>
      </c>
      <c r="B69" s="4" t="str">
        <f>IF($A69="","",INDEX(tbl_plan[localId],ROW()-1))</f>
        <v/>
      </c>
      <c r="C69" s="11" t="str">
        <f>IF($A69="","",INDEX(tbl_plan[出荷週],ROW()-1))</f>
        <v/>
      </c>
      <c r="D69" s="4" t="str">
        <f>IF($A69="","",INDEX(tbl_plan[納期先],ROW()-1)&amp;"")</f>
        <v/>
      </c>
      <c r="E69" s="8" t="str">
        <f>IF($A69="","",INDEX(tbl_plan[必要数],ROW()-1))</f>
        <v/>
      </c>
      <c r="F69" s="8" t="str">
        <f t="shared" si="3"/>
        <v/>
      </c>
      <c r="G69" s="8" t="str">
        <f>IF($A69="","",SUMIFS(tbl_ledger[数量],tbl_ledger[ロットID],$A69,tbl_ledger[イベント種類],"発送"))</f>
        <v/>
      </c>
      <c r="H69" s="8" t="str">
        <f>IF($A69="","",_xlfn.LET(
_xlpm.割当,F69,
_xlpm.充当受入,SUMIFS(tbl_ledger[数量],tbl_ledger[充当先ロットID],$A69,tbl_ledger[イベント種類],"充当"),
_xlpm.充当放出,SUMIFS(tbl_ledger[数量],tbl_ledger[ロットID],$A69,tbl_ledger[イベント種類],"充当"),
_xlpm.発送済,G69,
_xlpm.倉庫戻し,SUMIFS(tbl_ledger[数量],tbl_ledger[ロットID],$A69,tbl_ledger[イベント種類],"倉庫戻し"),
_xlpm.余剰化,SUMIFS(tbl_ledger[数量],tbl_ledger[ロットID],$A69,tbl_ledger[イベント種類],"余剰化"),
_xlpm.不良,SUMIFS(tbl_ledger[数量],tbl_ledger[ロットID],$A69,tbl_ledger[イベント種類],"不良発生"),
_xlpm.割当+_xlpm.充当受入-_xlpm.充当放出-_xlpm.発送済-_xlpm.倉庫戻し-_xlpm.余剰化-_xlpm.不良))</f>
        <v/>
      </c>
      <c r="I69" s="8" t="str">
        <f>IF($A69="","",_xlfn.LET(
_xlpm.品番プール,N69,
_xlpm.割当計,SUMIF($B$2:$B$301,$B69,$F$2:$F$301),
_xlpm.余剰化受入,SUMIFS(tbl_ledger[数量],tbl_ledger[localId],$B69,tbl_ledger[イベント種類],"余剰化"),
_xlpm.充当払出,SUMIFS(tbl_ledger[数量],tbl_ledger[localId],$B69,tbl_ledger[イベント種類],"充当",tbl_ledger[ロットID],"="),
_xlpm.品番プール-_xlpm.割当計+_xlpm.余剰化受入-_xlpm.充当払出))</f>
        <v/>
      </c>
      <c r="J69" s="8" t="str">
        <f t="shared" si="4"/>
        <v/>
      </c>
      <c r="K69" s="8" t="str">
        <f t="shared" si="5"/>
        <v/>
      </c>
      <c r="L69" s="4" t="str">
        <f>IF($A69="","",IF(INDEX(tbl_plan[計画状態],ROW()-1)="キャンセル","キャンセル",IF(J69=0,"発送済",IF(K69&gt;0,"要搬出","OK"))))</f>
        <v/>
      </c>
      <c r="M69" s="8">
        <f t="array" ref="M69">_xlfn.LET(
_xlpm.計画状態,IFERROR(INDEX(tbl_plan[計画状態],ROW()-1)&amp;"",""),
_xlpm.必要数,IFERROR(N(INDEX(tbl_plan[必要数],ROW()-1)),0),
IF(_xlpm.計画状態="キャンセル",0,_xlpm.必要数))</f>
        <v>0</v>
      </c>
      <c r="N69" s="8" t="str">
        <f>IF($A69="","",_xlfn.LET(
_xlpm.搬入計,SUMIFS(tbl_ledger[数量],tbl_ledger[localId],$B69,tbl_ledger[イベント種類],"搬入"),
_xlpm.未割当発送,SUMIFS(tbl_ledger[数量],tbl_ledger[localId],$B69,tbl_ledger[イベント種類],"発送",tbl_ledger[ロットID],"="),
_xlpm.未割当倉庫戻し,SUMIFS(tbl_ledger[数量],tbl_ledger[localId],$B69,tbl_ledger[イベント種類],"倉庫戻し",tbl_ledger[ロットID],"="),
_xlpm.未割当不良,SUMIFS(tbl_ledger[数量],tbl_ledger[localId],$B69,tbl_ledger[イベント種類],"不良発生",tbl_ledger[ロットID],"="),
_xlpm.搬入計-_xlpm.未割当発送-_xlpm.未割当倉庫戻し-_xlpm.未割当不良))</f>
        <v/>
      </c>
      <c r="O69" s="8" t="str">
        <f t="array" ref="O69">IF($A69="","",_xlfn.LET(
_xlpm.同品番,($B$2:$B$301=$B69),
_xlpm.週が前,($C$2:$C$301&lt;$C69),
_xlpm.同週で上行,($C$2:$C$301=$C69)*(ROW($C$2:$C$301)&lt;ROW()),
SUMPRODUCT(_xlpm.同品番*(_xlpm.週が前+_xlpm.同週で上行)*$M$2:$M$301)))</f>
        <v/>
      </c>
    </row>
    <row r="70" spans="1:15" ht="15" customHeight="1" x14ac:dyDescent="0.25">
      <c r="A70" s="4" t="str">
        <f>IFERROR(INDEX(tbl_plan[ロットID],ROW()-1),"")</f>
        <v/>
      </c>
      <c r="B70" s="4" t="str">
        <f>IF($A70="","",INDEX(tbl_plan[localId],ROW()-1))</f>
        <v/>
      </c>
      <c r="C70" s="11" t="str">
        <f>IF($A70="","",INDEX(tbl_plan[出荷週],ROW()-1))</f>
        <v/>
      </c>
      <c r="D70" s="4" t="str">
        <f>IF($A70="","",INDEX(tbl_plan[納期先],ROW()-1)&amp;"")</f>
        <v/>
      </c>
      <c r="E70" s="8" t="str">
        <f>IF($A70="","",INDEX(tbl_plan[必要数],ROW()-1))</f>
        <v/>
      </c>
      <c r="F70" s="8" t="str">
        <f t="shared" si="3"/>
        <v/>
      </c>
      <c r="G70" s="8" t="str">
        <f>IF($A70="","",SUMIFS(tbl_ledger[数量],tbl_ledger[ロットID],$A70,tbl_ledger[イベント種類],"発送"))</f>
        <v/>
      </c>
      <c r="H70" s="8" t="str">
        <f>IF($A70="","",_xlfn.LET(
_xlpm.割当,F70,
_xlpm.充当受入,SUMIFS(tbl_ledger[数量],tbl_ledger[充当先ロットID],$A70,tbl_ledger[イベント種類],"充当"),
_xlpm.充当放出,SUMIFS(tbl_ledger[数量],tbl_ledger[ロットID],$A70,tbl_ledger[イベント種類],"充当"),
_xlpm.発送済,G70,
_xlpm.倉庫戻し,SUMIFS(tbl_ledger[数量],tbl_ledger[ロットID],$A70,tbl_ledger[イベント種類],"倉庫戻し"),
_xlpm.余剰化,SUMIFS(tbl_ledger[数量],tbl_ledger[ロットID],$A70,tbl_ledger[イベント種類],"余剰化"),
_xlpm.不良,SUMIFS(tbl_ledger[数量],tbl_ledger[ロットID],$A70,tbl_ledger[イベント種類],"不良発生"),
_xlpm.割当+_xlpm.充当受入-_xlpm.充当放出-_xlpm.発送済-_xlpm.倉庫戻し-_xlpm.余剰化-_xlpm.不良))</f>
        <v/>
      </c>
      <c r="I70" s="8" t="str">
        <f>IF($A70="","",_xlfn.LET(
_xlpm.品番プール,N70,
_xlpm.割当計,SUMIF($B$2:$B$301,$B70,$F$2:$F$301),
_xlpm.余剰化受入,SUMIFS(tbl_ledger[数量],tbl_ledger[localId],$B70,tbl_ledger[イベント種類],"余剰化"),
_xlpm.充当払出,SUMIFS(tbl_ledger[数量],tbl_ledger[localId],$B70,tbl_ledger[イベント種類],"充当",tbl_ledger[ロットID],"="),
_xlpm.品番プール-_xlpm.割当計+_xlpm.余剰化受入-_xlpm.充当払出))</f>
        <v/>
      </c>
      <c r="J70" s="8" t="str">
        <f t="shared" si="4"/>
        <v/>
      </c>
      <c r="K70" s="8" t="str">
        <f t="shared" si="5"/>
        <v/>
      </c>
      <c r="L70" s="4" t="str">
        <f>IF($A70="","",IF(INDEX(tbl_plan[計画状態],ROW()-1)="キャンセル","キャンセル",IF(J70=0,"発送済",IF(K70&gt;0,"要搬出","OK"))))</f>
        <v/>
      </c>
      <c r="M70" s="8">
        <f t="array" ref="M70">_xlfn.LET(
_xlpm.計画状態,IFERROR(INDEX(tbl_plan[計画状態],ROW()-1)&amp;"",""),
_xlpm.必要数,IFERROR(N(INDEX(tbl_plan[必要数],ROW()-1)),0),
IF(_xlpm.計画状態="キャンセル",0,_xlpm.必要数))</f>
        <v>0</v>
      </c>
      <c r="N70" s="8" t="str">
        <f>IF($A70="","",_xlfn.LET(
_xlpm.搬入計,SUMIFS(tbl_ledger[数量],tbl_ledger[localId],$B70,tbl_ledger[イベント種類],"搬入"),
_xlpm.未割当発送,SUMIFS(tbl_ledger[数量],tbl_ledger[localId],$B70,tbl_ledger[イベント種類],"発送",tbl_ledger[ロットID],"="),
_xlpm.未割当倉庫戻し,SUMIFS(tbl_ledger[数量],tbl_ledger[localId],$B70,tbl_ledger[イベント種類],"倉庫戻し",tbl_ledger[ロットID],"="),
_xlpm.未割当不良,SUMIFS(tbl_ledger[数量],tbl_ledger[localId],$B70,tbl_ledger[イベント種類],"不良発生",tbl_ledger[ロットID],"="),
_xlpm.搬入計-_xlpm.未割当発送-_xlpm.未割当倉庫戻し-_xlpm.未割当不良))</f>
        <v/>
      </c>
      <c r="O70" s="8" t="str">
        <f t="array" ref="O70">IF($A70="","",_xlfn.LET(
_xlpm.同品番,($B$2:$B$301=$B70),
_xlpm.週が前,($C$2:$C$301&lt;$C70),
_xlpm.同週で上行,($C$2:$C$301=$C70)*(ROW($C$2:$C$301)&lt;ROW()),
SUMPRODUCT(_xlpm.同品番*(_xlpm.週が前+_xlpm.同週で上行)*$M$2:$M$301)))</f>
        <v/>
      </c>
    </row>
    <row r="71" spans="1:15" ht="15" customHeight="1" x14ac:dyDescent="0.25">
      <c r="A71" s="4" t="str">
        <f>IFERROR(INDEX(tbl_plan[ロットID],ROW()-1),"")</f>
        <v/>
      </c>
      <c r="B71" s="4" t="str">
        <f>IF($A71="","",INDEX(tbl_plan[localId],ROW()-1))</f>
        <v/>
      </c>
      <c r="C71" s="11" t="str">
        <f>IF($A71="","",INDEX(tbl_plan[出荷週],ROW()-1))</f>
        <v/>
      </c>
      <c r="D71" s="4" t="str">
        <f>IF($A71="","",INDEX(tbl_plan[納期先],ROW()-1)&amp;"")</f>
        <v/>
      </c>
      <c r="E71" s="8" t="str">
        <f>IF($A71="","",INDEX(tbl_plan[必要数],ROW()-1))</f>
        <v/>
      </c>
      <c r="F71" s="8" t="str">
        <f t="shared" si="3"/>
        <v/>
      </c>
      <c r="G71" s="8" t="str">
        <f>IF($A71="","",SUMIFS(tbl_ledger[数量],tbl_ledger[ロットID],$A71,tbl_ledger[イベント種類],"発送"))</f>
        <v/>
      </c>
      <c r="H71" s="8" t="str">
        <f>IF($A71="","",_xlfn.LET(
_xlpm.割当,F71,
_xlpm.充当受入,SUMIFS(tbl_ledger[数量],tbl_ledger[充当先ロットID],$A71,tbl_ledger[イベント種類],"充当"),
_xlpm.充当放出,SUMIFS(tbl_ledger[数量],tbl_ledger[ロットID],$A71,tbl_ledger[イベント種類],"充当"),
_xlpm.発送済,G71,
_xlpm.倉庫戻し,SUMIFS(tbl_ledger[数量],tbl_ledger[ロットID],$A71,tbl_ledger[イベント種類],"倉庫戻し"),
_xlpm.余剰化,SUMIFS(tbl_ledger[数量],tbl_ledger[ロットID],$A71,tbl_ledger[イベント種類],"余剰化"),
_xlpm.不良,SUMIFS(tbl_ledger[数量],tbl_ledger[ロットID],$A71,tbl_ledger[イベント種類],"不良発生"),
_xlpm.割当+_xlpm.充当受入-_xlpm.充当放出-_xlpm.発送済-_xlpm.倉庫戻し-_xlpm.余剰化-_xlpm.不良))</f>
        <v/>
      </c>
      <c r="I71" s="8" t="str">
        <f>IF($A71="","",_xlfn.LET(
_xlpm.品番プール,N71,
_xlpm.割当計,SUMIF($B$2:$B$301,$B71,$F$2:$F$301),
_xlpm.余剰化受入,SUMIFS(tbl_ledger[数量],tbl_ledger[localId],$B71,tbl_ledger[イベント種類],"余剰化"),
_xlpm.充当払出,SUMIFS(tbl_ledger[数量],tbl_ledger[localId],$B71,tbl_ledger[イベント種類],"充当",tbl_ledger[ロットID],"="),
_xlpm.品番プール-_xlpm.割当計+_xlpm.余剰化受入-_xlpm.充当払出))</f>
        <v/>
      </c>
      <c r="J71" s="8" t="str">
        <f t="shared" si="4"/>
        <v/>
      </c>
      <c r="K71" s="8" t="str">
        <f t="shared" si="5"/>
        <v/>
      </c>
      <c r="L71" s="4" t="str">
        <f>IF($A71="","",IF(INDEX(tbl_plan[計画状態],ROW()-1)="キャンセル","キャンセル",IF(J71=0,"発送済",IF(K71&gt;0,"要搬出","OK"))))</f>
        <v/>
      </c>
      <c r="M71" s="8">
        <f t="array" ref="M71">_xlfn.LET(
_xlpm.計画状態,IFERROR(INDEX(tbl_plan[計画状態],ROW()-1)&amp;"",""),
_xlpm.必要数,IFERROR(N(INDEX(tbl_plan[必要数],ROW()-1)),0),
IF(_xlpm.計画状態="キャンセル",0,_xlpm.必要数))</f>
        <v>0</v>
      </c>
      <c r="N71" s="8" t="str">
        <f>IF($A71="","",_xlfn.LET(
_xlpm.搬入計,SUMIFS(tbl_ledger[数量],tbl_ledger[localId],$B71,tbl_ledger[イベント種類],"搬入"),
_xlpm.未割当発送,SUMIFS(tbl_ledger[数量],tbl_ledger[localId],$B71,tbl_ledger[イベント種類],"発送",tbl_ledger[ロットID],"="),
_xlpm.未割当倉庫戻し,SUMIFS(tbl_ledger[数量],tbl_ledger[localId],$B71,tbl_ledger[イベント種類],"倉庫戻し",tbl_ledger[ロットID],"="),
_xlpm.未割当不良,SUMIFS(tbl_ledger[数量],tbl_ledger[localId],$B71,tbl_ledger[イベント種類],"不良発生",tbl_ledger[ロットID],"="),
_xlpm.搬入計-_xlpm.未割当発送-_xlpm.未割当倉庫戻し-_xlpm.未割当不良))</f>
        <v/>
      </c>
      <c r="O71" s="8" t="str">
        <f t="array" ref="O71">IF($A71="","",_xlfn.LET(
_xlpm.同品番,($B$2:$B$301=$B71),
_xlpm.週が前,($C$2:$C$301&lt;$C71),
_xlpm.同週で上行,($C$2:$C$301=$C71)*(ROW($C$2:$C$301)&lt;ROW()),
SUMPRODUCT(_xlpm.同品番*(_xlpm.週が前+_xlpm.同週で上行)*$M$2:$M$301)))</f>
        <v/>
      </c>
    </row>
    <row r="72" spans="1:15" ht="15" customHeight="1" x14ac:dyDescent="0.25">
      <c r="A72" s="4" t="str">
        <f>IFERROR(INDEX(tbl_plan[ロットID],ROW()-1),"")</f>
        <v/>
      </c>
      <c r="B72" s="4" t="str">
        <f>IF($A72="","",INDEX(tbl_plan[localId],ROW()-1))</f>
        <v/>
      </c>
      <c r="C72" s="11" t="str">
        <f>IF($A72="","",INDEX(tbl_plan[出荷週],ROW()-1))</f>
        <v/>
      </c>
      <c r="D72" s="4" t="str">
        <f>IF($A72="","",INDEX(tbl_plan[納期先],ROW()-1)&amp;"")</f>
        <v/>
      </c>
      <c r="E72" s="8" t="str">
        <f>IF($A72="","",INDEX(tbl_plan[必要数],ROW()-1))</f>
        <v/>
      </c>
      <c r="F72" s="8" t="str">
        <f t="shared" si="3"/>
        <v/>
      </c>
      <c r="G72" s="8" t="str">
        <f>IF($A72="","",SUMIFS(tbl_ledger[数量],tbl_ledger[ロットID],$A72,tbl_ledger[イベント種類],"発送"))</f>
        <v/>
      </c>
      <c r="H72" s="8" t="str">
        <f>IF($A72="","",_xlfn.LET(
_xlpm.割当,F72,
_xlpm.充当受入,SUMIFS(tbl_ledger[数量],tbl_ledger[充当先ロットID],$A72,tbl_ledger[イベント種類],"充当"),
_xlpm.充当放出,SUMIFS(tbl_ledger[数量],tbl_ledger[ロットID],$A72,tbl_ledger[イベント種類],"充当"),
_xlpm.発送済,G72,
_xlpm.倉庫戻し,SUMIFS(tbl_ledger[数量],tbl_ledger[ロットID],$A72,tbl_ledger[イベント種類],"倉庫戻し"),
_xlpm.余剰化,SUMIFS(tbl_ledger[数量],tbl_ledger[ロットID],$A72,tbl_ledger[イベント種類],"余剰化"),
_xlpm.不良,SUMIFS(tbl_ledger[数量],tbl_ledger[ロットID],$A72,tbl_ledger[イベント種類],"不良発生"),
_xlpm.割当+_xlpm.充当受入-_xlpm.充当放出-_xlpm.発送済-_xlpm.倉庫戻し-_xlpm.余剰化-_xlpm.不良))</f>
        <v/>
      </c>
      <c r="I72" s="8" t="str">
        <f>IF($A72="","",_xlfn.LET(
_xlpm.品番プール,N72,
_xlpm.割当計,SUMIF($B$2:$B$301,$B72,$F$2:$F$301),
_xlpm.余剰化受入,SUMIFS(tbl_ledger[数量],tbl_ledger[localId],$B72,tbl_ledger[イベント種類],"余剰化"),
_xlpm.充当払出,SUMIFS(tbl_ledger[数量],tbl_ledger[localId],$B72,tbl_ledger[イベント種類],"充当",tbl_ledger[ロットID],"="),
_xlpm.品番プール-_xlpm.割当計+_xlpm.余剰化受入-_xlpm.充当払出))</f>
        <v/>
      </c>
      <c r="J72" s="8" t="str">
        <f t="shared" si="4"/>
        <v/>
      </c>
      <c r="K72" s="8" t="str">
        <f t="shared" si="5"/>
        <v/>
      </c>
      <c r="L72" s="4" t="str">
        <f>IF($A72="","",IF(INDEX(tbl_plan[計画状態],ROW()-1)="キャンセル","キャンセル",IF(J72=0,"発送済",IF(K72&gt;0,"要搬出","OK"))))</f>
        <v/>
      </c>
      <c r="M72" s="8">
        <f t="array" ref="M72">_xlfn.LET(
_xlpm.計画状態,IFERROR(INDEX(tbl_plan[計画状態],ROW()-1)&amp;"",""),
_xlpm.必要数,IFERROR(N(INDEX(tbl_plan[必要数],ROW()-1)),0),
IF(_xlpm.計画状態="キャンセル",0,_xlpm.必要数))</f>
        <v>0</v>
      </c>
      <c r="N72" s="8" t="str">
        <f>IF($A72="","",_xlfn.LET(
_xlpm.搬入計,SUMIFS(tbl_ledger[数量],tbl_ledger[localId],$B72,tbl_ledger[イベント種類],"搬入"),
_xlpm.未割当発送,SUMIFS(tbl_ledger[数量],tbl_ledger[localId],$B72,tbl_ledger[イベント種類],"発送",tbl_ledger[ロットID],"="),
_xlpm.未割当倉庫戻し,SUMIFS(tbl_ledger[数量],tbl_ledger[localId],$B72,tbl_ledger[イベント種類],"倉庫戻し",tbl_ledger[ロットID],"="),
_xlpm.未割当不良,SUMIFS(tbl_ledger[数量],tbl_ledger[localId],$B72,tbl_ledger[イベント種類],"不良発生",tbl_ledger[ロットID],"="),
_xlpm.搬入計-_xlpm.未割当発送-_xlpm.未割当倉庫戻し-_xlpm.未割当不良))</f>
        <v/>
      </c>
      <c r="O72" s="8" t="str">
        <f t="array" ref="O72">IF($A72="","",_xlfn.LET(
_xlpm.同品番,($B$2:$B$301=$B72),
_xlpm.週が前,($C$2:$C$301&lt;$C72),
_xlpm.同週で上行,($C$2:$C$301=$C72)*(ROW($C$2:$C$301)&lt;ROW()),
SUMPRODUCT(_xlpm.同品番*(_xlpm.週が前+_xlpm.同週で上行)*$M$2:$M$301)))</f>
        <v/>
      </c>
    </row>
    <row r="73" spans="1:15" ht="15" customHeight="1" x14ac:dyDescent="0.25">
      <c r="A73" s="4" t="str">
        <f>IFERROR(INDEX(tbl_plan[ロットID],ROW()-1),"")</f>
        <v/>
      </c>
      <c r="B73" s="4" t="str">
        <f>IF($A73="","",INDEX(tbl_plan[localId],ROW()-1))</f>
        <v/>
      </c>
      <c r="C73" s="11" t="str">
        <f>IF($A73="","",INDEX(tbl_plan[出荷週],ROW()-1))</f>
        <v/>
      </c>
      <c r="D73" s="4" t="str">
        <f>IF($A73="","",INDEX(tbl_plan[納期先],ROW()-1)&amp;"")</f>
        <v/>
      </c>
      <c r="E73" s="8" t="str">
        <f>IF($A73="","",INDEX(tbl_plan[必要数],ROW()-1))</f>
        <v/>
      </c>
      <c r="F73" s="8" t="str">
        <f t="shared" si="3"/>
        <v/>
      </c>
      <c r="G73" s="8" t="str">
        <f>IF($A73="","",SUMIFS(tbl_ledger[数量],tbl_ledger[ロットID],$A73,tbl_ledger[イベント種類],"発送"))</f>
        <v/>
      </c>
      <c r="H73" s="8" t="str">
        <f>IF($A73="","",_xlfn.LET(
_xlpm.割当,F73,
_xlpm.充当受入,SUMIFS(tbl_ledger[数量],tbl_ledger[充当先ロットID],$A73,tbl_ledger[イベント種類],"充当"),
_xlpm.充当放出,SUMIFS(tbl_ledger[数量],tbl_ledger[ロットID],$A73,tbl_ledger[イベント種類],"充当"),
_xlpm.発送済,G73,
_xlpm.倉庫戻し,SUMIFS(tbl_ledger[数量],tbl_ledger[ロットID],$A73,tbl_ledger[イベント種類],"倉庫戻し"),
_xlpm.余剰化,SUMIFS(tbl_ledger[数量],tbl_ledger[ロットID],$A73,tbl_ledger[イベント種類],"余剰化"),
_xlpm.不良,SUMIFS(tbl_ledger[数量],tbl_ledger[ロットID],$A73,tbl_ledger[イベント種類],"不良発生"),
_xlpm.割当+_xlpm.充当受入-_xlpm.充当放出-_xlpm.発送済-_xlpm.倉庫戻し-_xlpm.余剰化-_xlpm.不良))</f>
        <v/>
      </c>
      <c r="I73" s="8" t="str">
        <f>IF($A73="","",_xlfn.LET(
_xlpm.品番プール,N73,
_xlpm.割当計,SUMIF($B$2:$B$301,$B73,$F$2:$F$301),
_xlpm.余剰化受入,SUMIFS(tbl_ledger[数量],tbl_ledger[localId],$B73,tbl_ledger[イベント種類],"余剰化"),
_xlpm.充当払出,SUMIFS(tbl_ledger[数量],tbl_ledger[localId],$B73,tbl_ledger[イベント種類],"充当",tbl_ledger[ロットID],"="),
_xlpm.品番プール-_xlpm.割当計+_xlpm.余剰化受入-_xlpm.充当払出))</f>
        <v/>
      </c>
      <c r="J73" s="8" t="str">
        <f t="shared" si="4"/>
        <v/>
      </c>
      <c r="K73" s="8" t="str">
        <f t="shared" si="5"/>
        <v/>
      </c>
      <c r="L73" s="4" t="str">
        <f>IF($A73="","",IF(INDEX(tbl_plan[計画状態],ROW()-1)="キャンセル","キャンセル",IF(J73=0,"発送済",IF(K73&gt;0,"要搬出","OK"))))</f>
        <v/>
      </c>
      <c r="M73" s="8">
        <f t="array" ref="M73">_xlfn.LET(
_xlpm.計画状態,IFERROR(INDEX(tbl_plan[計画状態],ROW()-1)&amp;"",""),
_xlpm.必要数,IFERROR(N(INDEX(tbl_plan[必要数],ROW()-1)),0),
IF(_xlpm.計画状態="キャンセル",0,_xlpm.必要数))</f>
        <v>0</v>
      </c>
      <c r="N73" s="8" t="str">
        <f>IF($A73="","",_xlfn.LET(
_xlpm.搬入計,SUMIFS(tbl_ledger[数量],tbl_ledger[localId],$B73,tbl_ledger[イベント種類],"搬入"),
_xlpm.未割当発送,SUMIFS(tbl_ledger[数量],tbl_ledger[localId],$B73,tbl_ledger[イベント種類],"発送",tbl_ledger[ロットID],"="),
_xlpm.未割当倉庫戻し,SUMIFS(tbl_ledger[数量],tbl_ledger[localId],$B73,tbl_ledger[イベント種類],"倉庫戻し",tbl_ledger[ロットID],"="),
_xlpm.未割当不良,SUMIFS(tbl_ledger[数量],tbl_ledger[localId],$B73,tbl_ledger[イベント種類],"不良発生",tbl_ledger[ロットID],"="),
_xlpm.搬入計-_xlpm.未割当発送-_xlpm.未割当倉庫戻し-_xlpm.未割当不良))</f>
        <v/>
      </c>
      <c r="O73" s="8" t="str">
        <f t="array" ref="O73">IF($A73="","",_xlfn.LET(
_xlpm.同品番,($B$2:$B$301=$B73),
_xlpm.週が前,($C$2:$C$301&lt;$C73),
_xlpm.同週で上行,($C$2:$C$301=$C73)*(ROW($C$2:$C$301)&lt;ROW()),
SUMPRODUCT(_xlpm.同品番*(_xlpm.週が前+_xlpm.同週で上行)*$M$2:$M$301)))</f>
        <v/>
      </c>
    </row>
    <row r="74" spans="1:15" ht="15" customHeight="1" x14ac:dyDescent="0.25">
      <c r="A74" s="4" t="str">
        <f>IFERROR(INDEX(tbl_plan[ロットID],ROW()-1),"")</f>
        <v/>
      </c>
      <c r="B74" s="4" t="str">
        <f>IF($A74="","",INDEX(tbl_plan[localId],ROW()-1))</f>
        <v/>
      </c>
      <c r="C74" s="11" t="str">
        <f>IF($A74="","",INDEX(tbl_plan[出荷週],ROW()-1))</f>
        <v/>
      </c>
      <c r="D74" s="4" t="str">
        <f>IF($A74="","",INDEX(tbl_plan[納期先],ROW()-1)&amp;"")</f>
        <v/>
      </c>
      <c r="E74" s="8" t="str">
        <f>IF($A74="","",INDEX(tbl_plan[必要数],ROW()-1))</f>
        <v/>
      </c>
      <c r="F74" s="8" t="str">
        <f t="shared" si="3"/>
        <v/>
      </c>
      <c r="G74" s="8" t="str">
        <f>IF($A74="","",SUMIFS(tbl_ledger[数量],tbl_ledger[ロットID],$A74,tbl_ledger[イベント種類],"発送"))</f>
        <v/>
      </c>
      <c r="H74" s="8" t="str">
        <f>IF($A74="","",_xlfn.LET(
_xlpm.割当,F74,
_xlpm.充当受入,SUMIFS(tbl_ledger[数量],tbl_ledger[充当先ロットID],$A74,tbl_ledger[イベント種類],"充当"),
_xlpm.充当放出,SUMIFS(tbl_ledger[数量],tbl_ledger[ロットID],$A74,tbl_ledger[イベント種類],"充当"),
_xlpm.発送済,G74,
_xlpm.倉庫戻し,SUMIFS(tbl_ledger[数量],tbl_ledger[ロットID],$A74,tbl_ledger[イベント種類],"倉庫戻し"),
_xlpm.余剰化,SUMIFS(tbl_ledger[数量],tbl_ledger[ロットID],$A74,tbl_ledger[イベント種類],"余剰化"),
_xlpm.不良,SUMIFS(tbl_ledger[数量],tbl_ledger[ロットID],$A74,tbl_ledger[イベント種類],"不良発生"),
_xlpm.割当+_xlpm.充当受入-_xlpm.充当放出-_xlpm.発送済-_xlpm.倉庫戻し-_xlpm.余剰化-_xlpm.不良))</f>
        <v/>
      </c>
      <c r="I74" s="8" t="str">
        <f>IF($A74="","",_xlfn.LET(
_xlpm.品番プール,N74,
_xlpm.割当計,SUMIF($B$2:$B$301,$B74,$F$2:$F$301),
_xlpm.余剰化受入,SUMIFS(tbl_ledger[数量],tbl_ledger[localId],$B74,tbl_ledger[イベント種類],"余剰化"),
_xlpm.充当払出,SUMIFS(tbl_ledger[数量],tbl_ledger[localId],$B74,tbl_ledger[イベント種類],"充当",tbl_ledger[ロットID],"="),
_xlpm.品番プール-_xlpm.割当計+_xlpm.余剰化受入-_xlpm.充当払出))</f>
        <v/>
      </c>
      <c r="J74" s="8" t="str">
        <f t="shared" si="4"/>
        <v/>
      </c>
      <c r="K74" s="8" t="str">
        <f t="shared" si="5"/>
        <v/>
      </c>
      <c r="L74" s="4" t="str">
        <f>IF($A74="","",IF(INDEX(tbl_plan[計画状態],ROW()-1)="キャンセル","キャンセル",IF(J74=0,"発送済",IF(K74&gt;0,"要搬出","OK"))))</f>
        <v/>
      </c>
      <c r="M74" s="8">
        <f t="array" ref="M74">_xlfn.LET(
_xlpm.計画状態,IFERROR(INDEX(tbl_plan[計画状態],ROW()-1)&amp;"",""),
_xlpm.必要数,IFERROR(N(INDEX(tbl_plan[必要数],ROW()-1)),0),
IF(_xlpm.計画状態="キャンセル",0,_xlpm.必要数))</f>
        <v>0</v>
      </c>
      <c r="N74" s="8" t="str">
        <f>IF($A74="","",_xlfn.LET(
_xlpm.搬入計,SUMIFS(tbl_ledger[数量],tbl_ledger[localId],$B74,tbl_ledger[イベント種類],"搬入"),
_xlpm.未割当発送,SUMIFS(tbl_ledger[数量],tbl_ledger[localId],$B74,tbl_ledger[イベント種類],"発送",tbl_ledger[ロットID],"="),
_xlpm.未割当倉庫戻し,SUMIFS(tbl_ledger[数量],tbl_ledger[localId],$B74,tbl_ledger[イベント種類],"倉庫戻し",tbl_ledger[ロットID],"="),
_xlpm.未割当不良,SUMIFS(tbl_ledger[数量],tbl_ledger[localId],$B74,tbl_ledger[イベント種類],"不良発生",tbl_ledger[ロットID],"="),
_xlpm.搬入計-_xlpm.未割当発送-_xlpm.未割当倉庫戻し-_xlpm.未割当不良))</f>
        <v/>
      </c>
      <c r="O74" s="8" t="str">
        <f t="array" ref="O74">IF($A74="","",_xlfn.LET(
_xlpm.同品番,($B$2:$B$301=$B74),
_xlpm.週が前,($C$2:$C$301&lt;$C74),
_xlpm.同週で上行,($C$2:$C$301=$C74)*(ROW($C$2:$C$301)&lt;ROW()),
SUMPRODUCT(_xlpm.同品番*(_xlpm.週が前+_xlpm.同週で上行)*$M$2:$M$301)))</f>
        <v/>
      </c>
    </row>
    <row r="75" spans="1:15" ht="15" customHeight="1" x14ac:dyDescent="0.25">
      <c r="A75" s="4" t="str">
        <f>IFERROR(INDEX(tbl_plan[ロットID],ROW()-1),"")</f>
        <v/>
      </c>
      <c r="B75" s="4" t="str">
        <f>IF($A75="","",INDEX(tbl_plan[localId],ROW()-1))</f>
        <v/>
      </c>
      <c r="C75" s="11" t="str">
        <f>IF($A75="","",INDEX(tbl_plan[出荷週],ROW()-1))</f>
        <v/>
      </c>
      <c r="D75" s="4" t="str">
        <f>IF($A75="","",INDEX(tbl_plan[納期先],ROW()-1)&amp;"")</f>
        <v/>
      </c>
      <c r="E75" s="8" t="str">
        <f>IF($A75="","",INDEX(tbl_plan[必要数],ROW()-1))</f>
        <v/>
      </c>
      <c r="F75" s="8" t="str">
        <f t="shared" si="3"/>
        <v/>
      </c>
      <c r="G75" s="8" t="str">
        <f>IF($A75="","",SUMIFS(tbl_ledger[数量],tbl_ledger[ロットID],$A75,tbl_ledger[イベント種類],"発送"))</f>
        <v/>
      </c>
      <c r="H75" s="8" t="str">
        <f>IF($A75="","",_xlfn.LET(
_xlpm.割当,F75,
_xlpm.充当受入,SUMIFS(tbl_ledger[数量],tbl_ledger[充当先ロットID],$A75,tbl_ledger[イベント種類],"充当"),
_xlpm.充当放出,SUMIFS(tbl_ledger[数量],tbl_ledger[ロットID],$A75,tbl_ledger[イベント種類],"充当"),
_xlpm.発送済,G75,
_xlpm.倉庫戻し,SUMIFS(tbl_ledger[数量],tbl_ledger[ロットID],$A75,tbl_ledger[イベント種類],"倉庫戻し"),
_xlpm.余剰化,SUMIFS(tbl_ledger[数量],tbl_ledger[ロットID],$A75,tbl_ledger[イベント種類],"余剰化"),
_xlpm.不良,SUMIFS(tbl_ledger[数量],tbl_ledger[ロットID],$A75,tbl_ledger[イベント種類],"不良発生"),
_xlpm.割当+_xlpm.充当受入-_xlpm.充当放出-_xlpm.発送済-_xlpm.倉庫戻し-_xlpm.余剰化-_xlpm.不良))</f>
        <v/>
      </c>
      <c r="I75" s="8" t="str">
        <f>IF($A75="","",_xlfn.LET(
_xlpm.品番プール,N75,
_xlpm.割当計,SUMIF($B$2:$B$301,$B75,$F$2:$F$301),
_xlpm.余剰化受入,SUMIFS(tbl_ledger[数量],tbl_ledger[localId],$B75,tbl_ledger[イベント種類],"余剰化"),
_xlpm.充当払出,SUMIFS(tbl_ledger[数量],tbl_ledger[localId],$B75,tbl_ledger[イベント種類],"充当",tbl_ledger[ロットID],"="),
_xlpm.品番プール-_xlpm.割当計+_xlpm.余剰化受入-_xlpm.充当払出))</f>
        <v/>
      </c>
      <c r="J75" s="8" t="str">
        <f t="shared" si="4"/>
        <v/>
      </c>
      <c r="K75" s="8" t="str">
        <f t="shared" si="5"/>
        <v/>
      </c>
      <c r="L75" s="4" t="str">
        <f>IF($A75="","",IF(INDEX(tbl_plan[計画状態],ROW()-1)="キャンセル","キャンセル",IF(J75=0,"発送済",IF(K75&gt;0,"要搬出","OK"))))</f>
        <v/>
      </c>
      <c r="M75" s="8">
        <f t="array" ref="M75">_xlfn.LET(
_xlpm.計画状態,IFERROR(INDEX(tbl_plan[計画状態],ROW()-1)&amp;"",""),
_xlpm.必要数,IFERROR(N(INDEX(tbl_plan[必要数],ROW()-1)),0),
IF(_xlpm.計画状態="キャンセル",0,_xlpm.必要数))</f>
        <v>0</v>
      </c>
      <c r="N75" s="8" t="str">
        <f>IF($A75="","",_xlfn.LET(
_xlpm.搬入計,SUMIFS(tbl_ledger[数量],tbl_ledger[localId],$B75,tbl_ledger[イベント種類],"搬入"),
_xlpm.未割当発送,SUMIFS(tbl_ledger[数量],tbl_ledger[localId],$B75,tbl_ledger[イベント種類],"発送",tbl_ledger[ロットID],"="),
_xlpm.未割当倉庫戻し,SUMIFS(tbl_ledger[数量],tbl_ledger[localId],$B75,tbl_ledger[イベント種類],"倉庫戻し",tbl_ledger[ロットID],"="),
_xlpm.未割当不良,SUMIFS(tbl_ledger[数量],tbl_ledger[localId],$B75,tbl_ledger[イベント種類],"不良発生",tbl_ledger[ロットID],"="),
_xlpm.搬入計-_xlpm.未割当発送-_xlpm.未割当倉庫戻し-_xlpm.未割当不良))</f>
        <v/>
      </c>
      <c r="O75" s="8" t="str">
        <f t="array" ref="O75">IF($A75="","",_xlfn.LET(
_xlpm.同品番,($B$2:$B$301=$B75),
_xlpm.週が前,($C$2:$C$301&lt;$C75),
_xlpm.同週で上行,($C$2:$C$301=$C75)*(ROW($C$2:$C$301)&lt;ROW()),
SUMPRODUCT(_xlpm.同品番*(_xlpm.週が前+_xlpm.同週で上行)*$M$2:$M$301)))</f>
        <v/>
      </c>
    </row>
    <row r="76" spans="1:15" ht="15" customHeight="1" x14ac:dyDescent="0.25">
      <c r="A76" s="4" t="str">
        <f>IFERROR(INDEX(tbl_plan[ロットID],ROW()-1),"")</f>
        <v/>
      </c>
      <c r="B76" s="4" t="str">
        <f>IF($A76="","",INDEX(tbl_plan[localId],ROW()-1))</f>
        <v/>
      </c>
      <c r="C76" s="11" t="str">
        <f>IF($A76="","",INDEX(tbl_plan[出荷週],ROW()-1))</f>
        <v/>
      </c>
      <c r="D76" s="4" t="str">
        <f>IF($A76="","",INDEX(tbl_plan[納期先],ROW()-1)&amp;"")</f>
        <v/>
      </c>
      <c r="E76" s="8" t="str">
        <f>IF($A76="","",INDEX(tbl_plan[必要数],ROW()-1))</f>
        <v/>
      </c>
      <c r="F76" s="8" t="str">
        <f t="shared" si="3"/>
        <v/>
      </c>
      <c r="G76" s="8" t="str">
        <f>IF($A76="","",SUMIFS(tbl_ledger[数量],tbl_ledger[ロットID],$A76,tbl_ledger[イベント種類],"発送"))</f>
        <v/>
      </c>
      <c r="H76" s="8" t="str">
        <f>IF($A76="","",_xlfn.LET(
_xlpm.割当,F76,
_xlpm.充当受入,SUMIFS(tbl_ledger[数量],tbl_ledger[充当先ロットID],$A76,tbl_ledger[イベント種類],"充当"),
_xlpm.充当放出,SUMIFS(tbl_ledger[数量],tbl_ledger[ロットID],$A76,tbl_ledger[イベント種類],"充当"),
_xlpm.発送済,G76,
_xlpm.倉庫戻し,SUMIFS(tbl_ledger[数量],tbl_ledger[ロットID],$A76,tbl_ledger[イベント種類],"倉庫戻し"),
_xlpm.余剰化,SUMIFS(tbl_ledger[数量],tbl_ledger[ロットID],$A76,tbl_ledger[イベント種類],"余剰化"),
_xlpm.不良,SUMIFS(tbl_ledger[数量],tbl_ledger[ロットID],$A76,tbl_ledger[イベント種類],"不良発生"),
_xlpm.割当+_xlpm.充当受入-_xlpm.充当放出-_xlpm.発送済-_xlpm.倉庫戻し-_xlpm.余剰化-_xlpm.不良))</f>
        <v/>
      </c>
      <c r="I76" s="8" t="str">
        <f>IF($A76="","",_xlfn.LET(
_xlpm.品番プール,N76,
_xlpm.割当計,SUMIF($B$2:$B$301,$B76,$F$2:$F$301),
_xlpm.余剰化受入,SUMIFS(tbl_ledger[数量],tbl_ledger[localId],$B76,tbl_ledger[イベント種類],"余剰化"),
_xlpm.充当払出,SUMIFS(tbl_ledger[数量],tbl_ledger[localId],$B76,tbl_ledger[イベント種類],"充当",tbl_ledger[ロットID],"="),
_xlpm.品番プール-_xlpm.割当計+_xlpm.余剰化受入-_xlpm.充当払出))</f>
        <v/>
      </c>
      <c r="J76" s="8" t="str">
        <f t="shared" si="4"/>
        <v/>
      </c>
      <c r="K76" s="8" t="str">
        <f t="shared" si="5"/>
        <v/>
      </c>
      <c r="L76" s="4" t="str">
        <f>IF($A76="","",IF(INDEX(tbl_plan[計画状態],ROW()-1)="キャンセル","キャンセル",IF(J76=0,"発送済",IF(K76&gt;0,"要搬出","OK"))))</f>
        <v/>
      </c>
      <c r="M76" s="8">
        <f t="array" ref="M76">_xlfn.LET(
_xlpm.計画状態,IFERROR(INDEX(tbl_plan[計画状態],ROW()-1)&amp;"",""),
_xlpm.必要数,IFERROR(N(INDEX(tbl_plan[必要数],ROW()-1)),0),
IF(_xlpm.計画状態="キャンセル",0,_xlpm.必要数))</f>
        <v>0</v>
      </c>
      <c r="N76" s="8" t="str">
        <f>IF($A76="","",_xlfn.LET(
_xlpm.搬入計,SUMIFS(tbl_ledger[数量],tbl_ledger[localId],$B76,tbl_ledger[イベント種類],"搬入"),
_xlpm.未割当発送,SUMIFS(tbl_ledger[数量],tbl_ledger[localId],$B76,tbl_ledger[イベント種類],"発送",tbl_ledger[ロットID],"="),
_xlpm.未割当倉庫戻し,SUMIFS(tbl_ledger[数量],tbl_ledger[localId],$B76,tbl_ledger[イベント種類],"倉庫戻し",tbl_ledger[ロットID],"="),
_xlpm.未割当不良,SUMIFS(tbl_ledger[数量],tbl_ledger[localId],$B76,tbl_ledger[イベント種類],"不良発生",tbl_ledger[ロットID],"="),
_xlpm.搬入計-_xlpm.未割当発送-_xlpm.未割当倉庫戻し-_xlpm.未割当不良))</f>
        <v/>
      </c>
      <c r="O76" s="8" t="str">
        <f t="array" ref="O76">IF($A76="","",_xlfn.LET(
_xlpm.同品番,($B$2:$B$301=$B76),
_xlpm.週が前,($C$2:$C$301&lt;$C76),
_xlpm.同週で上行,($C$2:$C$301=$C76)*(ROW($C$2:$C$301)&lt;ROW()),
SUMPRODUCT(_xlpm.同品番*(_xlpm.週が前+_xlpm.同週で上行)*$M$2:$M$301)))</f>
        <v/>
      </c>
    </row>
    <row r="77" spans="1:15" ht="15" customHeight="1" x14ac:dyDescent="0.25">
      <c r="A77" s="4" t="str">
        <f>IFERROR(INDEX(tbl_plan[ロットID],ROW()-1),"")</f>
        <v/>
      </c>
      <c r="B77" s="4" t="str">
        <f>IF($A77="","",INDEX(tbl_plan[localId],ROW()-1))</f>
        <v/>
      </c>
      <c r="C77" s="11" t="str">
        <f>IF($A77="","",INDEX(tbl_plan[出荷週],ROW()-1))</f>
        <v/>
      </c>
      <c r="D77" s="4" t="str">
        <f>IF($A77="","",INDEX(tbl_plan[納期先],ROW()-1)&amp;"")</f>
        <v/>
      </c>
      <c r="E77" s="8" t="str">
        <f>IF($A77="","",INDEX(tbl_plan[必要数],ROW()-1))</f>
        <v/>
      </c>
      <c r="F77" s="8" t="str">
        <f t="shared" si="3"/>
        <v/>
      </c>
      <c r="G77" s="8" t="str">
        <f>IF($A77="","",SUMIFS(tbl_ledger[数量],tbl_ledger[ロットID],$A77,tbl_ledger[イベント種類],"発送"))</f>
        <v/>
      </c>
      <c r="H77" s="8" t="str">
        <f>IF($A77="","",_xlfn.LET(
_xlpm.割当,F77,
_xlpm.充当受入,SUMIFS(tbl_ledger[数量],tbl_ledger[充当先ロットID],$A77,tbl_ledger[イベント種類],"充当"),
_xlpm.充当放出,SUMIFS(tbl_ledger[数量],tbl_ledger[ロットID],$A77,tbl_ledger[イベント種類],"充当"),
_xlpm.発送済,G77,
_xlpm.倉庫戻し,SUMIFS(tbl_ledger[数量],tbl_ledger[ロットID],$A77,tbl_ledger[イベント種類],"倉庫戻し"),
_xlpm.余剰化,SUMIFS(tbl_ledger[数量],tbl_ledger[ロットID],$A77,tbl_ledger[イベント種類],"余剰化"),
_xlpm.不良,SUMIFS(tbl_ledger[数量],tbl_ledger[ロットID],$A77,tbl_ledger[イベント種類],"不良発生"),
_xlpm.割当+_xlpm.充当受入-_xlpm.充当放出-_xlpm.発送済-_xlpm.倉庫戻し-_xlpm.余剰化-_xlpm.不良))</f>
        <v/>
      </c>
      <c r="I77" s="8" t="str">
        <f>IF($A77="","",_xlfn.LET(
_xlpm.品番プール,N77,
_xlpm.割当計,SUMIF($B$2:$B$301,$B77,$F$2:$F$301),
_xlpm.余剰化受入,SUMIFS(tbl_ledger[数量],tbl_ledger[localId],$B77,tbl_ledger[イベント種類],"余剰化"),
_xlpm.充当払出,SUMIFS(tbl_ledger[数量],tbl_ledger[localId],$B77,tbl_ledger[イベント種類],"充当",tbl_ledger[ロットID],"="),
_xlpm.品番プール-_xlpm.割当計+_xlpm.余剰化受入-_xlpm.充当払出))</f>
        <v/>
      </c>
      <c r="J77" s="8" t="str">
        <f t="shared" si="4"/>
        <v/>
      </c>
      <c r="K77" s="8" t="str">
        <f t="shared" si="5"/>
        <v/>
      </c>
      <c r="L77" s="4" t="str">
        <f>IF($A77="","",IF(INDEX(tbl_plan[計画状態],ROW()-1)="キャンセル","キャンセル",IF(J77=0,"発送済",IF(K77&gt;0,"要搬出","OK"))))</f>
        <v/>
      </c>
      <c r="M77" s="8">
        <f t="array" ref="M77">_xlfn.LET(
_xlpm.計画状態,IFERROR(INDEX(tbl_plan[計画状態],ROW()-1)&amp;"",""),
_xlpm.必要数,IFERROR(N(INDEX(tbl_plan[必要数],ROW()-1)),0),
IF(_xlpm.計画状態="キャンセル",0,_xlpm.必要数))</f>
        <v>0</v>
      </c>
      <c r="N77" s="8" t="str">
        <f>IF($A77="","",_xlfn.LET(
_xlpm.搬入計,SUMIFS(tbl_ledger[数量],tbl_ledger[localId],$B77,tbl_ledger[イベント種類],"搬入"),
_xlpm.未割当発送,SUMIFS(tbl_ledger[数量],tbl_ledger[localId],$B77,tbl_ledger[イベント種類],"発送",tbl_ledger[ロットID],"="),
_xlpm.未割当倉庫戻し,SUMIFS(tbl_ledger[数量],tbl_ledger[localId],$B77,tbl_ledger[イベント種類],"倉庫戻し",tbl_ledger[ロットID],"="),
_xlpm.未割当不良,SUMIFS(tbl_ledger[数量],tbl_ledger[localId],$B77,tbl_ledger[イベント種類],"不良発生",tbl_ledger[ロットID],"="),
_xlpm.搬入計-_xlpm.未割当発送-_xlpm.未割当倉庫戻し-_xlpm.未割当不良))</f>
        <v/>
      </c>
      <c r="O77" s="8" t="str">
        <f t="array" ref="O77">IF($A77="","",_xlfn.LET(
_xlpm.同品番,($B$2:$B$301=$B77),
_xlpm.週が前,($C$2:$C$301&lt;$C77),
_xlpm.同週で上行,($C$2:$C$301=$C77)*(ROW($C$2:$C$301)&lt;ROW()),
SUMPRODUCT(_xlpm.同品番*(_xlpm.週が前+_xlpm.同週で上行)*$M$2:$M$301)))</f>
        <v/>
      </c>
    </row>
    <row r="78" spans="1:15" ht="15" customHeight="1" x14ac:dyDescent="0.25">
      <c r="A78" s="4" t="str">
        <f>IFERROR(INDEX(tbl_plan[ロットID],ROW()-1),"")</f>
        <v/>
      </c>
      <c r="B78" s="4" t="str">
        <f>IF($A78="","",INDEX(tbl_plan[localId],ROW()-1))</f>
        <v/>
      </c>
      <c r="C78" s="11" t="str">
        <f>IF($A78="","",INDEX(tbl_plan[出荷週],ROW()-1))</f>
        <v/>
      </c>
      <c r="D78" s="4" t="str">
        <f>IF($A78="","",INDEX(tbl_plan[納期先],ROW()-1)&amp;"")</f>
        <v/>
      </c>
      <c r="E78" s="8" t="str">
        <f>IF($A78="","",INDEX(tbl_plan[必要数],ROW()-1))</f>
        <v/>
      </c>
      <c r="F78" s="8" t="str">
        <f t="shared" si="3"/>
        <v/>
      </c>
      <c r="G78" s="8" t="str">
        <f>IF($A78="","",SUMIFS(tbl_ledger[数量],tbl_ledger[ロットID],$A78,tbl_ledger[イベント種類],"発送"))</f>
        <v/>
      </c>
      <c r="H78" s="8" t="str">
        <f>IF($A78="","",_xlfn.LET(
_xlpm.割当,F78,
_xlpm.充当受入,SUMIFS(tbl_ledger[数量],tbl_ledger[充当先ロットID],$A78,tbl_ledger[イベント種類],"充当"),
_xlpm.充当放出,SUMIFS(tbl_ledger[数量],tbl_ledger[ロットID],$A78,tbl_ledger[イベント種類],"充当"),
_xlpm.発送済,G78,
_xlpm.倉庫戻し,SUMIFS(tbl_ledger[数量],tbl_ledger[ロットID],$A78,tbl_ledger[イベント種類],"倉庫戻し"),
_xlpm.余剰化,SUMIFS(tbl_ledger[数量],tbl_ledger[ロットID],$A78,tbl_ledger[イベント種類],"余剰化"),
_xlpm.不良,SUMIFS(tbl_ledger[数量],tbl_ledger[ロットID],$A78,tbl_ledger[イベント種類],"不良発生"),
_xlpm.割当+_xlpm.充当受入-_xlpm.充当放出-_xlpm.発送済-_xlpm.倉庫戻し-_xlpm.余剰化-_xlpm.不良))</f>
        <v/>
      </c>
      <c r="I78" s="8" t="str">
        <f>IF($A78="","",_xlfn.LET(
_xlpm.品番プール,N78,
_xlpm.割当計,SUMIF($B$2:$B$301,$B78,$F$2:$F$301),
_xlpm.余剰化受入,SUMIFS(tbl_ledger[数量],tbl_ledger[localId],$B78,tbl_ledger[イベント種類],"余剰化"),
_xlpm.充当払出,SUMIFS(tbl_ledger[数量],tbl_ledger[localId],$B78,tbl_ledger[イベント種類],"充当",tbl_ledger[ロットID],"="),
_xlpm.品番プール-_xlpm.割当計+_xlpm.余剰化受入-_xlpm.充当払出))</f>
        <v/>
      </c>
      <c r="J78" s="8" t="str">
        <f t="shared" si="4"/>
        <v/>
      </c>
      <c r="K78" s="8" t="str">
        <f t="shared" si="5"/>
        <v/>
      </c>
      <c r="L78" s="4" t="str">
        <f>IF($A78="","",IF(INDEX(tbl_plan[計画状態],ROW()-1)="キャンセル","キャンセル",IF(J78=0,"発送済",IF(K78&gt;0,"要搬出","OK"))))</f>
        <v/>
      </c>
      <c r="M78" s="8">
        <f t="array" ref="M78">_xlfn.LET(
_xlpm.計画状態,IFERROR(INDEX(tbl_plan[計画状態],ROW()-1)&amp;"",""),
_xlpm.必要数,IFERROR(N(INDEX(tbl_plan[必要数],ROW()-1)),0),
IF(_xlpm.計画状態="キャンセル",0,_xlpm.必要数))</f>
        <v>0</v>
      </c>
      <c r="N78" s="8" t="str">
        <f>IF($A78="","",_xlfn.LET(
_xlpm.搬入計,SUMIFS(tbl_ledger[数量],tbl_ledger[localId],$B78,tbl_ledger[イベント種類],"搬入"),
_xlpm.未割当発送,SUMIFS(tbl_ledger[数量],tbl_ledger[localId],$B78,tbl_ledger[イベント種類],"発送",tbl_ledger[ロットID],"="),
_xlpm.未割当倉庫戻し,SUMIFS(tbl_ledger[数量],tbl_ledger[localId],$B78,tbl_ledger[イベント種類],"倉庫戻し",tbl_ledger[ロットID],"="),
_xlpm.未割当不良,SUMIFS(tbl_ledger[数量],tbl_ledger[localId],$B78,tbl_ledger[イベント種類],"不良発生",tbl_ledger[ロットID],"="),
_xlpm.搬入計-_xlpm.未割当発送-_xlpm.未割当倉庫戻し-_xlpm.未割当不良))</f>
        <v/>
      </c>
      <c r="O78" s="8" t="str">
        <f t="array" ref="O78">IF($A78="","",_xlfn.LET(
_xlpm.同品番,($B$2:$B$301=$B78),
_xlpm.週が前,($C$2:$C$301&lt;$C78),
_xlpm.同週で上行,($C$2:$C$301=$C78)*(ROW($C$2:$C$301)&lt;ROW()),
SUMPRODUCT(_xlpm.同品番*(_xlpm.週が前+_xlpm.同週で上行)*$M$2:$M$301)))</f>
        <v/>
      </c>
    </row>
    <row r="79" spans="1:15" ht="15" customHeight="1" x14ac:dyDescent="0.25">
      <c r="A79" s="4" t="str">
        <f>IFERROR(INDEX(tbl_plan[ロットID],ROW()-1),"")</f>
        <v/>
      </c>
      <c r="B79" s="4" t="str">
        <f>IF($A79="","",INDEX(tbl_plan[localId],ROW()-1))</f>
        <v/>
      </c>
      <c r="C79" s="11" t="str">
        <f>IF($A79="","",INDEX(tbl_plan[出荷週],ROW()-1))</f>
        <v/>
      </c>
      <c r="D79" s="4" t="str">
        <f>IF($A79="","",INDEX(tbl_plan[納期先],ROW()-1)&amp;"")</f>
        <v/>
      </c>
      <c r="E79" s="8" t="str">
        <f>IF($A79="","",INDEX(tbl_plan[必要数],ROW()-1))</f>
        <v/>
      </c>
      <c r="F79" s="8" t="str">
        <f t="shared" si="3"/>
        <v/>
      </c>
      <c r="G79" s="8" t="str">
        <f>IF($A79="","",SUMIFS(tbl_ledger[数量],tbl_ledger[ロットID],$A79,tbl_ledger[イベント種類],"発送"))</f>
        <v/>
      </c>
      <c r="H79" s="8" t="str">
        <f>IF($A79="","",_xlfn.LET(
_xlpm.割当,F79,
_xlpm.充当受入,SUMIFS(tbl_ledger[数量],tbl_ledger[充当先ロットID],$A79,tbl_ledger[イベント種類],"充当"),
_xlpm.充当放出,SUMIFS(tbl_ledger[数量],tbl_ledger[ロットID],$A79,tbl_ledger[イベント種類],"充当"),
_xlpm.発送済,G79,
_xlpm.倉庫戻し,SUMIFS(tbl_ledger[数量],tbl_ledger[ロットID],$A79,tbl_ledger[イベント種類],"倉庫戻し"),
_xlpm.余剰化,SUMIFS(tbl_ledger[数量],tbl_ledger[ロットID],$A79,tbl_ledger[イベント種類],"余剰化"),
_xlpm.不良,SUMIFS(tbl_ledger[数量],tbl_ledger[ロットID],$A79,tbl_ledger[イベント種類],"不良発生"),
_xlpm.割当+_xlpm.充当受入-_xlpm.充当放出-_xlpm.発送済-_xlpm.倉庫戻し-_xlpm.余剰化-_xlpm.不良))</f>
        <v/>
      </c>
      <c r="I79" s="8" t="str">
        <f>IF($A79="","",_xlfn.LET(
_xlpm.品番プール,N79,
_xlpm.割当計,SUMIF($B$2:$B$301,$B79,$F$2:$F$301),
_xlpm.余剰化受入,SUMIFS(tbl_ledger[数量],tbl_ledger[localId],$B79,tbl_ledger[イベント種類],"余剰化"),
_xlpm.充当払出,SUMIFS(tbl_ledger[数量],tbl_ledger[localId],$B79,tbl_ledger[イベント種類],"充当",tbl_ledger[ロットID],"="),
_xlpm.品番プール-_xlpm.割当計+_xlpm.余剰化受入-_xlpm.充当払出))</f>
        <v/>
      </c>
      <c r="J79" s="8" t="str">
        <f t="shared" si="4"/>
        <v/>
      </c>
      <c r="K79" s="8" t="str">
        <f t="shared" si="5"/>
        <v/>
      </c>
      <c r="L79" s="4" t="str">
        <f>IF($A79="","",IF(INDEX(tbl_plan[計画状態],ROW()-1)="キャンセル","キャンセル",IF(J79=0,"発送済",IF(K79&gt;0,"要搬出","OK"))))</f>
        <v/>
      </c>
      <c r="M79" s="8">
        <f t="array" ref="M79">_xlfn.LET(
_xlpm.計画状態,IFERROR(INDEX(tbl_plan[計画状態],ROW()-1)&amp;"",""),
_xlpm.必要数,IFERROR(N(INDEX(tbl_plan[必要数],ROW()-1)),0),
IF(_xlpm.計画状態="キャンセル",0,_xlpm.必要数))</f>
        <v>0</v>
      </c>
      <c r="N79" s="8" t="str">
        <f>IF($A79="","",_xlfn.LET(
_xlpm.搬入計,SUMIFS(tbl_ledger[数量],tbl_ledger[localId],$B79,tbl_ledger[イベント種類],"搬入"),
_xlpm.未割当発送,SUMIFS(tbl_ledger[数量],tbl_ledger[localId],$B79,tbl_ledger[イベント種類],"発送",tbl_ledger[ロットID],"="),
_xlpm.未割当倉庫戻し,SUMIFS(tbl_ledger[数量],tbl_ledger[localId],$B79,tbl_ledger[イベント種類],"倉庫戻し",tbl_ledger[ロットID],"="),
_xlpm.未割当不良,SUMIFS(tbl_ledger[数量],tbl_ledger[localId],$B79,tbl_ledger[イベント種類],"不良発生",tbl_ledger[ロットID],"="),
_xlpm.搬入計-_xlpm.未割当発送-_xlpm.未割当倉庫戻し-_xlpm.未割当不良))</f>
        <v/>
      </c>
      <c r="O79" s="8" t="str">
        <f t="array" ref="O79">IF($A79="","",_xlfn.LET(
_xlpm.同品番,($B$2:$B$301=$B79),
_xlpm.週が前,($C$2:$C$301&lt;$C79),
_xlpm.同週で上行,($C$2:$C$301=$C79)*(ROW($C$2:$C$301)&lt;ROW()),
SUMPRODUCT(_xlpm.同品番*(_xlpm.週が前+_xlpm.同週で上行)*$M$2:$M$301)))</f>
        <v/>
      </c>
    </row>
    <row r="80" spans="1:15" ht="15" customHeight="1" x14ac:dyDescent="0.25">
      <c r="A80" s="4" t="str">
        <f>IFERROR(INDEX(tbl_plan[ロットID],ROW()-1),"")</f>
        <v/>
      </c>
      <c r="B80" s="4" t="str">
        <f>IF($A80="","",INDEX(tbl_plan[localId],ROW()-1))</f>
        <v/>
      </c>
      <c r="C80" s="11" t="str">
        <f>IF($A80="","",INDEX(tbl_plan[出荷週],ROW()-1))</f>
        <v/>
      </c>
      <c r="D80" s="4" t="str">
        <f>IF($A80="","",INDEX(tbl_plan[納期先],ROW()-1)&amp;"")</f>
        <v/>
      </c>
      <c r="E80" s="8" t="str">
        <f>IF($A80="","",INDEX(tbl_plan[必要数],ROW()-1))</f>
        <v/>
      </c>
      <c r="F80" s="8" t="str">
        <f t="shared" si="3"/>
        <v/>
      </c>
      <c r="G80" s="8" t="str">
        <f>IF($A80="","",SUMIFS(tbl_ledger[数量],tbl_ledger[ロットID],$A80,tbl_ledger[イベント種類],"発送"))</f>
        <v/>
      </c>
      <c r="H80" s="8" t="str">
        <f>IF($A80="","",_xlfn.LET(
_xlpm.割当,F80,
_xlpm.充当受入,SUMIFS(tbl_ledger[数量],tbl_ledger[充当先ロットID],$A80,tbl_ledger[イベント種類],"充当"),
_xlpm.充当放出,SUMIFS(tbl_ledger[数量],tbl_ledger[ロットID],$A80,tbl_ledger[イベント種類],"充当"),
_xlpm.発送済,G80,
_xlpm.倉庫戻し,SUMIFS(tbl_ledger[数量],tbl_ledger[ロットID],$A80,tbl_ledger[イベント種類],"倉庫戻し"),
_xlpm.余剰化,SUMIFS(tbl_ledger[数量],tbl_ledger[ロットID],$A80,tbl_ledger[イベント種類],"余剰化"),
_xlpm.不良,SUMIFS(tbl_ledger[数量],tbl_ledger[ロットID],$A80,tbl_ledger[イベント種類],"不良発生"),
_xlpm.割当+_xlpm.充当受入-_xlpm.充当放出-_xlpm.発送済-_xlpm.倉庫戻し-_xlpm.余剰化-_xlpm.不良))</f>
        <v/>
      </c>
      <c r="I80" s="8" t="str">
        <f>IF($A80="","",_xlfn.LET(
_xlpm.品番プール,N80,
_xlpm.割当計,SUMIF($B$2:$B$301,$B80,$F$2:$F$301),
_xlpm.余剰化受入,SUMIFS(tbl_ledger[数量],tbl_ledger[localId],$B80,tbl_ledger[イベント種類],"余剰化"),
_xlpm.充当払出,SUMIFS(tbl_ledger[数量],tbl_ledger[localId],$B80,tbl_ledger[イベント種類],"充当",tbl_ledger[ロットID],"="),
_xlpm.品番プール-_xlpm.割当計+_xlpm.余剰化受入-_xlpm.充当払出))</f>
        <v/>
      </c>
      <c r="J80" s="8" t="str">
        <f t="shared" si="4"/>
        <v/>
      </c>
      <c r="K80" s="8" t="str">
        <f t="shared" si="5"/>
        <v/>
      </c>
      <c r="L80" s="4" t="str">
        <f>IF($A80="","",IF(INDEX(tbl_plan[計画状態],ROW()-1)="キャンセル","キャンセル",IF(J80=0,"発送済",IF(K80&gt;0,"要搬出","OK"))))</f>
        <v/>
      </c>
      <c r="M80" s="8">
        <f t="array" ref="M80">_xlfn.LET(
_xlpm.計画状態,IFERROR(INDEX(tbl_plan[計画状態],ROW()-1)&amp;"",""),
_xlpm.必要数,IFERROR(N(INDEX(tbl_plan[必要数],ROW()-1)),0),
IF(_xlpm.計画状態="キャンセル",0,_xlpm.必要数))</f>
        <v>0</v>
      </c>
      <c r="N80" s="8" t="str">
        <f>IF($A80="","",_xlfn.LET(
_xlpm.搬入計,SUMIFS(tbl_ledger[数量],tbl_ledger[localId],$B80,tbl_ledger[イベント種類],"搬入"),
_xlpm.未割当発送,SUMIFS(tbl_ledger[数量],tbl_ledger[localId],$B80,tbl_ledger[イベント種類],"発送",tbl_ledger[ロットID],"="),
_xlpm.未割当倉庫戻し,SUMIFS(tbl_ledger[数量],tbl_ledger[localId],$B80,tbl_ledger[イベント種類],"倉庫戻し",tbl_ledger[ロットID],"="),
_xlpm.未割当不良,SUMIFS(tbl_ledger[数量],tbl_ledger[localId],$B80,tbl_ledger[イベント種類],"不良発生",tbl_ledger[ロットID],"="),
_xlpm.搬入計-_xlpm.未割当発送-_xlpm.未割当倉庫戻し-_xlpm.未割当不良))</f>
        <v/>
      </c>
      <c r="O80" s="8" t="str">
        <f t="array" ref="O80">IF($A80="","",_xlfn.LET(
_xlpm.同品番,($B$2:$B$301=$B80),
_xlpm.週が前,($C$2:$C$301&lt;$C80),
_xlpm.同週で上行,($C$2:$C$301=$C80)*(ROW($C$2:$C$301)&lt;ROW()),
SUMPRODUCT(_xlpm.同品番*(_xlpm.週が前+_xlpm.同週で上行)*$M$2:$M$301)))</f>
        <v/>
      </c>
    </row>
    <row r="81" spans="1:15" ht="15" customHeight="1" x14ac:dyDescent="0.25">
      <c r="A81" s="4" t="str">
        <f>IFERROR(INDEX(tbl_plan[ロットID],ROW()-1),"")</f>
        <v/>
      </c>
      <c r="B81" s="4" t="str">
        <f>IF($A81="","",INDEX(tbl_plan[localId],ROW()-1))</f>
        <v/>
      </c>
      <c r="C81" s="11" t="str">
        <f>IF($A81="","",INDEX(tbl_plan[出荷週],ROW()-1))</f>
        <v/>
      </c>
      <c r="D81" s="4" t="str">
        <f>IF($A81="","",INDEX(tbl_plan[納期先],ROW()-1)&amp;"")</f>
        <v/>
      </c>
      <c r="E81" s="8" t="str">
        <f>IF($A81="","",INDEX(tbl_plan[必要数],ROW()-1))</f>
        <v/>
      </c>
      <c r="F81" s="8" t="str">
        <f t="shared" si="3"/>
        <v/>
      </c>
      <c r="G81" s="8" t="str">
        <f>IF($A81="","",SUMIFS(tbl_ledger[数量],tbl_ledger[ロットID],$A81,tbl_ledger[イベント種類],"発送"))</f>
        <v/>
      </c>
      <c r="H81" s="8" t="str">
        <f>IF($A81="","",_xlfn.LET(
_xlpm.割当,F81,
_xlpm.充当受入,SUMIFS(tbl_ledger[数量],tbl_ledger[充当先ロットID],$A81,tbl_ledger[イベント種類],"充当"),
_xlpm.充当放出,SUMIFS(tbl_ledger[数量],tbl_ledger[ロットID],$A81,tbl_ledger[イベント種類],"充当"),
_xlpm.発送済,G81,
_xlpm.倉庫戻し,SUMIFS(tbl_ledger[数量],tbl_ledger[ロットID],$A81,tbl_ledger[イベント種類],"倉庫戻し"),
_xlpm.余剰化,SUMIFS(tbl_ledger[数量],tbl_ledger[ロットID],$A81,tbl_ledger[イベント種類],"余剰化"),
_xlpm.不良,SUMIFS(tbl_ledger[数量],tbl_ledger[ロットID],$A81,tbl_ledger[イベント種類],"不良発生"),
_xlpm.割当+_xlpm.充当受入-_xlpm.充当放出-_xlpm.発送済-_xlpm.倉庫戻し-_xlpm.余剰化-_xlpm.不良))</f>
        <v/>
      </c>
      <c r="I81" s="8" t="str">
        <f>IF($A81="","",_xlfn.LET(
_xlpm.品番プール,N81,
_xlpm.割当計,SUMIF($B$2:$B$301,$B81,$F$2:$F$301),
_xlpm.余剰化受入,SUMIFS(tbl_ledger[数量],tbl_ledger[localId],$B81,tbl_ledger[イベント種類],"余剰化"),
_xlpm.充当払出,SUMIFS(tbl_ledger[数量],tbl_ledger[localId],$B81,tbl_ledger[イベント種類],"充当",tbl_ledger[ロットID],"="),
_xlpm.品番プール-_xlpm.割当計+_xlpm.余剰化受入-_xlpm.充当払出))</f>
        <v/>
      </c>
      <c r="J81" s="8" t="str">
        <f t="shared" si="4"/>
        <v/>
      </c>
      <c r="K81" s="8" t="str">
        <f t="shared" si="5"/>
        <v/>
      </c>
      <c r="L81" s="4" t="str">
        <f>IF($A81="","",IF(INDEX(tbl_plan[計画状態],ROW()-1)="キャンセル","キャンセル",IF(J81=0,"発送済",IF(K81&gt;0,"要搬出","OK"))))</f>
        <v/>
      </c>
      <c r="M81" s="8">
        <f t="array" ref="M81">_xlfn.LET(
_xlpm.計画状態,IFERROR(INDEX(tbl_plan[計画状態],ROW()-1)&amp;"",""),
_xlpm.必要数,IFERROR(N(INDEX(tbl_plan[必要数],ROW()-1)),0),
IF(_xlpm.計画状態="キャンセル",0,_xlpm.必要数))</f>
        <v>0</v>
      </c>
      <c r="N81" s="8" t="str">
        <f>IF($A81="","",_xlfn.LET(
_xlpm.搬入計,SUMIFS(tbl_ledger[数量],tbl_ledger[localId],$B81,tbl_ledger[イベント種類],"搬入"),
_xlpm.未割当発送,SUMIFS(tbl_ledger[数量],tbl_ledger[localId],$B81,tbl_ledger[イベント種類],"発送",tbl_ledger[ロットID],"="),
_xlpm.未割当倉庫戻し,SUMIFS(tbl_ledger[数量],tbl_ledger[localId],$B81,tbl_ledger[イベント種類],"倉庫戻し",tbl_ledger[ロットID],"="),
_xlpm.未割当不良,SUMIFS(tbl_ledger[数量],tbl_ledger[localId],$B81,tbl_ledger[イベント種類],"不良発生",tbl_ledger[ロットID],"="),
_xlpm.搬入計-_xlpm.未割当発送-_xlpm.未割当倉庫戻し-_xlpm.未割当不良))</f>
        <v/>
      </c>
      <c r="O81" s="8" t="str">
        <f t="array" ref="O81">IF($A81="","",_xlfn.LET(
_xlpm.同品番,($B$2:$B$301=$B81),
_xlpm.週が前,($C$2:$C$301&lt;$C81),
_xlpm.同週で上行,($C$2:$C$301=$C81)*(ROW($C$2:$C$301)&lt;ROW()),
SUMPRODUCT(_xlpm.同品番*(_xlpm.週が前+_xlpm.同週で上行)*$M$2:$M$301)))</f>
        <v/>
      </c>
    </row>
    <row r="82" spans="1:15" ht="15" customHeight="1" x14ac:dyDescent="0.25">
      <c r="A82" s="4" t="str">
        <f>IFERROR(INDEX(tbl_plan[ロットID],ROW()-1),"")</f>
        <v/>
      </c>
      <c r="B82" s="4" t="str">
        <f>IF($A82="","",INDEX(tbl_plan[localId],ROW()-1))</f>
        <v/>
      </c>
      <c r="C82" s="11" t="str">
        <f>IF($A82="","",INDEX(tbl_plan[出荷週],ROW()-1))</f>
        <v/>
      </c>
      <c r="D82" s="4" t="str">
        <f>IF($A82="","",INDEX(tbl_plan[納期先],ROW()-1)&amp;"")</f>
        <v/>
      </c>
      <c r="E82" s="8" t="str">
        <f>IF($A82="","",INDEX(tbl_plan[必要数],ROW()-1))</f>
        <v/>
      </c>
      <c r="F82" s="8" t="str">
        <f t="shared" si="3"/>
        <v/>
      </c>
      <c r="G82" s="8" t="str">
        <f>IF($A82="","",SUMIFS(tbl_ledger[数量],tbl_ledger[ロットID],$A82,tbl_ledger[イベント種類],"発送"))</f>
        <v/>
      </c>
      <c r="H82" s="8" t="str">
        <f>IF($A82="","",_xlfn.LET(
_xlpm.割当,F82,
_xlpm.充当受入,SUMIFS(tbl_ledger[数量],tbl_ledger[充当先ロットID],$A82,tbl_ledger[イベント種類],"充当"),
_xlpm.充当放出,SUMIFS(tbl_ledger[数量],tbl_ledger[ロットID],$A82,tbl_ledger[イベント種類],"充当"),
_xlpm.発送済,G82,
_xlpm.倉庫戻し,SUMIFS(tbl_ledger[数量],tbl_ledger[ロットID],$A82,tbl_ledger[イベント種類],"倉庫戻し"),
_xlpm.余剰化,SUMIFS(tbl_ledger[数量],tbl_ledger[ロットID],$A82,tbl_ledger[イベント種類],"余剰化"),
_xlpm.不良,SUMIFS(tbl_ledger[数量],tbl_ledger[ロットID],$A82,tbl_ledger[イベント種類],"不良発生"),
_xlpm.割当+_xlpm.充当受入-_xlpm.充当放出-_xlpm.発送済-_xlpm.倉庫戻し-_xlpm.余剰化-_xlpm.不良))</f>
        <v/>
      </c>
      <c r="I82" s="8" t="str">
        <f>IF($A82="","",_xlfn.LET(
_xlpm.品番プール,N82,
_xlpm.割当計,SUMIF($B$2:$B$301,$B82,$F$2:$F$301),
_xlpm.余剰化受入,SUMIFS(tbl_ledger[数量],tbl_ledger[localId],$B82,tbl_ledger[イベント種類],"余剰化"),
_xlpm.充当払出,SUMIFS(tbl_ledger[数量],tbl_ledger[localId],$B82,tbl_ledger[イベント種類],"充当",tbl_ledger[ロットID],"="),
_xlpm.品番プール-_xlpm.割当計+_xlpm.余剰化受入-_xlpm.充当払出))</f>
        <v/>
      </c>
      <c r="J82" s="8" t="str">
        <f t="shared" si="4"/>
        <v/>
      </c>
      <c r="K82" s="8" t="str">
        <f t="shared" si="5"/>
        <v/>
      </c>
      <c r="L82" s="4" t="str">
        <f>IF($A82="","",IF(INDEX(tbl_plan[計画状態],ROW()-1)="キャンセル","キャンセル",IF(J82=0,"発送済",IF(K82&gt;0,"要搬出","OK"))))</f>
        <v/>
      </c>
      <c r="M82" s="8">
        <f t="array" ref="M82">_xlfn.LET(
_xlpm.計画状態,IFERROR(INDEX(tbl_plan[計画状態],ROW()-1)&amp;"",""),
_xlpm.必要数,IFERROR(N(INDEX(tbl_plan[必要数],ROW()-1)),0),
IF(_xlpm.計画状態="キャンセル",0,_xlpm.必要数))</f>
        <v>0</v>
      </c>
      <c r="N82" s="8" t="str">
        <f>IF($A82="","",_xlfn.LET(
_xlpm.搬入計,SUMIFS(tbl_ledger[数量],tbl_ledger[localId],$B82,tbl_ledger[イベント種類],"搬入"),
_xlpm.未割当発送,SUMIFS(tbl_ledger[数量],tbl_ledger[localId],$B82,tbl_ledger[イベント種類],"発送",tbl_ledger[ロットID],"="),
_xlpm.未割当倉庫戻し,SUMIFS(tbl_ledger[数量],tbl_ledger[localId],$B82,tbl_ledger[イベント種類],"倉庫戻し",tbl_ledger[ロットID],"="),
_xlpm.未割当不良,SUMIFS(tbl_ledger[数量],tbl_ledger[localId],$B82,tbl_ledger[イベント種類],"不良発生",tbl_ledger[ロットID],"="),
_xlpm.搬入計-_xlpm.未割当発送-_xlpm.未割当倉庫戻し-_xlpm.未割当不良))</f>
        <v/>
      </c>
      <c r="O82" s="8" t="str">
        <f t="array" ref="O82">IF($A82="","",_xlfn.LET(
_xlpm.同品番,($B$2:$B$301=$B82),
_xlpm.週が前,($C$2:$C$301&lt;$C82),
_xlpm.同週で上行,($C$2:$C$301=$C82)*(ROW($C$2:$C$301)&lt;ROW()),
SUMPRODUCT(_xlpm.同品番*(_xlpm.週が前+_xlpm.同週で上行)*$M$2:$M$301)))</f>
        <v/>
      </c>
    </row>
    <row r="83" spans="1:15" ht="15" customHeight="1" x14ac:dyDescent="0.25">
      <c r="A83" s="4" t="str">
        <f>IFERROR(INDEX(tbl_plan[ロットID],ROW()-1),"")</f>
        <v/>
      </c>
      <c r="B83" s="4" t="str">
        <f>IF($A83="","",INDEX(tbl_plan[localId],ROW()-1))</f>
        <v/>
      </c>
      <c r="C83" s="11" t="str">
        <f>IF($A83="","",INDEX(tbl_plan[出荷週],ROW()-1))</f>
        <v/>
      </c>
      <c r="D83" s="4" t="str">
        <f>IF($A83="","",INDEX(tbl_plan[納期先],ROW()-1)&amp;"")</f>
        <v/>
      </c>
      <c r="E83" s="8" t="str">
        <f>IF($A83="","",INDEX(tbl_plan[必要数],ROW()-1))</f>
        <v/>
      </c>
      <c r="F83" s="8" t="str">
        <f t="shared" si="3"/>
        <v/>
      </c>
      <c r="G83" s="8" t="str">
        <f>IF($A83="","",SUMIFS(tbl_ledger[数量],tbl_ledger[ロットID],$A83,tbl_ledger[イベント種類],"発送"))</f>
        <v/>
      </c>
      <c r="H83" s="8" t="str">
        <f>IF($A83="","",_xlfn.LET(
_xlpm.割当,F83,
_xlpm.充当受入,SUMIFS(tbl_ledger[数量],tbl_ledger[充当先ロットID],$A83,tbl_ledger[イベント種類],"充当"),
_xlpm.充当放出,SUMIFS(tbl_ledger[数量],tbl_ledger[ロットID],$A83,tbl_ledger[イベント種類],"充当"),
_xlpm.発送済,G83,
_xlpm.倉庫戻し,SUMIFS(tbl_ledger[数量],tbl_ledger[ロットID],$A83,tbl_ledger[イベント種類],"倉庫戻し"),
_xlpm.余剰化,SUMIFS(tbl_ledger[数量],tbl_ledger[ロットID],$A83,tbl_ledger[イベント種類],"余剰化"),
_xlpm.不良,SUMIFS(tbl_ledger[数量],tbl_ledger[ロットID],$A83,tbl_ledger[イベント種類],"不良発生"),
_xlpm.割当+_xlpm.充当受入-_xlpm.充当放出-_xlpm.発送済-_xlpm.倉庫戻し-_xlpm.余剰化-_xlpm.不良))</f>
        <v/>
      </c>
      <c r="I83" s="8" t="str">
        <f>IF($A83="","",_xlfn.LET(
_xlpm.品番プール,N83,
_xlpm.割当計,SUMIF($B$2:$B$301,$B83,$F$2:$F$301),
_xlpm.余剰化受入,SUMIFS(tbl_ledger[数量],tbl_ledger[localId],$B83,tbl_ledger[イベント種類],"余剰化"),
_xlpm.充当払出,SUMIFS(tbl_ledger[数量],tbl_ledger[localId],$B83,tbl_ledger[イベント種類],"充当",tbl_ledger[ロットID],"="),
_xlpm.品番プール-_xlpm.割当計+_xlpm.余剰化受入-_xlpm.充当払出))</f>
        <v/>
      </c>
      <c r="J83" s="8" t="str">
        <f t="shared" si="4"/>
        <v/>
      </c>
      <c r="K83" s="8" t="str">
        <f t="shared" si="5"/>
        <v/>
      </c>
      <c r="L83" s="4" t="str">
        <f>IF($A83="","",IF(INDEX(tbl_plan[計画状態],ROW()-1)="キャンセル","キャンセル",IF(J83=0,"発送済",IF(K83&gt;0,"要搬出","OK"))))</f>
        <v/>
      </c>
      <c r="M83" s="8">
        <f t="array" ref="M83">_xlfn.LET(
_xlpm.計画状態,IFERROR(INDEX(tbl_plan[計画状態],ROW()-1)&amp;"",""),
_xlpm.必要数,IFERROR(N(INDEX(tbl_plan[必要数],ROW()-1)),0),
IF(_xlpm.計画状態="キャンセル",0,_xlpm.必要数))</f>
        <v>0</v>
      </c>
      <c r="N83" s="8" t="str">
        <f>IF($A83="","",_xlfn.LET(
_xlpm.搬入計,SUMIFS(tbl_ledger[数量],tbl_ledger[localId],$B83,tbl_ledger[イベント種類],"搬入"),
_xlpm.未割当発送,SUMIFS(tbl_ledger[数量],tbl_ledger[localId],$B83,tbl_ledger[イベント種類],"発送",tbl_ledger[ロットID],"="),
_xlpm.未割当倉庫戻し,SUMIFS(tbl_ledger[数量],tbl_ledger[localId],$B83,tbl_ledger[イベント種類],"倉庫戻し",tbl_ledger[ロットID],"="),
_xlpm.未割当不良,SUMIFS(tbl_ledger[数量],tbl_ledger[localId],$B83,tbl_ledger[イベント種類],"不良発生",tbl_ledger[ロットID],"="),
_xlpm.搬入計-_xlpm.未割当発送-_xlpm.未割当倉庫戻し-_xlpm.未割当不良))</f>
        <v/>
      </c>
      <c r="O83" s="8" t="str">
        <f t="array" ref="O83">IF($A83="","",_xlfn.LET(
_xlpm.同品番,($B$2:$B$301=$B83),
_xlpm.週が前,($C$2:$C$301&lt;$C83),
_xlpm.同週で上行,($C$2:$C$301=$C83)*(ROW($C$2:$C$301)&lt;ROW()),
SUMPRODUCT(_xlpm.同品番*(_xlpm.週が前+_xlpm.同週で上行)*$M$2:$M$301)))</f>
        <v/>
      </c>
    </row>
    <row r="84" spans="1:15" ht="15" customHeight="1" x14ac:dyDescent="0.25">
      <c r="A84" s="4" t="str">
        <f>IFERROR(INDEX(tbl_plan[ロットID],ROW()-1),"")</f>
        <v/>
      </c>
      <c r="B84" s="4" t="str">
        <f>IF($A84="","",INDEX(tbl_plan[localId],ROW()-1))</f>
        <v/>
      </c>
      <c r="C84" s="11" t="str">
        <f>IF($A84="","",INDEX(tbl_plan[出荷週],ROW()-1))</f>
        <v/>
      </c>
      <c r="D84" s="4" t="str">
        <f>IF($A84="","",INDEX(tbl_plan[納期先],ROW()-1)&amp;"")</f>
        <v/>
      </c>
      <c r="E84" s="8" t="str">
        <f>IF($A84="","",INDEX(tbl_plan[必要数],ROW()-1))</f>
        <v/>
      </c>
      <c r="F84" s="8" t="str">
        <f t="shared" si="3"/>
        <v/>
      </c>
      <c r="G84" s="8" t="str">
        <f>IF($A84="","",SUMIFS(tbl_ledger[数量],tbl_ledger[ロットID],$A84,tbl_ledger[イベント種類],"発送"))</f>
        <v/>
      </c>
      <c r="H84" s="8" t="str">
        <f>IF($A84="","",_xlfn.LET(
_xlpm.割当,F84,
_xlpm.充当受入,SUMIFS(tbl_ledger[数量],tbl_ledger[充当先ロットID],$A84,tbl_ledger[イベント種類],"充当"),
_xlpm.充当放出,SUMIFS(tbl_ledger[数量],tbl_ledger[ロットID],$A84,tbl_ledger[イベント種類],"充当"),
_xlpm.発送済,G84,
_xlpm.倉庫戻し,SUMIFS(tbl_ledger[数量],tbl_ledger[ロットID],$A84,tbl_ledger[イベント種類],"倉庫戻し"),
_xlpm.余剰化,SUMIFS(tbl_ledger[数量],tbl_ledger[ロットID],$A84,tbl_ledger[イベント種類],"余剰化"),
_xlpm.不良,SUMIFS(tbl_ledger[数量],tbl_ledger[ロットID],$A84,tbl_ledger[イベント種類],"不良発生"),
_xlpm.割当+_xlpm.充当受入-_xlpm.充当放出-_xlpm.発送済-_xlpm.倉庫戻し-_xlpm.余剰化-_xlpm.不良))</f>
        <v/>
      </c>
      <c r="I84" s="8" t="str">
        <f>IF($A84="","",_xlfn.LET(
_xlpm.品番プール,N84,
_xlpm.割当計,SUMIF($B$2:$B$301,$B84,$F$2:$F$301),
_xlpm.余剰化受入,SUMIFS(tbl_ledger[数量],tbl_ledger[localId],$B84,tbl_ledger[イベント種類],"余剰化"),
_xlpm.充当払出,SUMIFS(tbl_ledger[数量],tbl_ledger[localId],$B84,tbl_ledger[イベント種類],"充当",tbl_ledger[ロットID],"="),
_xlpm.品番プール-_xlpm.割当計+_xlpm.余剰化受入-_xlpm.充当払出))</f>
        <v/>
      </c>
      <c r="J84" s="8" t="str">
        <f t="shared" si="4"/>
        <v/>
      </c>
      <c r="K84" s="8" t="str">
        <f t="shared" si="5"/>
        <v/>
      </c>
      <c r="L84" s="4" t="str">
        <f>IF($A84="","",IF(INDEX(tbl_plan[計画状態],ROW()-1)="キャンセル","キャンセル",IF(J84=0,"発送済",IF(K84&gt;0,"要搬出","OK"))))</f>
        <v/>
      </c>
      <c r="M84" s="8">
        <f t="array" ref="M84">_xlfn.LET(
_xlpm.計画状態,IFERROR(INDEX(tbl_plan[計画状態],ROW()-1)&amp;"",""),
_xlpm.必要数,IFERROR(N(INDEX(tbl_plan[必要数],ROW()-1)),0),
IF(_xlpm.計画状態="キャンセル",0,_xlpm.必要数))</f>
        <v>0</v>
      </c>
      <c r="N84" s="8" t="str">
        <f>IF($A84="","",_xlfn.LET(
_xlpm.搬入計,SUMIFS(tbl_ledger[数量],tbl_ledger[localId],$B84,tbl_ledger[イベント種類],"搬入"),
_xlpm.未割当発送,SUMIFS(tbl_ledger[数量],tbl_ledger[localId],$B84,tbl_ledger[イベント種類],"発送",tbl_ledger[ロットID],"="),
_xlpm.未割当倉庫戻し,SUMIFS(tbl_ledger[数量],tbl_ledger[localId],$B84,tbl_ledger[イベント種類],"倉庫戻し",tbl_ledger[ロットID],"="),
_xlpm.未割当不良,SUMIFS(tbl_ledger[数量],tbl_ledger[localId],$B84,tbl_ledger[イベント種類],"不良発生",tbl_ledger[ロットID],"="),
_xlpm.搬入計-_xlpm.未割当発送-_xlpm.未割当倉庫戻し-_xlpm.未割当不良))</f>
        <v/>
      </c>
      <c r="O84" s="8" t="str">
        <f t="array" ref="O84">IF($A84="","",_xlfn.LET(
_xlpm.同品番,($B$2:$B$301=$B84),
_xlpm.週が前,($C$2:$C$301&lt;$C84),
_xlpm.同週で上行,($C$2:$C$301=$C84)*(ROW($C$2:$C$301)&lt;ROW()),
SUMPRODUCT(_xlpm.同品番*(_xlpm.週が前+_xlpm.同週で上行)*$M$2:$M$301)))</f>
        <v/>
      </c>
    </row>
    <row r="85" spans="1:15" ht="15" customHeight="1" x14ac:dyDescent="0.25">
      <c r="A85" s="4" t="str">
        <f>IFERROR(INDEX(tbl_plan[ロットID],ROW()-1),"")</f>
        <v/>
      </c>
      <c r="B85" s="4" t="str">
        <f>IF($A85="","",INDEX(tbl_plan[localId],ROW()-1))</f>
        <v/>
      </c>
      <c r="C85" s="11" t="str">
        <f>IF($A85="","",INDEX(tbl_plan[出荷週],ROW()-1))</f>
        <v/>
      </c>
      <c r="D85" s="4" t="str">
        <f>IF($A85="","",INDEX(tbl_plan[納期先],ROW()-1)&amp;"")</f>
        <v/>
      </c>
      <c r="E85" s="8" t="str">
        <f>IF($A85="","",INDEX(tbl_plan[必要数],ROW()-1))</f>
        <v/>
      </c>
      <c r="F85" s="8" t="str">
        <f t="shared" si="3"/>
        <v/>
      </c>
      <c r="G85" s="8" t="str">
        <f>IF($A85="","",SUMIFS(tbl_ledger[数量],tbl_ledger[ロットID],$A85,tbl_ledger[イベント種類],"発送"))</f>
        <v/>
      </c>
      <c r="H85" s="8" t="str">
        <f>IF($A85="","",_xlfn.LET(
_xlpm.割当,F85,
_xlpm.充当受入,SUMIFS(tbl_ledger[数量],tbl_ledger[充当先ロットID],$A85,tbl_ledger[イベント種類],"充当"),
_xlpm.充当放出,SUMIFS(tbl_ledger[数量],tbl_ledger[ロットID],$A85,tbl_ledger[イベント種類],"充当"),
_xlpm.発送済,G85,
_xlpm.倉庫戻し,SUMIFS(tbl_ledger[数量],tbl_ledger[ロットID],$A85,tbl_ledger[イベント種類],"倉庫戻し"),
_xlpm.余剰化,SUMIFS(tbl_ledger[数量],tbl_ledger[ロットID],$A85,tbl_ledger[イベント種類],"余剰化"),
_xlpm.不良,SUMIFS(tbl_ledger[数量],tbl_ledger[ロットID],$A85,tbl_ledger[イベント種類],"不良発生"),
_xlpm.割当+_xlpm.充当受入-_xlpm.充当放出-_xlpm.発送済-_xlpm.倉庫戻し-_xlpm.余剰化-_xlpm.不良))</f>
        <v/>
      </c>
      <c r="I85" s="8" t="str">
        <f>IF($A85="","",_xlfn.LET(
_xlpm.品番プール,N85,
_xlpm.割当計,SUMIF($B$2:$B$301,$B85,$F$2:$F$301),
_xlpm.余剰化受入,SUMIFS(tbl_ledger[数量],tbl_ledger[localId],$B85,tbl_ledger[イベント種類],"余剰化"),
_xlpm.充当払出,SUMIFS(tbl_ledger[数量],tbl_ledger[localId],$B85,tbl_ledger[イベント種類],"充当",tbl_ledger[ロットID],"="),
_xlpm.品番プール-_xlpm.割当計+_xlpm.余剰化受入-_xlpm.充当払出))</f>
        <v/>
      </c>
      <c r="J85" s="8" t="str">
        <f t="shared" si="4"/>
        <v/>
      </c>
      <c r="K85" s="8" t="str">
        <f t="shared" si="5"/>
        <v/>
      </c>
      <c r="L85" s="4" t="str">
        <f>IF($A85="","",IF(INDEX(tbl_plan[計画状態],ROW()-1)="キャンセル","キャンセル",IF(J85=0,"発送済",IF(K85&gt;0,"要搬出","OK"))))</f>
        <v/>
      </c>
      <c r="M85" s="8">
        <f t="array" ref="M85">_xlfn.LET(
_xlpm.計画状態,IFERROR(INDEX(tbl_plan[計画状態],ROW()-1)&amp;"",""),
_xlpm.必要数,IFERROR(N(INDEX(tbl_plan[必要数],ROW()-1)),0),
IF(_xlpm.計画状態="キャンセル",0,_xlpm.必要数))</f>
        <v>0</v>
      </c>
      <c r="N85" s="8" t="str">
        <f>IF($A85="","",_xlfn.LET(
_xlpm.搬入計,SUMIFS(tbl_ledger[数量],tbl_ledger[localId],$B85,tbl_ledger[イベント種類],"搬入"),
_xlpm.未割当発送,SUMIFS(tbl_ledger[数量],tbl_ledger[localId],$B85,tbl_ledger[イベント種類],"発送",tbl_ledger[ロットID],"="),
_xlpm.未割当倉庫戻し,SUMIFS(tbl_ledger[数量],tbl_ledger[localId],$B85,tbl_ledger[イベント種類],"倉庫戻し",tbl_ledger[ロットID],"="),
_xlpm.未割当不良,SUMIFS(tbl_ledger[数量],tbl_ledger[localId],$B85,tbl_ledger[イベント種類],"不良発生",tbl_ledger[ロットID],"="),
_xlpm.搬入計-_xlpm.未割当発送-_xlpm.未割当倉庫戻し-_xlpm.未割当不良))</f>
        <v/>
      </c>
      <c r="O85" s="8" t="str">
        <f t="array" ref="O85">IF($A85="","",_xlfn.LET(
_xlpm.同品番,($B$2:$B$301=$B85),
_xlpm.週が前,($C$2:$C$301&lt;$C85),
_xlpm.同週で上行,($C$2:$C$301=$C85)*(ROW($C$2:$C$301)&lt;ROW()),
SUMPRODUCT(_xlpm.同品番*(_xlpm.週が前+_xlpm.同週で上行)*$M$2:$M$301)))</f>
        <v/>
      </c>
    </row>
    <row r="86" spans="1:15" ht="15" customHeight="1" x14ac:dyDescent="0.25">
      <c r="A86" s="4" t="str">
        <f>IFERROR(INDEX(tbl_plan[ロットID],ROW()-1),"")</f>
        <v/>
      </c>
      <c r="B86" s="4" t="str">
        <f>IF($A86="","",INDEX(tbl_plan[localId],ROW()-1))</f>
        <v/>
      </c>
      <c r="C86" s="11" t="str">
        <f>IF($A86="","",INDEX(tbl_plan[出荷週],ROW()-1))</f>
        <v/>
      </c>
      <c r="D86" s="4" t="str">
        <f>IF($A86="","",INDEX(tbl_plan[納期先],ROW()-1)&amp;"")</f>
        <v/>
      </c>
      <c r="E86" s="8" t="str">
        <f>IF($A86="","",INDEX(tbl_plan[必要数],ROW()-1))</f>
        <v/>
      </c>
      <c r="F86" s="8" t="str">
        <f t="shared" si="3"/>
        <v/>
      </c>
      <c r="G86" s="8" t="str">
        <f>IF($A86="","",SUMIFS(tbl_ledger[数量],tbl_ledger[ロットID],$A86,tbl_ledger[イベント種類],"発送"))</f>
        <v/>
      </c>
      <c r="H86" s="8" t="str">
        <f>IF($A86="","",_xlfn.LET(
_xlpm.割当,F86,
_xlpm.充当受入,SUMIFS(tbl_ledger[数量],tbl_ledger[充当先ロットID],$A86,tbl_ledger[イベント種類],"充当"),
_xlpm.充当放出,SUMIFS(tbl_ledger[数量],tbl_ledger[ロットID],$A86,tbl_ledger[イベント種類],"充当"),
_xlpm.発送済,G86,
_xlpm.倉庫戻し,SUMIFS(tbl_ledger[数量],tbl_ledger[ロットID],$A86,tbl_ledger[イベント種類],"倉庫戻し"),
_xlpm.余剰化,SUMIFS(tbl_ledger[数量],tbl_ledger[ロットID],$A86,tbl_ledger[イベント種類],"余剰化"),
_xlpm.不良,SUMIFS(tbl_ledger[数量],tbl_ledger[ロットID],$A86,tbl_ledger[イベント種類],"不良発生"),
_xlpm.割当+_xlpm.充当受入-_xlpm.充当放出-_xlpm.発送済-_xlpm.倉庫戻し-_xlpm.余剰化-_xlpm.不良))</f>
        <v/>
      </c>
      <c r="I86" s="8" t="str">
        <f>IF($A86="","",_xlfn.LET(
_xlpm.品番プール,N86,
_xlpm.割当計,SUMIF($B$2:$B$301,$B86,$F$2:$F$301),
_xlpm.余剰化受入,SUMIFS(tbl_ledger[数量],tbl_ledger[localId],$B86,tbl_ledger[イベント種類],"余剰化"),
_xlpm.充当払出,SUMIFS(tbl_ledger[数量],tbl_ledger[localId],$B86,tbl_ledger[イベント種類],"充当",tbl_ledger[ロットID],"="),
_xlpm.品番プール-_xlpm.割当計+_xlpm.余剰化受入-_xlpm.充当払出))</f>
        <v/>
      </c>
      <c r="J86" s="8" t="str">
        <f t="shared" si="4"/>
        <v/>
      </c>
      <c r="K86" s="8" t="str">
        <f t="shared" si="5"/>
        <v/>
      </c>
      <c r="L86" s="4" t="str">
        <f>IF($A86="","",IF(INDEX(tbl_plan[計画状態],ROW()-1)="キャンセル","キャンセル",IF(J86=0,"発送済",IF(K86&gt;0,"要搬出","OK"))))</f>
        <v/>
      </c>
      <c r="M86" s="8">
        <f t="array" ref="M86">_xlfn.LET(
_xlpm.計画状態,IFERROR(INDEX(tbl_plan[計画状態],ROW()-1)&amp;"",""),
_xlpm.必要数,IFERROR(N(INDEX(tbl_plan[必要数],ROW()-1)),0),
IF(_xlpm.計画状態="キャンセル",0,_xlpm.必要数))</f>
        <v>0</v>
      </c>
      <c r="N86" s="8" t="str">
        <f>IF($A86="","",_xlfn.LET(
_xlpm.搬入計,SUMIFS(tbl_ledger[数量],tbl_ledger[localId],$B86,tbl_ledger[イベント種類],"搬入"),
_xlpm.未割当発送,SUMIFS(tbl_ledger[数量],tbl_ledger[localId],$B86,tbl_ledger[イベント種類],"発送",tbl_ledger[ロットID],"="),
_xlpm.未割当倉庫戻し,SUMIFS(tbl_ledger[数量],tbl_ledger[localId],$B86,tbl_ledger[イベント種類],"倉庫戻し",tbl_ledger[ロットID],"="),
_xlpm.未割当不良,SUMIFS(tbl_ledger[数量],tbl_ledger[localId],$B86,tbl_ledger[イベント種類],"不良発生",tbl_ledger[ロットID],"="),
_xlpm.搬入計-_xlpm.未割当発送-_xlpm.未割当倉庫戻し-_xlpm.未割当不良))</f>
        <v/>
      </c>
      <c r="O86" s="8" t="str">
        <f t="array" ref="O86">IF($A86="","",_xlfn.LET(
_xlpm.同品番,($B$2:$B$301=$B86),
_xlpm.週が前,($C$2:$C$301&lt;$C86),
_xlpm.同週で上行,($C$2:$C$301=$C86)*(ROW($C$2:$C$301)&lt;ROW()),
SUMPRODUCT(_xlpm.同品番*(_xlpm.週が前+_xlpm.同週で上行)*$M$2:$M$301)))</f>
        <v/>
      </c>
    </row>
    <row r="87" spans="1:15" ht="15" customHeight="1" x14ac:dyDescent="0.25">
      <c r="A87" s="4" t="str">
        <f>IFERROR(INDEX(tbl_plan[ロットID],ROW()-1),"")</f>
        <v/>
      </c>
      <c r="B87" s="4" t="str">
        <f>IF($A87="","",INDEX(tbl_plan[localId],ROW()-1))</f>
        <v/>
      </c>
      <c r="C87" s="11" t="str">
        <f>IF($A87="","",INDEX(tbl_plan[出荷週],ROW()-1))</f>
        <v/>
      </c>
      <c r="D87" s="4" t="str">
        <f>IF($A87="","",INDEX(tbl_plan[納期先],ROW()-1)&amp;"")</f>
        <v/>
      </c>
      <c r="E87" s="8" t="str">
        <f>IF($A87="","",INDEX(tbl_plan[必要数],ROW()-1))</f>
        <v/>
      </c>
      <c r="F87" s="8" t="str">
        <f t="shared" si="3"/>
        <v/>
      </c>
      <c r="G87" s="8" t="str">
        <f>IF($A87="","",SUMIFS(tbl_ledger[数量],tbl_ledger[ロットID],$A87,tbl_ledger[イベント種類],"発送"))</f>
        <v/>
      </c>
      <c r="H87" s="8" t="str">
        <f>IF($A87="","",_xlfn.LET(
_xlpm.割当,F87,
_xlpm.充当受入,SUMIFS(tbl_ledger[数量],tbl_ledger[充当先ロットID],$A87,tbl_ledger[イベント種類],"充当"),
_xlpm.充当放出,SUMIFS(tbl_ledger[数量],tbl_ledger[ロットID],$A87,tbl_ledger[イベント種類],"充当"),
_xlpm.発送済,G87,
_xlpm.倉庫戻し,SUMIFS(tbl_ledger[数量],tbl_ledger[ロットID],$A87,tbl_ledger[イベント種類],"倉庫戻し"),
_xlpm.余剰化,SUMIFS(tbl_ledger[数量],tbl_ledger[ロットID],$A87,tbl_ledger[イベント種類],"余剰化"),
_xlpm.不良,SUMIFS(tbl_ledger[数量],tbl_ledger[ロットID],$A87,tbl_ledger[イベント種類],"不良発生"),
_xlpm.割当+_xlpm.充当受入-_xlpm.充当放出-_xlpm.発送済-_xlpm.倉庫戻し-_xlpm.余剰化-_xlpm.不良))</f>
        <v/>
      </c>
      <c r="I87" s="8" t="str">
        <f>IF($A87="","",_xlfn.LET(
_xlpm.品番プール,N87,
_xlpm.割当計,SUMIF($B$2:$B$301,$B87,$F$2:$F$301),
_xlpm.余剰化受入,SUMIFS(tbl_ledger[数量],tbl_ledger[localId],$B87,tbl_ledger[イベント種類],"余剰化"),
_xlpm.充当払出,SUMIFS(tbl_ledger[数量],tbl_ledger[localId],$B87,tbl_ledger[イベント種類],"充当",tbl_ledger[ロットID],"="),
_xlpm.品番プール-_xlpm.割当計+_xlpm.余剰化受入-_xlpm.充当払出))</f>
        <v/>
      </c>
      <c r="J87" s="8" t="str">
        <f t="shared" si="4"/>
        <v/>
      </c>
      <c r="K87" s="8" t="str">
        <f t="shared" si="5"/>
        <v/>
      </c>
      <c r="L87" s="4" t="str">
        <f>IF($A87="","",IF(INDEX(tbl_plan[計画状態],ROW()-1)="キャンセル","キャンセル",IF(J87=0,"発送済",IF(K87&gt;0,"要搬出","OK"))))</f>
        <v/>
      </c>
      <c r="M87" s="8">
        <f t="array" ref="M87">_xlfn.LET(
_xlpm.計画状態,IFERROR(INDEX(tbl_plan[計画状態],ROW()-1)&amp;"",""),
_xlpm.必要数,IFERROR(N(INDEX(tbl_plan[必要数],ROW()-1)),0),
IF(_xlpm.計画状態="キャンセル",0,_xlpm.必要数))</f>
        <v>0</v>
      </c>
      <c r="N87" s="8" t="str">
        <f>IF($A87="","",_xlfn.LET(
_xlpm.搬入計,SUMIFS(tbl_ledger[数量],tbl_ledger[localId],$B87,tbl_ledger[イベント種類],"搬入"),
_xlpm.未割当発送,SUMIFS(tbl_ledger[数量],tbl_ledger[localId],$B87,tbl_ledger[イベント種類],"発送",tbl_ledger[ロットID],"="),
_xlpm.未割当倉庫戻し,SUMIFS(tbl_ledger[数量],tbl_ledger[localId],$B87,tbl_ledger[イベント種類],"倉庫戻し",tbl_ledger[ロットID],"="),
_xlpm.未割当不良,SUMIFS(tbl_ledger[数量],tbl_ledger[localId],$B87,tbl_ledger[イベント種類],"不良発生",tbl_ledger[ロットID],"="),
_xlpm.搬入計-_xlpm.未割当発送-_xlpm.未割当倉庫戻し-_xlpm.未割当不良))</f>
        <v/>
      </c>
      <c r="O87" s="8" t="str">
        <f t="array" ref="O87">IF($A87="","",_xlfn.LET(
_xlpm.同品番,($B$2:$B$301=$B87),
_xlpm.週が前,($C$2:$C$301&lt;$C87),
_xlpm.同週で上行,($C$2:$C$301=$C87)*(ROW($C$2:$C$301)&lt;ROW()),
SUMPRODUCT(_xlpm.同品番*(_xlpm.週が前+_xlpm.同週で上行)*$M$2:$M$301)))</f>
        <v/>
      </c>
    </row>
    <row r="88" spans="1:15" ht="15" customHeight="1" x14ac:dyDescent="0.25">
      <c r="A88" s="4" t="str">
        <f>IFERROR(INDEX(tbl_plan[ロットID],ROW()-1),"")</f>
        <v/>
      </c>
      <c r="B88" s="4" t="str">
        <f>IF($A88="","",INDEX(tbl_plan[localId],ROW()-1))</f>
        <v/>
      </c>
      <c r="C88" s="11" t="str">
        <f>IF($A88="","",INDEX(tbl_plan[出荷週],ROW()-1))</f>
        <v/>
      </c>
      <c r="D88" s="4" t="str">
        <f>IF($A88="","",INDEX(tbl_plan[納期先],ROW()-1)&amp;"")</f>
        <v/>
      </c>
      <c r="E88" s="8" t="str">
        <f>IF($A88="","",INDEX(tbl_plan[必要数],ROW()-1))</f>
        <v/>
      </c>
      <c r="F88" s="8" t="str">
        <f t="shared" si="3"/>
        <v/>
      </c>
      <c r="G88" s="8" t="str">
        <f>IF($A88="","",SUMIFS(tbl_ledger[数量],tbl_ledger[ロットID],$A88,tbl_ledger[イベント種類],"発送"))</f>
        <v/>
      </c>
      <c r="H88" s="8" t="str">
        <f>IF($A88="","",_xlfn.LET(
_xlpm.割当,F88,
_xlpm.充当受入,SUMIFS(tbl_ledger[数量],tbl_ledger[充当先ロットID],$A88,tbl_ledger[イベント種類],"充当"),
_xlpm.充当放出,SUMIFS(tbl_ledger[数量],tbl_ledger[ロットID],$A88,tbl_ledger[イベント種類],"充当"),
_xlpm.発送済,G88,
_xlpm.倉庫戻し,SUMIFS(tbl_ledger[数量],tbl_ledger[ロットID],$A88,tbl_ledger[イベント種類],"倉庫戻し"),
_xlpm.余剰化,SUMIFS(tbl_ledger[数量],tbl_ledger[ロットID],$A88,tbl_ledger[イベント種類],"余剰化"),
_xlpm.不良,SUMIFS(tbl_ledger[数量],tbl_ledger[ロットID],$A88,tbl_ledger[イベント種類],"不良発生"),
_xlpm.割当+_xlpm.充当受入-_xlpm.充当放出-_xlpm.発送済-_xlpm.倉庫戻し-_xlpm.余剰化-_xlpm.不良))</f>
        <v/>
      </c>
      <c r="I88" s="8" t="str">
        <f>IF($A88="","",_xlfn.LET(
_xlpm.品番プール,N88,
_xlpm.割当計,SUMIF($B$2:$B$301,$B88,$F$2:$F$301),
_xlpm.余剰化受入,SUMIFS(tbl_ledger[数量],tbl_ledger[localId],$B88,tbl_ledger[イベント種類],"余剰化"),
_xlpm.充当払出,SUMIFS(tbl_ledger[数量],tbl_ledger[localId],$B88,tbl_ledger[イベント種類],"充当",tbl_ledger[ロットID],"="),
_xlpm.品番プール-_xlpm.割当計+_xlpm.余剰化受入-_xlpm.充当払出))</f>
        <v/>
      </c>
      <c r="J88" s="8" t="str">
        <f t="shared" si="4"/>
        <v/>
      </c>
      <c r="K88" s="8" t="str">
        <f t="shared" si="5"/>
        <v/>
      </c>
      <c r="L88" s="4" t="str">
        <f>IF($A88="","",IF(INDEX(tbl_plan[計画状態],ROW()-1)="キャンセル","キャンセル",IF(J88=0,"発送済",IF(K88&gt;0,"要搬出","OK"))))</f>
        <v/>
      </c>
      <c r="M88" s="8">
        <f t="array" ref="M88">_xlfn.LET(
_xlpm.計画状態,IFERROR(INDEX(tbl_plan[計画状態],ROW()-1)&amp;"",""),
_xlpm.必要数,IFERROR(N(INDEX(tbl_plan[必要数],ROW()-1)),0),
IF(_xlpm.計画状態="キャンセル",0,_xlpm.必要数))</f>
        <v>0</v>
      </c>
      <c r="N88" s="8" t="str">
        <f>IF($A88="","",_xlfn.LET(
_xlpm.搬入計,SUMIFS(tbl_ledger[数量],tbl_ledger[localId],$B88,tbl_ledger[イベント種類],"搬入"),
_xlpm.未割当発送,SUMIFS(tbl_ledger[数量],tbl_ledger[localId],$B88,tbl_ledger[イベント種類],"発送",tbl_ledger[ロットID],"="),
_xlpm.未割当倉庫戻し,SUMIFS(tbl_ledger[数量],tbl_ledger[localId],$B88,tbl_ledger[イベント種類],"倉庫戻し",tbl_ledger[ロットID],"="),
_xlpm.未割当不良,SUMIFS(tbl_ledger[数量],tbl_ledger[localId],$B88,tbl_ledger[イベント種類],"不良発生",tbl_ledger[ロットID],"="),
_xlpm.搬入計-_xlpm.未割当発送-_xlpm.未割当倉庫戻し-_xlpm.未割当不良))</f>
        <v/>
      </c>
      <c r="O88" s="8" t="str">
        <f t="array" ref="O88">IF($A88="","",_xlfn.LET(
_xlpm.同品番,($B$2:$B$301=$B88),
_xlpm.週が前,($C$2:$C$301&lt;$C88),
_xlpm.同週で上行,($C$2:$C$301=$C88)*(ROW($C$2:$C$301)&lt;ROW()),
SUMPRODUCT(_xlpm.同品番*(_xlpm.週が前+_xlpm.同週で上行)*$M$2:$M$301)))</f>
        <v/>
      </c>
    </row>
    <row r="89" spans="1:15" ht="15" customHeight="1" x14ac:dyDescent="0.25">
      <c r="A89" s="4" t="str">
        <f>IFERROR(INDEX(tbl_plan[ロットID],ROW()-1),"")</f>
        <v/>
      </c>
      <c r="B89" s="4" t="str">
        <f>IF($A89="","",INDEX(tbl_plan[localId],ROW()-1))</f>
        <v/>
      </c>
      <c r="C89" s="11" t="str">
        <f>IF($A89="","",INDEX(tbl_plan[出荷週],ROW()-1))</f>
        <v/>
      </c>
      <c r="D89" s="4" t="str">
        <f>IF($A89="","",INDEX(tbl_plan[納期先],ROW()-1)&amp;"")</f>
        <v/>
      </c>
      <c r="E89" s="8" t="str">
        <f>IF($A89="","",INDEX(tbl_plan[必要数],ROW()-1))</f>
        <v/>
      </c>
      <c r="F89" s="8" t="str">
        <f t="shared" si="3"/>
        <v/>
      </c>
      <c r="G89" s="8" t="str">
        <f>IF($A89="","",SUMIFS(tbl_ledger[数量],tbl_ledger[ロットID],$A89,tbl_ledger[イベント種類],"発送"))</f>
        <v/>
      </c>
      <c r="H89" s="8" t="str">
        <f>IF($A89="","",_xlfn.LET(
_xlpm.割当,F89,
_xlpm.充当受入,SUMIFS(tbl_ledger[数量],tbl_ledger[充当先ロットID],$A89,tbl_ledger[イベント種類],"充当"),
_xlpm.充当放出,SUMIFS(tbl_ledger[数量],tbl_ledger[ロットID],$A89,tbl_ledger[イベント種類],"充当"),
_xlpm.発送済,G89,
_xlpm.倉庫戻し,SUMIFS(tbl_ledger[数量],tbl_ledger[ロットID],$A89,tbl_ledger[イベント種類],"倉庫戻し"),
_xlpm.余剰化,SUMIFS(tbl_ledger[数量],tbl_ledger[ロットID],$A89,tbl_ledger[イベント種類],"余剰化"),
_xlpm.不良,SUMIFS(tbl_ledger[数量],tbl_ledger[ロットID],$A89,tbl_ledger[イベント種類],"不良発生"),
_xlpm.割当+_xlpm.充当受入-_xlpm.充当放出-_xlpm.発送済-_xlpm.倉庫戻し-_xlpm.余剰化-_xlpm.不良))</f>
        <v/>
      </c>
      <c r="I89" s="8" t="str">
        <f>IF($A89="","",_xlfn.LET(
_xlpm.品番プール,N89,
_xlpm.割当計,SUMIF($B$2:$B$301,$B89,$F$2:$F$301),
_xlpm.余剰化受入,SUMIFS(tbl_ledger[数量],tbl_ledger[localId],$B89,tbl_ledger[イベント種類],"余剰化"),
_xlpm.充当払出,SUMIFS(tbl_ledger[数量],tbl_ledger[localId],$B89,tbl_ledger[イベント種類],"充当",tbl_ledger[ロットID],"="),
_xlpm.品番プール-_xlpm.割当計+_xlpm.余剰化受入-_xlpm.充当払出))</f>
        <v/>
      </c>
      <c r="J89" s="8" t="str">
        <f t="shared" si="4"/>
        <v/>
      </c>
      <c r="K89" s="8" t="str">
        <f t="shared" si="5"/>
        <v/>
      </c>
      <c r="L89" s="4" t="str">
        <f>IF($A89="","",IF(INDEX(tbl_plan[計画状態],ROW()-1)="キャンセル","キャンセル",IF(J89=0,"発送済",IF(K89&gt;0,"要搬出","OK"))))</f>
        <v/>
      </c>
      <c r="M89" s="8">
        <f t="array" ref="M89">_xlfn.LET(
_xlpm.計画状態,IFERROR(INDEX(tbl_plan[計画状態],ROW()-1)&amp;"",""),
_xlpm.必要数,IFERROR(N(INDEX(tbl_plan[必要数],ROW()-1)),0),
IF(_xlpm.計画状態="キャンセル",0,_xlpm.必要数))</f>
        <v>0</v>
      </c>
      <c r="N89" s="8" t="str">
        <f>IF($A89="","",_xlfn.LET(
_xlpm.搬入計,SUMIFS(tbl_ledger[数量],tbl_ledger[localId],$B89,tbl_ledger[イベント種類],"搬入"),
_xlpm.未割当発送,SUMIFS(tbl_ledger[数量],tbl_ledger[localId],$B89,tbl_ledger[イベント種類],"発送",tbl_ledger[ロットID],"="),
_xlpm.未割当倉庫戻し,SUMIFS(tbl_ledger[数量],tbl_ledger[localId],$B89,tbl_ledger[イベント種類],"倉庫戻し",tbl_ledger[ロットID],"="),
_xlpm.未割当不良,SUMIFS(tbl_ledger[数量],tbl_ledger[localId],$B89,tbl_ledger[イベント種類],"不良発生",tbl_ledger[ロットID],"="),
_xlpm.搬入計-_xlpm.未割当発送-_xlpm.未割当倉庫戻し-_xlpm.未割当不良))</f>
        <v/>
      </c>
      <c r="O89" s="8" t="str">
        <f t="array" ref="O89">IF($A89="","",_xlfn.LET(
_xlpm.同品番,($B$2:$B$301=$B89),
_xlpm.週が前,($C$2:$C$301&lt;$C89),
_xlpm.同週で上行,($C$2:$C$301=$C89)*(ROW($C$2:$C$301)&lt;ROW()),
SUMPRODUCT(_xlpm.同品番*(_xlpm.週が前+_xlpm.同週で上行)*$M$2:$M$301)))</f>
        <v/>
      </c>
    </row>
    <row r="90" spans="1:15" ht="15" customHeight="1" x14ac:dyDescent="0.25">
      <c r="A90" s="4" t="str">
        <f>IFERROR(INDEX(tbl_plan[ロットID],ROW()-1),"")</f>
        <v/>
      </c>
      <c r="B90" s="4" t="str">
        <f>IF($A90="","",INDEX(tbl_plan[localId],ROW()-1))</f>
        <v/>
      </c>
      <c r="C90" s="11" t="str">
        <f>IF($A90="","",INDEX(tbl_plan[出荷週],ROW()-1))</f>
        <v/>
      </c>
      <c r="D90" s="4" t="str">
        <f>IF($A90="","",INDEX(tbl_plan[納期先],ROW()-1)&amp;"")</f>
        <v/>
      </c>
      <c r="E90" s="8" t="str">
        <f>IF($A90="","",INDEX(tbl_plan[必要数],ROW()-1))</f>
        <v/>
      </c>
      <c r="F90" s="8" t="str">
        <f t="shared" si="3"/>
        <v/>
      </c>
      <c r="G90" s="8" t="str">
        <f>IF($A90="","",SUMIFS(tbl_ledger[数量],tbl_ledger[ロットID],$A90,tbl_ledger[イベント種類],"発送"))</f>
        <v/>
      </c>
      <c r="H90" s="8" t="str">
        <f>IF($A90="","",_xlfn.LET(
_xlpm.割当,F90,
_xlpm.充当受入,SUMIFS(tbl_ledger[数量],tbl_ledger[充当先ロットID],$A90,tbl_ledger[イベント種類],"充当"),
_xlpm.充当放出,SUMIFS(tbl_ledger[数量],tbl_ledger[ロットID],$A90,tbl_ledger[イベント種類],"充当"),
_xlpm.発送済,G90,
_xlpm.倉庫戻し,SUMIFS(tbl_ledger[数量],tbl_ledger[ロットID],$A90,tbl_ledger[イベント種類],"倉庫戻し"),
_xlpm.余剰化,SUMIFS(tbl_ledger[数量],tbl_ledger[ロットID],$A90,tbl_ledger[イベント種類],"余剰化"),
_xlpm.不良,SUMIFS(tbl_ledger[数量],tbl_ledger[ロットID],$A90,tbl_ledger[イベント種類],"不良発生"),
_xlpm.割当+_xlpm.充当受入-_xlpm.充当放出-_xlpm.発送済-_xlpm.倉庫戻し-_xlpm.余剰化-_xlpm.不良))</f>
        <v/>
      </c>
      <c r="I90" s="8" t="str">
        <f>IF($A90="","",_xlfn.LET(
_xlpm.品番プール,N90,
_xlpm.割当計,SUMIF($B$2:$B$301,$B90,$F$2:$F$301),
_xlpm.余剰化受入,SUMIFS(tbl_ledger[数量],tbl_ledger[localId],$B90,tbl_ledger[イベント種類],"余剰化"),
_xlpm.充当払出,SUMIFS(tbl_ledger[数量],tbl_ledger[localId],$B90,tbl_ledger[イベント種類],"充当",tbl_ledger[ロットID],"="),
_xlpm.品番プール-_xlpm.割当計+_xlpm.余剰化受入-_xlpm.充当払出))</f>
        <v/>
      </c>
      <c r="J90" s="8" t="str">
        <f t="shared" si="4"/>
        <v/>
      </c>
      <c r="K90" s="8" t="str">
        <f t="shared" si="5"/>
        <v/>
      </c>
      <c r="L90" s="4" t="str">
        <f>IF($A90="","",IF(INDEX(tbl_plan[計画状態],ROW()-1)="キャンセル","キャンセル",IF(J90=0,"発送済",IF(K90&gt;0,"要搬出","OK"))))</f>
        <v/>
      </c>
      <c r="M90" s="8">
        <f t="array" ref="M90">_xlfn.LET(
_xlpm.計画状態,IFERROR(INDEX(tbl_plan[計画状態],ROW()-1)&amp;"",""),
_xlpm.必要数,IFERROR(N(INDEX(tbl_plan[必要数],ROW()-1)),0),
IF(_xlpm.計画状態="キャンセル",0,_xlpm.必要数))</f>
        <v>0</v>
      </c>
      <c r="N90" s="8" t="str">
        <f>IF($A90="","",_xlfn.LET(
_xlpm.搬入計,SUMIFS(tbl_ledger[数量],tbl_ledger[localId],$B90,tbl_ledger[イベント種類],"搬入"),
_xlpm.未割当発送,SUMIFS(tbl_ledger[数量],tbl_ledger[localId],$B90,tbl_ledger[イベント種類],"発送",tbl_ledger[ロットID],"="),
_xlpm.未割当倉庫戻し,SUMIFS(tbl_ledger[数量],tbl_ledger[localId],$B90,tbl_ledger[イベント種類],"倉庫戻し",tbl_ledger[ロットID],"="),
_xlpm.未割当不良,SUMIFS(tbl_ledger[数量],tbl_ledger[localId],$B90,tbl_ledger[イベント種類],"不良発生",tbl_ledger[ロットID],"="),
_xlpm.搬入計-_xlpm.未割当発送-_xlpm.未割当倉庫戻し-_xlpm.未割当不良))</f>
        <v/>
      </c>
      <c r="O90" s="8" t="str">
        <f t="array" ref="O90">IF($A90="","",_xlfn.LET(
_xlpm.同品番,($B$2:$B$301=$B90),
_xlpm.週が前,($C$2:$C$301&lt;$C90),
_xlpm.同週で上行,($C$2:$C$301=$C90)*(ROW($C$2:$C$301)&lt;ROW()),
SUMPRODUCT(_xlpm.同品番*(_xlpm.週が前+_xlpm.同週で上行)*$M$2:$M$301)))</f>
        <v/>
      </c>
    </row>
    <row r="91" spans="1:15" ht="15" customHeight="1" x14ac:dyDescent="0.25">
      <c r="A91" s="4" t="str">
        <f>IFERROR(INDEX(tbl_plan[ロットID],ROW()-1),"")</f>
        <v/>
      </c>
      <c r="B91" s="4" t="str">
        <f>IF($A91="","",INDEX(tbl_plan[localId],ROW()-1))</f>
        <v/>
      </c>
      <c r="C91" s="11" t="str">
        <f>IF($A91="","",INDEX(tbl_plan[出荷週],ROW()-1))</f>
        <v/>
      </c>
      <c r="D91" s="4" t="str">
        <f>IF($A91="","",INDEX(tbl_plan[納期先],ROW()-1)&amp;"")</f>
        <v/>
      </c>
      <c r="E91" s="8" t="str">
        <f>IF($A91="","",INDEX(tbl_plan[必要数],ROW()-1))</f>
        <v/>
      </c>
      <c r="F91" s="8" t="str">
        <f t="shared" si="3"/>
        <v/>
      </c>
      <c r="G91" s="8" t="str">
        <f>IF($A91="","",SUMIFS(tbl_ledger[数量],tbl_ledger[ロットID],$A91,tbl_ledger[イベント種類],"発送"))</f>
        <v/>
      </c>
      <c r="H91" s="8" t="str">
        <f>IF($A91="","",_xlfn.LET(
_xlpm.割当,F91,
_xlpm.充当受入,SUMIFS(tbl_ledger[数量],tbl_ledger[充当先ロットID],$A91,tbl_ledger[イベント種類],"充当"),
_xlpm.充当放出,SUMIFS(tbl_ledger[数量],tbl_ledger[ロットID],$A91,tbl_ledger[イベント種類],"充当"),
_xlpm.発送済,G91,
_xlpm.倉庫戻し,SUMIFS(tbl_ledger[数量],tbl_ledger[ロットID],$A91,tbl_ledger[イベント種類],"倉庫戻し"),
_xlpm.余剰化,SUMIFS(tbl_ledger[数量],tbl_ledger[ロットID],$A91,tbl_ledger[イベント種類],"余剰化"),
_xlpm.不良,SUMIFS(tbl_ledger[数量],tbl_ledger[ロットID],$A91,tbl_ledger[イベント種類],"不良発生"),
_xlpm.割当+_xlpm.充当受入-_xlpm.充当放出-_xlpm.発送済-_xlpm.倉庫戻し-_xlpm.余剰化-_xlpm.不良))</f>
        <v/>
      </c>
      <c r="I91" s="8" t="str">
        <f>IF($A91="","",_xlfn.LET(
_xlpm.品番プール,N91,
_xlpm.割当計,SUMIF($B$2:$B$301,$B91,$F$2:$F$301),
_xlpm.余剰化受入,SUMIFS(tbl_ledger[数量],tbl_ledger[localId],$B91,tbl_ledger[イベント種類],"余剰化"),
_xlpm.充当払出,SUMIFS(tbl_ledger[数量],tbl_ledger[localId],$B91,tbl_ledger[イベント種類],"充当",tbl_ledger[ロットID],"="),
_xlpm.品番プール-_xlpm.割当計+_xlpm.余剰化受入-_xlpm.充当払出))</f>
        <v/>
      </c>
      <c r="J91" s="8" t="str">
        <f t="shared" si="4"/>
        <v/>
      </c>
      <c r="K91" s="8" t="str">
        <f t="shared" si="5"/>
        <v/>
      </c>
      <c r="L91" s="4" t="str">
        <f>IF($A91="","",IF(INDEX(tbl_plan[計画状態],ROW()-1)="キャンセル","キャンセル",IF(J91=0,"発送済",IF(K91&gt;0,"要搬出","OK"))))</f>
        <v/>
      </c>
      <c r="M91" s="8">
        <f t="array" ref="M91">_xlfn.LET(
_xlpm.計画状態,IFERROR(INDEX(tbl_plan[計画状態],ROW()-1)&amp;"",""),
_xlpm.必要数,IFERROR(N(INDEX(tbl_plan[必要数],ROW()-1)),0),
IF(_xlpm.計画状態="キャンセル",0,_xlpm.必要数))</f>
        <v>0</v>
      </c>
      <c r="N91" s="8" t="str">
        <f>IF($A91="","",_xlfn.LET(
_xlpm.搬入計,SUMIFS(tbl_ledger[数量],tbl_ledger[localId],$B91,tbl_ledger[イベント種類],"搬入"),
_xlpm.未割当発送,SUMIFS(tbl_ledger[数量],tbl_ledger[localId],$B91,tbl_ledger[イベント種類],"発送",tbl_ledger[ロットID],"="),
_xlpm.未割当倉庫戻し,SUMIFS(tbl_ledger[数量],tbl_ledger[localId],$B91,tbl_ledger[イベント種類],"倉庫戻し",tbl_ledger[ロットID],"="),
_xlpm.未割当不良,SUMIFS(tbl_ledger[数量],tbl_ledger[localId],$B91,tbl_ledger[イベント種類],"不良発生",tbl_ledger[ロットID],"="),
_xlpm.搬入計-_xlpm.未割当発送-_xlpm.未割当倉庫戻し-_xlpm.未割当不良))</f>
        <v/>
      </c>
      <c r="O91" s="8" t="str">
        <f t="array" ref="O91">IF($A91="","",_xlfn.LET(
_xlpm.同品番,($B$2:$B$301=$B91),
_xlpm.週が前,($C$2:$C$301&lt;$C91),
_xlpm.同週で上行,($C$2:$C$301=$C91)*(ROW($C$2:$C$301)&lt;ROW()),
SUMPRODUCT(_xlpm.同品番*(_xlpm.週が前+_xlpm.同週で上行)*$M$2:$M$301)))</f>
        <v/>
      </c>
    </row>
    <row r="92" spans="1:15" ht="15" customHeight="1" x14ac:dyDescent="0.25">
      <c r="A92" s="4" t="str">
        <f>IFERROR(INDEX(tbl_plan[ロットID],ROW()-1),"")</f>
        <v/>
      </c>
      <c r="B92" s="4" t="str">
        <f>IF($A92="","",INDEX(tbl_plan[localId],ROW()-1))</f>
        <v/>
      </c>
      <c r="C92" s="11" t="str">
        <f>IF($A92="","",INDEX(tbl_plan[出荷週],ROW()-1))</f>
        <v/>
      </c>
      <c r="D92" s="4" t="str">
        <f>IF($A92="","",INDEX(tbl_plan[納期先],ROW()-1)&amp;"")</f>
        <v/>
      </c>
      <c r="E92" s="8" t="str">
        <f>IF($A92="","",INDEX(tbl_plan[必要数],ROW()-1))</f>
        <v/>
      </c>
      <c r="F92" s="8" t="str">
        <f t="shared" si="3"/>
        <v/>
      </c>
      <c r="G92" s="8" t="str">
        <f>IF($A92="","",SUMIFS(tbl_ledger[数量],tbl_ledger[ロットID],$A92,tbl_ledger[イベント種類],"発送"))</f>
        <v/>
      </c>
      <c r="H92" s="8" t="str">
        <f>IF($A92="","",_xlfn.LET(
_xlpm.割当,F92,
_xlpm.充当受入,SUMIFS(tbl_ledger[数量],tbl_ledger[充当先ロットID],$A92,tbl_ledger[イベント種類],"充当"),
_xlpm.充当放出,SUMIFS(tbl_ledger[数量],tbl_ledger[ロットID],$A92,tbl_ledger[イベント種類],"充当"),
_xlpm.発送済,G92,
_xlpm.倉庫戻し,SUMIFS(tbl_ledger[数量],tbl_ledger[ロットID],$A92,tbl_ledger[イベント種類],"倉庫戻し"),
_xlpm.余剰化,SUMIFS(tbl_ledger[数量],tbl_ledger[ロットID],$A92,tbl_ledger[イベント種類],"余剰化"),
_xlpm.不良,SUMIFS(tbl_ledger[数量],tbl_ledger[ロットID],$A92,tbl_ledger[イベント種類],"不良発生"),
_xlpm.割当+_xlpm.充当受入-_xlpm.充当放出-_xlpm.発送済-_xlpm.倉庫戻し-_xlpm.余剰化-_xlpm.不良))</f>
        <v/>
      </c>
      <c r="I92" s="8" t="str">
        <f>IF($A92="","",_xlfn.LET(
_xlpm.品番プール,N92,
_xlpm.割当計,SUMIF($B$2:$B$301,$B92,$F$2:$F$301),
_xlpm.余剰化受入,SUMIFS(tbl_ledger[数量],tbl_ledger[localId],$B92,tbl_ledger[イベント種類],"余剰化"),
_xlpm.充当払出,SUMIFS(tbl_ledger[数量],tbl_ledger[localId],$B92,tbl_ledger[イベント種類],"充当",tbl_ledger[ロットID],"="),
_xlpm.品番プール-_xlpm.割当計+_xlpm.余剰化受入-_xlpm.充当払出))</f>
        <v/>
      </c>
      <c r="J92" s="8" t="str">
        <f t="shared" si="4"/>
        <v/>
      </c>
      <c r="K92" s="8" t="str">
        <f t="shared" si="5"/>
        <v/>
      </c>
      <c r="L92" s="4" t="str">
        <f>IF($A92="","",IF(INDEX(tbl_plan[計画状態],ROW()-1)="キャンセル","キャンセル",IF(J92=0,"発送済",IF(K92&gt;0,"要搬出","OK"))))</f>
        <v/>
      </c>
      <c r="M92" s="8">
        <f t="array" ref="M92">_xlfn.LET(
_xlpm.計画状態,IFERROR(INDEX(tbl_plan[計画状態],ROW()-1)&amp;"",""),
_xlpm.必要数,IFERROR(N(INDEX(tbl_plan[必要数],ROW()-1)),0),
IF(_xlpm.計画状態="キャンセル",0,_xlpm.必要数))</f>
        <v>0</v>
      </c>
      <c r="N92" s="8" t="str">
        <f>IF($A92="","",_xlfn.LET(
_xlpm.搬入計,SUMIFS(tbl_ledger[数量],tbl_ledger[localId],$B92,tbl_ledger[イベント種類],"搬入"),
_xlpm.未割当発送,SUMIFS(tbl_ledger[数量],tbl_ledger[localId],$B92,tbl_ledger[イベント種類],"発送",tbl_ledger[ロットID],"="),
_xlpm.未割当倉庫戻し,SUMIFS(tbl_ledger[数量],tbl_ledger[localId],$B92,tbl_ledger[イベント種類],"倉庫戻し",tbl_ledger[ロットID],"="),
_xlpm.未割当不良,SUMIFS(tbl_ledger[数量],tbl_ledger[localId],$B92,tbl_ledger[イベント種類],"不良発生",tbl_ledger[ロットID],"="),
_xlpm.搬入計-_xlpm.未割当発送-_xlpm.未割当倉庫戻し-_xlpm.未割当不良))</f>
        <v/>
      </c>
      <c r="O92" s="8" t="str">
        <f t="array" ref="O92">IF($A92="","",_xlfn.LET(
_xlpm.同品番,($B$2:$B$301=$B92),
_xlpm.週が前,($C$2:$C$301&lt;$C92),
_xlpm.同週で上行,($C$2:$C$301=$C92)*(ROW($C$2:$C$301)&lt;ROW()),
SUMPRODUCT(_xlpm.同品番*(_xlpm.週が前+_xlpm.同週で上行)*$M$2:$M$301)))</f>
        <v/>
      </c>
    </row>
    <row r="93" spans="1:15" ht="15" customHeight="1" x14ac:dyDescent="0.25">
      <c r="A93" s="4" t="str">
        <f>IFERROR(INDEX(tbl_plan[ロットID],ROW()-1),"")</f>
        <v/>
      </c>
      <c r="B93" s="4" t="str">
        <f>IF($A93="","",INDEX(tbl_plan[localId],ROW()-1))</f>
        <v/>
      </c>
      <c r="C93" s="11" t="str">
        <f>IF($A93="","",INDEX(tbl_plan[出荷週],ROW()-1))</f>
        <v/>
      </c>
      <c r="D93" s="4" t="str">
        <f>IF($A93="","",INDEX(tbl_plan[納期先],ROW()-1)&amp;"")</f>
        <v/>
      </c>
      <c r="E93" s="8" t="str">
        <f>IF($A93="","",INDEX(tbl_plan[必要数],ROW()-1))</f>
        <v/>
      </c>
      <c r="F93" s="8" t="str">
        <f t="shared" si="3"/>
        <v/>
      </c>
      <c r="G93" s="8" t="str">
        <f>IF($A93="","",SUMIFS(tbl_ledger[数量],tbl_ledger[ロットID],$A93,tbl_ledger[イベント種類],"発送"))</f>
        <v/>
      </c>
      <c r="H93" s="8" t="str">
        <f>IF($A93="","",_xlfn.LET(
_xlpm.割当,F93,
_xlpm.充当受入,SUMIFS(tbl_ledger[数量],tbl_ledger[充当先ロットID],$A93,tbl_ledger[イベント種類],"充当"),
_xlpm.充当放出,SUMIFS(tbl_ledger[数量],tbl_ledger[ロットID],$A93,tbl_ledger[イベント種類],"充当"),
_xlpm.発送済,G93,
_xlpm.倉庫戻し,SUMIFS(tbl_ledger[数量],tbl_ledger[ロットID],$A93,tbl_ledger[イベント種類],"倉庫戻し"),
_xlpm.余剰化,SUMIFS(tbl_ledger[数量],tbl_ledger[ロットID],$A93,tbl_ledger[イベント種類],"余剰化"),
_xlpm.不良,SUMIFS(tbl_ledger[数量],tbl_ledger[ロットID],$A93,tbl_ledger[イベント種類],"不良発生"),
_xlpm.割当+_xlpm.充当受入-_xlpm.充当放出-_xlpm.発送済-_xlpm.倉庫戻し-_xlpm.余剰化-_xlpm.不良))</f>
        <v/>
      </c>
      <c r="I93" s="8" t="str">
        <f>IF($A93="","",_xlfn.LET(
_xlpm.品番プール,N93,
_xlpm.割当計,SUMIF($B$2:$B$301,$B93,$F$2:$F$301),
_xlpm.余剰化受入,SUMIFS(tbl_ledger[数量],tbl_ledger[localId],$B93,tbl_ledger[イベント種類],"余剰化"),
_xlpm.充当払出,SUMIFS(tbl_ledger[数量],tbl_ledger[localId],$B93,tbl_ledger[イベント種類],"充当",tbl_ledger[ロットID],"="),
_xlpm.品番プール-_xlpm.割当計+_xlpm.余剰化受入-_xlpm.充当払出))</f>
        <v/>
      </c>
      <c r="J93" s="8" t="str">
        <f t="shared" si="4"/>
        <v/>
      </c>
      <c r="K93" s="8" t="str">
        <f t="shared" si="5"/>
        <v/>
      </c>
      <c r="L93" s="4" t="str">
        <f>IF($A93="","",IF(INDEX(tbl_plan[計画状態],ROW()-1)="キャンセル","キャンセル",IF(J93=0,"発送済",IF(K93&gt;0,"要搬出","OK"))))</f>
        <v/>
      </c>
      <c r="M93" s="8">
        <f t="array" ref="M93">_xlfn.LET(
_xlpm.計画状態,IFERROR(INDEX(tbl_plan[計画状態],ROW()-1)&amp;"",""),
_xlpm.必要数,IFERROR(N(INDEX(tbl_plan[必要数],ROW()-1)),0),
IF(_xlpm.計画状態="キャンセル",0,_xlpm.必要数))</f>
        <v>0</v>
      </c>
      <c r="N93" s="8" t="str">
        <f>IF($A93="","",_xlfn.LET(
_xlpm.搬入計,SUMIFS(tbl_ledger[数量],tbl_ledger[localId],$B93,tbl_ledger[イベント種類],"搬入"),
_xlpm.未割当発送,SUMIFS(tbl_ledger[数量],tbl_ledger[localId],$B93,tbl_ledger[イベント種類],"発送",tbl_ledger[ロットID],"="),
_xlpm.未割当倉庫戻し,SUMIFS(tbl_ledger[数量],tbl_ledger[localId],$B93,tbl_ledger[イベント種類],"倉庫戻し",tbl_ledger[ロットID],"="),
_xlpm.未割当不良,SUMIFS(tbl_ledger[数量],tbl_ledger[localId],$B93,tbl_ledger[イベント種類],"不良発生",tbl_ledger[ロットID],"="),
_xlpm.搬入計-_xlpm.未割当発送-_xlpm.未割当倉庫戻し-_xlpm.未割当不良))</f>
        <v/>
      </c>
      <c r="O93" s="8" t="str">
        <f t="array" ref="O93">IF($A93="","",_xlfn.LET(
_xlpm.同品番,($B$2:$B$301=$B93),
_xlpm.週が前,($C$2:$C$301&lt;$C93),
_xlpm.同週で上行,($C$2:$C$301=$C93)*(ROW($C$2:$C$301)&lt;ROW()),
SUMPRODUCT(_xlpm.同品番*(_xlpm.週が前+_xlpm.同週で上行)*$M$2:$M$301)))</f>
        <v/>
      </c>
    </row>
    <row r="94" spans="1:15" ht="15" customHeight="1" x14ac:dyDescent="0.25">
      <c r="A94" s="4" t="str">
        <f>IFERROR(INDEX(tbl_plan[ロットID],ROW()-1),"")</f>
        <v/>
      </c>
      <c r="B94" s="4" t="str">
        <f>IF($A94="","",INDEX(tbl_plan[localId],ROW()-1))</f>
        <v/>
      </c>
      <c r="C94" s="11" t="str">
        <f>IF($A94="","",INDEX(tbl_plan[出荷週],ROW()-1))</f>
        <v/>
      </c>
      <c r="D94" s="4" t="str">
        <f>IF($A94="","",INDEX(tbl_plan[納期先],ROW()-1)&amp;"")</f>
        <v/>
      </c>
      <c r="E94" s="8" t="str">
        <f>IF($A94="","",INDEX(tbl_plan[必要数],ROW()-1))</f>
        <v/>
      </c>
      <c r="F94" s="8" t="str">
        <f t="shared" si="3"/>
        <v/>
      </c>
      <c r="G94" s="8" t="str">
        <f>IF($A94="","",SUMIFS(tbl_ledger[数量],tbl_ledger[ロットID],$A94,tbl_ledger[イベント種類],"発送"))</f>
        <v/>
      </c>
      <c r="H94" s="8" t="str">
        <f>IF($A94="","",_xlfn.LET(
_xlpm.割当,F94,
_xlpm.充当受入,SUMIFS(tbl_ledger[数量],tbl_ledger[充当先ロットID],$A94,tbl_ledger[イベント種類],"充当"),
_xlpm.充当放出,SUMIFS(tbl_ledger[数量],tbl_ledger[ロットID],$A94,tbl_ledger[イベント種類],"充当"),
_xlpm.発送済,G94,
_xlpm.倉庫戻し,SUMIFS(tbl_ledger[数量],tbl_ledger[ロットID],$A94,tbl_ledger[イベント種類],"倉庫戻し"),
_xlpm.余剰化,SUMIFS(tbl_ledger[数量],tbl_ledger[ロットID],$A94,tbl_ledger[イベント種類],"余剰化"),
_xlpm.不良,SUMIFS(tbl_ledger[数量],tbl_ledger[ロットID],$A94,tbl_ledger[イベント種類],"不良発生"),
_xlpm.割当+_xlpm.充当受入-_xlpm.充当放出-_xlpm.発送済-_xlpm.倉庫戻し-_xlpm.余剰化-_xlpm.不良))</f>
        <v/>
      </c>
      <c r="I94" s="8" t="str">
        <f>IF($A94="","",_xlfn.LET(
_xlpm.品番プール,N94,
_xlpm.割当計,SUMIF($B$2:$B$301,$B94,$F$2:$F$301),
_xlpm.余剰化受入,SUMIFS(tbl_ledger[数量],tbl_ledger[localId],$B94,tbl_ledger[イベント種類],"余剰化"),
_xlpm.充当払出,SUMIFS(tbl_ledger[数量],tbl_ledger[localId],$B94,tbl_ledger[イベント種類],"充当",tbl_ledger[ロットID],"="),
_xlpm.品番プール-_xlpm.割当計+_xlpm.余剰化受入-_xlpm.充当払出))</f>
        <v/>
      </c>
      <c r="J94" s="8" t="str">
        <f t="shared" si="4"/>
        <v/>
      </c>
      <c r="K94" s="8" t="str">
        <f t="shared" si="5"/>
        <v/>
      </c>
      <c r="L94" s="4" t="str">
        <f>IF($A94="","",IF(INDEX(tbl_plan[計画状態],ROW()-1)="キャンセル","キャンセル",IF(J94=0,"発送済",IF(K94&gt;0,"要搬出","OK"))))</f>
        <v/>
      </c>
      <c r="M94" s="8">
        <f t="array" ref="M94">_xlfn.LET(
_xlpm.計画状態,IFERROR(INDEX(tbl_plan[計画状態],ROW()-1)&amp;"",""),
_xlpm.必要数,IFERROR(N(INDEX(tbl_plan[必要数],ROW()-1)),0),
IF(_xlpm.計画状態="キャンセル",0,_xlpm.必要数))</f>
        <v>0</v>
      </c>
      <c r="N94" s="8" t="str">
        <f>IF($A94="","",_xlfn.LET(
_xlpm.搬入計,SUMIFS(tbl_ledger[数量],tbl_ledger[localId],$B94,tbl_ledger[イベント種類],"搬入"),
_xlpm.未割当発送,SUMIFS(tbl_ledger[数量],tbl_ledger[localId],$B94,tbl_ledger[イベント種類],"発送",tbl_ledger[ロットID],"="),
_xlpm.未割当倉庫戻し,SUMIFS(tbl_ledger[数量],tbl_ledger[localId],$B94,tbl_ledger[イベント種類],"倉庫戻し",tbl_ledger[ロットID],"="),
_xlpm.未割当不良,SUMIFS(tbl_ledger[数量],tbl_ledger[localId],$B94,tbl_ledger[イベント種類],"不良発生",tbl_ledger[ロットID],"="),
_xlpm.搬入計-_xlpm.未割当発送-_xlpm.未割当倉庫戻し-_xlpm.未割当不良))</f>
        <v/>
      </c>
      <c r="O94" s="8" t="str">
        <f t="array" ref="O94">IF($A94="","",_xlfn.LET(
_xlpm.同品番,($B$2:$B$301=$B94),
_xlpm.週が前,($C$2:$C$301&lt;$C94),
_xlpm.同週で上行,($C$2:$C$301=$C94)*(ROW($C$2:$C$301)&lt;ROW()),
SUMPRODUCT(_xlpm.同品番*(_xlpm.週が前+_xlpm.同週で上行)*$M$2:$M$301)))</f>
        <v/>
      </c>
    </row>
    <row r="95" spans="1:15" ht="15" customHeight="1" x14ac:dyDescent="0.25">
      <c r="A95" s="4" t="str">
        <f>IFERROR(INDEX(tbl_plan[ロットID],ROW()-1),"")</f>
        <v/>
      </c>
      <c r="B95" s="4" t="str">
        <f>IF($A95="","",INDEX(tbl_plan[localId],ROW()-1))</f>
        <v/>
      </c>
      <c r="C95" s="11" t="str">
        <f>IF($A95="","",INDEX(tbl_plan[出荷週],ROW()-1))</f>
        <v/>
      </c>
      <c r="D95" s="4" t="str">
        <f>IF($A95="","",INDEX(tbl_plan[納期先],ROW()-1)&amp;"")</f>
        <v/>
      </c>
      <c r="E95" s="8" t="str">
        <f>IF($A95="","",INDEX(tbl_plan[必要数],ROW()-1))</f>
        <v/>
      </c>
      <c r="F95" s="8" t="str">
        <f t="shared" si="3"/>
        <v/>
      </c>
      <c r="G95" s="8" t="str">
        <f>IF($A95="","",SUMIFS(tbl_ledger[数量],tbl_ledger[ロットID],$A95,tbl_ledger[イベント種類],"発送"))</f>
        <v/>
      </c>
      <c r="H95" s="8" t="str">
        <f>IF($A95="","",_xlfn.LET(
_xlpm.割当,F95,
_xlpm.充当受入,SUMIFS(tbl_ledger[数量],tbl_ledger[充当先ロットID],$A95,tbl_ledger[イベント種類],"充当"),
_xlpm.充当放出,SUMIFS(tbl_ledger[数量],tbl_ledger[ロットID],$A95,tbl_ledger[イベント種類],"充当"),
_xlpm.発送済,G95,
_xlpm.倉庫戻し,SUMIFS(tbl_ledger[数量],tbl_ledger[ロットID],$A95,tbl_ledger[イベント種類],"倉庫戻し"),
_xlpm.余剰化,SUMIFS(tbl_ledger[数量],tbl_ledger[ロットID],$A95,tbl_ledger[イベント種類],"余剰化"),
_xlpm.不良,SUMIFS(tbl_ledger[数量],tbl_ledger[ロットID],$A95,tbl_ledger[イベント種類],"不良発生"),
_xlpm.割当+_xlpm.充当受入-_xlpm.充当放出-_xlpm.発送済-_xlpm.倉庫戻し-_xlpm.余剰化-_xlpm.不良))</f>
        <v/>
      </c>
      <c r="I95" s="8" t="str">
        <f>IF($A95="","",_xlfn.LET(
_xlpm.品番プール,N95,
_xlpm.割当計,SUMIF($B$2:$B$301,$B95,$F$2:$F$301),
_xlpm.余剰化受入,SUMIFS(tbl_ledger[数量],tbl_ledger[localId],$B95,tbl_ledger[イベント種類],"余剰化"),
_xlpm.充当払出,SUMIFS(tbl_ledger[数量],tbl_ledger[localId],$B95,tbl_ledger[イベント種類],"充当",tbl_ledger[ロットID],"="),
_xlpm.品番プール-_xlpm.割当計+_xlpm.余剰化受入-_xlpm.充当払出))</f>
        <v/>
      </c>
      <c r="J95" s="8" t="str">
        <f t="shared" si="4"/>
        <v/>
      </c>
      <c r="K95" s="8" t="str">
        <f t="shared" si="5"/>
        <v/>
      </c>
      <c r="L95" s="4" t="str">
        <f>IF($A95="","",IF(INDEX(tbl_plan[計画状態],ROW()-1)="キャンセル","キャンセル",IF(J95=0,"発送済",IF(K95&gt;0,"要搬出","OK"))))</f>
        <v/>
      </c>
      <c r="M95" s="8">
        <f t="array" ref="M95">_xlfn.LET(
_xlpm.計画状態,IFERROR(INDEX(tbl_plan[計画状態],ROW()-1)&amp;"",""),
_xlpm.必要数,IFERROR(N(INDEX(tbl_plan[必要数],ROW()-1)),0),
IF(_xlpm.計画状態="キャンセル",0,_xlpm.必要数))</f>
        <v>0</v>
      </c>
      <c r="N95" s="8" t="str">
        <f>IF($A95="","",_xlfn.LET(
_xlpm.搬入計,SUMIFS(tbl_ledger[数量],tbl_ledger[localId],$B95,tbl_ledger[イベント種類],"搬入"),
_xlpm.未割当発送,SUMIFS(tbl_ledger[数量],tbl_ledger[localId],$B95,tbl_ledger[イベント種類],"発送",tbl_ledger[ロットID],"="),
_xlpm.未割当倉庫戻し,SUMIFS(tbl_ledger[数量],tbl_ledger[localId],$B95,tbl_ledger[イベント種類],"倉庫戻し",tbl_ledger[ロットID],"="),
_xlpm.未割当不良,SUMIFS(tbl_ledger[数量],tbl_ledger[localId],$B95,tbl_ledger[イベント種類],"不良発生",tbl_ledger[ロットID],"="),
_xlpm.搬入計-_xlpm.未割当発送-_xlpm.未割当倉庫戻し-_xlpm.未割当不良))</f>
        <v/>
      </c>
      <c r="O95" s="8" t="str">
        <f t="array" ref="O95">IF($A95="","",_xlfn.LET(
_xlpm.同品番,($B$2:$B$301=$B95),
_xlpm.週が前,($C$2:$C$301&lt;$C95),
_xlpm.同週で上行,($C$2:$C$301=$C95)*(ROW($C$2:$C$301)&lt;ROW()),
SUMPRODUCT(_xlpm.同品番*(_xlpm.週が前+_xlpm.同週で上行)*$M$2:$M$301)))</f>
        <v/>
      </c>
    </row>
    <row r="96" spans="1:15" ht="15" customHeight="1" x14ac:dyDescent="0.25">
      <c r="A96" s="4" t="str">
        <f>IFERROR(INDEX(tbl_plan[ロットID],ROW()-1),"")</f>
        <v/>
      </c>
      <c r="B96" s="4" t="str">
        <f>IF($A96="","",INDEX(tbl_plan[localId],ROW()-1))</f>
        <v/>
      </c>
      <c r="C96" s="11" t="str">
        <f>IF($A96="","",INDEX(tbl_plan[出荷週],ROW()-1))</f>
        <v/>
      </c>
      <c r="D96" s="4" t="str">
        <f>IF($A96="","",INDEX(tbl_plan[納期先],ROW()-1)&amp;"")</f>
        <v/>
      </c>
      <c r="E96" s="8" t="str">
        <f>IF($A96="","",INDEX(tbl_plan[必要数],ROW()-1))</f>
        <v/>
      </c>
      <c r="F96" s="8" t="str">
        <f t="shared" si="3"/>
        <v/>
      </c>
      <c r="G96" s="8" t="str">
        <f>IF($A96="","",SUMIFS(tbl_ledger[数量],tbl_ledger[ロットID],$A96,tbl_ledger[イベント種類],"発送"))</f>
        <v/>
      </c>
      <c r="H96" s="8" t="str">
        <f>IF($A96="","",_xlfn.LET(
_xlpm.割当,F96,
_xlpm.充当受入,SUMIFS(tbl_ledger[数量],tbl_ledger[充当先ロットID],$A96,tbl_ledger[イベント種類],"充当"),
_xlpm.充当放出,SUMIFS(tbl_ledger[数量],tbl_ledger[ロットID],$A96,tbl_ledger[イベント種類],"充当"),
_xlpm.発送済,G96,
_xlpm.倉庫戻し,SUMIFS(tbl_ledger[数量],tbl_ledger[ロットID],$A96,tbl_ledger[イベント種類],"倉庫戻し"),
_xlpm.余剰化,SUMIFS(tbl_ledger[数量],tbl_ledger[ロットID],$A96,tbl_ledger[イベント種類],"余剰化"),
_xlpm.不良,SUMIFS(tbl_ledger[数量],tbl_ledger[ロットID],$A96,tbl_ledger[イベント種類],"不良発生"),
_xlpm.割当+_xlpm.充当受入-_xlpm.充当放出-_xlpm.発送済-_xlpm.倉庫戻し-_xlpm.余剰化-_xlpm.不良))</f>
        <v/>
      </c>
      <c r="I96" s="8" t="str">
        <f>IF($A96="","",_xlfn.LET(
_xlpm.品番プール,N96,
_xlpm.割当計,SUMIF($B$2:$B$301,$B96,$F$2:$F$301),
_xlpm.余剰化受入,SUMIFS(tbl_ledger[数量],tbl_ledger[localId],$B96,tbl_ledger[イベント種類],"余剰化"),
_xlpm.充当払出,SUMIFS(tbl_ledger[数量],tbl_ledger[localId],$B96,tbl_ledger[イベント種類],"充当",tbl_ledger[ロットID],"="),
_xlpm.品番プール-_xlpm.割当計+_xlpm.余剰化受入-_xlpm.充当払出))</f>
        <v/>
      </c>
      <c r="J96" s="8" t="str">
        <f t="shared" si="4"/>
        <v/>
      </c>
      <c r="K96" s="8" t="str">
        <f t="shared" si="5"/>
        <v/>
      </c>
      <c r="L96" s="4" t="str">
        <f>IF($A96="","",IF(INDEX(tbl_plan[計画状態],ROW()-1)="キャンセル","キャンセル",IF(J96=0,"発送済",IF(K96&gt;0,"要搬出","OK"))))</f>
        <v/>
      </c>
      <c r="M96" s="8">
        <f t="array" ref="M96">_xlfn.LET(
_xlpm.計画状態,IFERROR(INDEX(tbl_plan[計画状態],ROW()-1)&amp;"",""),
_xlpm.必要数,IFERROR(N(INDEX(tbl_plan[必要数],ROW()-1)),0),
IF(_xlpm.計画状態="キャンセル",0,_xlpm.必要数))</f>
        <v>0</v>
      </c>
      <c r="N96" s="8" t="str">
        <f>IF($A96="","",_xlfn.LET(
_xlpm.搬入計,SUMIFS(tbl_ledger[数量],tbl_ledger[localId],$B96,tbl_ledger[イベント種類],"搬入"),
_xlpm.未割当発送,SUMIFS(tbl_ledger[数量],tbl_ledger[localId],$B96,tbl_ledger[イベント種類],"発送",tbl_ledger[ロットID],"="),
_xlpm.未割当倉庫戻し,SUMIFS(tbl_ledger[数量],tbl_ledger[localId],$B96,tbl_ledger[イベント種類],"倉庫戻し",tbl_ledger[ロットID],"="),
_xlpm.未割当不良,SUMIFS(tbl_ledger[数量],tbl_ledger[localId],$B96,tbl_ledger[イベント種類],"不良発生",tbl_ledger[ロットID],"="),
_xlpm.搬入計-_xlpm.未割当発送-_xlpm.未割当倉庫戻し-_xlpm.未割当不良))</f>
        <v/>
      </c>
      <c r="O96" s="8" t="str">
        <f t="array" ref="O96">IF($A96="","",_xlfn.LET(
_xlpm.同品番,($B$2:$B$301=$B96),
_xlpm.週が前,($C$2:$C$301&lt;$C96),
_xlpm.同週で上行,($C$2:$C$301=$C96)*(ROW($C$2:$C$301)&lt;ROW()),
SUMPRODUCT(_xlpm.同品番*(_xlpm.週が前+_xlpm.同週で上行)*$M$2:$M$301)))</f>
        <v/>
      </c>
    </row>
    <row r="97" spans="1:15" ht="15" customHeight="1" x14ac:dyDescent="0.25">
      <c r="A97" s="4" t="str">
        <f>IFERROR(INDEX(tbl_plan[ロットID],ROW()-1),"")</f>
        <v/>
      </c>
      <c r="B97" s="4" t="str">
        <f>IF($A97="","",INDEX(tbl_plan[localId],ROW()-1))</f>
        <v/>
      </c>
      <c r="C97" s="11" t="str">
        <f>IF($A97="","",INDEX(tbl_plan[出荷週],ROW()-1))</f>
        <v/>
      </c>
      <c r="D97" s="4" t="str">
        <f>IF($A97="","",INDEX(tbl_plan[納期先],ROW()-1)&amp;"")</f>
        <v/>
      </c>
      <c r="E97" s="8" t="str">
        <f>IF($A97="","",INDEX(tbl_plan[必要数],ROW()-1))</f>
        <v/>
      </c>
      <c r="F97" s="8" t="str">
        <f t="shared" si="3"/>
        <v/>
      </c>
      <c r="G97" s="8" t="str">
        <f>IF($A97="","",SUMIFS(tbl_ledger[数量],tbl_ledger[ロットID],$A97,tbl_ledger[イベント種類],"発送"))</f>
        <v/>
      </c>
      <c r="H97" s="8" t="str">
        <f>IF($A97="","",_xlfn.LET(
_xlpm.割当,F97,
_xlpm.充当受入,SUMIFS(tbl_ledger[数量],tbl_ledger[充当先ロットID],$A97,tbl_ledger[イベント種類],"充当"),
_xlpm.充当放出,SUMIFS(tbl_ledger[数量],tbl_ledger[ロットID],$A97,tbl_ledger[イベント種類],"充当"),
_xlpm.発送済,G97,
_xlpm.倉庫戻し,SUMIFS(tbl_ledger[数量],tbl_ledger[ロットID],$A97,tbl_ledger[イベント種類],"倉庫戻し"),
_xlpm.余剰化,SUMIFS(tbl_ledger[数量],tbl_ledger[ロットID],$A97,tbl_ledger[イベント種類],"余剰化"),
_xlpm.不良,SUMIFS(tbl_ledger[数量],tbl_ledger[ロットID],$A97,tbl_ledger[イベント種類],"不良発生"),
_xlpm.割当+_xlpm.充当受入-_xlpm.充当放出-_xlpm.発送済-_xlpm.倉庫戻し-_xlpm.余剰化-_xlpm.不良))</f>
        <v/>
      </c>
      <c r="I97" s="8" t="str">
        <f>IF($A97="","",_xlfn.LET(
_xlpm.品番プール,N97,
_xlpm.割当計,SUMIF($B$2:$B$301,$B97,$F$2:$F$301),
_xlpm.余剰化受入,SUMIFS(tbl_ledger[数量],tbl_ledger[localId],$B97,tbl_ledger[イベント種類],"余剰化"),
_xlpm.充当払出,SUMIFS(tbl_ledger[数量],tbl_ledger[localId],$B97,tbl_ledger[イベント種類],"充当",tbl_ledger[ロットID],"="),
_xlpm.品番プール-_xlpm.割当計+_xlpm.余剰化受入-_xlpm.充当払出))</f>
        <v/>
      </c>
      <c r="J97" s="8" t="str">
        <f t="shared" si="4"/>
        <v/>
      </c>
      <c r="K97" s="8" t="str">
        <f t="shared" si="5"/>
        <v/>
      </c>
      <c r="L97" s="4" t="str">
        <f>IF($A97="","",IF(INDEX(tbl_plan[計画状態],ROW()-1)="キャンセル","キャンセル",IF(J97=0,"発送済",IF(K97&gt;0,"要搬出","OK"))))</f>
        <v/>
      </c>
      <c r="M97" s="8">
        <f t="array" ref="M97">_xlfn.LET(
_xlpm.計画状態,IFERROR(INDEX(tbl_plan[計画状態],ROW()-1)&amp;"",""),
_xlpm.必要数,IFERROR(N(INDEX(tbl_plan[必要数],ROW()-1)),0),
IF(_xlpm.計画状態="キャンセル",0,_xlpm.必要数))</f>
        <v>0</v>
      </c>
      <c r="N97" s="8" t="str">
        <f>IF($A97="","",_xlfn.LET(
_xlpm.搬入計,SUMIFS(tbl_ledger[数量],tbl_ledger[localId],$B97,tbl_ledger[イベント種類],"搬入"),
_xlpm.未割当発送,SUMIFS(tbl_ledger[数量],tbl_ledger[localId],$B97,tbl_ledger[イベント種類],"発送",tbl_ledger[ロットID],"="),
_xlpm.未割当倉庫戻し,SUMIFS(tbl_ledger[数量],tbl_ledger[localId],$B97,tbl_ledger[イベント種類],"倉庫戻し",tbl_ledger[ロットID],"="),
_xlpm.未割当不良,SUMIFS(tbl_ledger[数量],tbl_ledger[localId],$B97,tbl_ledger[イベント種類],"不良発生",tbl_ledger[ロットID],"="),
_xlpm.搬入計-_xlpm.未割当発送-_xlpm.未割当倉庫戻し-_xlpm.未割当不良))</f>
        <v/>
      </c>
      <c r="O97" s="8" t="str">
        <f t="array" ref="O97">IF($A97="","",_xlfn.LET(
_xlpm.同品番,($B$2:$B$301=$B97),
_xlpm.週が前,($C$2:$C$301&lt;$C97),
_xlpm.同週で上行,($C$2:$C$301=$C97)*(ROW($C$2:$C$301)&lt;ROW()),
SUMPRODUCT(_xlpm.同品番*(_xlpm.週が前+_xlpm.同週で上行)*$M$2:$M$301)))</f>
        <v/>
      </c>
    </row>
    <row r="98" spans="1:15" ht="15" customHeight="1" x14ac:dyDescent="0.25">
      <c r="A98" s="4" t="str">
        <f>IFERROR(INDEX(tbl_plan[ロットID],ROW()-1),"")</f>
        <v/>
      </c>
      <c r="B98" s="4" t="str">
        <f>IF($A98="","",INDEX(tbl_plan[localId],ROW()-1))</f>
        <v/>
      </c>
      <c r="C98" s="11" t="str">
        <f>IF($A98="","",INDEX(tbl_plan[出荷週],ROW()-1))</f>
        <v/>
      </c>
      <c r="D98" s="4" t="str">
        <f>IF($A98="","",INDEX(tbl_plan[納期先],ROW()-1)&amp;"")</f>
        <v/>
      </c>
      <c r="E98" s="8" t="str">
        <f>IF($A98="","",INDEX(tbl_plan[必要数],ROW()-1))</f>
        <v/>
      </c>
      <c r="F98" s="8" t="str">
        <f t="shared" si="3"/>
        <v/>
      </c>
      <c r="G98" s="8" t="str">
        <f>IF($A98="","",SUMIFS(tbl_ledger[数量],tbl_ledger[ロットID],$A98,tbl_ledger[イベント種類],"発送"))</f>
        <v/>
      </c>
      <c r="H98" s="8" t="str">
        <f>IF($A98="","",_xlfn.LET(
_xlpm.割当,F98,
_xlpm.充当受入,SUMIFS(tbl_ledger[数量],tbl_ledger[充当先ロットID],$A98,tbl_ledger[イベント種類],"充当"),
_xlpm.充当放出,SUMIFS(tbl_ledger[数量],tbl_ledger[ロットID],$A98,tbl_ledger[イベント種類],"充当"),
_xlpm.発送済,G98,
_xlpm.倉庫戻し,SUMIFS(tbl_ledger[数量],tbl_ledger[ロットID],$A98,tbl_ledger[イベント種類],"倉庫戻し"),
_xlpm.余剰化,SUMIFS(tbl_ledger[数量],tbl_ledger[ロットID],$A98,tbl_ledger[イベント種類],"余剰化"),
_xlpm.不良,SUMIFS(tbl_ledger[数量],tbl_ledger[ロットID],$A98,tbl_ledger[イベント種類],"不良発生"),
_xlpm.割当+_xlpm.充当受入-_xlpm.充当放出-_xlpm.発送済-_xlpm.倉庫戻し-_xlpm.余剰化-_xlpm.不良))</f>
        <v/>
      </c>
      <c r="I98" s="8" t="str">
        <f>IF($A98="","",_xlfn.LET(
_xlpm.品番プール,N98,
_xlpm.割当計,SUMIF($B$2:$B$301,$B98,$F$2:$F$301),
_xlpm.余剰化受入,SUMIFS(tbl_ledger[数量],tbl_ledger[localId],$B98,tbl_ledger[イベント種類],"余剰化"),
_xlpm.充当払出,SUMIFS(tbl_ledger[数量],tbl_ledger[localId],$B98,tbl_ledger[イベント種類],"充当",tbl_ledger[ロットID],"="),
_xlpm.品番プール-_xlpm.割当計+_xlpm.余剰化受入-_xlpm.充当払出))</f>
        <v/>
      </c>
      <c r="J98" s="8" t="str">
        <f t="shared" si="4"/>
        <v/>
      </c>
      <c r="K98" s="8" t="str">
        <f t="shared" si="5"/>
        <v/>
      </c>
      <c r="L98" s="4" t="str">
        <f>IF($A98="","",IF(INDEX(tbl_plan[計画状態],ROW()-1)="キャンセル","キャンセル",IF(J98=0,"発送済",IF(K98&gt;0,"要搬出","OK"))))</f>
        <v/>
      </c>
      <c r="M98" s="8">
        <f t="array" ref="M98">_xlfn.LET(
_xlpm.計画状態,IFERROR(INDEX(tbl_plan[計画状態],ROW()-1)&amp;"",""),
_xlpm.必要数,IFERROR(N(INDEX(tbl_plan[必要数],ROW()-1)),0),
IF(_xlpm.計画状態="キャンセル",0,_xlpm.必要数))</f>
        <v>0</v>
      </c>
      <c r="N98" s="8" t="str">
        <f>IF($A98="","",_xlfn.LET(
_xlpm.搬入計,SUMIFS(tbl_ledger[数量],tbl_ledger[localId],$B98,tbl_ledger[イベント種類],"搬入"),
_xlpm.未割当発送,SUMIFS(tbl_ledger[数量],tbl_ledger[localId],$B98,tbl_ledger[イベント種類],"発送",tbl_ledger[ロットID],"="),
_xlpm.未割当倉庫戻し,SUMIFS(tbl_ledger[数量],tbl_ledger[localId],$B98,tbl_ledger[イベント種類],"倉庫戻し",tbl_ledger[ロットID],"="),
_xlpm.未割当不良,SUMIFS(tbl_ledger[数量],tbl_ledger[localId],$B98,tbl_ledger[イベント種類],"不良発生",tbl_ledger[ロットID],"="),
_xlpm.搬入計-_xlpm.未割当発送-_xlpm.未割当倉庫戻し-_xlpm.未割当不良))</f>
        <v/>
      </c>
      <c r="O98" s="8" t="str">
        <f t="array" ref="O98">IF($A98="","",_xlfn.LET(
_xlpm.同品番,($B$2:$B$301=$B98),
_xlpm.週が前,($C$2:$C$301&lt;$C98),
_xlpm.同週で上行,($C$2:$C$301=$C98)*(ROW($C$2:$C$301)&lt;ROW()),
SUMPRODUCT(_xlpm.同品番*(_xlpm.週が前+_xlpm.同週で上行)*$M$2:$M$301)))</f>
        <v/>
      </c>
    </row>
    <row r="99" spans="1:15" ht="15" customHeight="1" x14ac:dyDescent="0.25">
      <c r="A99" s="4" t="str">
        <f>IFERROR(INDEX(tbl_plan[ロットID],ROW()-1),"")</f>
        <v/>
      </c>
      <c r="B99" s="4" t="str">
        <f>IF($A99="","",INDEX(tbl_plan[localId],ROW()-1))</f>
        <v/>
      </c>
      <c r="C99" s="11" t="str">
        <f>IF($A99="","",INDEX(tbl_plan[出荷週],ROW()-1))</f>
        <v/>
      </c>
      <c r="D99" s="4" t="str">
        <f>IF($A99="","",INDEX(tbl_plan[納期先],ROW()-1)&amp;"")</f>
        <v/>
      </c>
      <c r="E99" s="8" t="str">
        <f>IF($A99="","",INDEX(tbl_plan[必要数],ROW()-1))</f>
        <v/>
      </c>
      <c r="F99" s="8" t="str">
        <f t="shared" si="3"/>
        <v/>
      </c>
      <c r="G99" s="8" t="str">
        <f>IF($A99="","",SUMIFS(tbl_ledger[数量],tbl_ledger[ロットID],$A99,tbl_ledger[イベント種類],"発送"))</f>
        <v/>
      </c>
      <c r="H99" s="8" t="str">
        <f>IF($A99="","",_xlfn.LET(
_xlpm.割当,F99,
_xlpm.充当受入,SUMIFS(tbl_ledger[数量],tbl_ledger[充当先ロットID],$A99,tbl_ledger[イベント種類],"充当"),
_xlpm.充当放出,SUMIFS(tbl_ledger[数量],tbl_ledger[ロットID],$A99,tbl_ledger[イベント種類],"充当"),
_xlpm.発送済,G99,
_xlpm.倉庫戻し,SUMIFS(tbl_ledger[数量],tbl_ledger[ロットID],$A99,tbl_ledger[イベント種類],"倉庫戻し"),
_xlpm.余剰化,SUMIFS(tbl_ledger[数量],tbl_ledger[ロットID],$A99,tbl_ledger[イベント種類],"余剰化"),
_xlpm.不良,SUMIFS(tbl_ledger[数量],tbl_ledger[ロットID],$A99,tbl_ledger[イベント種類],"不良発生"),
_xlpm.割当+_xlpm.充当受入-_xlpm.充当放出-_xlpm.発送済-_xlpm.倉庫戻し-_xlpm.余剰化-_xlpm.不良))</f>
        <v/>
      </c>
      <c r="I99" s="8" t="str">
        <f>IF($A99="","",_xlfn.LET(
_xlpm.品番プール,N99,
_xlpm.割当計,SUMIF($B$2:$B$301,$B99,$F$2:$F$301),
_xlpm.余剰化受入,SUMIFS(tbl_ledger[数量],tbl_ledger[localId],$B99,tbl_ledger[イベント種類],"余剰化"),
_xlpm.充当払出,SUMIFS(tbl_ledger[数量],tbl_ledger[localId],$B99,tbl_ledger[イベント種類],"充当",tbl_ledger[ロットID],"="),
_xlpm.品番プール-_xlpm.割当計+_xlpm.余剰化受入-_xlpm.充当払出))</f>
        <v/>
      </c>
      <c r="J99" s="8" t="str">
        <f t="shared" si="4"/>
        <v/>
      </c>
      <c r="K99" s="8" t="str">
        <f t="shared" si="5"/>
        <v/>
      </c>
      <c r="L99" s="4" t="str">
        <f>IF($A99="","",IF(INDEX(tbl_plan[計画状態],ROW()-1)="キャンセル","キャンセル",IF(J99=0,"発送済",IF(K99&gt;0,"要搬出","OK"))))</f>
        <v/>
      </c>
      <c r="M99" s="8">
        <f t="array" ref="M99">_xlfn.LET(
_xlpm.計画状態,IFERROR(INDEX(tbl_plan[計画状態],ROW()-1)&amp;"",""),
_xlpm.必要数,IFERROR(N(INDEX(tbl_plan[必要数],ROW()-1)),0),
IF(_xlpm.計画状態="キャンセル",0,_xlpm.必要数))</f>
        <v>0</v>
      </c>
      <c r="N99" s="8" t="str">
        <f>IF($A99="","",_xlfn.LET(
_xlpm.搬入計,SUMIFS(tbl_ledger[数量],tbl_ledger[localId],$B99,tbl_ledger[イベント種類],"搬入"),
_xlpm.未割当発送,SUMIFS(tbl_ledger[数量],tbl_ledger[localId],$B99,tbl_ledger[イベント種類],"発送",tbl_ledger[ロットID],"="),
_xlpm.未割当倉庫戻し,SUMIFS(tbl_ledger[数量],tbl_ledger[localId],$B99,tbl_ledger[イベント種類],"倉庫戻し",tbl_ledger[ロットID],"="),
_xlpm.未割当不良,SUMIFS(tbl_ledger[数量],tbl_ledger[localId],$B99,tbl_ledger[イベント種類],"不良発生",tbl_ledger[ロットID],"="),
_xlpm.搬入計-_xlpm.未割当発送-_xlpm.未割当倉庫戻し-_xlpm.未割当不良))</f>
        <v/>
      </c>
      <c r="O99" s="8" t="str">
        <f t="array" ref="O99">IF($A99="","",_xlfn.LET(
_xlpm.同品番,($B$2:$B$301=$B99),
_xlpm.週が前,($C$2:$C$301&lt;$C99),
_xlpm.同週で上行,($C$2:$C$301=$C99)*(ROW($C$2:$C$301)&lt;ROW()),
SUMPRODUCT(_xlpm.同品番*(_xlpm.週が前+_xlpm.同週で上行)*$M$2:$M$301)))</f>
        <v/>
      </c>
    </row>
    <row r="100" spans="1:15" ht="15" customHeight="1" x14ac:dyDescent="0.25">
      <c r="A100" s="4" t="str">
        <f>IFERROR(INDEX(tbl_plan[ロットID],ROW()-1),"")</f>
        <v/>
      </c>
      <c r="B100" s="4" t="str">
        <f>IF($A100="","",INDEX(tbl_plan[localId],ROW()-1))</f>
        <v/>
      </c>
      <c r="C100" s="11" t="str">
        <f>IF($A100="","",INDEX(tbl_plan[出荷週],ROW()-1))</f>
        <v/>
      </c>
      <c r="D100" s="4" t="str">
        <f>IF($A100="","",INDEX(tbl_plan[納期先],ROW()-1)&amp;"")</f>
        <v/>
      </c>
      <c r="E100" s="8" t="str">
        <f>IF($A100="","",INDEX(tbl_plan[必要数],ROW()-1))</f>
        <v/>
      </c>
      <c r="F100" s="8" t="str">
        <f t="shared" si="3"/>
        <v/>
      </c>
      <c r="G100" s="8" t="str">
        <f>IF($A100="","",SUMIFS(tbl_ledger[数量],tbl_ledger[ロットID],$A100,tbl_ledger[イベント種類],"発送"))</f>
        <v/>
      </c>
      <c r="H100" s="8" t="str">
        <f>IF($A100="","",_xlfn.LET(
_xlpm.割当,F100,
_xlpm.充当受入,SUMIFS(tbl_ledger[数量],tbl_ledger[充当先ロットID],$A100,tbl_ledger[イベント種類],"充当"),
_xlpm.充当放出,SUMIFS(tbl_ledger[数量],tbl_ledger[ロットID],$A100,tbl_ledger[イベント種類],"充当"),
_xlpm.発送済,G100,
_xlpm.倉庫戻し,SUMIFS(tbl_ledger[数量],tbl_ledger[ロットID],$A100,tbl_ledger[イベント種類],"倉庫戻し"),
_xlpm.余剰化,SUMIFS(tbl_ledger[数量],tbl_ledger[ロットID],$A100,tbl_ledger[イベント種類],"余剰化"),
_xlpm.不良,SUMIFS(tbl_ledger[数量],tbl_ledger[ロットID],$A100,tbl_ledger[イベント種類],"不良発生"),
_xlpm.割当+_xlpm.充当受入-_xlpm.充当放出-_xlpm.発送済-_xlpm.倉庫戻し-_xlpm.余剰化-_xlpm.不良))</f>
        <v/>
      </c>
      <c r="I100" s="8" t="str">
        <f>IF($A100="","",_xlfn.LET(
_xlpm.品番プール,N100,
_xlpm.割当計,SUMIF($B$2:$B$301,$B100,$F$2:$F$301),
_xlpm.余剰化受入,SUMIFS(tbl_ledger[数量],tbl_ledger[localId],$B100,tbl_ledger[イベント種類],"余剰化"),
_xlpm.充当払出,SUMIFS(tbl_ledger[数量],tbl_ledger[localId],$B100,tbl_ledger[イベント種類],"充当",tbl_ledger[ロットID],"="),
_xlpm.品番プール-_xlpm.割当計+_xlpm.余剰化受入-_xlpm.充当払出))</f>
        <v/>
      </c>
      <c r="J100" s="8" t="str">
        <f t="shared" si="4"/>
        <v/>
      </c>
      <c r="K100" s="8" t="str">
        <f t="shared" si="5"/>
        <v/>
      </c>
      <c r="L100" s="4" t="str">
        <f>IF($A100="","",IF(INDEX(tbl_plan[計画状態],ROW()-1)="キャンセル","キャンセル",IF(J100=0,"発送済",IF(K100&gt;0,"要搬出","OK"))))</f>
        <v/>
      </c>
      <c r="M100" s="8">
        <f t="array" ref="M100">_xlfn.LET(
_xlpm.計画状態,IFERROR(INDEX(tbl_plan[計画状態],ROW()-1)&amp;"",""),
_xlpm.必要数,IFERROR(N(INDEX(tbl_plan[必要数],ROW()-1)),0),
IF(_xlpm.計画状態="キャンセル",0,_xlpm.必要数))</f>
        <v>0</v>
      </c>
      <c r="N100" s="8" t="str">
        <f>IF($A100="","",_xlfn.LET(
_xlpm.搬入計,SUMIFS(tbl_ledger[数量],tbl_ledger[localId],$B100,tbl_ledger[イベント種類],"搬入"),
_xlpm.未割当発送,SUMIFS(tbl_ledger[数量],tbl_ledger[localId],$B100,tbl_ledger[イベント種類],"発送",tbl_ledger[ロットID],"="),
_xlpm.未割当倉庫戻し,SUMIFS(tbl_ledger[数量],tbl_ledger[localId],$B100,tbl_ledger[イベント種類],"倉庫戻し",tbl_ledger[ロットID],"="),
_xlpm.未割当不良,SUMIFS(tbl_ledger[数量],tbl_ledger[localId],$B100,tbl_ledger[イベント種類],"不良発生",tbl_ledger[ロットID],"="),
_xlpm.搬入計-_xlpm.未割当発送-_xlpm.未割当倉庫戻し-_xlpm.未割当不良))</f>
        <v/>
      </c>
      <c r="O100" s="8" t="str">
        <f t="array" ref="O100">IF($A100="","",_xlfn.LET(
_xlpm.同品番,($B$2:$B$301=$B100),
_xlpm.週が前,($C$2:$C$301&lt;$C100),
_xlpm.同週で上行,($C$2:$C$301=$C100)*(ROW($C$2:$C$301)&lt;ROW()),
SUMPRODUCT(_xlpm.同品番*(_xlpm.週が前+_xlpm.同週で上行)*$M$2:$M$301)))</f>
        <v/>
      </c>
    </row>
    <row r="101" spans="1:15" ht="15" customHeight="1" x14ac:dyDescent="0.25">
      <c r="A101" s="4" t="str">
        <f>IFERROR(INDEX(tbl_plan[ロットID],ROW()-1),"")</f>
        <v/>
      </c>
      <c r="B101" s="4" t="str">
        <f>IF($A101="","",INDEX(tbl_plan[localId],ROW()-1))</f>
        <v/>
      </c>
      <c r="C101" s="11" t="str">
        <f>IF($A101="","",INDEX(tbl_plan[出荷週],ROW()-1))</f>
        <v/>
      </c>
      <c r="D101" s="4" t="str">
        <f>IF($A101="","",INDEX(tbl_plan[納期先],ROW()-1)&amp;"")</f>
        <v/>
      </c>
      <c r="E101" s="8" t="str">
        <f>IF($A101="","",INDEX(tbl_plan[必要数],ROW()-1))</f>
        <v/>
      </c>
      <c r="F101" s="8" t="str">
        <f t="shared" si="3"/>
        <v/>
      </c>
      <c r="G101" s="8" t="str">
        <f>IF($A101="","",SUMIFS(tbl_ledger[数量],tbl_ledger[ロットID],$A101,tbl_ledger[イベント種類],"発送"))</f>
        <v/>
      </c>
      <c r="H101" s="8" t="str">
        <f>IF($A101="","",_xlfn.LET(
_xlpm.割当,F101,
_xlpm.充当受入,SUMIFS(tbl_ledger[数量],tbl_ledger[充当先ロットID],$A101,tbl_ledger[イベント種類],"充当"),
_xlpm.充当放出,SUMIFS(tbl_ledger[数量],tbl_ledger[ロットID],$A101,tbl_ledger[イベント種類],"充当"),
_xlpm.発送済,G101,
_xlpm.倉庫戻し,SUMIFS(tbl_ledger[数量],tbl_ledger[ロットID],$A101,tbl_ledger[イベント種類],"倉庫戻し"),
_xlpm.余剰化,SUMIFS(tbl_ledger[数量],tbl_ledger[ロットID],$A101,tbl_ledger[イベント種類],"余剰化"),
_xlpm.不良,SUMIFS(tbl_ledger[数量],tbl_ledger[ロットID],$A101,tbl_ledger[イベント種類],"不良発生"),
_xlpm.割当+_xlpm.充当受入-_xlpm.充当放出-_xlpm.発送済-_xlpm.倉庫戻し-_xlpm.余剰化-_xlpm.不良))</f>
        <v/>
      </c>
      <c r="I101" s="8" t="str">
        <f>IF($A101="","",_xlfn.LET(
_xlpm.品番プール,N101,
_xlpm.割当計,SUMIF($B$2:$B$301,$B101,$F$2:$F$301),
_xlpm.余剰化受入,SUMIFS(tbl_ledger[数量],tbl_ledger[localId],$B101,tbl_ledger[イベント種類],"余剰化"),
_xlpm.充当払出,SUMIFS(tbl_ledger[数量],tbl_ledger[localId],$B101,tbl_ledger[イベント種類],"充当",tbl_ledger[ロットID],"="),
_xlpm.品番プール-_xlpm.割当計+_xlpm.余剰化受入-_xlpm.充当払出))</f>
        <v/>
      </c>
      <c r="J101" s="8" t="str">
        <f t="shared" si="4"/>
        <v/>
      </c>
      <c r="K101" s="8" t="str">
        <f t="shared" si="5"/>
        <v/>
      </c>
      <c r="L101" s="4" t="str">
        <f>IF($A101="","",IF(INDEX(tbl_plan[計画状態],ROW()-1)="キャンセル","キャンセル",IF(J101=0,"発送済",IF(K101&gt;0,"要搬出","OK"))))</f>
        <v/>
      </c>
      <c r="M101" s="8">
        <f t="array" ref="M101">_xlfn.LET(
_xlpm.計画状態,IFERROR(INDEX(tbl_plan[計画状態],ROW()-1)&amp;"",""),
_xlpm.必要数,IFERROR(N(INDEX(tbl_plan[必要数],ROW()-1)),0),
IF(_xlpm.計画状態="キャンセル",0,_xlpm.必要数))</f>
        <v>0</v>
      </c>
      <c r="N101" s="8" t="str">
        <f>IF($A101="","",_xlfn.LET(
_xlpm.搬入計,SUMIFS(tbl_ledger[数量],tbl_ledger[localId],$B101,tbl_ledger[イベント種類],"搬入"),
_xlpm.未割当発送,SUMIFS(tbl_ledger[数量],tbl_ledger[localId],$B101,tbl_ledger[イベント種類],"発送",tbl_ledger[ロットID],"="),
_xlpm.未割当倉庫戻し,SUMIFS(tbl_ledger[数量],tbl_ledger[localId],$B101,tbl_ledger[イベント種類],"倉庫戻し",tbl_ledger[ロットID],"="),
_xlpm.未割当不良,SUMIFS(tbl_ledger[数量],tbl_ledger[localId],$B101,tbl_ledger[イベント種類],"不良発生",tbl_ledger[ロットID],"="),
_xlpm.搬入計-_xlpm.未割当発送-_xlpm.未割当倉庫戻し-_xlpm.未割当不良))</f>
        <v/>
      </c>
      <c r="O101" s="8" t="str">
        <f t="array" ref="O101">IF($A101="","",_xlfn.LET(
_xlpm.同品番,($B$2:$B$301=$B101),
_xlpm.週が前,($C$2:$C$301&lt;$C101),
_xlpm.同週で上行,($C$2:$C$301=$C101)*(ROW($C$2:$C$301)&lt;ROW()),
SUMPRODUCT(_xlpm.同品番*(_xlpm.週が前+_xlpm.同週で上行)*$M$2:$M$301)))</f>
        <v/>
      </c>
    </row>
    <row r="102" spans="1:15" ht="15" customHeight="1" x14ac:dyDescent="0.25">
      <c r="A102" s="4" t="str">
        <f>IFERROR(INDEX(tbl_plan[ロットID],ROW()-1),"")</f>
        <v/>
      </c>
      <c r="B102" s="4" t="str">
        <f>IF($A102="","",INDEX(tbl_plan[localId],ROW()-1))</f>
        <v/>
      </c>
      <c r="C102" s="11" t="str">
        <f>IF($A102="","",INDEX(tbl_plan[出荷週],ROW()-1))</f>
        <v/>
      </c>
      <c r="D102" s="4" t="str">
        <f>IF($A102="","",INDEX(tbl_plan[納期先],ROW()-1)&amp;"")</f>
        <v/>
      </c>
      <c r="E102" s="8" t="str">
        <f>IF($A102="","",INDEX(tbl_plan[必要数],ROW()-1))</f>
        <v/>
      </c>
      <c r="F102" s="8" t="str">
        <f t="shared" si="3"/>
        <v/>
      </c>
      <c r="G102" s="8" t="str">
        <f>IF($A102="","",SUMIFS(tbl_ledger[数量],tbl_ledger[ロットID],$A102,tbl_ledger[イベント種類],"発送"))</f>
        <v/>
      </c>
      <c r="H102" s="8" t="str">
        <f>IF($A102="","",_xlfn.LET(
_xlpm.割当,F102,
_xlpm.充当受入,SUMIFS(tbl_ledger[数量],tbl_ledger[充当先ロットID],$A102,tbl_ledger[イベント種類],"充当"),
_xlpm.充当放出,SUMIFS(tbl_ledger[数量],tbl_ledger[ロットID],$A102,tbl_ledger[イベント種類],"充当"),
_xlpm.発送済,G102,
_xlpm.倉庫戻し,SUMIFS(tbl_ledger[数量],tbl_ledger[ロットID],$A102,tbl_ledger[イベント種類],"倉庫戻し"),
_xlpm.余剰化,SUMIFS(tbl_ledger[数量],tbl_ledger[ロットID],$A102,tbl_ledger[イベント種類],"余剰化"),
_xlpm.不良,SUMIFS(tbl_ledger[数量],tbl_ledger[ロットID],$A102,tbl_ledger[イベント種類],"不良発生"),
_xlpm.割当+_xlpm.充当受入-_xlpm.充当放出-_xlpm.発送済-_xlpm.倉庫戻し-_xlpm.余剰化-_xlpm.不良))</f>
        <v/>
      </c>
      <c r="I102" s="8" t="str">
        <f>IF($A102="","",_xlfn.LET(
_xlpm.品番プール,N102,
_xlpm.割当計,SUMIF($B$2:$B$301,$B102,$F$2:$F$301),
_xlpm.余剰化受入,SUMIFS(tbl_ledger[数量],tbl_ledger[localId],$B102,tbl_ledger[イベント種類],"余剰化"),
_xlpm.充当払出,SUMIFS(tbl_ledger[数量],tbl_ledger[localId],$B102,tbl_ledger[イベント種類],"充当",tbl_ledger[ロットID],"="),
_xlpm.品番プール-_xlpm.割当計+_xlpm.余剰化受入-_xlpm.充当払出))</f>
        <v/>
      </c>
      <c r="J102" s="8" t="str">
        <f t="shared" si="4"/>
        <v/>
      </c>
      <c r="K102" s="8" t="str">
        <f t="shared" si="5"/>
        <v/>
      </c>
      <c r="L102" s="4" t="str">
        <f>IF($A102="","",IF(INDEX(tbl_plan[計画状態],ROW()-1)="キャンセル","キャンセル",IF(J102=0,"発送済",IF(K102&gt;0,"要搬出","OK"))))</f>
        <v/>
      </c>
      <c r="M102" s="8">
        <f t="array" ref="M102">_xlfn.LET(
_xlpm.計画状態,IFERROR(INDEX(tbl_plan[計画状態],ROW()-1)&amp;"",""),
_xlpm.必要数,IFERROR(N(INDEX(tbl_plan[必要数],ROW()-1)),0),
IF(_xlpm.計画状態="キャンセル",0,_xlpm.必要数))</f>
        <v>0</v>
      </c>
      <c r="N102" s="8" t="str">
        <f>IF($A102="","",_xlfn.LET(
_xlpm.搬入計,SUMIFS(tbl_ledger[数量],tbl_ledger[localId],$B102,tbl_ledger[イベント種類],"搬入"),
_xlpm.未割当発送,SUMIFS(tbl_ledger[数量],tbl_ledger[localId],$B102,tbl_ledger[イベント種類],"発送",tbl_ledger[ロットID],"="),
_xlpm.未割当倉庫戻し,SUMIFS(tbl_ledger[数量],tbl_ledger[localId],$B102,tbl_ledger[イベント種類],"倉庫戻し",tbl_ledger[ロットID],"="),
_xlpm.未割当不良,SUMIFS(tbl_ledger[数量],tbl_ledger[localId],$B102,tbl_ledger[イベント種類],"不良発生",tbl_ledger[ロットID],"="),
_xlpm.搬入計-_xlpm.未割当発送-_xlpm.未割当倉庫戻し-_xlpm.未割当不良))</f>
        <v/>
      </c>
      <c r="O102" s="8" t="str">
        <f t="array" ref="O102">IF($A102="","",_xlfn.LET(
_xlpm.同品番,($B$2:$B$301=$B102),
_xlpm.週が前,($C$2:$C$301&lt;$C102),
_xlpm.同週で上行,($C$2:$C$301=$C102)*(ROW($C$2:$C$301)&lt;ROW()),
SUMPRODUCT(_xlpm.同品番*(_xlpm.週が前+_xlpm.同週で上行)*$M$2:$M$301)))</f>
        <v/>
      </c>
    </row>
    <row r="103" spans="1:15" ht="15" customHeight="1" x14ac:dyDescent="0.25">
      <c r="A103" s="4" t="str">
        <f>IFERROR(INDEX(tbl_plan[ロットID],ROW()-1),"")</f>
        <v/>
      </c>
      <c r="B103" s="4" t="str">
        <f>IF($A103="","",INDEX(tbl_plan[localId],ROW()-1))</f>
        <v/>
      </c>
      <c r="C103" s="11" t="str">
        <f>IF($A103="","",INDEX(tbl_plan[出荷週],ROW()-1))</f>
        <v/>
      </c>
      <c r="D103" s="4" t="str">
        <f>IF($A103="","",INDEX(tbl_plan[納期先],ROW()-1)&amp;"")</f>
        <v/>
      </c>
      <c r="E103" s="8" t="str">
        <f>IF($A103="","",INDEX(tbl_plan[必要数],ROW()-1))</f>
        <v/>
      </c>
      <c r="F103" s="8" t="str">
        <f t="shared" si="3"/>
        <v/>
      </c>
      <c r="G103" s="8" t="str">
        <f>IF($A103="","",SUMIFS(tbl_ledger[数量],tbl_ledger[ロットID],$A103,tbl_ledger[イベント種類],"発送"))</f>
        <v/>
      </c>
      <c r="H103" s="8" t="str">
        <f>IF($A103="","",_xlfn.LET(
_xlpm.割当,F103,
_xlpm.充当受入,SUMIFS(tbl_ledger[数量],tbl_ledger[充当先ロットID],$A103,tbl_ledger[イベント種類],"充当"),
_xlpm.充当放出,SUMIFS(tbl_ledger[数量],tbl_ledger[ロットID],$A103,tbl_ledger[イベント種類],"充当"),
_xlpm.発送済,G103,
_xlpm.倉庫戻し,SUMIFS(tbl_ledger[数量],tbl_ledger[ロットID],$A103,tbl_ledger[イベント種類],"倉庫戻し"),
_xlpm.余剰化,SUMIFS(tbl_ledger[数量],tbl_ledger[ロットID],$A103,tbl_ledger[イベント種類],"余剰化"),
_xlpm.不良,SUMIFS(tbl_ledger[数量],tbl_ledger[ロットID],$A103,tbl_ledger[イベント種類],"不良発生"),
_xlpm.割当+_xlpm.充当受入-_xlpm.充当放出-_xlpm.発送済-_xlpm.倉庫戻し-_xlpm.余剰化-_xlpm.不良))</f>
        <v/>
      </c>
      <c r="I103" s="8" t="str">
        <f>IF($A103="","",_xlfn.LET(
_xlpm.品番プール,N103,
_xlpm.割当計,SUMIF($B$2:$B$301,$B103,$F$2:$F$301),
_xlpm.余剰化受入,SUMIFS(tbl_ledger[数量],tbl_ledger[localId],$B103,tbl_ledger[イベント種類],"余剰化"),
_xlpm.充当払出,SUMIFS(tbl_ledger[数量],tbl_ledger[localId],$B103,tbl_ledger[イベント種類],"充当",tbl_ledger[ロットID],"="),
_xlpm.品番プール-_xlpm.割当計+_xlpm.余剰化受入-_xlpm.充当払出))</f>
        <v/>
      </c>
      <c r="J103" s="8" t="str">
        <f t="shared" si="4"/>
        <v/>
      </c>
      <c r="K103" s="8" t="str">
        <f t="shared" si="5"/>
        <v/>
      </c>
      <c r="L103" s="4" t="str">
        <f>IF($A103="","",IF(INDEX(tbl_plan[計画状態],ROW()-1)="キャンセル","キャンセル",IF(J103=0,"発送済",IF(K103&gt;0,"要搬出","OK"))))</f>
        <v/>
      </c>
      <c r="M103" s="8">
        <f t="array" ref="M103">_xlfn.LET(
_xlpm.計画状態,IFERROR(INDEX(tbl_plan[計画状態],ROW()-1)&amp;"",""),
_xlpm.必要数,IFERROR(N(INDEX(tbl_plan[必要数],ROW()-1)),0),
IF(_xlpm.計画状態="キャンセル",0,_xlpm.必要数))</f>
        <v>0</v>
      </c>
      <c r="N103" s="8" t="str">
        <f>IF($A103="","",_xlfn.LET(
_xlpm.搬入計,SUMIFS(tbl_ledger[数量],tbl_ledger[localId],$B103,tbl_ledger[イベント種類],"搬入"),
_xlpm.未割当発送,SUMIFS(tbl_ledger[数量],tbl_ledger[localId],$B103,tbl_ledger[イベント種類],"発送",tbl_ledger[ロットID],"="),
_xlpm.未割当倉庫戻し,SUMIFS(tbl_ledger[数量],tbl_ledger[localId],$B103,tbl_ledger[イベント種類],"倉庫戻し",tbl_ledger[ロットID],"="),
_xlpm.未割当不良,SUMIFS(tbl_ledger[数量],tbl_ledger[localId],$B103,tbl_ledger[イベント種類],"不良発生",tbl_ledger[ロットID],"="),
_xlpm.搬入計-_xlpm.未割当発送-_xlpm.未割当倉庫戻し-_xlpm.未割当不良))</f>
        <v/>
      </c>
      <c r="O103" s="8" t="str">
        <f t="array" ref="O103">IF($A103="","",_xlfn.LET(
_xlpm.同品番,($B$2:$B$301=$B103),
_xlpm.週が前,($C$2:$C$301&lt;$C103),
_xlpm.同週で上行,($C$2:$C$301=$C103)*(ROW($C$2:$C$301)&lt;ROW()),
SUMPRODUCT(_xlpm.同品番*(_xlpm.週が前+_xlpm.同週で上行)*$M$2:$M$301)))</f>
        <v/>
      </c>
    </row>
    <row r="104" spans="1:15" ht="15" customHeight="1" x14ac:dyDescent="0.25">
      <c r="A104" s="4" t="str">
        <f>IFERROR(INDEX(tbl_plan[ロットID],ROW()-1),"")</f>
        <v/>
      </c>
      <c r="B104" s="4" t="str">
        <f>IF($A104="","",INDEX(tbl_plan[localId],ROW()-1))</f>
        <v/>
      </c>
      <c r="C104" s="11" t="str">
        <f>IF($A104="","",INDEX(tbl_plan[出荷週],ROW()-1))</f>
        <v/>
      </c>
      <c r="D104" s="4" t="str">
        <f>IF($A104="","",INDEX(tbl_plan[納期先],ROW()-1)&amp;"")</f>
        <v/>
      </c>
      <c r="E104" s="8" t="str">
        <f>IF($A104="","",INDEX(tbl_plan[必要数],ROW()-1))</f>
        <v/>
      </c>
      <c r="F104" s="8" t="str">
        <f t="shared" si="3"/>
        <v/>
      </c>
      <c r="G104" s="8" t="str">
        <f>IF($A104="","",SUMIFS(tbl_ledger[数量],tbl_ledger[ロットID],$A104,tbl_ledger[イベント種類],"発送"))</f>
        <v/>
      </c>
      <c r="H104" s="8" t="str">
        <f>IF($A104="","",_xlfn.LET(
_xlpm.割当,F104,
_xlpm.充当受入,SUMIFS(tbl_ledger[数量],tbl_ledger[充当先ロットID],$A104,tbl_ledger[イベント種類],"充当"),
_xlpm.充当放出,SUMIFS(tbl_ledger[数量],tbl_ledger[ロットID],$A104,tbl_ledger[イベント種類],"充当"),
_xlpm.発送済,G104,
_xlpm.倉庫戻し,SUMIFS(tbl_ledger[数量],tbl_ledger[ロットID],$A104,tbl_ledger[イベント種類],"倉庫戻し"),
_xlpm.余剰化,SUMIFS(tbl_ledger[数量],tbl_ledger[ロットID],$A104,tbl_ledger[イベント種類],"余剰化"),
_xlpm.不良,SUMIFS(tbl_ledger[数量],tbl_ledger[ロットID],$A104,tbl_ledger[イベント種類],"不良発生"),
_xlpm.割当+_xlpm.充当受入-_xlpm.充当放出-_xlpm.発送済-_xlpm.倉庫戻し-_xlpm.余剰化-_xlpm.不良))</f>
        <v/>
      </c>
      <c r="I104" s="8" t="str">
        <f>IF($A104="","",_xlfn.LET(
_xlpm.品番プール,N104,
_xlpm.割当計,SUMIF($B$2:$B$301,$B104,$F$2:$F$301),
_xlpm.余剰化受入,SUMIFS(tbl_ledger[数量],tbl_ledger[localId],$B104,tbl_ledger[イベント種類],"余剰化"),
_xlpm.充当払出,SUMIFS(tbl_ledger[数量],tbl_ledger[localId],$B104,tbl_ledger[イベント種類],"充当",tbl_ledger[ロットID],"="),
_xlpm.品番プール-_xlpm.割当計+_xlpm.余剰化受入-_xlpm.充当払出))</f>
        <v/>
      </c>
      <c r="J104" s="8" t="str">
        <f t="shared" si="4"/>
        <v/>
      </c>
      <c r="K104" s="8" t="str">
        <f t="shared" si="5"/>
        <v/>
      </c>
      <c r="L104" s="4" t="str">
        <f>IF($A104="","",IF(INDEX(tbl_plan[計画状態],ROW()-1)="キャンセル","キャンセル",IF(J104=0,"発送済",IF(K104&gt;0,"要搬出","OK"))))</f>
        <v/>
      </c>
      <c r="M104" s="8">
        <f t="array" ref="M104">_xlfn.LET(
_xlpm.計画状態,IFERROR(INDEX(tbl_plan[計画状態],ROW()-1)&amp;"",""),
_xlpm.必要数,IFERROR(N(INDEX(tbl_plan[必要数],ROW()-1)),0),
IF(_xlpm.計画状態="キャンセル",0,_xlpm.必要数))</f>
        <v>0</v>
      </c>
      <c r="N104" s="8" t="str">
        <f>IF($A104="","",_xlfn.LET(
_xlpm.搬入計,SUMIFS(tbl_ledger[数量],tbl_ledger[localId],$B104,tbl_ledger[イベント種類],"搬入"),
_xlpm.未割当発送,SUMIFS(tbl_ledger[数量],tbl_ledger[localId],$B104,tbl_ledger[イベント種類],"発送",tbl_ledger[ロットID],"="),
_xlpm.未割当倉庫戻し,SUMIFS(tbl_ledger[数量],tbl_ledger[localId],$B104,tbl_ledger[イベント種類],"倉庫戻し",tbl_ledger[ロットID],"="),
_xlpm.未割当不良,SUMIFS(tbl_ledger[数量],tbl_ledger[localId],$B104,tbl_ledger[イベント種類],"不良発生",tbl_ledger[ロットID],"="),
_xlpm.搬入計-_xlpm.未割当発送-_xlpm.未割当倉庫戻し-_xlpm.未割当不良))</f>
        <v/>
      </c>
      <c r="O104" s="8" t="str">
        <f t="array" ref="O104">IF($A104="","",_xlfn.LET(
_xlpm.同品番,($B$2:$B$301=$B104),
_xlpm.週が前,($C$2:$C$301&lt;$C104),
_xlpm.同週で上行,($C$2:$C$301=$C104)*(ROW($C$2:$C$301)&lt;ROW()),
SUMPRODUCT(_xlpm.同品番*(_xlpm.週が前+_xlpm.同週で上行)*$M$2:$M$301)))</f>
        <v/>
      </c>
    </row>
    <row r="105" spans="1:15" ht="15" customHeight="1" x14ac:dyDescent="0.25">
      <c r="A105" s="4" t="str">
        <f>IFERROR(INDEX(tbl_plan[ロットID],ROW()-1),"")</f>
        <v/>
      </c>
      <c r="B105" s="4" t="str">
        <f>IF($A105="","",INDEX(tbl_plan[localId],ROW()-1))</f>
        <v/>
      </c>
      <c r="C105" s="11" t="str">
        <f>IF($A105="","",INDEX(tbl_plan[出荷週],ROW()-1))</f>
        <v/>
      </c>
      <c r="D105" s="4" t="str">
        <f>IF($A105="","",INDEX(tbl_plan[納期先],ROW()-1)&amp;"")</f>
        <v/>
      </c>
      <c r="E105" s="8" t="str">
        <f>IF($A105="","",INDEX(tbl_plan[必要数],ROW()-1))</f>
        <v/>
      </c>
      <c r="F105" s="8" t="str">
        <f t="shared" si="3"/>
        <v/>
      </c>
      <c r="G105" s="8" t="str">
        <f>IF($A105="","",SUMIFS(tbl_ledger[数量],tbl_ledger[ロットID],$A105,tbl_ledger[イベント種類],"発送"))</f>
        <v/>
      </c>
      <c r="H105" s="8" t="str">
        <f>IF($A105="","",_xlfn.LET(
_xlpm.割当,F105,
_xlpm.充当受入,SUMIFS(tbl_ledger[数量],tbl_ledger[充当先ロットID],$A105,tbl_ledger[イベント種類],"充当"),
_xlpm.充当放出,SUMIFS(tbl_ledger[数量],tbl_ledger[ロットID],$A105,tbl_ledger[イベント種類],"充当"),
_xlpm.発送済,G105,
_xlpm.倉庫戻し,SUMIFS(tbl_ledger[数量],tbl_ledger[ロットID],$A105,tbl_ledger[イベント種類],"倉庫戻し"),
_xlpm.余剰化,SUMIFS(tbl_ledger[数量],tbl_ledger[ロットID],$A105,tbl_ledger[イベント種類],"余剰化"),
_xlpm.不良,SUMIFS(tbl_ledger[数量],tbl_ledger[ロットID],$A105,tbl_ledger[イベント種類],"不良発生"),
_xlpm.割当+_xlpm.充当受入-_xlpm.充当放出-_xlpm.発送済-_xlpm.倉庫戻し-_xlpm.余剰化-_xlpm.不良))</f>
        <v/>
      </c>
      <c r="I105" s="8" t="str">
        <f>IF($A105="","",_xlfn.LET(
_xlpm.品番プール,N105,
_xlpm.割当計,SUMIF($B$2:$B$301,$B105,$F$2:$F$301),
_xlpm.余剰化受入,SUMIFS(tbl_ledger[数量],tbl_ledger[localId],$B105,tbl_ledger[イベント種類],"余剰化"),
_xlpm.充当払出,SUMIFS(tbl_ledger[数量],tbl_ledger[localId],$B105,tbl_ledger[イベント種類],"充当",tbl_ledger[ロットID],"="),
_xlpm.品番プール-_xlpm.割当計+_xlpm.余剰化受入-_xlpm.充当払出))</f>
        <v/>
      </c>
      <c r="J105" s="8" t="str">
        <f t="shared" si="4"/>
        <v/>
      </c>
      <c r="K105" s="8" t="str">
        <f t="shared" si="5"/>
        <v/>
      </c>
      <c r="L105" s="4" t="str">
        <f>IF($A105="","",IF(INDEX(tbl_plan[計画状態],ROW()-1)="キャンセル","キャンセル",IF(J105=0,"発送済",IF(K105&gt;0,"要搬出","OK"))))</f>
        <v/>
      </c>
      <c r="M105" s="8">
        <f t="array" ref="M105">_xlfn.LET(
_xlpm.計画状態,IFERROR(INDEX(tbl_plan[計画状態],ROW()-1)&amp;"",""),
_xlpm.必要数,IFERROR(N(INDEX(tbl_plan[必要数],ROW()-1)),0),
IF(_xlpm.計画状態="キャンセル",0,_xlpm.必要数))</f>
        <v>0</v>
      </c>
      <c r="N105" s="8" t="str">
        <f>IF($A105="","",_xlfn.LET(
_xlpm.搬入計,SUMIFS(tbl_ledger[数量],tbl_ledger[localId],$B105,tbl_ledger[イベント種類],"搬入"),
_xlpm.未割当発送,SUMIFS(tbl_ledger[数量],tbl_ledger[localId],$B105,tbl_ledger[イベント種類],"発送",tbl_ledger[ロットID],"="),
_xlpm.未割当倉庫戻し,SUMIFS(tbl_ledger[数量],tbl_ledger[localId],$B105,tbl_ledger[イベント種類],"倉庫戻し",tbl_ledger[ロットID],"="),
_xlpm.未割当不良,SUMIFS(tbl_ledger[数量],tbl_ledger[localId],$B105,tbl_ledger[イベント種類],"不良発生",tbl_ledger[ロットID],"="),
_xlpm.搬入計-_xlpm.未割当発送-_xlpm.未割当倉庫戻し-_xlpm.未割当不良))</f>
        <v/>
      </c>
      <c r="O105" s="8" t="str">
        <f t="array" ref="O105">IF($A105="","",_xlfn.LET(
_xlpm.同品番,($B$2:$B$301=$B105),
_xlpm.週が前,($C$2:$C$301&lt;$C105),
_xlpm.同週で上行,($C$2:$C$301=$C105)*(ROW($C$2:$C$301)&lt;ROW()),
SUMPRODUCT(_xlpm.同品番*(_xlpm.週が前+_xlpm.同週で上行)*$M$2:$M$301)))</f>
        <v/>
      </c>
    </row>
    <row r="106" spans="1:15" ht="15" customHeight="1" x14ac:dyDescent="0.25">
      <c r="A106" s="4" t="str">
        <f>IFERROR(INDEX(tbl_plan[ロットID],ROW()-1),"")</f>
        <v/>
      </c>
      <c r="B106" s="4" t="str">
        <f>IF($A106="","",INDEX(tbl_plan[localId],ROW()-1))</f>
        <v/>
      </c>
      <c r="C106" s="11" t="str">
        <f>IF($A106="","",INDEX(tbl_plan[出荷週],ROW()-1))</f>
        <v/>
      </c>
      <c r="D106" s="4" t="str">
        <f>IF($A106="","",INDEX(tbl_plan[納期先],ROW()-1)&amp;"")</f>
        <v/>
      </c>
      <c r="E106" s="8" t="str">
        <f>IF($A106="","",INDEX(tbl_plan[必要数],ROW()-1))</f>
        <v/>
      </c>
      <c r="F106" s="8" t="str">
        <f t="shared" si="3"/>
        <v/>
      </c>
      <c r="G106" s="8" t="str">
        <f>IF($A106="","",SUMIFS(tbl_ledger[数量],tbl_ledger[ロットID],$A106,tbl_ledger[イベント種類],"発送"))</f>
        <v/>
      </c>
      <c r="H106" s="8" t="str">
        <f>IF($A106="","",_xlfn.LET(
_xlpm.割当,F106,
_xlpm.充当受入,SUMIFS(tbl_ledger[数量],tbl_ledger[充当先ロットID],$A106,tbl_ledger[イベント種類],"充当"),
_xlpm.充当放出,SUMIFS(tbl_ledger[数量],tbl_ledger[ロットID],$A106,tbl_ledger[イベント種類],"充当"),
_xlpm.発送済,G106,
_xlpm.倉庫戻し,SUMIFS(tbl_ledger[数量],tbl_ledger[ロットID],$A106,tbl_ledger[イベント種類],"倉庫戻し"),
_xlpm.余剰化,SUMIFS(tbl_ledger[数量],tbl_ledger[ロットID],$A106,tbl_ledger[イベント種類],"余剰化"),
_xlpm.不良,SUMIFS(tbl_ledger[数量],tbl_ledger[ロットID],$A106,tbl_ledger[イベント種類],"不良発生"),
_xlpm.割当+_xlpm.充当受入-_xlpm.充当放出-_xlpm.発送済-_xlpm.倉庫戻し-_xlpm.余剰化-_xlpm.不良))</f>
        <v/>
      </c>
      <c r="I106" s="8" t="str">
        <f>IF($A106="","",_xlfn.LET(
_xlpm.品番プール,N106,
_xlpm.割当計,SUMIF($B$2:$B$301,$B106,$F$2:$F$301),
_xlpm.余剰化受入,SUMIFS(tbl_ledger[数量],tbl_ledger[localId],$B106,tbl_ledger[イベント種類],"余剰化"),
_xlpm.充当払出,SUMIFS(tbl_ledger[数量],tbl_ledger[localId],$B106,tbl_ledger[イベント種類],"充当",tbl_ledger[ロットID],"="),
_xlpm.品番プール-_xlpm.割当計+_xlpm.余剰化受入-_xlpm.充当払出))</f>
        <v/>
      </c>
      <c r="J106" s="8" t="str">
        <f t="shared" si="4"/>
        <v/>
      </c>
      <c r="K106" s="8" t="str">
        <f t="shared" si="5"/>
        <v/>
      </c>
      <c r="L106" s="4" t="str">
        <f>IF($A106="","",IF(INDEX(tbl_plan[計画状態],ROW()-1)="キャンセル","キャンセル",IF(J106=0,"発送済",IF(K106&gt;0,"要搬出","OK"))))</f>
        <v/>
      </c>
      <c r="M106" s="8">
        <f t="array" ref="M106">_xlfn.LET(
_xlpm.計画状態,IFERROR(INDEX(tbl_plan[計画状態],ROW()-1)&amp;"",""),
_xlpm.必要数,IFERROR(N(INDEX(tbl_plan[必要数],ROW()-1)),0),
IF(_xlpm.計画状態="キャンセル",0,_xlpm.必要数))</f>
        <v>0</v>
      </c>
      <c r="N106" s="8" t="str">
        <f>IF($A106="","",_xlfn.LET(
_xlpm.搬入計,SUMIFS(tbl_ledger[数量],tbl_ledger[localId],$B106,tbl_ledger[イベント種類],"搬入"),
_xlpm.未割当発送,SUMIFS(tbl_ledger[数量],tbl_ledger[localId],$B106,tbl_ledger[イベント種類],"発送",tbl_ledger[ロットID],"="),
_xlpm.未割当倉庫戻し,SUMIFS(tbl_ledger[数量],tbl_ledger[localId],$B106,tbl_ledger[イベント種類],"倉庫戻し",tbl_ledger[ロットID],"="),
_xlpm.未割当不良,SUMIFS(tbl_ledger[数量],tbl_ledger[localId],$B106,tbl_ledger[イベント種類],"不良発生",tbl_ledger[ロットID],"="),
_xlpm.搬入計-_xlpm.未割当発送-_xlpm.未割当倉庫戻し-_xlpm.未割当不良))</f>
        <v/>
      </c>
      <c r="O106" s="8" t="str">
        <f t="array" ref="O106">IF($A106="","",_xlfn.LET(
_xlpm.同品番,($B$2:$B$301=$B106),
_xlpm.週が前,($C$2:$C$301&lt;$C106),
_xlpm.同週で上行,($C$2:$C$301=$C106)*(ROW($C$2:$C$301)&lt;ROW()),
SUMPRODUCT(_xlpm.同品番*(_xlpm.週が前+_xlpm.同週で上行)*$M$2:$M$301)))</f>
        <v/>
      </c>
    </row>
    <row r="107" spans="1:15" ht="15" customHeight="1" x14ac:dyDescent="0.25">
      <c r="A107" s="4" t="str">
        <f>IFERROR(INDEX(tbl_plan[ロットID],ROW()-1),"")</f>
        <v/>
      </c>
      <c r="B107" s="4" t="str">
        <f>IF($A107="","",INDEX(tbl_plan[localId],ROW()-1))</f>
        <v/>
      </c>
      <c r="C107" s="11" t="str">
        <f>IF($A107="","",INDEX(tbl_plan[出荷週],ROW()-1))</f>
        <v/>
      </c>
      <c r="D107" s="4" t="str">
        <f>IF($A107="","",INDEX(tbl_plan[納期先],ROW()-1)&amp;"")</f>
        <v/>
      </c>
      <c r="E107" s="8" t="str">
        <f>IF($A107="","",INDEX(tbl_plan[必要数],ROW()-1))</f>
        <v/>
      </c>
      <c r="F107" s="8" t="str">
        <f t="shared" si="3"/>
        <v/>
      </c>
      <c r="G107" s="8" t="str">
        <f>IF($A107="","",SUMIFS(tbl_ledger[数量],tbl_ledger[ロットID],$A107,tbl_ledger[イベント種類],"発送"))</f>
        <v/>
      </c>
      <c r="H107" s="8" t="str">
        <f>IF($A107="","",_xlfn.LET(
_xlpm.割当,F107,
_xlpm.充当受入,SUMIFS(tbl_ledger[数量],tbl_ledger[充当先ロットID],$A107,tbl_ledger[イベント種類],"充当"),
_xlpm.充当放出,SUMIFS(tbl_ledger[数量],tbl_ledger[ロットID],$A107,tbl_ledger[イベント種類],"充当"),
_xlpm.発送済,G107,
_xlpm.倉庫戻し,SUMIFS(tbl_ledger[数量],tbl_ledger[ロットID],$A107,tbl_ledger[イベント種類],"倉庫戻し"),
_xlpm.余剰化,SUMIFS(tbl_ledger[数量],tbl_ledger[ロットID],$A107,tbl_ledger[イベント種類],"余剰化"),
_xlpm.不良,SUMIFS(tbl_ledger[数量],tbl_ledger[ロットID],$A107,tbl_ledger[イベント種類],"不良発生"),
_xlpm.割当+_xlpm.充当受入-_xlpm.充当放出-_xlpm.発送済-_xlpm.倉庫戻し-_xlpm.余剰化-_xlpm.不良))</f>
        <v/>
      </c>
      <c r="I107" s="8" t="str">
        <f>IF($A107="","",_xlfn.LET(
_xlpm.品番プール,N107,
_xlpm.割当計,SUMIF($B$2:$B$301,$B107,$F$2:$F$301),
_xlpm.余剰化受入,SUMIFS(tbl_ledger[数量],tbl_ledger[localId],$B107,tbl_ledger[イベント種類],"余剰化"),
_xlpm.充当払出,SUMIFS(tbl_ledger[数量],tbl_ledger[localId],$B107,tbl_ledger[イベント種類],"充当",tbl_ledger[ロットID],"="),
_xlpm.品番プール-_xlpm.割当計+_xlpm.余剰化受入-_xlpm.充当払出))</f>
        <v/>
      </c>
      <c r="J107" s="8" t="str">
        <f t="shared" si="4"/>
        <v/>
      </c>
      <c r="K107" s="8" t="str">
        <f t="shared" si="5"/>
        <v/>
      </c>
      <c r="L107" s="4" t="str">
        <f>IF($A107="","",IF(INDEX(tbl_plan[計画状態],ROW()-1)="キャンセル","キャンセル",IF(J107=0,"発送済",IF(K107&gt;0,"要搬出","OK"))))</f>
        <v/>
      </c>
      <c r="M107" s="8">
        <f t="array" ref="M107">_xlfn.LET(
_xlpm.計画状態,IFERROR(INDEX(tbl_plan[計画状態],ROW()-1)&amp;"",""),
_xlpm.必要数,IFERROR(N(INDEX(tbl_plan[必要数],ROW()-1)),0),
IF(_xlpm.計画状態="キャンセル",0,_xlpm.必要数))</f>
        <v>0</v>
      </c>
      <c r="N107" s="8" t="str">
        <f>IF($A107="","",_xlfn.LET(
_xlpm.搬入計,SUMIFS(tbl_ledger[数量],tbl_ledger[localId],$B107,tbl_ledger[イベント種類],"搬入"),
_xlpm.未割当発送,SUMIFS(tbl_ledger[数量],tbl_ledger[localId],$B107,tbl_ledger[イベント種類],"発送",tbl_ledger[ロットID],"="),
_xlpm.未割当倉庫戻し,SUMIFS(tbl_ledger[数量],tbl_ledger[localId],$B107,tbl_ledger[イベント種類],"倉庫戻し",tbl_ledger[ロットID],"="),
_xlpm.未割当不良,SUMIFS(tbl_ledger[数量],tbl_ledger[localId],$B107,tbl_ledger[イベント種類],"不良発生",tbl_ledger[ロットID],"="),
_xlpm.搬入計-_xlpm.未割当発送-_xlpm.未割当倉庫戻し-_xlpm.未割当不良))</f>
        <v/>
      </c>
      <c r="O107" s="8" t="str">
        <f t="array" ref="O107">IF($A107="","",_xlfn.LET(
_xlpm.同品番,($B$2:$B$301=$B107),
_xlpm.週が前,($C$2:$C$301&lt;$C107),
_xlpm.同週で上行,($C$2:$C$301=$C107)*(ROW($C$2:$C$301)&lt;ROW()),
SUMPRODUCT(_xlpm.同品番*(_xlpm.週が前+_xlpm.同週で上行)*$M$2:$M$301)))</f>
        <v/>
      </c>
    </row>
    <row r="108" spans="1:15" ht="15" customHeight="1" x14ac:dyDescent="0.25">
      <c r="A108" s="4" t="str">
        <f>IFERROR(INDEX(tbl_plan[ロットID],ROW()-1),"")</f>
        <v/>
      </c>
      <c r="B108" s="4" t="str">
        <f>IF($A108="","",INDEX(tbl_plan[localId],ROW()-1))</f>
        <v/>
      </c>
      <c r="C108" s="11" t="str">
        <f>IF($A108="","",INDEX(tbl_plan[出荷週],ROW()-1))</f>
        <v/>
      </c>
      <c r="D108" s="4" t="str">
        <f>IF($A108="","",INDEX(tbl_plan[納期先],ROW()-1)&amp;"")</f>
        <v/>
      </c>
      <c r="E108" s="8" t="str">
        <f>IF($A108="","",INDEX(tbl_plan[必要数],ROW()-1))</f>
        <v/>
      </c>
      <c r="F108" s="8" t="str">
        <f t="shared" si="3"/>
        <v/>
      </c>
      <c r="G108" s="8" t="str">
        <f>IF($A108="","",SUMIFS(tbl_ledger[数量],tbl_ledger[ロットID],$A108,tbl_ledger[イベント種類],"発送"))</f>
        <v/>
      </c>
      <c r="H108" s="8" t="str">
        <f>IF($A108="","",_xlfn.LET(
_xlpm.割当,F108,
_xlpm.充当受入,SUMIFS(tbl_ledger[数量],tbl_ledger[充当先ロットID],$A108,tbl_ledger[イベント種類],"充当"),
_xlpm.充当放出,SUMIFS(tbl_ledger[数量],tbl_ledger[ロットID],$A108,tbl_ledger[イベント種類],"充当"),
_xlpm.発送済,G108,
_xlpm.倉庫戻し,SUMIFS(tbl_ledger[数量],tbl_ledger[ロットID],$A108,tbl_ledger[イベント種類],"倉庫戻し"),
_xlpm.余剰化,SUMIFS(tbl_ledger[数量],tbl_ledger[ロットID],$A108,tbl_ledger[イベント種類],"余剰化"),
_xlpm.不良,SUMIFS(tbl_ledger[数量],tbl_ledger[ロットID],$A108,tbl_ledger[イベント種類],"不良発生"),
_xlpm.割当+_xlpm.充当受入-_xlpm.充当放出-_xlpm.発送済-_xlpm.倉庫戻し-_xlpm.余剰化-_xlpm.不良))</f>
        <v/>
      </c>
      <c r="I108" s="8" t="str">
        <f>IF($A108="","",_xlfn.LET(
_xlpm.品番プール,N108,
_xlpm.割当計,SUMIF($B$2:$B$301,$B108,$F$2:$F$301),
_xlpm.余剰化受入,SUMIFS(tbl_ledger[数量],tbl_ledger[localId],$B108,tbl_ledger[イベント種類],"余剰化"),
_xlpm.充当払出,SUMIFS(tbl_ledger[数量],tbl_ledger[localId],$B108,tbl_ledger[イベント種類],"充当",tbl_ledger[ロットID],"="),
_xlpm.品番プール-_xlpm.割当計+_xlpm.余剰化受入-_xlpm.充当払出))</f>
        <v/>
      </c>
      <c r="J108" s="8" t="str">
        <f t="shared" si="4"/>
        <v/>
      </c>
      <c r="K108" s="8" t="str">
        <f t="shared" si="5"/>
        <v/>
      </c>
      <c r="L108" s="4" t="str">
        <f>IF($A108="","",IF(INDEX(tbl_plan[計画状態],ROW()-1)="キャンセル","キャンセル",IF(J108=0,"発送済",IF(K108&gt;0,"要搬出","OK"))))</f>
        <v/>
      </c>
      <c r="M108" s="8">
        <f t="array" ref="M108">_xlfn.LET(
_xlpm.計画状態,IFERROR(INDEX(tbl_plan[計画状態],ROW()-1)&amp;"",""),
_xlpm.必要数,IFERROR(N(INDEX(tbl_plan[必要数],ROW()-1)),0),
IF(_xlpm.計画状態="キャンセル",0,_xlpm.必要数))</f>
        <v>0</v>
      </c>
      <c r="N108" s="8" t="str">
        <f>IF($A108="","",_xlfn.LET(
_xlpm.搬入計,SUMIFS(tbl_ledger[数量],tbl_ledger[localId],$B108,tbl_ledger[イベント種類],"搬入"),
_xlpm.未割当発送,SUMIFS(tbl_ledger[数量],tbl_ledger[localId],$B108,tbl_ledger[イベント種類],"発送",tbl_ledger[ロットID],"="),
_xlpm.未割当倉庫戻し,SUMIFS(tbl_ledger[数量],tbl_ledger[localId],$B108,tbl_ledger[イベント種類],"倉庫戻し",tbl_ledger[ロットID],"="),
_xlpm.未割当不良,SUMIFS(tbl_ledger[数量],tbl_ledger[localId],$B108,tbl_ledger[イベント種類],"不良発生",tbl_ledger[ロットID],"="),
_xlpm.搬入計-_xlpm.未割当発送-_xlpm.未割当倉庫戻し-_xlpm.未割当不良))</f>
        <v/>
      </c>
      <c r="O108" s="8" t="str">
        <f t="array" ref="O108">IF($A108="","",_xlfn.LET(
_xlpm.同品番,($B$2:$B$301=$B108),
_xlpm.週が前,($C$2:$C$301&lt;$C108),
_xlpm.同週で上行,($C$2:$C$301=$C108)*(ROW($C$2:$C$301)&lt;ROW()),
SUMPRODUCT(_xlpm.同品番*(_xlpm.週が前+_xlpm.同週で上行)*$M$2:$M$301)))</f>
        <v/>
      </c>
    </row>
    <row r="109" spans="1:15" ht="15" customHeight="1" x14ac:dyDescent="0.25">
      <c r="A109" s="4" t="str">
        <f>IFERROR(INDEX(tbl_plan[ロットID],ROW()-1),"")</f>
        <v/>
      </c>
      <c r="B109" s="4" t="str">
        <f>IF($A109="","",INDEX(tbl_plan[localId],ROW()-1))</f>
        <v/>
      </c>
      <c r="C109" s="11" t="str">
        <f>IF($A109="","",INDEX(tbl_plan[出荷週],ROW()-1))</f>
        <v/>
      </c>
      <c r="D109" s="4" t="str">
        <f>IF($A109="","",INDEX(tbl_plan[納期先],ROW()-1)&amp;"")</f>
        <v/>
      </c>
      <c r="E109" s="8" t="str">
        <f>IF($A109="","",INDEX(tbl_plan[必要数],ROW()-1))</f>
        <v/>
      </c>
      <c r="F109" s="8" t="str">
        <f t="shared" si="3"/>
        <v/>
      </c>
      <c r="G109" s="8" t="str">
        <f>IF($A109="","",SUMIFS(tbl_ledger[数量],tbl_ledger[ロットID],$A109,tbl_ledger[イベント種類],"発送"))</f>
        <v/>
      </c>
      <c r="H109" s="8" t="str">
        <f>IF($A109="","",_xlfn.LET(
_xlpm.割当,F109,
_xlpm.充当受入,SUMIFS(tbl_ledger[数量],tbl_ledger[充当先ロットID],$A109,tbl_ledger[イベント種類],"充当"),
_xlpm.充当放出,SUMIFS(tbl_ledger[数量],tbl_ledger[ロットID],$A109,tbl_ledger[イベント種類],"充当"),
_xlpm.発送済,G109,
_xlpm.倉庫戻し,SUMIFS(tbl_ledger[数量],tbl_ledger[ロットID],$A109,tbl_ledger[イベント種類],"倉庫戻し"),
_xlpm.余剰化,SUMIFS(tbl_ledger[数量],tbl_ledger[ロットID],$A109,tbl_ledger[イベント種類],"余剰化"),
_xlpm.不良,SUMIFS(tbl_ledger[数量],tbl_ledger[ロットID],$A109,tbl_ledger[イベント種類],"不良発生"),
_xlpm.割当+_xlpm.充当受入-_xlpm.充当放出-_xlpm.発送済-_xlpm.倉庫戻し-_xlpm.余剰化-_xlpm.不良))</f>
        <v/>
      </c>
      <c r="I109" s="8" t="str">
        <f>IF($A109="","",_xlfn.LET(
_xlpm.品番プール,N109,
_xlpm.割当計,SUMIF($B$2:$B$301,$B109,$F$2:$F$301),
_xlpm.余剰化受入,SUMIFS(tbl_ledger[数量],tbl_ledger[localId],$B109,tbl_ledger[イベント種類],"余剰化"),
_xlpm.充当払出,SUMIFS(tbl_ledger[数量],tbl_ledger[localId],$B109,tbl_ledger[イベント種類],"充当",tbl_ledger[ロットID],"="),
_xlpm.品番プール-_xlpm.割当計+_xlpm.余剰化受入-_xlpm.充当払出))</f>
        <v/>
      </c>
      <c r="J109" s="8" t="str">
        <f t="shared" si="4"/>
        <v/>
      </c>
      <c r="K109" s="8" t="str">
        <f t="shared" si="5"/>
        <v/>
      </c>
      <c r="L109" s="4" t="str">
        <f>IF($A109="","",IF(INDEX(tbl_plan[計画状態],ROW()-1)="キャンセル","キャンセル",IF(J109=0,"発送済",IF(K109&gt;0,"要搬出","OK"))))</f>
        <v/>
      </c>
      <c r="M109" s="8">
        <f t="array" ref="M109">_xlfn.LET(
_xlpm.計画状態,IFERROR(INDEX(tbl_plan[計画状態],ROW()-1)&amp;"",""),
_xlpm.必要数,IFERROR(N(INDEX(tbl_plan[必要数],ROW()-1)),0),
IF(_xlpm.計画状態="キャンセル",0,_xlpm.必要数))</f>
        <v>0</v>
      </c>
      <c r="N109" s="8" t="str">
        <f>IF($A109="","",_xlfn.LET(
_xlpm.搬入計,SUMIFS(tbl_ledger[数量],tbl_ledger[localId],$B109,tbl_ledger[イベント種類],"搬入"),
_xlpm.未割当発送,SUMIFS(tbl_ledger[数量],tbl_ledger[localId],$B109,tbl_ledger[イベント種類],"発送",tbl_ledger[ロットID],"="),
_xlpm.未割当倉庫戻し,SUMIFS(tbl_ledger[数量],tbl_ledger[localId],$B109,tbl_ledger[イベント種類],"倉庫戻し",tbl_ledger[ロットID],"="),
_xlpm.未割当不良,SUMIFS(tbl_ledger[数量],tbl_ledger[localId],$B109,tbl_ledger[イベント種類],"不良発生",tbl_ledger[ロットID],"="),
_xlpm.搬入計-_xlpm.未割当発送-_xlpm.未割当倉庫戻し-_xlpm.未割当不良))</f>
        <v/>
      </c>
      <c r="O109" s="8" t="str">
        <f t="array" ref="O109">IF($A109="","",_xlfn.LET(
_xlpm.同品番,($B$2:$B$301=$B109),
_xlpm.週が前,($C$2:$C$301&lt;$C109),
_xlpm.同週で上行,($C$2:$C$301=$C109)*(ROW($C$2:$C$301)&lt;ROW()),
SUMPRODUCT(_xlpm.同品番*(_xlpm.週が前+_xlpm.同週で上行)*$M$2:$M$301)))</f>
        <v/>
      </c>
    </row>
    <row r="110" spans="1:15" ht="15" customHeight="1" x14ac:dyDescent="0.25">
      <c r="A110" s="4" t="str">
        <f>IFERROR(INDEX(tbl_plan[ロットID],ROW()-1),"")</f>
        <v/>
      </c>
      <c r="B110" s="4" t="str">
        <f>IF($A110="","",INDEX(tbl_plan[localId],ROW()-1))</f>
        <v/>
      </c>
      <c r="C110" s="11" t="str">
        <f>IF($A110="","",INDEX(tbl_plan[出荷週],ROW()-1))</f>
        <v/>
      </c>
      <c r="D110" s="4" t="str">
        <f>IF($A110="","",INDEX(tbl_plan[納期先],ROW()-1)&amp;"")</f>
        <v/>
      </c>
      <c r="E110" s="8" t="str">
        <f>IF($A110="","",INDEX(tbl_plan[必要数],ROW()-1))</f>
        <v/>
      </c>
      <c r="F110" s="8" t="str">
        <f t="shared" si="3"/>
        <v/>
      </c>
      <c r="G110" s="8" t="str">
        <f>IF($A110="","",SUMIFS(tbl_ledger[数量],tbl_ledger[ロットID],$A110,tbl_ledger[イベント種類],"発送"))</f>
        <v/>
      </c>
      <c r="H110" s="8" t="str">
        <f>IF($A110="","",_xlfn.LET(
_xlpm.割当,F110,
_xlpm.充当受入,SUMIFS(tbl_ledger[数量],tbl_ledger[充当先ロットID],$A110,tbl_ledger[イベント種類],"充当"),
_xlpm.充当放出,SUMIFS(tbl_ledger[数量],tbl_ledger[ロットID],$A110,tbl_ledger[イベント種類],"充当"),
_xlpm.発送済,G110,
_xlpm.倉庫戻し,SUMIFS(tbl_ledger[数量],tbl_ledger[ロットID],$A110,tbl_ledger[イベント種類],"倉庫戻し"),
_xlpm.余剰化,SUMIFS(tbl_ledger[数量],tbl_ledger[ロットID],$A110,tbl_ledger[イベント種類],"余剰化"),
_xlpm.不良,SUMIFS(tbl_ledger[数量],tbl_ledger[ロットID],$A110,tbl_ledger[イベント種類],"不良発生"),
_xlpm.割当+_xlpm.充当受入-_xlpm.充当放出-_xlpm.発送済-_xlpm.倉庫戻し-_xlpm.余剰化-_xlpm.不良))</f>
        <v/>
      </c>
      <c r="I110" s="8" t="str">
        <f>IF($A110="","",_xlfn.LET(
_xlpm.品番プール,N110,
_xlpm.割当計,SUMIF($B$2:$B$301,$B110,$F$2:$F$301),
_xlpm.余剰化受入,SUMIFS(tbl_ledger[数量],tbl_ledger[localId],$B110,tbl_ledger[イベント種類],"余剰化"),
_xlpm.充当払出,SUMIFS(tbl_ledger[数量],tbl_ledger[localId],$B110,tbl_ledger[イベント種類],"充当",tbl_ledger[ロットID],"="),
_xlpm.品番プール-_xlpm.割当計+_xlpm.余剰化受入-_xlpm.充当払出))</f>
        <v/>
      </c>
      <c r="J110" s="8" t="str">
        <f t="shared" si="4"/>
        <v/>
      </c>
      <c r="K110" s="8" t="str">
        <f t="shared" si="5"/>
        <v/>
      </c>
      <c r="L110" s="4" t="str">
        <f>IF($A110="","",IF(INDEX(tbl_plan[計画状態],ROW()-1)="キャンセル","キャンセル",IF(J110=0,"発送済",IF(K110&gt;0,"要搬出","OK"))))</f>
        <v/>
      </c>
      <c r="M110" s="8">
        <f t="array" ref="M110">_xlfn.LET(
_xlpm.計画状態,IFERROR(INDEX(tbl_plan[計画状態],ROW()-1)&amp;"",""),
_xlpm.必要数,IFERROR(N(INDEX(tbl_plan[必要数],ROW()-1)),0),
IF(_xlpm.計画状態="キャンセル",0,_xlpm.必要数))</f>
        <v>0</v>
      </c>
      <c r="N110" s="8" t="str">
        <f>IF($A110="","",_xlfn.LET(
_xlpm.搬入計,SUMIFS(tbl_ledger[数量],tbl_ledger[localId],$B110,tbl_ledger[イベント種類],"搬入"),
_xlpm.未割当発送,SUMIFS(tbl_ledger[数量],tbl_ledger[localId],$B110,tbl_ledger[イベント種類],"発送",tbl_ledger[ロットID],"="),
_xlpm.未割当倉庫戻し,SUMIFS(tbl_ledger[数量],tbl_ledger[localId],$B110,tbl_ledger[イベント種類],"倉庫戻し",tbl_ledger[ロットID],"="),
_xlpm.未割当不良,SUMIFS(tbl_ledger[数量],tbl_ledger[localId],$B110,tbl_ledger[イベント種類],"不良発生",tbl_ledger[ロットID],"="),
_xlpm.搬入計-_xlpm.未割当発送-_xlpm.未割当倉庫戻し-_xlpm.未割当不良))</f>
        <v/>
      </c>
      <c r="O110" s="8" t="str">
        <f t="array" ref="O110">IF($A110="","",_xlfn.LET(
_xlpm.同品番,($B$2:$B$301=$B110),
_xlpm.週が前,($C$2:$C$301&lt;$C110),
_xlpm.同週で上行,($C$2:$C$301=$C110)*(ROW($C$2:$C$301)&lt;ROW()),
SUMPRODUCT(_xlpm.同品番*(_xlpm.週が前+_xlpm.同週で上行)*$M$2:$M$301)))</f>
        <v/>
      </c>
    </row>
    <row r="111" spans="1:15" ht="15" customHeight="1" x14ac:dyDescent="0.25">
      <c r="A111" s="4" t="str">
        <f>IFERROR(INDEX(tbl_plan[ロットID],ROW()-1),"")</f>
        <v/>
      </c>
      <c r="B111" s="4" t="str">
        <f>IF($A111="","",INDEX(tbl_plan[localId],ROW()-1))</f>
        <v/>
      </c>
      <c r="C111" s="11" t="str">
        <f>IF($A111="","",INDEX(tbl_plan[出荷週],ROW()-1))</f>
        <v/>
      </c>
      <c r="D111" s="4" t="str">
        <f>IF($A111="","",INDEX(tbl_plan[納期先],ROW()-1)&amp;"")</f>
        <v/>
      </c>
      <c r="E111" s="8" t="str">
        <f>IF($A111="","",INDEX(tbl_plan[必要数],ROW()-1))</f>
        <v/>
      </c>
      <c r="F111" s="8" t="str">
        <f t="shared" si="3"/>
        <v/>
      </c>
      <c r="G111" s="8" t="str">
        <f>IF($A111="","",SUMIFS(tbl_ledger[数量],tbl_ledger[ロットID],$A111,tbl_ledger[イベント種類],"発送"))</f>
        <v/>
      </c>
      <c r="H111" s="8" t="str">
        <f>IF($A111="","",_xlfn.LET(
_xlpm.割当,F111,
_xlpm.充当受入,SUMIFS(tbl_ledger[数量],tbl_ledger[充当先ロットID],$A111,tbl_ledger[イベント種類],"充当"),
_xlpm.充当放出,SUMIFS(tbl_ledger[数量],tbl_ledger[ロットID],$A111,tbl_ledger[イベント種類],"充当"),
_xlpm.発送済,G111,
_xlpm.倉庫戻し,SUMIFS(tbl_ledger[数量],tbl_ledger[ロットID],$A111,tbl_ledger[イベント種類],"倉庫戻し"),
_xlpm.余剰化,SUMIFS(tbl_ledger[数量],tbl_ledger[ロットID],$A111,tbl_ledger[イベント種類],"余剰化"),
_xlpm.不良,SUMIFS(tbl_ledger[数量],tbl_ledger[ロットID],$A111,tbl_ledger[イベント種類],"不良発生"),
_xlpm.割当+_xlpm.充当受入-_xlpm.充当放出-_xlpm.発送済-_xlpm.倉庫戻し-_xlpm.余剰化-_xlpm.不良))</f>
        <v/>
      </c>
      <c r="I111" s="8" t="str">
        <f>IF($A111="","",_xlfn.LET(
_xlpm.品番プール,N111,
_xlpm.割当計,SUMIF($B$2:$B$301,$B111,$F$2:$F$301),
_xlpm.余剰化受入,SUMIFS(tbl_ledger[数量],tbl_ledger[localId],$B111,tbl_ledger[イベント種類],"余剰化"),
_xlpm.充当払出,SUMIFS(tbl_ledger[数量],tbl_ledger[localId],$B111,tbl_ledger[イベント種類],"充当",tbl_ledger[ロットID],"="),
_xlpm.品番プール-_xlpm.割当計+_xlpm.余剰化受入-_xlpm.充当払出))</f>
        <v/>
      </c>
      <c r="J111" s="8" t="str">
        <f t="shared" si="4"/>
        <v/>
      </c>
      <c r="K111" s="8" t="str">
        <f t="shared" si="5"/>
        <v/>
      </c>
      <c r="L111" s="4" t="str">
        <f>IF($A111="","",IF(INDEX(tbl_plan[計画状態],ROW()-1)="キャンセル","キャンセル",IF(J111=0,"発送済",IF(K111&gt;0,"要搬出","OK"))))</f>
        <v/>
      </c>
      <c r="M111" s="8">
        <f t="array" ref="M111">_xlfn.LET(
_xlpm.計画状態,IFERROR(INDEX(tbl_plan[計画状態],ROW()-1)&amp;"",""),
_xlpm.必要数,IFERROR(N(INDEX(tbl_plan[必要数],ROW()-1)),0),
IF(_xlpm.計画状態="キャンセル",0,_xlpm.必要数))</f>
        <v>0</v>
      </c>
      <c r="N111" s="8" t="str">
        <f>IF($A111="","",_xlfn.LET(
_xlpm.搬入計,SUMIFS(tbl_ledger[数量],tbl_ledger[localId],$B111,tbl_ledger[イベント種類],"搬入"),
_xlpm.未割当発送,SUMIFS(tbl_ledger[数量],tbl_ledger[localId],$B111,tbl_ledger[イベント種類],"発送",tbl_ledger[ロットID],"="),
_xlpm.未割当倉庫戻し,SUMIFS(tbl_ledger[数量],tbl_ledger[localId],$B111,tbl_ledger[イベント種類],"倉庫戻し",tbl_ledger[ロットID],"="),
_xlpm.未割当不良,SUMIFS(tbl_ledger[数量],tbl_ledger[localId],$B111,tbl_ledger[イベント種類],"不良発生",tbl_ledger[ロットID],"="),
_xlpm.搬入計-_xlpm.未割当発送-_xlpm.未割当倉庫戻し-_xlpm.未割当不良))</f>
        <v/>
      </c>
      <c r="O111" s="8" t="str">
        <f t="array" ref="O111">IF($A111="","",_xlfn.LET(
_xlpm.同品番,($B$2:$B$301=$B111),
_xlpm.週が前,($C$2:$C$301&lt;$C111),
_xlpm.同週で上行,($C$2:$C$301=$C111)*(ROW($C$2:$C$301)&lt;ROW()),
SUMPRODUCT(_xlpm.同品番*(_xlpm.週が前+_xlpm.同週で上行)*$M$2:$M$301)))</f>
        <v/>
      </c>
    </row>
    <row r="112" spans="1:15" ht="15" customHeight="1" x14ac:dyDescent="0.25">
      <c r="A112" s="4" t="str">
        <f>IFERROR(INDEX(tbl_plan[ロットID],ROW()-1),"")</f>
        <v/>
      </c>
      <c r="B112" s="4" t="str">
        <f>IF($A112="","",INDEX(tbl_plan[localId],ROW()-1))</f>
        <v/>
      </c>
      <c r="C112" s="11" t="str">
        <f>IF($A112="","",INDEX(tbl_plan[出荷週],ROW()-1))</f>
        <v/>
      </c>
      <c r="D112" s="4" t="str">
        <f>IF($A112="","",INDEX(tbl_plan[納期先],ROW()-1)&amp;"")</f>
        <v/>
      </c>
      <c r="E112" s="8" t="str">
        <f>IF($A112="","",INDEX(tbl_plan[必要数],ROW()-1))</f>
        <v/>
      </c>
      <c r="F112" s="8" t="str">
        <f t="shared" si="3"/>
        <v/>
      </c>
      <c r="G112" s="8" t="str">
        <f>IF($A112="","",SUMIFS(tbl_ledger[数量],tbl_ledger[ロットID],$A112,tbl_ledger[イベント種類],"発送"))</f>
        <v/>
      </c>
      <c r="H112" s="8" t="str">
        <f>IF($A112="","",_xlfn.LET(
_xlpm.割当,F112,
_xlpm.充当受入,SUMIFS(tbl_ledger[数量],tbl_ledger[充当先ロットID],$A112,tbl_ledger[イベント種類],"充当"),
_xlpm.充当放出,SUMIFS(tbl_ledger[数量],tbl_ledger[ロットID],$A112,tbl_ledger[イベント種類],"充当"),
_xlpm.発送済,G112,
_xlpm.倉庫戻し,SUMIFS(tbl_ledger[数量],tbl_ledger[ロットID],$A112,tbl_ledger[イベント種類],"倉庫戻し"),
_xlpm.余剰化,SUMIFS(tbl_ledger[数量],tbl_ledger[ロットID],$A112,tbl_ledger[イベント種類],"余剰化"),
_xlpm.不良,SUMIFS(tbl_ledger[数量],tbl_ledger[ロットID],$A112,tbl_ledger[イベント種類],"不良発生"),
_xlpm.割当+_xlpm.充当受入-_xlpm.充当放出-_xlpm.発送済-_xlpm.倉庫戻し-_xlpm.余剰化-_xlpm.不良))</f>
        <v/>
      </c>
      <c r="I112" s="8" t="str">
        <f>IF($A112="","",_xlfn.LET(
_xlpm.品番プール,N112,
_xlpm.割当計,SUMIF($B$2:$B$301,$B112,$F$2:$F$301),
_xlpm.余剰化受入,SUMIFS(tbl_ledger[数量],tbl_ledger[localId],$B112,tbl_ledger[イベント種類],"余剰化"),
_xlpm.充当払出,SUMIFS(tbl_ledger[数量],tbl_ledger[localId],$B112,tbl_ledger[イベント種類],"充当",tbl_ledger[ロットID],"="),
_xlpm.品番プール-_xlpm.割当計+_xlpm.余剰化受入-_xlpm.充当払出))</f>
        <v/>
      </c>
      <c r="J112" s="8" t="str">
        <f t="shared" si="4"/>
        <v/>
      </c>
      <c r="K112" s="8" t="str">
        <f t="shared" si="5"/>
        <v/>
      </c>
      <c r="L112" s="4" t="str">
        <f>IF($A112="","",IF(INDEX(tbl_plan[計画状態],ROW()-1)="キャンセル","キャンセル",IF(J112=0,"発送済",IF(K112&gt;0,"要搬出","OK"))))</f>
        <v/>
      </c>
      <c r="M112" s="8">
        <f t="array" ref="M112">_xlfn.LET(
_xlpm.計画状態,IFERROR(INDEX(tbl_plan[計画状態],ROW()-1)&amp;"",""),
_xlpm.必要数,IFERROR(N(INDEX(tbl_plan[必要数],ROW()-1)),0),
IF(_xlpm.計画状態="キャンセル",0,_xlpm.必要数))</f>
        <v>0</v>
      </c>
      <c r="N112" s="8" t="str">
        <f>IF($A112="","",_xlfn.LET(
_xlpm.搬入計,SUMIFS(tbl_ledger[数量],tbl_ledger[localId],$B112,tbl_ledger[イベント種類],"搬入"),
_xlpm.未割当発送,SUMIFS(tbl_ledger[数量],tbl_ledger[localId],$B112,tbl_ledger[イベント種類],"発送",tbl_ledger[ロットID],"="),
_xlpm.未割当倉庫戻し,SUMIFS(tbl_ledger[数量],tbl_ledger[localId],$B112,tbl_ledger[イベント種類],"倉庫戻し",tbl_ledger[ロットID],"="),
_xlpm.未割当不良,SUMIFS(tbl_ledger[数量],tbl_ledger[localId],$B112,tbl_ledger[イベント種類],"不良発生",tbl_ledger[ロットID],"="),
_xlpm.搬入計-_xlpm.未割当発送-_xlpm.未割当倉庫戻し-_xlpm.未割当不良))</f>
        <v/>
      </c>
      <c r="O112" s="8" t="str">
        <f t="array" ref="O112">IF($A112="","",_xlfn.LET(
_xlpm.同品番,($B$2:$B$301=$B112),
_xlpm.週が前,($C$2:$C$301&lt;$C112),
_xlpm.同週で上行,($C$2:$C$301=$C112)*(ROW($C$2:$C$301)&lt;ROW()),
SUMPRODUCT(_xlpm.同品番*(_xlpm.週が前+_xlpm.同週で上行)*$M$2:$M$301)))</f>
        <v/>
      </c>
    </row>
    <row r="113" spans="1:15" ht="15" customHeight="1" x14ac:dyDescent="0.25">
      <c r="A113" s="4" t="str">
        <f>IFERROR(INDEX(tbl_plan[ロットID],ROW()-1),"")</f>
        <v/>
      </c>
      <c r="B113" s="4" t="str">
        <f>IF($A113="","",INDEX(tbl_plan[localId],ROW()-1))</f>
        <v/>
      </c>
      <c r="C113" s="11" t="str">
        <f>IF($A113="","",INDEX(tbl_plan[出荷週],ROW()-1))</f>
        <v/>
      </c>
      <c r="D113" s="4" t="str">
        <f>IF($A113="","",INDEX(tbl_plan[納期先],ROW()-1)&amp;"")</f>
        <v/>
      </c>
      <c r="E113" s="8" t="str">
        <f>IF($A113="","",INDEX(tbl_plan[必要数],ROW()-1))</f>
        <v/>
      </c>
      <c r="F113" s="8" t="str">
        <f t="shared" si="3"/>
        <v/>
      </c>
      <c r="G113" s="8" t="str">
        <f>IF($A113="","",SUMIFS(tbl_ledger[数量],tbl_ledger[ロットID],$A113,tbl_ledger[イベント種類],"発送"))</f>
        <v/>
      </c>
      <c r="H113" s="8" t="str">
        <f>IF($A113="","",_xlfn.LET(
_xlpm.割当,F113,
_xlpm.充当受入,SUMIFS(tbl_ledger[数量],tbl_ledger[充当先ロットID],$A113,tbl_ledger[イベント種類],"充当"),
_xlpm.充当放出,SUMIFS(tbl_ledger[数量],tbl_ledger[ロットID],$A113,tbl_ledger[イベント種類],"充当"),
_xlpm.発送済,G113,
_xlpm.倉庫戻し,SUMIFS(tbl_ledger[数量],tbl_ledger[ロットID],$A113,tbl_ledger[イベント種類],"倉庫戻し"),
_xlpm.余剰化,SUMIFS(tbl_ledger[数量],tbl_ledger[ロットID],$A113,tbl_ledger[イベント種類],"余剰化"),
_xlpm.不良,SUMIFS(tbl_ledger[数量],tbl_ledger[ロットID],$A113,tbl_ledger[イベント種類],"不良発生"),
_xlpm.割当+_xlpm.充当受入-_xlpm.充当放出-_xlpm.発送済-_xlpm.倉庫戻し-_xlpm.余剰化-_xlpm.不良))</f>
        <v/>
      </c>
      <c r="I113" s="8" t="str">
        <f>IF($A113="","",_xlfn.LET(
_xlpm.品番プール,N113,
_xlpm.割当計,SUMIF($B$2:$B$301,$B113,$F$2:$F$301),
_xlpm.余剰化受入,SUMIFS(tbl_ledger[数量],tbl_ledger[localId],$B113,tbl_ledger[イベント種類],"余剰化"),
_xlpm.充当払出,SUMIFS(tbl_ledger[数量],tbl_ledger[localId],$B113,tbl_ledger[イベント種類],"充当",tbl_ledger[ロットID],"="),
_xlpm.品番プール-_xlpm.割当計+_xlpm.余剰化受入-_xlpm.充当払出))</f>
        <v/>
      </c>
      <c r="J113" s="8" t="str">
        <f t="shared" si="4"/>
        <v/>
      </c>
      <c r="K113" s="8" t="str">
        <f t="shared" si="5"/>
        <v/>
      </c>
      <c r="L113" s="4" t="str">
        <f>IF($A113="","",IF(INDEX(tbl_plan[計画状態],ROW()-1)="キャンセル","キャンセル",IF(J113=0,"発送済",IF(K113&gt;0,"要搬出","OK"))))</f>
        <v/>
      </c>
      <c r="M113" s="8">
        <f t="array" ref="M113">_xlfn.LET(
_xlpm.計画状態,IFERROR(INDEX(tbl_plan[計画状態],ROW()-1)&amp;"",""),
_xlpm.必要数,IFERROR(N(INDEX(tbl_plan[必要数],ROW()-1)),0),
IF(_xlpm.計画状態="キャンセル",0,_xlpm.必要数))</f>
        <v>0</v>
      </c>
      <c r="N113" s="8" t="str">
        <f>IF($A113="","",_xlfn.LET(
_xlpm.搬入計,SUMIFS(tbl_ledger[数量],tbl_ledger[localId],$B113,tbl_ledger[イベント種類],"搬入"),
_xlpm.未割当発送,SUMIFS(tbl_ledger[数量],tbl_ledger[localId],$B113,tbl_ledger[イベント種類],"発送",tbl_ledger[ロットID],"="),
_xlpm.未割当倉庫戻し,SUMIFS(tbl_ledger[数量],tbl_ledger[localId],$B113,tbl_ledger[イベント種類],"倉庫戻し",tbl_ledger[ロットID],"="),
_xlpm.未割当不良,SUMIFS(tbl_ledger[数量],tbl_ledger[localId],$B113,tbl_ledger[イベント種類],"不良発生",tbl_ledger[ロットID],"="),
_xlpm.搬入計-_xlpm.未割当発送-_xlpm.未割当倉庫戻し-_xlpm.未割当不良))</f>
        <v/>
      </c>
      <c r="O113" s="8" t="str">
        <f t="array" ref="O113">IF($A113="","",_xlfn.LET(
_xlpm.同品番,($B$2:$B$301=$B113),
_xlpm.週が前,($C$2:$C$301&lt;$C113),
_xlpm.同週で上行,($C$2:$C$301=$C113)*(ROW($C$2:$C$301)&lt;ROW()),
SUMPRODUCT(_xlpm.同品番*(_xlpm.週が前+_xlpm.同週で上行)*$M$2:$M$301)))</f>
        <v/>
      </c>
    </row>
    <row r="114" spans="1:15" ht="15" customHeight="1" x14ac:dyDescent="0.25">
      <c r="A114" s="4" t="str">
        <f>IFERROR(INDEX(tbl_plan[ロットID],ROW()-1),"")</f>
        <v/>
      </c>
      <c r="B114" s="4" t="str">
        <f>IF($A114="","",INDEX(tbl_plan[localId],ROW()-1))</f>
        <v/>
      </c>
      <c r="C114" s="11" t="str">
        <f>IF($A114="","",INDEX(tbl_plan[出荷週],ROW()-1))</f>
        <v/>
      </c>
      <c r="D114" s="4" t="str">
        <f>IF($A114="","",INDEX(tbl_plan[納期先],ROW()-1)&amp;"")</f>
        <v/>
      </c>
      <c r="E114" s="8" t="str">
        <f>IF($A114="","",INDEX(tbl_plan[必要数],ROW()-1))</f>
        <v/>
      </c>
      <c r="F114" s="8" t="str">
        <f t="shared" si="3"/>
        <v/>
      </c>
      <c r="G114" s="8" t="str">
        <f>IF($A114="","",SUMIFS(tbl_ledger[数量],tbl_ledger[ロットID],$A114,tbl_ledger[イベント種類],"発送"))</f>
        <v/>
      </c>
      <c r="H114" s="8" t="str">
        <f>IF($A114="","",_xlfn.LET(
_xlpm.割当,F114,
_xlpm.充当受入,SUMIFS(tbl_ledger[数量],tbl_ledger[充当先ロットID],$A114,tbl_ledger[イベント種類],"充当"),
_xlpm.充当放出,SUMIFS(tbl_ledger[数量],tbl_ledger[ロットID],$A114,tbl_ledger[イベント種類],"充当"),
_xlpm.発送済,G114,
_xlpm.倉庫戻し,SUMIFS(tbl_ledger[数量],tbl_ledger[ロットID],$A114,tbl_ledger[イベント種類],"倉庫戻し"),
_xlpm.余剰化,SUMIFS(tbl_ledger[数量],tbl_ledger[ロットID],$A114,tbl_ledger[イベント種類],"余剰化"),
_xlpm.不良,SUMIFS(tbl_ledger[数量],tbl_ledger[ロットID],$A114,tbl_ledger[イベント種類],"不良発生"),
_xlpm.割当+_xlpm.充当受入-_xlpm.充当放出-_xlpm.発送済-_xlpm.倉庫戻し-_xlpm.余剰化-_xlpm.不良))</f>
        <v/>
      </c>
      <c r="I114" s="8" t="str">
        <f>IF($A114="","",_xlfn.LET(
_xlpm.品番プール,N114,
_xlpm.割当計,SUMIF($B$2:$B$301,$B114,$F$2:$F$301),
_xlpm.余剰化受入,SUMIFS(tbl_ledger[数量],tbl_ledger[localId],$B114,tbl_ledger[イベント種類],"余剰化"),
_xlpm.充当払出,SUMIFS(tbl_ledger[数量],tbl_ledger[localId],$B114,tbl_ledger[イベント種類],"充当",tbl_ledger[ロットID],"="),
_xlpm.品番プール-_xlpm.割当計+_xlpm.余剰化受入-_xlpm.充当払出))</f>
        <v/>
      </c>
      <c r="J114" s="8" t="str">
        <f t="shared" si="4"/>
        <v/>
      </c>
      <c r="K114" s="8" t="str">
        <f t="shared" si="5"/>
        <v/>
      </c>
      <c r="L114" s="4" t="str">
        <f>IF($A114="","",IF(INDEX(tbl_plan[計画状態],ROW()-1)="キャンセル","キャンセル",IF(J114=0,"発送済",IF(K114&gt;0,"要搬出","OK"))))</f>
        <v/>
      </c>
      <c r="M114" s="8">
        <f t="array" ref="M114">_xlfn.LET(
_xlpm.計画状態,IFERROR(INDEX(tbl_plan[計画状態],ROW()-1)&amp;"",""),
_xlpm.必要数,IFERROR(N(INDEX(tbl_plan[必要数],ROW()-1)),0),
IF(_xlpm.計画状態="キャンセル",0,_xlpm.必要数))</f>
        <v>0</v>
      </c>
      <c r="N114" s="8" t="str">
        <f>IF($A114="","",_xlfn.LET(
_xlpm.搬入計,SUMIFS(tbl_ledger[数量],tbl_ledger[localId],$B114,tbl_ledger[イベント種類],"搬入"),
_xlpm.未割当発送,SUMIFS(tbl_ledger[数量],tbl_ledger[localId],$B114,tbl_ledger[イベント種類],"発送",tbl_ledger[ロットID],"="),
_xlpm.未割当倉庫戻し,SUMIFS(tbl_ledger[数量],tbl_ledger[localId],$B114,tbl_ledger[イベント種類],"倉庫戻し",tbl_ledger[ロットID],"="),
_xlpm.未割当不良,SUMIFS(tbl_ledger[数量],tbl_ledger[localId],$B114,tbl_ledger[イベント種類],"不良発生",tbl_ledger[ロットID],"="),
_xlpm.搬入計-_xlpm.未割当発送-_xlpm.未割当倉庫戻し-_xlpm.未割当不良))</f>
        <v/>
      </c>
      <c r="O114" s="8" t="str">
        <f t="array" ref="O114">IF($A114="","",_xlfn.LET(
_xlpm.同品番,($B$2:$B$301=$B114),
_xlpm.週が前,($C$2:$C$301&lt;$C114),
_xlpm.同週で上行,($C$2:$C$301=$C114)*(ROW($C$2:$C$301)&lt;ROW()),
SUMPRODUCT(_xlpm.同品番*(_xlpm.週が前+_xlpm.同週で上行)*$M$2:$M$301)))</f>
        <v/>
      </c>
    </row>
    <row r="115" spans="1:15" ht="15" customHeight="1" x14ac:dyDescent="0.25">
      <c r="A115" s="4" t="str">
        <f>IFERROR(INDEX(tbl_plan[ロットID],ROW()-1),"")</f>
        <v/>
      </c>
      <c r="B115" s="4" t="str">
        <f>IF($A115="","",INDEX(tbl_plan[localId],ROW()-1))</f>
        <v/>
      </c>
      <c r="C115" s="11" t="str">
        <f>IF($A115="","",INDEX(tbl_plan[出荷週],ROW()-1))</f>
        <v/>
      </c>
      <c r="D115" s="4" t="str">
        <f>IF($A115="","",INDEX(tbl_plan[納期先],ROW()-1)&amp;"")</f>
        <v/>
      </c>
      <c r="E115" s="8" t="str">
        <f>IF($A115="","",INDEX(tbl_plan[必要数],ROW()-1))</f>
        <v/>
      </c>
      <c r="F115" s="8" t="str">
        <f t="shared" si="3"/>
        <v/>
      </c>
      <c r="G115" s="8" t="str">
        <f>IF($A115="","",SUMIFS(tbl_ledger[数量],tbl_ledger[ロットID],$A115,tbl_ledger[イベント種類],"発送"))</f>
        <v/>
      </c>
      <c r="H115" s="8" t="str">
        <f>IF($A115="","",_xlfn.LET(
_xlpm.割当,F115,
_xlpm.充当受入,SUMIFS(tbl_ledger[数量],tbl_ledger[充当先ロットID],$A115,tbl_ledger[イベント種類],"充当"),
_xlpm.充当放出,SUMIFS(tbl_ledger[数量],tbl_ledger[ロットID],$A115,tbl_ledger[イベント種類],"充当"),
_xlpm.発送済,G115,
_xlpm.倉庫戻し,SUMIFS(tbl_ledger[数量],tbl_ledger[ロットID],$A115,tbl_ledger[イベント種類],"倉庫戻し"),
_xlpm.余剰化,SUMIFS(tbl_ledger[数量],tbl_ledger[ロットID],$A115,tbl_ledger[イベント種類],"余剰化"),
_xlpm.不良,SUMIFS(tbl_ledger[数量],tbl_ledger[ロットID],$A115,tbl_ledger[イベント種類],"不良発生"),
_xlpm.割当+_xlpm.充当受入-_xlpm.充当放出-_xlpm.発送済-_xlpm.倉庫戻し-_xlpm.余剰化-_xlpm.不良))</f>
        <v/>
      </c>
      <c r="I115" s="8" t="str">
        <f>IF($A115="","",_xlfn.LET(
_xlpm.品番プール,N115,
_xlpm.割当計,SUMIF($B$2:$B$301,$B115,$F$2:$F$301),
_xlpm.余剰化受入,SUMIFS(tbl_ledger[数量],tbl_ledger[localId],$B115,tbl_ledger[イベント種類],"余剰化"),
_xlpm.充当払出,SUMIFS(tbl_ledger[数量],tbl_ledger[localId],$B115,tbl_ledger[イベント種類],"充当",tbl_ledger[ロットID],"="),
_xlpm.品番プール-_xlpm.割当計+_xlpm.余剰化受入-_xlpm.充当払出))</f>
        <v/>
      </c>
      <c r="J115" s="8" t="str">
        <f t="shared" si="4"/>
        <v/>
      </c>
      <c r="K115" s="8" t="str">
        <f t="shared" si="5"/>
        <v/>
      </c>
      <c r="L115" s="4" t="str">
        <f>IF($A115="","",IF(INDEX(tbl_plan[計画状態],ROW()-1)="キャンセル","キャンセル",IF(J115=0,"発送済",IF(K115&gt;0,"要搬出","OK"))))</f>
        <v/>
      </c>
      <c r="M115" s="8">
        <f t="array" ref="M115">_xlfn.LET(
_xlpm.計画状態,IFERROR(INDEX(tbl_plan[計画状態],ROW()-1)&amp;"",""),
_xlpm.必要数,IFERROR(N(INDEX(tbl_plan[必要数],ROW()-1)),0),
IF(_xlpm.計画状態="キャンセル",0,_xlpm.必要数))</f>
        <v>0</v>
      </c>
      <c r="N115" s="8" t="str">
        <f>IF($A115="","",_xlfn.LET(
_xlpm.搬入計,SUMIFS(tbl_ledger[数量],tbl_ledger[localId],$B115,tbl_ledger[イベント種類],"搬入"),
_xlpm.未割当発送,SUMIFS(tbl_ledger[数量],tbl_ledger[localId],$B115,tbl_ledger[イベント種類],"発送",tbl_ledger[ロットID],"="),
_xlpm.未割当倉庫戻し,SUMIFS(tbl_ledger[数量],tbl_ledger[localId],$B115,tbl_ledger[イベント種類],"倉庫戻し",tbl_ledger[ロットID],"="),
_xlpm.未割当不良,SUMIFS(tbl_ledger[数量],tbl_ledger[localId],$B115,tbl_ledger[イベント種類],"不良発生",tbl_ledger[ロットID],"="),
_xlpm.搬入計-_xlpm.未割当発送-_xlpm.未割当倉庫戻し-_xlpm.未割当不良))</f>
        <v/>
      </c>
      <c r="O115" s="8" t="str">
        <f t="array" ref="O115">IF($A115="","",_xlfn.LET(
_xlpm.同品番,($B$2:$B$301=$B115),
_xlpm.週が前,($C$2:$C$301&lt;$C115),
_xlpm.同週で上行,($C$2:$C$301=$C115)*(ROW($C$2:$C$301)&lt;ROW()),
SUMPRODUCT(_xlpm.同品番*(_xlpm.週が前+_xlpm.同週で上行)*$M$2:$M$301)))</f>
        <v/>
      </c>
    </row>
    <row r="116" spans="1:15" ht="15" customHeight="1" x14ac:dyDescent="0.25">
      <c r="A116" s="4" t="str">
        <f>IFERROR(INDEX(tbl_plan[ロットID],ROW()-1),"")</f>
        <v/>
      </c>
      <c r="B116" s="4" t="str">
        <f>IF($A116="","",INDEX(tbl_plan[localId],ROW()-1))</f>
        <v/>
      </c>
      <c r="C116" s="11" t="str">
        <f>IF($A116="","",INDEX(tbl_plan[出荷週],ROW()-1))</f>
        <v/>
      </c>
      <c r="D116" s="4" t="str">
        <f>IF($A116="","",INDEX(tbl_plan[納期先],ROW()-1)&amp;"")</f>
        <v/>
      </c>
      <c r="E116" s="8" t="str">
        <f>IF($A116="","",INDEX(tbl_plan[必要数],ROW()-1))</f>
        <v/>
      </c>
      <c r="F116" s="8" t="str">
        <f t="shared" si="3"/>
        <v/>
      </c>
      <c r="G116" s="8" t="str">
        <f>IF($A116="","",SUMIFS(tbl_ledger[数量],tbl_ledger[ロットID],$A116,tbl_ledger[イベント種類],"発送"))</f>
        <v/>
      </c>
      <c r="H116" s="8" t="str">
        <f>IF($A116="","",_xlfn.LET(
_xlpm.割当,F116,
_xlpm.充当受入,SUMIFS(tbl_ledger[数量],tbl_ledger[充当先ロットID],$A116,tbl_ledger[イベント種類],"充当"),
_xlpm.充当放出,SUMIFS(tbl_ledger[数量],tbl_ledger[ロットID],$A116,tbl_ledger[イベント種類],"充当"),
_xlpm.発送済,G116,
_xlpm.倉庫戻し,SUMIFS(tbl_ledger[数量],tbl_ledger[ロットID],$A116,tbl_ledger[イベント種類],"倉庫戻し"),
_xlpm.余剰化,SUMIFS(tbl_ledger[数量],tbl_ledger[ロットID],$A116,tbl_ledger[イベント種類],"余剰化"),
_xlpm.不良,SUMIFS(tbl_ledger[数量],tbl_ledger[ロットID],$A116,tbl_ledger[イベント種類],"不良発生"),
_xlpm.割当+_xlpm.充当受入-_xlpm.充当放出-_xlpm.発送済-_xlpm.倉庫戻し-_xlpm.余剰化-_xlpm.不良))</f>
        <v/>
      </c>
      <c r="I116" s="8" t="str">
        <f>IF($A116="","",_xlfn.LET(
_xlpm.品番プール,N116,
_xlpm.割当計,SUMIF($B$2:$B$301,$B116,$F$2:$F$301),
_xlpm.余剰化受入,SUMIFS(tbl_ledger[数量],tbl_ledger[localId],$B116,tbl_ledger[イベント種類],"余剰化"),
_xlpm.充当払出,SUMIFS(tbl_ledger[数量],tbl_ledger[localId],$B116,tbl_ledger[イベント種類],"充当",tbl_ledger[ロットID],"="),
_xlpm.品番プール-_xlpm.割当計+_xlpm.余剰化受入-_xlpm.充当払出))</f>
        <v/>
      </c>
      <c r="J116" s="8" t="str">
        <f t="shared" si="4"/>
        <v/>
      </c>
      <c r="K116" s="8" t="str">
        <f t="shared" si="5"/>
        <v/>
      </c>
      <c r="L116" s="4" t="str">
        <f>IF($A116="","",IF(INDEX(tbl_plan[計画状態],ROW()-1)="キャンセル","キャンセル",IF(J116=0,"発送済",IF(K116&gt;0,"要搬出","OK"))))</f>
        <v/>
      </c>
      <c r="M116" s="8">
        <f t="array" ref="M116">_xlfn.LET(
_xlpm.計画状態,IFERROR(INDEX(tbl_plan[計画状態],ROW()-1)&amp;"",""),
_xlpm.必要数,IFERROR(N(INDEX(tbl_plan[必要数],ROW()-1)),0),
IF(_xlpm.計画状態="キャンセル",0,_xlpm.必要数))</f>
        <v>0</v>
      </c>
      <c r="N116" s="8" t="str">
        <f>IF($A116="","",_xlfn.LET(
_xlpm.搬入計,SUMIFS(tbl_ledger[数量],tbl_ledger[localId],$B116,tbl_ledger[イベント種類],"搬入"),
_xlpm.未割当発送,SUMIFS(tbl_ledger[数量],tbl_ledger[localId],$B116,tbl_ledger[イベント種類],"発送",tbl_ledger[ロットID],"="),
_xlpm.未割当倉庫戻し,SUMIFS(tbl_ledger[数量],tbl_ledger[localId],$B116,tbl_ledger[イベント種類],"倉庫戻し",tbl_ledger[ロットID],"="),
_xlpm.未割当不良,SUMIFS(tbl_ledger[数量],tbl_ledger[localId],$B116,tbl_ledger[イベント種類],"不良発生",tbl_ledger[ロットID],"="),
_xlpm.搬入計-_xlpm.未割当発送-_xlpm.未割当倉庫戻し-_xlpm.未割当不良))</f>
        <v/>
      </c>
      <c r="O116" s="8" t="str">
        <f t="array" ref="O116">IF($A116="","",_xlfn.LET(
_xlpm.同品番,($B$2:$B$301=$B116),
_xlpm.週が前,($C$2:$C$301&lt;$C116),
_xlpm.同週で上行,($C$2:$C$301=$C116)*(ROW($C$2:$C$301)&lt;ROW()),
SUMPRODUCT(_xlpm.同品番*(_xlpm.週が前+_xlpm.同週で上行)*$M$2:$M$301)))</f>
        <v/>
      </c>
    </row>
    <row r="117" spans="1:15" ht="15" customHeight="1" x14ac:dyDescent="0.25">
      <c r="A117" s="4" t="str">
        <f>IFERROR(INDEX(tbl_plan[ロットID],ROW()-1),"")</f>
        <v/>
      </c>
      <c r="B117" s="4" t="str">
        <f>IF($A117="","",INDEX(tbl_plan[localId],ROW()-1))</f>
        <v/>
      </c>
      <c r="C117" s="11" t="str">
        <f>IF($A117="","",INDEX(tbl_plan[出荷週],ROW()-1))</f>
        <v/>
      </c>
      <c r="D117" s="4" t="str">
        <f>IF($A117="","",INDEX(tbl_plan[納期先],ROW()-1)&amp;"")</f>
        <v/>
      </c>
      <c r="E117" s="8" t="str">
        <f>IF($A117="","",INDEX(tbl_plan[必要数],ROW()-1))</f>
        <v/>
      </c>
      <c r="F117" s="8" t="str">
        <f t="shared" si="3"/>
        <v/>
      </c>
      <c r="G117" s="8" t="str">
        <f>IF($A117="","",SUMIFS(tbl_ledger[数量],tbl_ledger[ロットID],$A117,tbl_ledger[イベント種類],"発送"))</f>
        <v/>
      </c>
      <c r="H117" s="8" t="str">
        <f>IF($A117="","",_xlfn.LET(
_xlpm.割当,F117,
_xlpm.充当受入,SUMIFS(tbl_ledger[数量],tbl_ledger[充当先ロットID],$A117,tbl_ledger[イベント種類],"充当"),
_xlpm.充当放出,SUMIFS(tbl_ledger[数量],tbl_ledger[ロットID],$A117,tbl_ledger[イベント種類],"充当"),
_xlpm.発送済,G117,
_xlpm.倉庫戻し,SUMIFS(tbl_ledger[数量],tbl_ledger[ロットID],$A117,tbl_ledger[イベント種類],"倉庫戻し"),
_xlpm.余剰化,SUMIFS(tbl_ledger[数量],tbl_ledger[ロットID],$A117,tbl_ledger[イベント種類],"余剰化"),
_xlpm.不良,SUMIFS(tbl_ledger[数量],tbl_ledger[ロットID],$A117,tbl_ledger[イベント種類],"不良発生"),
_xlpm.割当+_xlpm.充当受入-_xlpm.充当放出-_xlpm.発送済-_xlpm.倉庫戻し-_xlpm.余剰化-_xlpm.不良))</f>
        <v/>
      </c>
      <c r="I117" s="8" t="str">
        <f>IF($A117="","",_xlfn.LET(
_xlpm.品番プール,N117,
_xlpm.割当計,SUMIF($B$2:$B$301,$B117,$F$2:$F$301),
_xlpm.余剰化受入,SUMIFS(tbl_ledger[数量],tbl_ledger[localId],$B117,tbl_ledger[イベント種類],"余剰化"),
_xlpm.充当払出,SUMIFS(tbl_ledger[数量],tbl_ledger[localId],$B117,tbl_ledger[イベント種類],"充当",tbl_ledger[ロットID],"="),
_xlpm.品番プール-_xlpm.割当計+_xlpm.余剰化受入-_xlpm.充当払出))</f>
        <v/>
      </c>
      <c r="J117" s="8" t="str">
        <f t="shared" si="4"/>
        <v/>
      </c>
      <c r="K117" s="8" t="str">
        <f t="shared" si="5"/>
        <v/>
      </c>
      <c r="L117" s="4" t="str">
        <f>IF($A117="","",IF(INDEX(tbl_plan[計画状態],ROW()-1)="キャンセル","キャンセル",IF(J117=0,"発送済",IF(K117&gt;0,"要搬出","OK"))))</f>
        <v/>
      </c>
      <c r="M117" s="8">
        <f t="array" ref="M117">_xlfn.LET(
_xlpm.計画状態,IFERROR(INDEX(tbl_plan[計画状態],ROW()-1)&amp;"",""),
_xlpm.必要数,IFERROR(N(INDEX(tbl_plan[必要数],ROW()-1)),0),
IF(_xlpm.計画状態="キャンセル",0,_xlpm.必要数))</f>
        <v>0</v>
      </c>
      <c r="N117" s="8" t="str">
        <f>IF($A117="","",_xlfn.LET(
_xlpm.搬入計,SUMIFS(tbl_ledger[数量],tbl_ledger[localId],$B117,tbl_ledger[イベント種類],"搬入"),
_xlpm.未割当発送,SUMIFS(tbl_ledger[数量],tbl_ledger[localId],$B117,tbl_ledger[イベント種類],"発送",tbl_ledger[ロットID],"="),
_xlpm.未割当倉庫戻し,SUMIFS(tbl_ledger[数量],tbl_ledger[localId],$B117,tbl_ledger[イベント種類],"倉庫戻し",tbl_ledger[ロットID],"="),
_xlpm.未割当不良,SUMIFS(tbl_ledger[数量],tbl_ledger[localId],$B117,tbl_ledger[イベント種類],"不良発生",tbl_ledger[ロットID],"="),
_xlpm.搬入計-_xlpm.未割当発送-_xlpm.未割当倉庫戻し-_xlpm.未割当不良))</f>
        <v/>
      </c>
      <c r="O117" s="8" t="str">
        <f t="array" ref="O117">IF($A117="","",_xlfn.LET(
_xlpm.同品番,($B$2:$B$301=$B117),
_xlpm.週が前,($C$2:$C$301&lt;$C117),
_xlpm.同週で上行,($C$2:$C$301=$C117)*(ROW($C$2:$C$301)&lt;ROW()),
SUMPRODUCT(_xlpm.同品番*(_xlpm.週が前+_xlpm.同週で上行)*$M$2:$M$301)))</f>
        <v/>
      </c>
    </row>
    <row r="118" spans="1:15" ht="15" customHeight="1" x14ac:dyDescent="0.25">
      <c r="A118" s="4" t="str">
        <f>IFERROR(INDEX(tbl_plan[ロットID],ROW()-1),"")</f>
        <v/>
      </c>
      <c r="B118" s="4" t="str">
        <f>IF($A118="","",INDEX(tbl_plan[localId],ROW()-1))</f>
        <v/>
      </c>
      <c r="C118" s="11" t="str">
        <f>IF($A118="","",INDEX(tbl_plan[出荷週],ROW()-1))</f>
        <v/>
      </c>
      <c r="D118" s="4" t="str">
        <f>IF($A118="","",INDEX(tbl_plan[納期先],ROW()-1)&amp;"")</f>
        <v/>
      </c>
      <c r="E118" s="8" t="str">
        <f>IF($A118="","",INDEX(tbl_plan[必要数],ROW()-1))</f>
        <v/>
      </c>
      <c r="F118" s="8" t="str">
        <f t="shared" si="3"/>
        <v/>
      </c>
      <c r="G118" s="8" t="str">
        <f>IF($A118="","",SUMIFS(tbl_ledger[数量],tbl_ledger[ロットID],$A118,tbl_ledger[イベント種類],"発送"))</f>
        <v/>
      </c>
      <c r="H118" s="8" t="str">
        <f>IF($A118="","",_xlfn.LET(
_xlpm.割当,F118,
_xlpm.充当受入,SUMIFS(tbl_ledger[数量],tbl_ledger[充当先ロットID],$A118,tbl_ledger[イベント種類],"充当"),
_xlpm.充当放出,SUMIFS(tbl_ledger[数量],tbl_ledger[ロットID],$A118,tbl_ledger[イベント種類],"充当"),
_xlpm.発送済,G118,
_xlpm.倉庫戻し,SUMIFS(tbl_ledger[数量],tbl_ledger[ロットID],$A118,tbl_ledger[イベント種類],"倉庫戻し"),
_xlpm.余剰化,SUMIFS(tbl_ledger[数量],tbl_ledger[ロットID],$A118,tbl_ledger[イベント種類],"余剰化"),
_xlpm.不良,SUMIFS(tbl_ledger[数量],tbl_ledger[ロットID],$A118,tbl_ledger[イベント種類],"不良発生"),
_xlpm.割当+_xlpm.充当受入-_xlpm.充当放出-_xlpm.発送済-_xlpm.倉庫戻し-_xlpm.余剰化-_xlpm.不良))</f>
        <v/>
      </c>
      <c r="I118" s="8" t="str">
        <f>IF($A118="","",_xlfn.LET(
_xlpm.品番プール,N118,
_xlpm.割当計,SUMIF($B$2:$B$301,$B118,$F$2:$F$301),
_xlpm.余剰化受入,SUMIFS(tbl_ledger[数量],tbl_ledger[localId],$B118,tbl_ledger[イベント種類],"余剰化"),
_xlpm.充当払出,SUMIFS(tbl_ledger[数量],tbl_ledger[localId],$B118,tbl_ledger[イベント種類],"充当",tbl_ledger[ロットID],"="),
_xlpm.品番プール-_xlpm.割当計+_xlpm.余剰化受入-_xlpm.充当払出))</f>
        <v/>
      </c>
      <c r="J118" s="8" t="str">
        <f t="shared" si="4"/>
        <v/>
      </c>
      <c r="K118" s="8" t="str">
        <f t="shared" si="5"/>
        <v/>
      </c>
      <c r="L118" s="4" t="str">
        <f>IF($A118="","",IF(INDEX(tbl_plan[計画状態],ROW()-1)="キャンセル","キャンセル",IF(J118=0,"発送済",IF(K118&gt;0,"要搬出","OK"))))</f>
        <v/>
      </c>
      <c r="M118" s="8">
        <f t="array" ref="M118">_xlfn.LET(
_xlpm.計画状態,IFERROR(INDEX(tbl_plan[計画状態],ROW()-1)&amp;"",""),
_xlpm.必要数,IFERROR(N(INDEX(tbl_plan[必要数],ROW()-1)),0),
IF(_xlpm.計画状態="キャンセル",0,_xlpm.必要数))</f>
        <v>0</v>
      </c>
      <c r="N118" s="8" t="str">
        <f>IF($A118="","",_xlfn.LET(
_xlpm.搬入計,SUMIFS(tbl_ledger[数量],tbl_ledger[localId],$B118,tbl_ledger[イベント種類],"搬入"),
_xlpm.未割当発送,SUMIFS(tbl_ledger[数量],tbl_ledger[localId],$B118,tbl_ledger[イベント種類],"発送",tbl_ledger[ロットID],"="),
_xlpm.未割当倉庫戻し,SUMIFS(tbl_ledger[数量],tbl_ledger[localId],$B118,tbl_ledger[イベント種類],"倉庫戻し",tbl_ledger[ロットID],"="),
_xlpm.未割当不良,SUMIFS(tbl_ledger[数量],tbl_ledger[localId],$B118,tbl_ledger[イベント種類],"不良発生",tbl_ledger[ロットID],"="),
_xlpm.搬入計-_xlpm.未割当発送-_xlpm.未割当倉庫戻し-_xlpm.未割当不良))</f>
        <v/>
      </c>
      <c r="O118" s="8" t="str">
        <f t="array" ref="O118">IF($A118="","",_xlfn.LET(
_xlpm.同品番,($B$2:$B$301=$B118),
_xlpm.週が前,($C$2:$C$301&lt;$C118),
_xlpm.同週で上行,($C$2:$C$301=$C118)*(ROW($C$2:$C$301)&lt;ROW()),
SUMPRODUCT(_xlpm.同品番*(_xlpm.週が前+_xlpm.同週で上行)*$M$2:$M$301)))</f>
        <v/>
      </c>
    </row>
    <row r="119" spans="1:15" ht="15" customHeight="1" x14ac:dyDescent="0.25">
      <c r="A119" s="4" t="str">
        <f>IFERROR(INDEX(tbl_plan[ロットID],ROW()-1),"")</f>
        <v/>
      </c>
      <c r="B119" s="4" t="str">
        <f>IF($A119="","",INDEX(tbl_plan[localId],ROW()-1))</f>
        <v/>
      </c>
      <c r="C119" s="11" t="str">
        <f>IF($A119="","",INDEX(tbl_plan[出荷週],ROW()-1))</f>
        <v/>
      </c>
      <c r="D119" s="4" t="str">
        <f>IF($A119="","",INDEX(tbl_plan[納期先],ROW()-1)&amp;"")</f>
        <v/>
      </c>
      <c r="E119" s="8" t="str">
        <f>IF($A119="","",INDEX(tbl_plan[必要数],ROW()-1))</f>
        <v/>
      </c>
      <c r="F119" s="8" t="str">
        <f t="shared" si="3"/>
        <v/>
      </c>
      <c r="G119" s="8" t="str">
        <f>IF($A119="","",SUMIFS(tbl_ledger[数量],tbl_ledger[ロットID],$A119,tbl_ledger[イベント種類],"発送"))</f>
        <v/>
      </c>
      <c r="H119" s="8" t="str">
        <f>IF($A119="","",_xlfn.LET(
_xlpm.割当,F119,
_xlpm.充当受入,SUMIFS(tbl_ledger[数量],tbl_ledger[充当先ロットID],$A119,tbl_ledger[イベント種類],"充当"),
_xlpm.充当放出,SUMIFS(tbl_ledger[数量],tbl_ledger[ロットID],$A119,tbl_ledger[イベント種類],"充当"),
_xlpm.発送済,G119,
_xlpm.倉庫戻し,SUMIFS(tbl_ledger[数量],tbl_ledger[ロットID],$A119,tbl_ledger[イベント種類],"倉庫戻し"),
_xlpm.余剰化,SUMIFS(tbl_ledger[数量],tbl_ledger[ロットID],$A119,tbl_ledger[イベント種類],"余剰化"),
_xlpm.不良,SUMIFS(tbl_ledger[数量],tbl_ledger[ロットID],$A119,tbl_ledger[イベント種類],"不良発生"),
_xlpm.割当+_xlpm.充当受入-_xlpm.充当放出-_xlpm.発送済-_xlpm.倉庫戻し-_xlpm.余剰化-_xlpm.不良))</f>
        <v/>
      </c>
      <c r="I119" s="8" t="str">
        <f>IF($A119="","",_xlfn.LET(
_xlpm.品番プール,N119,
_xlpm.割当計,SUMIF($B$2:$B$301,$B119,$F$2:$F$301),
_xlpm.余剰化受入,SUMIFS(tbl_ledger[数量],tbl_ledger[localId],$B119,tbl_ledger[イベント種類],"余剰化"),
_xlpm.充当払出,SUMIFS(tbl_ledger[数量],tbl_ledger[localId],$B119,tbl_ledger[イベント種類],"充当",tbl_ledger[ロットID],"="),
_xlpm.品番プール-_xlpm.割当計+_xlpm.余剰化受入-_xlpm.充当払出))</f>
        <v/>
      </c>
      <c r="J119" s="8" t="str">
        <f t="shared" si="4"/>
        <v/>
      </c>
      <c r="K119" s="8" t="str">
        <f t="shared" si="5"/>
        <v/>
      </c>
      <c r="L119" s="4" t="str">
        <f>IF($A119="","",IF(INDEX(tbl_plan[計画状態],ROW()-1)="キャンセル","キャンセル",IF(J119=0,"発送済",IF(K119&gt;0,"要搬出","OK"))))</f>
        <v/>
      </c>
      <c r="M119" s="8">
        <f t="array" ref="M119">_xlfn.LET(
_xlpm.計画状態,IFERROR(INDEX(tbl_plan[計画状態],ROW()-1)&amp;"",""),
_xlpm.必要数,IFERROR(N(INDEX(tbl_plan[必要数],ROW()-1)),0),
IF(_xlpm.計画状態="キャンセル",0,_xlpm.必要数))</f>
        <v>0</v>
      </c>
      <c r="N119" s="8" t="str">
        <f>IF($A119="","",_xlfn.LET(
_xlpm.搬入計,SUMIFS(tbl_ledger[数量],tbl_ledger[localId],$B119,tbl_ledger[イベント種類],"搬入"),
_xlpm.未割当発送,SUMIFS(tbl_ledger[数量],tbl_ledger[localId],$B119,tbl_ledger[イベント種類],"発送",tbl_ledger[ロットID],"="),
_xlpm.未割当倉庫戻し,SUMIFS(tbl_ledger[数量],tbl_ledger[localId],$B119,tbl_ledger[イベント種類],"倉庫戻し",tbl_ledger[ロットID],"="),
_xlpm.未割当不良,SUMIFS(tbl_ledger[数量],tbl_ledger[localId],$B119,tbl_ledger[イベント種類],"不良発生",tbl_ledger[ロットID],"="),
_xlpm.搬入計-_xlpm.未割当発送-_xlpm.未割当倉庫戻し-_xlpm.未割当不良))</f>
        <v/>
      </c>
      <c r="O119" s="8" t="str">
        <f t="array" ref="O119">IF($A119="","",_xlfn.LET(
_xlpm.同品番,($B$2:$B$301=$B119),
_xlpm.週が前,($C$2:$C$301&lt;$C119),
_xlpm.同週で上行,($C$2:$C$301=$C119)*(ROW($C$2:$C$301)&lt;ROW()),
SUMPRODUCT(_xlpm.同品番*(_xlpm.週が前+_xlpm.同週で上行)*$M$2:$M$301)))</f>
        <v/>
      </c>
    </row>
    <row r="120" spans="1:15" ht="15" customHeight="1" x14ac:dyDescent="0.25">
      <c r="A120" s="4" t="str">
        <f>IFERROR(INDEX(tbl_plan[ロットID],ROW()-1),"")</f>
        <v/>
      </c>
      <c r="B120" s="4" t="str">
        <f>IF($A120="","",INDEX(tbl_plan[localId],ROW()-1))</f>
        <v/>
      </c>
      <c r="C120" s="11" t="str">
        <f>IF($A120="","",INDEX(tbl_plan[出荷週],ROW()-1))</f>
        <v/>
      </c>
      <c r="D120" s="4" t="str">
        <f>IF($A120="","",INDEX(tbl_plan[納期先],ROW()-1)&amp;"")</f>
        <v/>
      </c>
      <c r="E120" s="8" t="str">
        <f>IF($A120="","",INDEX(tbl_plan[必要数],ROW()-1))</f>
        <v/>
      </c>
      <c r="F120" s="8" t="str">
        <f t="shared" si="3"/>
        <v/>
      </c>
      <c r="G120" s="8" t="str">
        <f>IF($A120="","",SUMIFS(tbl_ledger[数量],tbl_ledger[ロットID],$A120,tbl_ledger[イベント種類],"発送"))</f>
        <v/>
      </c>
      <c r="H120" s="8" t="str">
        <f>IF($A120="","",_xlfn.LET(
_xlpm.割当,F120,
_xlpm.充当受入,SUMIFS(tbl_ledger[数量],tbl_ledger[充当先ロットID],$A120,tbl_ledger[イベント種類],"充当"),
_xlpm.充当放出,SUMIFS(tbl_ledger[数量],tbl_ledger[ロットID],$A120,tbl_ledger[イベント種類],"充当"),
_xlpm.発送済,G120,
_xlpm.倉庫戻し,SUMIFS(tbl_ledger[数量],tbl_ledger[ロットID],$A120,tbl_ledger[イベント種類],"倉庫戻し"),
_xlpm.余剰化,SUMIFS(tbl_ledger[数量],tbl_ledger[ロットID],$A120,tbl_ledger[イベント種類],"余剰化"),
_xlpm.不良,SUMIFS(tbl_ledger[数量],tbl_ledger[ロットID],$A120,tbl_ledger[イベント種類],"不良発生"),
_xlpm.割当+_xlpm.充当受入-_xlpm.充当放出-_xlpm.発送済-_xlpm.倉庫戻し-_xlpm.余剰化-_xlpm.不良))</f>
        <v/>
      </c>
      <c r="I120" s="8" t="str">
        <f>IF($A120="","",_xlfn.LET(
_xlpm.品番プール,N120,
_xlpm.割当計,SUMIF($B$2:$B$301,$B120,$F$2:$F$301),
_xlpm.余剰化受入,SUMIFS(tbl_ledger[数量],tbl_ledger[localId],$B120,tbl_ledger[イベント種類],"余剰化"),
_xlpm.充当払出,SUMIFS(tbl_ledger[数量],tbl_ledger[localId],$B120,tbl_ledger[イベント種類],"充当",tbl_ledger[ロットID],"="),
_xlpm.品番プール-_xlpm.割当計+_xlpm.余剰化受入-_xlpm.充当払出))</f>
        <v/>
      </c>
      <c r="J120" s="8" t="str">
        <f t="shared" si="4"/>
        <v/>
      </c>
      <c r="K120" s="8" t="str">
        <f t="shared" si="5"/>
        <v/>
      </c>
      <c r="L120" s="4" t="str">
        <f>IF($A120="","",IF(INDEX(tbl_plan[計画状態],ROW()-1)="キャンセル","キャンセル",IF(J120=0,"発送済",IF(K120&gt;0,"要搬出","OK"))))</f>
        <v/>
      </c>
      <c r="M120" s="8">
        <f t="array" ref="M120">_xlfn.LET(
_xlpm.計画状態,IFERROR(INDEX(tbl_plan[計画状態],ROW()-1)&amp;"",""),
_xlpm.必要数,IFERROR(N(INDEX(tbl_plan[必要数],ROW()-1)),0),
IF(_xlpm.計画状態="キャンセル",0,_xlpm.必要数))</f>
        <v>0</v>
      </c>
      <c r="N120" s="8" t="str">
        <f>IF($A120="","",_xlfn.LET(
_xlpm.搬入計,SUMIFS(tbl_ledger[数量],tbl_ledger[localId],$B120,tbl_ledger[イベント種類],"搬入"),
_xlpm.未割当発送,SUMIFS(tbl_ledger[数量],tbl_ledger[localId],$B120,tbl_ledger[イベント種類],"発送",tbl_ledger[ロットID],"="),
_xlpm.未割当倉庫戻し,SUMIFS(tbl_ledger[数量],tbl_ledger[localId],$B120,tbl_ledger[イベント種類],"倉庫戻し",tbl_ledger[ロットID],"="),
_xlpm.未割当不良,SUMIFS(tbl_ledger[数量],tbl_ledger[localId],$B120,tbl_ledger[イベント種類],"不良発生",tbl_ledger[ロットID],"="),
_xlpm.搬入計-_xlpm.未割当発送-_xlpm.未割当倉庫戻し-_xlpm.未割当不良))</f>
        <v/>
      </c>
      <c r="O120" s="8" t="str">
        <f t="array" ref="O120">IF($A120="","",_xlfn.LET(
_xlpm.同品番,($B$2:$B$301=$B120),
_xlpm.週が前,($C$2:$C$301&lt;$C120),
_xlpm.同週で上行,($C$2:$C$301=$C120)*(ROW($C$2:$C$301)&lt;ROW()),
SUMPRODUCT(_xlpm.同品番*(_xlpm.週が前+_xlpm.同週で上行)*$M$2:$M$301)))</f>
        <v/>
      </c>
    </row>
    <row r="121" spans="1:15" ht="15" customHeight="1" x14ac:dyDescent="0.25">
      <c r="A121" s="4" t="str">
        <f>IFERROR(INDEX(tbl_plan[ロットID],ROW()-1),"")</f>
        <v/>
      </c>
      <c r="B121" s="4" t="str">
        <f>IF($A121="","",INDEX(tbl_plan[localId],ROW()-1))</f>
        <v/>
      </c>
      <c r="C121" s="11" t="str">
        <f>IF($A121="","",INDEX(tbl_plan[出荷週],ROW()-1))</f>
        <v/>
      </c>
      <c r="D121" s="4" t="str">
        <f>IF($A121="","",INDEX(tbl_plan[納期先],ROW()-1)&amp;"")</f>
        <v/>
      </c>
      <c r="E121" s="8" t="str">
        <f>IF($A121="","",INDEX(tbl_plan[必要数],ROW()-1))</f>
        <v/>
      </c>
      <c r="F121" s="8" t="str">
        <f t="shared" si="3"/>
        <v/>
      </c>
      <c r="G121" s="8" t="str">
        <f>IF($A121="","",SUMIFS(tbl_ledger[数量],tbl_ledger[ロットID],$A121,tbl_ledger[イベント種類],"発送"))</f>
        <v/>
      </c>
      <c r="H121" s="8" t="str">
        <f>IF($A121="","",_xlfn.LET(
_xlpm.割当,F121,
_xlpm.充当受入,SUMIFS(tbl_ledger[数量],tbl_ledger[充当先ロットID],$A121,tbl_ledger[イベント種類],"充当"),
_xlpm.充当放出,SUMIFS(tbl_ledger[数量],tbl_ledger[ロットID],$A121,tbl_ledger[イベント種類],"充当"),
_xlpm.発送済,G121,
_xlpm.倉庫戻し,SUMIFS(tbl_ledger[数量],tbl_ledger[ロットID],$A121,tbl_ledger[イベント種類],"倉庫戻し"),
_xlpm.余剰化,SUMIFS(tbl_ledger[数量],tbl_ledger[ロットID],$A121,tbl_ledger[イベント種類],"余剰化"),
_xlpm.不良,SUMIFS(tbl_ledger[数量],tbl_ledger[ロットID],$A121,tbl_ledger[イベント種類],"不良発生"),
_xlpm.割当+_xlpm.充当受入-_xlpm.充当放出-_xlpm.発送済-_xlpm.倉庫戻し-_xlpm.余剰化-_xlpm.不良))</f>
        <v/>
      </c>
      <c r="I121" s="8" t="str">
        <f>IF($A121="","",_xlfn.LET(
_xlpm.品番プール,N121,
_xlpm.割当計,SUMIF($B$2:$B$301,$B121,$F$2:$F$301),
_xlpm.余剰化受入,SUMIFS(tbl_ledger[数量],tbl_ledger[localId],$B121,tbl_ledger[イベント種類],"余剰化"),
_xlpm.充当払出,SUMIFS(tbl_ledger[数量],tbl_ledger[localId],$B121,tbl_ledger[イベント種類],"充当",tbl_ledger[ロットID],"="),
_xlpm.品番プール-_xlpm.割当計+_xlpm.余剰化受入-_xlpm.充当払出))</f>
        <v/>
      </c>
      <c r="J121" s="8" t="str">
        <f t="shared" si="4"/>
        <v/>
      </c>
      <c r="K121" s="8" t="str">
        <f t="shared" si="5"/>
        <v/>
      </c>
      <c r="L121" s="4" t="str">
        <f>IF($A121="","",IF(INDEX(tbl_plan[計画状態],ROW()-1)="キャンセル","キャンセル",IF(J121=0,"発送済",IF(K121&gt;0,"要搬出","OK"))))</f>
        <v/>
      </c>
      <c r="M121" s="8">
        <f t="array" ref="M121">_xlfn.LET(
_xlpm.計画状態,IFERROR(INDEX(tbl_plan[計画状態],ROW()-1)&amp;"",""),
_xlpm.必要数,IFERROR(N(INDEX(tbl_plan[必要数],ROW()-1)),0),
IF(_xlpm.計画状態="キャンセル",0,_xlpm.必要数))</f>
        <v>0</v>
      </c>
      <c r="N121" s="8" t="str">
        <f>IF($A121="","",_xlfn.LET(
_xlpm.搬入計,SUMIFS(tbl_ledger[数量],tbl_ledger[localId],$B121,tbl_ledger[イベント種類],"搬入"),
_xlpm.未割当発送,SUMIFS(tbl_ledger[数量],tbl_ledger[localId],$B121,tbl_ledger[イベント種類],"発送",tbl_ledger[ロットID],"="),
_xlpm.未割当倉庫戻し,SUMIFS(tbl_ledger[数量],tbl_ledger[localId],$B121,tbl_ledger[イベント種類],"倉庫戻し",tbl_ledger[ロットID],"="),
_xlpm.未割当不良,SUMIFS(tbl_ledger[数量],tbl_ledger[localId],$B121,tbl_ledger[イベント種類],"不良発生",tbl_ledger[ロットID],"="),
_xlpm.搬入計-_xlpm.未割当発送-_xlpm.未割当倉庫戻し-_xlpm.未割当不良))</f>
        <v/>
      </c>
      <c r="O121" s="8" t="str">
        <f t="array" ref="O121">IF($A121="","",_xlfn.LET(
_xlpm.同品番,($B$2:$B$301=$B121),
_xlpm.週が前,($C$2:$C$301&lt;$C121),
_xlpm.同週で上行,($C$2:$C$301=$C121)*(ROW($C$2:$C$301)&lt;ROW()),
SUMPRODUCT(_xlpm.同品番*(_xlpm.週が前+_xlpm.同週で上行)*$M$2:$M$301)))</f>
        <v/>
      </c>
    </row>
    <row r="122" spans="1:15" ht="15" customHeight="1" x14ac:dyDescent="0.25">
      <c r="A122" s="4" t="str">
        <f>IFERROR(INDEX(tbl_plan[ロットID],ROW()-1),"")</f>
        <v/>
      </c>
      <c r="B122" s="4" t="str">
        <f>IF($A122="","",INDEX(tbl_plan[localId],ROW()-1))</f>
        <v/>
      </c>
      <c r="C122" s="11" t="str">
        <f>IF($A122="","",INDEX(tbl_plan[出荷週],ROW()-1))</f>
        <v/>
      </c>
      <c r="D122" s="4" t="str">
        <f>IF($A122="","",INDEX(tbl_plan[納期先],ROW()-1)&amp;"")</f>
        <v/>
      </c>
      <c r="E122" s="8" t="str">
        <f>IF($A122="","",INDEX(tbl_plan[必要数],ROW()-1))</f>
        <v/>
      </c>
      <c r="F122" s="8" t="str">
        <f t="shared" si="3"/>
        <v/>
      </c>
      <c r="G122" s="8" t="str">
        <f>IF($A122="","",SUMIFS(tbl_ledger[数量],tbl_ledger[ロットID],$A122,tbl_ledger[イベント種類],"発送"))</f>
        <v/>
      </c>
      <c r="H122" s="8" t="str">
        <f>IF($A122="","",_xlfn.LET(
_xlpm.割当,F122,
_xlpm.充当受入,SUMIFS(tbl_ledger[数量],tbl_ledger[充当先ロットID],$A122,tbl_ledger[イベント種類],"充当"),
_xlpm.充当放出,SUMIFS(tbl_ledger[数量],tbl_ledger[ロットID],$A122,tbl_ledger[イベント種類],"充当"),
_xlpm.発送済,G122,
_xlpm.倉庫戻し,SUMIFS(tbl_ledger[数量],tbl_ledger[ロットID],$A122,tbl_ledger[イベント種類],"倉庫戻し"),
_xlpm.余剰化,SUMIFS(tbl_ledger[数量],tbl_ledger[ロットID],$A122,tbl_ledger[イベント種類],"余剰化"),
_xlpm.不良,SUMIFS(tbl_ledger[数量],tbl_ledger[ロットID],$A122,tbl_ledger[イベント種類],"不良発生"),
_xlpm.割当+_xlpm.充当受入-_xlpm.充当放出-_xlpm.発送済-_xlpm.倉庫戻し-_xlpm.余剰化-_xlpm.不良))</f>
        <v/>
      </c>
      <c r="I122" s="8" t="str">
        <f>IF($A122="","",_xlfn.LET(
_xlpm.品番プール,N122,
_xlpm.割当計,SUMIF($B$2:$B$301,$B122,$F$2:$F$301),
_xlpm.余剰化受入,SUMIFS(tbl_ledger[数量],tbl_ledger[localId],$B122,tbl_ledger[イベント種類],"余剰化"),
_xlpm.充当払出,SUMIFS(tbl_ledger[数量],tbl_ledger[localId],$B122,tbl_ledger[イベント種類],"充当",tbl_ledger[ロットID],"="),
_xlpm.品番プール-_xlpm.割当計+_xlpm.余剰化受入-_xlpm.充当払出))</f>
        <v/>
      </c>
      <c r="J122" s="8" t="str">
        <f t="shared" si="4"/>
        <v/>
      </c>
      <c r="K122" s="8" t="str">
        <f t="shared" si="5"/>
        <v/>
      </c>
      <c r="L122" s="4" t="str">
        <f>IF($A122="","",IF(INDEX(tbl_plan[計画状態],ROW()-1)="キャンセル","キャンセル",IF(J122=0,"発送済",IF(K122&gt;0,"要搬出","OK"))))</f>
        <v/>
      </c>
      <c r="M122" s="8">
        <f t="array" ref="M122">_xlfn.LET(
_xlpm.計画状態,IFERROR(INDEX(tbl_plan[計画状態],ROW()-1)&amp;"",""),
_xlpm.必要数,IFERROR(N(INDEX(tbl_plan[必要数],ROW()-1)),0),
IF(_xlpm.計画状態="キャンセル",0,_xlpm.必要数))</f>
        <v>0</v>
      </c>
      <c r="N122" s="8" t="str">
        <f>IF($A122="","",_xlfn.LET(
_xlpm.搬入計,SUMIFS(tbl_ledger[数量],tbl_ledger[localId],$B122,tbl_ledger[イベント種類],"搬入"),
_xlpm.未割当発送,SUMIFS(tbl_ledger[数量],tbl_ledger[localId],$B122,tbl_ledger[イベント種類],"発送",tbl_ledger[ロットID],"="),
_xlpm.未割当倉庫戻し,SUMIFS(tbl_ledger[数量],tbl_ledger[localId],$B122,tbl_ledger[イベント種類],"倉庫戻し",tbl_ledger[ロットID],"="),
_xlpm.未割当不良,SUMIFS(tbl_ledger[数量],tbl_ledger[localId],$B122,tbl_ledger[イベント種類],"不良発生",tbl_ledger[ロットID],"="),
_xlpm.搬入計-_xlpm.未割当発送-_xlpm.未割当倉庫戻し-_xlpm.未割当不良))</f>
        <v/>
      </c>
      <c r="O122" s="8" t="str">
        <f t="array" ref="O122">IF($A122="","",_xlfn.LET(
_xlpm.同品番,($B$2:$B$301=$B122),
_xlpm.週が前,($C$2:$C$301&lt;$C122),
_xlpm.同週で上行,($C$2:$C$301=$C122)*(ROW($C$2:$C$301)&lt;ROW()),
SUMPRODUCT(_xlpm.同品番*(_xlpm.週が前+_xlpm.同週で上行)*$M$2:$M$301)))</f>
        <v/>
      </c>
    </row>
    <row r="123" spans="1:15" ht="15" customHeight="1" x14ac:dyDescent="0.25">
      <c r="A123" s="4" t="str">
        <f>IFERROR(INDEX(tbl_plan[ロットID],ROW()-1),"")</f>
        <v/>
      </c>
      <c r="B123" s="4" t="str">
        <f>IF($A123="","",INDEX(tbl_plan[localId],ROW()-1))</f>
        <v/>
      </c>
      <c r="C123" s="11" t="str">
        <f>IF($A123="","",INDEX(tbl_plan[出荷週],ROW()-1))</f>
        <v/>
      </c>
      <c r="D123" s="4" t="str">
        <f>IF($A123="","",INDEX(tbl_plan[納期先],ROW()-1)&amp;"")</f>
        <v/>
      </c>
      <c r="E123" s="8" t="str">
        <f>IF($A123="","",INDEX(tbl_plan[必要数],ROW()-1))</f>
        <v/>
      </c>
      <c r="F123" s="8" t="str">
        <f t="shared" si="3"/>
        <v/>
      </c>
      <c r="G123" s="8" t="str">
        <f>IF($A123="","",SUMIFS(tbl_ledger[数量],tbl_ledger[ロットID],$A123,tbl_ledger[イベント種類],"発送"))</f>
        <v/>
      </c>
      <c r="H123" s="8" t="str">
        <f>IF($A123="","",_xlfn.LET(
_xlpm.割当,F123,
_xlpm.充当受入,SUMIFS(tbl_ledger[数量],tbl_ledger[充当先ロットID],$A123,tbl_ledger[イベント種類],"充当"),
_xlpm.充当放出,SUMIFS(tbl_ledger[数量],tbl_ledger[ロットID],$A123,tbl_ledger[イベント種類],"充当"),
_xlpm.発送済,G123,
_xlpm.倉庫戻し,SUMIFS(tbl_ledger[数量],tbl_ledger[ロットID],$A123,tbl_ledger[イベント種類],"倉庫戻し"),
_xlpm.余剰化,SUMIFS(tbl_ledger[数量],tbl_ledger[ロットID],$A123,tbl_ledger[イベント種類],"余剰化"),
_xlpm.不良,SUMIFS(tbl_ledger[数量],tbl_ledger[ロットID],$A123,tbl_ledger[イベント種類],"不良発生"),
_xlpm.割当+_xlpm.充当受入-_xlpm.充当放出-_xlpm.発送済-_xlpm.倉庫戻し-_xlpm.余剰化-_xlpm.不良))</f>
        <v/>
      </c>
      <c r="I123" s="8" t="str">
        <f>IF($A123="","",_xlfn.LET(
_xlpm.品番プール,N123,
_xlpm.割当計,SUMIF($B$2:$B$301,$B123,$F$2:$F$301),
_xlpm.余剰化受入,SUMIFS(tbl_ledger[数量],tbl_ledger[localId],$B123,tbl_ledger[イベント種類],"余剰化"),
_xlpm.充当払出,SUMIFS(tbl_ledger[数量],tbl_ledger[localId],$B123,tbl_ledger[イベント種類],"充当",tbl_ledger[ロットID],"="),
_xlpm.品番プール-_xlpm.割当計+_xlpm.余剰化受入-_xlpm.充当払出))</f>
        <v/>
      </c>
      <c r="J123" s="8" t="str">
        <f t="shared" si="4"/>
        <v/>
      </c>
      <c r="K123" s="8" t="str">
        <f t="shared" si="5"/>
        <v/>
      </c>
      <c r="L123" s="4" t="str">
        <f>IF($A123="","",IF(INDEX(tbl_plan[計画状態],ROW()-1)="キャンセル","キャンセル",IF(J123=0,"発送済",IF(K123&gt;0,"要搬出","OK"))))</f>
        <v/>
      </c>
      <c r="M123" s="8">
        <f t="array" ref="M123">_xlfn.LET(
_xlpm.計画状態,IFERROR(INDEX(tbl_plan[計画状態],ROW()-1)&amp;"",""),
_xlpm.必要数,IFERROR(N(INDEX(tbl_plan[必要数],ROW()-1)),0),
IF(_xlpm.計画状態="キャンセル",0,_xlpm.必要数))</f>
        <v>0</v>
      </c>
      <c r="N123" s="8" t="str">
        <f>IF($A123="","",_xlfn.LET(
_xlpm.搬入計,SUMIFS(tbl_ledger[数量],tbl_ledger[localId],$B123,tbl_ledger[イベント種類],"搬入"),
_xlpm.未割当発送,SUMIFS(tbl_ledger[数量],tbl_ledger[localId],$B123,tbl_ledger[イベント種類],"発送",tbl_ledger[ロットID],"="),
_xlpm.未割当倉庫戻し,SUMIFS(tbl_ledger[数量],tbl_ledger[localId],$B123,tbl_ledger[イベント種類],"倉庫戻し",tbl_ledger[ロットID],"="),
_xlpm.未割当不良,SUMIFS(tbl_ledger[数量],tbl_ledger[localId],$B123,tbl_ledger[イベント種類],"不良発生",tbl_ledger[ロットID],"="),
_xlpm.搬入計-_xlpm.未割当発送-_xlpm.未割当倉庫戻し-_xlpm.未割当不良))</f>
        <v/>
      </c>
      <c r="O123" s="8" t="str">
        <f t="array" ref="O123">IF($A123="","",_xlfn.LET(
_xlpm.同品番,($B$2:$B$301=$B123),
_xlpm.週が前,($C$2:$C$301&lt;$C123),
_xlpm.同週で上行,($C$2:$C$301=$C123)*(ROW($C$2:$C$301)&lt;ROW()),
SUMPRODUCT(_xlpm.同品番*(_xlpm.週が前+_xlpm.同週で上行)*$M$2:$M$301)))</f>
        <v/>
      </c>
    </row>
    <row r="124" spans="1:15" ht="15" customHeight="1" x14ac:dyDescent="0.25">
      <c r="A124" s="4" t="str">
        <f>IFERROR(INDEX(tbl_plan[ロットID],ROW()-1),"")</f>
        <v/>
      </c>
      <c r="B124" s="4" t="str">
        <f>IF($A124="","",INDEX(tbl_plan[localId],ROW()-1))</f>
        <v/>
      </c>
      <c r="C124" s="11" t="str">
        <f>IF($A124="","",INDEX(tbl_plan[出荷週],ROW()-1))</f>
        <v/>
      </c>
      <c r="D124" s="4" t="str">
        <f>IF($A124="","",INDEX(tbl_plan[納期先],ROW()-1)&amp;"")</f>
        <v/>
      </c>
      <c r="E124" s="8" t="str">
        <f>IF($A124="","",INDEX(tbl_plan[必要数],ROW()-1))</f>
        <v/>
      </c>
      <c r="F124" s="8" t="str">
        <f t="shared" si="3"/>
        <v/>
      </c>
      <c r="G124" s="8" t="str">
        <f>IF($A124="","",SUMIFS(tbl_ledger[数量],tbl_ledger[ロットID],$A124,tbl_ledger[イベント種類],"発送"))</f>
        <v/>
      </c>
      <c r="H124" s="8" t="str">
        <f>IF($A124="","",_xlfn.LET(
_xlpm.割当,F124,
_xlpm.充当受入,SUMIFS(tbl_ledger[数量],tbl_ledger[充当先ロットID],$A124,tbl_ledger[イベント種類],"充当"),
_xlpm.充当放出,SUMIFS(tbl_ledger[数量],tbl_ledger[ロットID],$A124,tbl_ledger[イベント種類],"充当"),
_xlpm.発送済,G124,
_xlpm.倉庫戻し,SUMIFS(tbl_ledger[数量],tbl_ledger[ロットID],$A124,tbl_ledger[イベント種類],"倉庫戻し"),
_xlpm.余剰化,SUMIFS(tbl_ledger[数量],tbl_ledger[ロットID],$A124,tbl_ledger[イベント種類],"余剰化"),
_xlpm.不良,SUMIFS(tbl_ledger[数量],tbl_ledger[ロットID],$A124,tbl_ledger[イベント種類],"不良発生"),
_xlpm.割当+_xlpm.充当受入-_xlpm.充当放出-_xlpm.発送済-_xlpm.倉庫戻し-_xlpm.余剰化-_xlpm.不良))</f>
        <v/>
      </c>
      <c r="I124" s="8" t="str">
        <f>IF($A124="","",_xlfn.LET(
_xlpm.品番プール,N124,
_xlpm.割当計,SUMIF($B$2:$B$301,$B124,$F$2:$F$301),
_xlpm.余剰化受入,SUMIFS(tbl_ledger[数量],tbl_ledger[localId],$B124,tbl_ledger[イベント種類],"余剰化"),
_xlpm.充当払出,SUMIFS(tbl_ledger[数量],tbl_ledger[localId],$B124,tbl_ledger[イベント種類],"充当",tbl_ledger[ロットID],"="),
_xlpm.品番プール-_xlpm.割当計+_xlpm.余剰化受入-_xlpm.充当払出))</f>
        <v/>
      </c>
      <c r="J124" s="8" t="str">
        <f t="shared" si="4"/>
        <v/>
      </c>
      <c r="K124" s="8" t="str">
        <f t="shared" si="5"/>
        <v/>
      </c>
      <c r="L124" s="4" t="str">
        <f>IF($A124="","",IF(INDEX(tbl_plan[計画状態],ROW()-1)="キャンセル","キャンセル",IF(J124=0,"発送済",IF(K124&gt;0,"要搬出","OK"))))</f>
        <v/>
      </c>
      <c r="M124" s="8">
        <f t="array" ref="M124">_xlfn.LET(
_xlpm.計画状態,IFERROR(INDEX(tbl_plan[計画状態],ROW()-1)&amp;"",""),
_xlpm.必要数,IFERROR(N(INDEX(tbl_plan[必要数],ROW()-1)),0),
IF(_xlpm.計画状態="キャンセル",0,_xlpm.必要数))</f>
        <v>0</v>
      </c>
      <c r="N124" s="8" t="str">
        <f>IF($A124="","",_xlfn.LET(
_xlpm.搬入計,SUMIFS(tbl_ledger[数量],tbl_ledger[localId],$B124,tbl_ledger[イベント種類],"搬入"),
_xlpm.未割当発送,SUMIFS(tbl_ledger[数量],tbl_ledger[localId],$B124,tbl_ledger[イベント種類],"発送",tbl_ledger[ロットID],"="),
_xlpm.未割当倉庫戻し,SUMIFS(tbl_ledger[数量],tbl_ledger[localId],$B124,tbl_ledger[イベント種類],"倉庫戻し",tbl_ledger[ロットID],"="),
_xlpm.未割当不良,SUMIFS(tbl_ledger[数量],tbl_ledger[localId],$B124,tbl_ledger[イベント種類],"不良発生",tbl_ledger[ロットID],"="),
_xlpm.搬入計-_xlpm.未割当発送-_xlpm.未割当倉庫戻し-_xlpm.未割当不良))</f>
        <v/>
      </c>
      <c r="O124" s="8" t="str">
        <f t="array" ref="O124">IF($A124="","",_xlfn.LET(
_xlpm.同品番,($B$2:$B$301=$B124),
_xlpm.週が前,($C$2:$C$301&lt;$C124),
_xlpm.同週で上行,($C$2:$C$301=$C124)*(ROW($C$2:$C$301)&lt;ROW()),
SUMPRODUCT(_xlpm.同品番*(_xlpm.週が前+_xlpm.同週で上行)*$M$2:$M$301)))</f>
        <v/>
      </c>
    </row>
    <row r="125" spans="1:15" ht="15" customHeight="1" x14ac:dyDescent="0.25">
      <c r="A125" s="4" t="str">
        <f>IFERROR(INDEX(tbl_plan[ロットID],ROW()-1),"")</f>
        <v/>
      </c>
      <c r="B125" s="4" t="str">
        <f>IF($A125="","",INDEX(tbl_plan[localId],ROW()-1))</f>
        <v/>
      </c>
      <c r="C125" s="11" t="str">
        <f>IF($A125="","",INDEX(tbl_plan[出荷週],ROW()-1))</f>
        <v/>
      </c>
      <c r="D125" s="4" t="str">
        <f>IF($A125="","",INDEX(tbl_plan[納期先],ROW()-1)&amp;"")</f>
        <v/>
      </c>
      <c r="E125" s="8" t="str">
        <f>IF($A125="","",INDEX(tbl_plan[必要数],ROW()-1))</f>
        <v/>
      </c>
      <c r="F125" s="8" t="str">
        <f t="shared" si="3"/>
        <v/>
      </c>
      <c r="G125" s="8" t="str">
        <f>IF($A125="","",SUMIFS(tbl_ledger[数量],tbl_ledger[ロットID],$A125,tbl_ledger[イベント種類],"発送"))</f>
        <v/>
      </c>
      <c r="H125" s="8" t="str">
        <f>IF($A125="","",_xlfn.LET(
_xlpm.割当,F125,
_xlpm.充当受入,SUMIFS(tbl_ledger[数量],tbl_ledger[充当先ロットID],$A125,tbl_ledger[イベント種類],"充当"),
_xlpm.充当放出,SUMIFS(tbl_ledger[数量],tbl_ledger[ロットID],$A125,tbl_ledger[イベント種類],"充当"),
_xlpm.発送済,G125,
_xlpm.倉庫戻し,SUMIFS(tbl_ledger[数量],tbl_ledger[ロットID],$A125,tbl_ledger[イベント種類],"倉庫戻し"),
_xlpm.余剰化,SUMIFS(tbl_ledger[数量],tbl_ledger[ロットID],$A125,tbl_ledger[イベント種類],"余剰化"),
_xlpm.不良,SUMIFS(tbl_ledger[数量],tbl_ledger[ロットID],$A125,tbl_ledger[イベント種類],"不良発生"),
_xlpm.割当+_xlpm.充当受入-_xlpm.充当放出-_xlpm.発送済-_xlpm.倉庫戻し-_xlpm.余剰化-_xlpm.不良))</f>
        <v/>
      </c>
      <c r="I125" s="8" t="str">
        <f>IF($A125="","",_xlfn.LET(
_xlpm.品番プール,N125,
_xlpm.割当計,SUMIF($B$2:$B$301,$B125,$F$2:$F$301),
_xlpm.余剰化受入,SUMIFS(tbl_ledger[数量],tbl_ledger[localId],$B125,tbl_ledger[イベント種類],"余剰化"),
_xlpm.充当払出,SUMIFS(tbl_ledger[数量],tbl_ledger[localId],$B125,tbl_ledger[イベント種類],"充当",tbl_ledger[ロットID],"="),
_xlpm.品番プール-_xlpm.割当計+_xlpm.余剰化受入-_xlpm.充当払出))</f>
        <v/>
      </c>
      <c r="J125" s="8" t="str">
        <f t="shared" si="4"/>
        <v/>
      </c>
      <c r="K125" s="8" t="str">
        <f t="shared" si="5"/>
        <v/>
      </c>
      <c r="L125" s="4" t="str">
        <f>IF($A125="","",IF(INDEX(tbl_plan[計画状態],ROW()-1)="キャンセル","キャンセル",IF(J125=0,"発送済",IF(K125&gt;0,"要搬出","OK"))))</f>
        <v/>
      </c>
      <c r="M125" s="8">
        <f t="array" ref="M125">_xlfn.LET(
_xlpm.計画状態,IFERROR(INDEX(tbl_plan[計画状態],ROW()-1)&amp;"",""),
_xlpm.必要数,IFERROR(N(INDEX(tbl_plan[必要数],ROW()-1)),0),
IF(_xlpm.計画状態="キャンセル",0,_xlpm.必要数))</f>
        <v>0</v>
      </c>
      <c r="N125" s="8" t="str">
        <f>IF($A125="","",_xlfn.LET(
_xlpm.搬入計,SUMIFS(tbl_ledger[数量],tbl_ledger[localId],$B125,tbl_ledger[イベント種類],"搬入"),
_xlpm.未割当発送,SUMIFS(tbl_ledger[数量],tbl_ledger[localId],$B125,tbl_ledger[イベント種類],"発送",tbl_ledger[ロットID],"="),
_xlpm.未割当倉庫戻し,SUMIFS(tbl_ledger[数量],tbl_ledger[localId],$B125,tbl_ledger[イベント種類],"倉庫戻し",tbl_ledger[ロットID],"="),
_xlpm.未割当不良,SUMIFS(tbl_ledger[数量],tbl_ledger[localId],$B125,tbl_ledger[イベント種類],"不良発生",tbl_ledger[ロットID],"="),
_xlpm.搬入計-_xlpm.未割当発送-_xlpm.未割当倉庫戻し-_xlpm.未割当不良))</f>
        <v/>
      </c>
      <c r="O125" s="8" t="str">
        <f t="array" ref="O125">IF($A125="","",_xlfn.LET(
_xlpm.同品番,($B$2:$B$301=$B125),
_xlpm.週が前,($C$2:$C$301&lt;$C125),
_xlpm.同週で上行,($C$2:$C$301=$C125)*(ROW($C$2:$C$301)&lt;ROW()),
SUMPRODUCT(_xlpm.同品番*(_xlpm.週が前+_xlpm.同週で上行)*$M$2:$M$301)))</f>
        <v/>
      </c>
    </row>
    <row r="126" spans="1:15" ht="15" customHeight="1" x14ac:dyDescent="0.25">
      <c r="A126" s="4" t="str">
        <f>IFERROR(INDEX(tbl_plan[ロットID],ROW()-1),"")</f>
        <v/>
      </c>
      <c r="B126" s="4" t="str">
        <f>IF($A126="","",INDEX(tbl_plan[localId],ROW()-1))</f>
        <v/>
      </c>
      <c r="C126" s="11" t="str">
        <f>IF($A126="","",INDEX(tbl_plan[出荷週],ROW()-1))</f>
        <v/>
      </c>
      <c r="D126" s="4" t="str">
        <f>IF($A126="","",INDEX(tbl_plan[納期先],ROW()-1)&amp;"")</f>
        <v/>
      </c>
      <c r="E126" s="8" t="str">
        <f>IF($A126="","",INDEX(tbl_plan[必要数],ROW()-1))</f>
        <v/>
      </c>
      <c r="F126" s="8" t="str">
        <f t="shared" si="3"/>
        <v/>
      </c>
      <c r="G126" s="8" t="str">
        <f>IF($A126="","",SUMIFS(tbl_ledger[数量],tbl_ledger[ロットID],$A126,tbl_ledger[イベント種類],"発送"))</f>
        <v/>
      </c>
      <c r="H126" s="8" t="str">
        <f>IF($A126="","",_xlfn.LET(
_xlpm.割当,F126,
_xlpm.充当受入,SUMIFS(tbl_ledger[数量],tbl_ledger[充当先ロットID],$A126,tbl_ledger[イベント種類],"充当"),
_xlpm.充当放出,SUMIFS(tbl_ledger[数量],tbl_ledger[ロットID],$A126,tbl_ledger[イベント種類],"充当"),
_xlpm.発送済,G126,
_xlpm.倉庫戻し,SUMIFS(tbl_ledger[数量],tbl_ledger[ロットID],$A126,tbl_ledger[イベント種類],"倉庫戻し"),
_xlpm.余剰化,SUMIFS(tbl_ledger[数量],tbl_ledger[ロットID],$A126,tbl_ledger[イベント種類],"余剰化"),
_xlpm.不良,SUMIFS(tbl_ledger[数量],tbl_ledger[ロットID],$A126,tbl_ledger[イベント種類],"不良発生"),
_xlpm.割当+_xlpm.充当受入-_xlpm.充当放出-_xlpm.発送済-_xlpm.倉庫戻し-_xlpm.余剰化-_xlpm.不良))</f>
        <v/>
      </c>
      <c r="I126" s="8" t="str">
        <f>IF($A126="","",_xlfn.LET(
_xlpm.品番プール,N126,
_xlpm.割当計,SUMIF($B$2:$B$301,$B126,$F$2:$F$301),
_xlpm.余剰化受入,SUMIFS(tbl_ledger[数量],tbl_ledger[localId],$B126,tbl_ledger[イベント種類],"余剰化"),
_xlpm.充当払出,SUMIFS(tbl_ledger[数量],tbl_ledger[localId],$B126,tbl_ledger[イベント種類],"充当",tbl_ledger[ロットID],"="),
_xlpm.品番プール-_xlpm.割当計+_xlpm.余剰化受入-_xlpm.充当払出))</f>
        <v/>
      </c>
      <c r="J126" s="8" t="str">
        <f t="shared" si="4"/>
        <v/>
      </c>
      <c r="K126" s="8" t="str">
        <f t="shared" si="5"/>
        <v/>
      </c>
      <c r="L126" s="4" t="str">
        <f>IF($A126="","",IF(INDEX(tbl_plan[計画状態],ROW()-1)="キャンセル","キャンセル",IF(J126=0,"発送済",IF(K126&gt;0,"要搬出","OK"))))</f>
        <v/>
      </c>
      <c r="M126" s="8">
        <f t="array" ref="M126">_xlfn.LET(
_xlpm.計画状態,IFERROR(INDEX(tbl_plan[計画状態],ROW()-1)&amp;"",""),
_xlpm.必要数,IFERROR(N(INDEX(tbl_plan[必要数],ROW()-1)),0),
IF(_xlpm.計画状態="キャンセル",0,_xlpm.必要数))</f>
        <v>0</v>
      </c>
      <c r="N126" s="8" t="str">
        <f>IF($A126="","",_xlfn.LET(
_xlpm.搬入計,SUMIFS(tbl_ledger[数量],tbl_ledger[localId],$B126,tbl_ledger[イベント種類],"搬入"),
_xlpm.未割当発送,SUMIFS(tbl_ledger[数量],tbl_ledger[localId],$B126,tbl_ledger[イベント種類],"発送",tbl_ledger[ロットID],"="),
_xlpm.未割当倉庫戻し,SUMIFS(tbl_ledger[数量],tbl_ledger[localId],$B126,tbl_ledger[イベント種類],"倉庫戻し",tbl_ledger[ロットID],"="),
_xlpm.未割当不良,SUMIFS(tbl_ledger[数量],tbl_ledger[localId],$B126,tbl_ledger[イベント種類],"不良発生",tbl_ledger[ロットID],"="),
_xlpm.搬入計-_xlpm.未割当発送-_xlpm.未割当倉庫戻し-_xlpm.未割当不良))</f>
        <v/>
      </c>
      <c r="O126" s="8" t="str">
        <f t="array" ref="O126">IF($A126="","",_xlfn.LET(
_xlpm.同品番,($B$2:$B$301=$B126),
_xlpm.週が前,($C$2:$C$301&lt;$C126),
_xlpm.同週で上行,($C$2:$C$301=$C126)*(ROW($C$2:$C$301)&lt;ROW()),
SUMPRODUCT(_xlpm.同品番*(_xlpm.週が前+_xlpm.同週で上行)*$M$2:$M$301)))</f>
        <v/>
      </c>
    </row>
    <row r="127" spans="1:15" ht="15" customHeight="1" x14ac:dyDescent="0.25">
      <c r="A127" s="4" t="str">
        <f>IFERROR(INDEX(tbl_plan[ロットID],ROW()-1),"")</f>
        <v/>
      </c>
      <c r="B127" s="4" t="str">
        <f>IF($A127="","",INDEX(tbl_plan[localId],ROW()-1))</f>
        <v/>
      </c>
      <c r="C127" s="11" t="str">
        <f>IF($A127="","",INDEX(tbl_plan[出荷週],ROW()-1))</f>
        <v/>
      </c>
      <c r="D127" s="4" t="str">
        <f>IF($A127="","",INDEX(tbl_plan[納期先],ROW()-1)&amp;"")</f>
        <v/>
      </c>
      <c r="E127" s="8" t="str">
        <f>IF($A127="","",INDEX(tbl_plan[必要数],ROW()-1))</f>
        <v/>
      </c>
      <c r="F127" s="8" t="str">
        <f t="shared" si="3"/>
        <v/>
      </c>
      <c r="G127" s="8" t="str">
        <f>IF($A127="","",SUMIFS(tbl_ledger[数量],tbl_ledger[ロットID],$A127,tbl_ledger[イベント種類],"発送"))</f>
        <v/>
      </c>
      <c r="H127" s="8" t="str">
        <f>IF($A127="","",_xlfn.LET(
_xlpm.割当,F127,
_xlpm.充当受入,SUMIFS(tbl_ledger[数量],tbl_ledger[充当先ロットID],$A127,tbl_ledger[イベント種類],"充当"),
_xlpm.充当放出,SUMIFS(tbl_ledger[数量],tbl_ledger[ロットID],$A127,tbl_ledger[イベント種類],"充当"),
_xlpm.発送済,G127,
_xlpm.倉庫戻し,SUMIFS(tbl_ledger[数量],tbl_ledger[ロットID],$A127,tbl_ledger[イベント種類],"倉庫戻し"),
_xlpm.余剰化,SUMIFS(tbl_ledger[数量],tbl_ledger[ロットID],$A127,tbl_ledger[イベント種類],"余剰化"),
_xlpm.不良,SUMIFS(tbl_ledger[数量],tbl_ledger[ロットID],$A127,tbl_ledger[イベント種類],"不良発生"),
_xlpm.割当+_xlpm.充当受入-_xlpm.充当放出-_xlpm.発送済-_xlpm.倉庫戻し-_xlpm.余剰化-_xlpm.不良))</f>
        <v/>
      </c>
      <c r="I127" s="8" t="str">
        <f>IF($A127="","",_xlfn.LET(
_xlpm.品番プール,N127,
_xlpm.割当計,SUMIF($B$2:$B$301,$B127,$F$2:$F$301),
_xlpm.余剰化受入,SUMIFS(tbl_ledger[数量],tbl_ledger[localId],$B127,tbl_ledger[イベント種類],"余剰化"),
_xlpm.充当払出,SUMIFS(tbl_ledger[数量],tbl_ledger[localId],$B127,tbl_ledger[イベント種類],"充当",tbl_ledger[ロットID],"="),
_xlpm.品番プール-_xlpm.割当計+_xlpm.余剰化受入-_xlpm.充当払出))</f>
        <v/>
      </c>
      <c r="J127" s="8" t="str">
        <f t="shared" si="4"/>
        <v/>
      </c>
      <c r="K127" s="8" t="str">
        <f t="shared" si="5"/>
        <v/>
      </c>
      <c r="L127" s="4" t="str">
        <f>IF($A127="","",IF(INDEX(tbl_plan[計画状態],ROW()-1)="キャンセル","キャンセル",IF(J127=0,"発送済",IF(K127&gt;0,"要搬出","OK"))))</f>
        <v/>
      </c>
      <c r="M127" s="8">
        <f t="array" ref="M127">_xlfn.LET(
_xlpm.計画状態,IFERROR(INDEX(tbl_plan[計画状態],ROW()-1)&amp;"",""),
_xlpm.必要数,IFERROR(N(INDEX(tbl_plan[必要数],ROW()-1)),0),
IF(_xlpm.計画状態="キャンセル",0,_xlpm.必要数))</f>
        <v>0</v>
      </c>
      <c r="N127" s="8" t="str">
        <f>IF($A127="","",_xlfn.LET(
_xlpm.搬入計,SUMIFS(tbl_ledger[数量],tbl_ledger[localId],$B127,tbl_ledger[イベント種類],"搬入"),
_xlpm.未割当発送,SUMIFS(tbl_ledger[数量],tbl_ledger[localId],$B127,tbl_ledger[イベント種類],"発送",tbl_ledger[ロットID],"="),
_xlpm.未割当倉庫戻し,SUMIFS(tbl_ledger[数量],tbl_ledger[localId],$B127,tbl_ledger[イベント種類],"倉庫戻し",tbl_ledger[ロットID],"="),
_xlpm.未割当不良,SUMIFS(tbl_ledger[数量],tbl_ledger[localId],$B127,tbl_ledger[イベント種類],"不良発生",tbl_ledger[ロットID],"="),
_xlpm.搬入計-_xlpm.未割当発送-_xlpm.未割当倉庫戻し-_xlpm.未割当不良))</f>
        <v/>
      </c>
      <c r="O127" s="8" t="str">
        <f t="array" ref="O127">IF($A127="","",_xlfn.LET(
_xlpm.同品番,($B$2:$B$301=$B127),
_xlpm.週が前,($C$2:$C$301&lt;$C127),
_xlpm.同週で上行,($C$2:$C$301=$C127)*(ROW($C$2:$C$301)&lt;ROW()),
SUMPRODUCT(_xlpm.同品番*(_xlpm.週が前+_xlpm.同週で上行)*$M$2:$M$301)))</f>
        <v/>
      </c>
    </row>
    <row r="128" spans="1:15" ht="15" customHeight="1" x14ac:dyDescent="0.25">
      <c r="A128" s="4" t="str">
        <f>IFERROR(INDEX(tbl_plan[ロットID],ROW()-1),"")</f>
        <v/>
      </c>
      <c r="B128" s="4" t="str">
        <f>IF($A128="","",INDEX(tbl_plan[localId],ROW()-1))</f>
        <v/>
      </c>
      <c r="C128" s="11" t="str">
        <f>IF($A128="","",INDEX(tbl_plan[出荷週],ROW()-1))</f>
        <v/>
      </c>
      <c r="D128" s="4" t="str">
        <f>IF($A128="","",INDEX(tbl_plan[納期先],ROW()-1)&amp;"")</f>
        <v/>
      </c>
      <c r="E128" s="8" t="str">
        <f>IF($A128="","",INDEX(tbl_plan[必要数],ROW()-1))</f>
        <v/>
      </c>
      <c r="F128" s="8" t="str">
        <f t="shared" si="3"/>
        <v/>
      </c>
      <c r="G128" s="8" t="str">
        <f>IF($A128="","",SUMIFS(tbl_ledger[数量],tbl_ledger[ロットID],$A128,tbl_ledger[イベント種類],"発送"))</f>
        <v/>
      </c>
      <c r="H128" s="8" t="str">
        <f>IF($A128="","",_xlfn.LET(
_xlpm.割当,F128,
_xlpm.充当受入,SUMIFS(tbl_ledger[数量],tbl_ledger[充当先ロットID],$A128,tbl_ledger[イベント種類],"充当"),
_xlpm.充当放出,SUMIFS(tbl_ledger[数量],tbl_ledger[ロットID],$A128,tbl_ledger[イベント種類],"充当"),
_xlpm.発送済,G128,
_xlpm.倉庫戻し,SUMIFS(tbl_ledger[数量],tbl_ledger[ロットID],$A128,tbl_ledger[イベント種類],"倉庫戻し"),
_xlpm.余剰化,SUMIFS(tbl_ledger[数量],tbl_ledger[ロットID],$A128,tbl_ledger[イベント種類],"余剰化"),
_xlpm.不良,SUMIFS(tbl_ledger[数量],tbl_ledger[ロットID],$A128,tbl_ledger[イベント種類],"不良発生"),
_xlpm.割当+_xlpm.充当受入-_xlpm.充当放出-_xlpm.発送済-_xlpm.倉庫戻し-_xlpm.余剰化-_xlpm.不良))</f>
        <v/>
      </c>
      <c r="I128" s="8" t="str">
        <f>IF($A128="","",_xlfn.LET(
_xlpm.品番プール,N128,
_xlpm.割当計,SUMIF($B$2:$B$301,$B128,$F$2:$F$301),
_xlpm.余剰化受入,SUMIFS(tbl_ledger[数量],tbl_ledger[localId],$B128,tbl_ledger[イベント種類],"余剰化"),
_xlpm.充当払出,SUMIFS(tbl_ledger[数量],tbl_ledger[localId],$B128,tbl_ledger[イベント種類],"充当",tbl_ledger[ロットID],"="),
_xlpm.品番プール-_xlpm.割当計+_xlpm.余剰化受入-_xlpm.充当払出))</f>
        <v/>
      </c>
      <c r="J128" s="8" t="str">
        <f t="shared" si="4"/>
        <v/>
      </c>
      <c r="K128" s="8" t="str">
        <f t="shared" si="5"/>
        <v/>
      </c>
      <c r="L128" s="4" t="str">
        <f>IF($A128="","",IF(INDEX(tbl_plan[計画状態],ROW()-1)="キャンセル","キャンセル",IF(J128=0,"発送済",IF(K128&gt;0,"要搬出","OK"))))</f>
        <v/>
      </c>
      <c r="M128" s="8">
        <f t="array" ref="M128">_xlfn.LET(
_xlpm.計画状態,IFERROR(INDEX(tbl_plan[計画状態],ROW()-1)&amp;"",""),
_xlpm.必要数,IFERROR(N(INDEX(tbl_plan[必要数],ROW()-1)),0),
IF(_xlpm.計画状態="キャンセル",0,_xlpm.必要数))</f>
        <v>0</v>
      </c>
      <c r="N128" s="8" t="str">
        <f>IF($A128="","",_xlfn.LET(
_xlpm.搬入計,SUMIFS(tbl_ledger[数量],tbl_ledger[localId],$B128,tbl_ledger[イベント種類],"搬入"),
_xlpm.未割当発送,SUMIFS(tbl_ledger[数量],tbl_ledger[localId],$B128,tbl_ledger[イベント種類],"発送",tbl_ledger[ロットID],"="),
_xlpm.未割当倉庫戻し,SUMIFS(tbl_ledger[数量],tbl_ledger[localId],$B128,tbl_ledger[イベント種類],"倉庫戻し",tbl_ledger[ロットID],"="),
_xlpm.未割当不良,SUMIFS(tbl_ledger[数量],tbl_ledger[localId],$B128,tbl_ledger[イベント種類],"不良発生",tbl_ledger[ロットID],"="),
_xlpm.搬入計-_xlpm.未割当発送-_xlpm.未割当倉庫戻し-_xlpm.未割当不良))</f>
        <v/>
      </c>
      <c r="O128" s="8" t="str">
        <f t="array" ref="O128">IF($A128="","",_xlfn.LET(
_xlpm.同品番,($B$2:$B$301=$B128),
_xlpm.週が前,($C$2:$C$301&lt;$C128),
_xlpm.同週で上行,($C$2:$C$301=$C128)*(ROW($C$2:$C$301)&lt;ROW()),
SUMPRODUCT(_xlpm.同品番*(_xlpm.週が前+_xlpm.同週で上行)*$M$2:$M$301)))</f>
        <v/>
      </c>
    </row>
    <row r="129" spans="1:15" ht="15" customHeight="1" x14ac:dyDescent="0.25">
      <c r="A129" s="4" t="str">
        <f>IFERROR(INDEX(tbl_plan[ロットID],ROW()-1),"")</f>
        <v/>
      </c>
      <c r="B129" s="4" t="str">
        <f>IF($A129="","",INDEX(tbl_plan[localId],ROW()-1))</f>
        <v/>
      </c>
      <c r="C129" s="11" t="str">
        <f>IF($A129="","",INDEX(tbl_plan[出荷週],ROW()-1))</f>
        <v/>
      </c>
      <c r="D129" s="4" t="str">
        <f>IF($A129="","",INDEX(tbl_plan[納期先],ROW()-1)&amp;"")</f>
        <v/>
      </c>
      <c r="E129" s="8" t="str">
        <f>IF($A129="","",INDEX(tbl_plan[必要数],ROW()-1))</f>
        <v/>
      </c>
      <c r="F129" s="8" t="str">
        <f t="shared" si="3"/>
        <v/>
      </c>
      <c r="G129" s="8" t="str">
        <f>IF($A129="","",SUMIFS(tbl_ledger[数量],tbl_ledger[ロットID],$A129,tbl_ledger[イベント種類],"発送"))</f>
        <v/>
      </c>
      <c r="H129" s="8" t="str">
        <f>IF($A129="","",_xlfn.LET(
_xlpm.割当,F129,
_xlpm.充当受入,SUMIFS(tbl_ledger[数量],tbl_ledger[充当先ロットID],$A129,tbl_ledger[イベント種類],"充当"),
_xlpm.充当放出,SUMIFS(tbl_ledger[数量],tbl_ledger[ロットID],$A129,tbl_ledger[イベント種類],"充当"),
_xlpm.発送済,G129,
_xlpm.倉庫戻し,SUMIFS(tbl_ledger[数量],tbl_ledger[ロットID],$A129,tbl_ledger[イベント種類],"倉庫戻し"),
_xlpm.余剰化,SUMIFS(tbl_ledger[数量],tbl_ledger[ロットID],$A129,tbl_ledger[イベント種類],"余剰化"),
_xlpm.不良,SUMIFS(tbl_ledger[数量],tbl_ledger[ロットID],$A129,tbl_ledger[イベント種類],"不良発生"),
_xlpm.割当+_xlpm.充当受入-_xlpm.充当放出-_xlpm.発送済-_xlpm.倉庫戻し-_xlpm.余剰化-_xlpm.不良))</f>
        <v/>
      </c>
      <c r="I129" s="8" t="str">
        <f>IF($A129="","",_xlfn.LET(
_xlpm.品番プール,N129,
_xlpm.割当計,SUMIF($B$2:$B$301,$B129,$F$2:$F$301),
_xlpm.余剰化受入,SUMIFS(tbl_ledger[数量],tbl_ledger[localId],$B129,tbl_ledger[イベント種類],"余剰化"),
_xlpm.充当払出,SUMIFS(tbl_ledger[数量],tbl_ledger[localId],$B129,tbl_ledger[イベント種類],"充当",tbl_ledger[ロットID],"="),
_xlpm.品番プール-_xlpm.割当計+_xlpm.余剰化受入-_xlpm.充当払出))</f>
        <v/>
      </c>
      <c r="J129" s="8" t="str">
        <f t="shared" si="4"/>
        <v/>
      </c>
      <c r="K129" s="8" t="str">
        <f t="shared" si="5"/>
        <v/>
      </c>
      <c r="L129" s="4" t="str">
        <f>IF($A129="","",IF(INDEX(tbl_plan[計画状態],ROW()-1)="キャンセル","キャンセル",IF(J129=0,"発送済",IF(K129&gt;0,"要搬出","OK"))))</f>
        <v/>
      </c>
      <c r="M129" s="8">
        <f t="array" ref="M129">_xlfn.LET(
_xlpm.計画状態,IFERROR(INDEX(tbl_plan[計画状態],ROW()-1)&amp;"",""),
_xlpm.必要数,IFERROR(N(INDEX(tbl_plan[必要数],ROW()-1)),0),
IF(_xlpm.計画状態="キャンセル",0,_xlpm.必要数))</f>
        <v>0</v>
      </c>
      <c r="N129" s="8" t="str">
        <f>IF($A129="","",_xlfn.LET(
_xlpm.搬入計,SUMIFS(tbl_ledger[数量],tbl_ledger[localId],$B129,tbl_ledger[イベント種類],"搬入"),
_xlpm.未割当発送,SUMIFS(tbl_ledger[数量],tbl_ledger[localId],$B129,tbl_ledger[イベント種類],"発送",tbl_ledger[ロットID],"="),
_xlpm.未割当倉庫戻し,SUMIFS(tbl_ledger[数量],tbl_ledger[localId],$B129,tbl_ledger[イベント種類],"倉庫戻し",tbl_ledger[ロットID],"="),
_xlpm.未割当不良,SUMIFS(tbl_ledger[数量],tbl_ledger[localId],$B129,tbl_ledger[イベント種類],"不良発生",tbl_ledger[ロットID],"="),
_xlpm.搬入計-_xlpm.未割当発送-_xlpm.未割当倉庫戻し-_xlpm.未割当不良))</f>
        <v/>
      </c>
      <c r="O129" s="8" t="str">
        <f t="array" ref="O129">IF($A129="","",_xlfn.LET(
_xlpm.同品番,($B$2:$B$301=$B129),
_xlpm.週が前,($C$2:$C$301&lt;$C129),
_xlpm.同週で上行,($C$2:$C$301=$C129)*(ROW($C$2:$C$301)&lt;ROW()),
SUMPRODUCT(_xlpm.同品番*(_xlpm.週が前+_xlpm.同週で上行)*$M$2:$M$301)))</f>
        <v/>
      </c>
    </row>
    <row r="130" spans="1:15" ht="15" customHeight="1" x14ac:dyDescent="0.25">
      <c r="A130" s="4" t="str">
        <f>IFERROR(INDEX(tbl_plan[ロットID],ROW()-1),"")</f>
        <v/>
      </c>
      <c r="B130" s="4" t="str">
        <f>IF($A130="","",INDEX(tbl_plan[localId],ROW()-1))</f>
        <v/>
      </c>
      <c r="C130" s="11" t="str">
        <f>IF($A130="","",INDEX(tbl_plan[出荷週],ROW()-1))</f>
        <v/>
      </c>
      <c r="D130" s="4" t="str">
        <f>IF($A130="","",INDEX(tbl_plan[納期先],ROW()-1)&amp;"")</f>
        <v/>
      </c>
      <c r="E130" s="8" t="str">
        <f>IF($A130="","",INDEX(tbl_plan[必要数],ROW()-1))</f>
        <v/>
      </c>
      <c r="F130" s="8" t="str">
        <f t="shared" ref="F130:F193" si="6">IF($A130="","",MIN(M130,MAX(0,N130-O130)))</f>
        <v/>
      </c>
      <c r="G130" s="8" t="str">
        <f>IF($A130="","",SUMIFS(tbl_ledger[数量],tbl_ledger[ロットID],$A130,tbl_ledger[イベント種類],"発送"))</f>
        <v/>
      </c>
      <c r="H130" s="8" t="str">
        <f>IF($A130="","",_xlfn.LET(
_xlpm.割当,F130,
_xlpm.充当受入,SUMIFS(tbl_ledger[数量],tbl_ledger[充当先ロットID],$A130,tbl_ledger[イベント種類],"充当"),
_xlpm.充当放出,SUMIFS(tbl_ledger[数量],tbl_ledger[ロットID],$A130,tbl_ledger[イベント種類],"充当"),
_xlpm.発送済,G130,
_xlpm.倉庫戻し,SUMIFS(tbl_ledger[数量],tbl_ledger[ロットID],$A130,tbl_ledger[イベント種類],"倉庫戻し"),
_xlpm.余剰化,SUMIFS(tbl_ledger[数量],tbl_ledger[ロットID],$A130,tbl_ledger[イベント種類],"余剰化"),
_xlpm.不良,SUMIFS(tbl_ledger[数量],tbl_ledger[ロットID],$A130,tbl_ledger[イベント種類],"不良発生"),
_xlpm.割当+_xlpm.充当受入-_xlpm.充当放出-_xlpm.発送済-_xlpm.倉庫戻し-_xlpm.余剰化-_xlpm.不良))</f>
        <v/>
      </c>
      <c r="I130" s="8" t="str">
        <f>IF($A130="","",_xlfn.LET(
_xlpm.品番プール,N130,
_xlpm.割当計,SUMIF($B$2:$B$301,$B130,$F$2:$F$301),
_xlpm.余剰化受入,SUMIFS(tbl_ledger[数量],tbl_ledger[localId],$B130,tbl_ledger[イベント種類],"余剰化"),
_xlpm.充当払出,SUMIFS(tbl_ledger[数量],tbl_ledger[localId],$B130,tbl_ledger[イベント種類],"充当",tbl_ledger[ロットID],"="),
_xlpm.品番プール-_xlpm.割当計+_xlpm.余剰化受入-_xlpm.充当払出))</f>
        <v/>
      </c>
      <c r="J130" s="8" t="str">
        <f t="shared" ref="J130:J193" si="7">IF($A130="","",MAX(0,M130-G130))</f>
        <v/>
      </c>
      <c r="K130" s="8" t="str">
        <f t="shared" ref="K130:K193" si="8">IF($A130="","",MAX(0,J130-H130-I130))</f>
        <v/>
      </c>
      <c r="L130" s="4" t="str">
        <f>IF($A130="","",IF(INDEX(tbl_plan[計画状態],ROW()-1)="キャンセル","キャンセル",IF(J130=0,"発送済",IF(K130&gt;0,"要搬出","OK"))))</f>
        <v/>
      </c>
      <c r="M130" s="8">
        <f t="array" ref="M130">_xlfn.LET(
_xlpm.計画状態,IFERROR(INDEX(tbl_plan[計画状態],ROW()-1)&amp;"",""),
_xlpm.必要数,IFERROR(N(INDEX(tbl_plan[必要数],ROW()-1)),0),
IF(_xlpm.計画状態="キャンセル",0,_xlpm.必要数))</f>
        <v>0</v>
      </c>
      <c r="N130" s="8" t="str">
        <f>IF($A130="","",_xlfn.LET(
_xlpm.搬入計,SUMIFS(tbl_ledger[数量],tbl_ledger[localId],$B130,tbl_ledger[イベント種類],"搬入"),
_xlpm.未割当発送,SUMIFS(tbl_ledger[数量],tbl_ledger[localId],$B130,tbl_ledger[イベント種類],"発送",tbl_ledger[ロットID],"="),
_xlpm.未割当倉庫戻し,SUMIFS(tbl_ledger[数量],tbl_ledger[localId],$B130,tbl_ledger[イベント種類],"倉庫戻し",tbl_ledger[ロットID],"="),
_xlpm.未割当不良,SUMIFS(tbl_ledger[数量],tbl_ledger[localId],$B130,tbl_ledger[イベント種類],"不良発生",tbl_ledger[ロットID],"="),
_xlpm.搬入計-_xlpm.未割当発送-_xlpm.未割当倉庫戻し-_xlpm.未割当不良))</f>
        <v/>
      </c>
      <c r="O130" s="8" t="str">
        <f t="array" ref="O130">IF($A130="","",_xlfn.LET(
_xlpm.同品番,($B$2:$B$301=$B130),
_xlpm.週が前,($C$2:$C$301&lt;$C130),
_xlpm.同週で上行,($C$2:$C$301=$C130)*(ROW($C$2:$C$301)&lt;ROW()),
SUMPRODUCT(_xlpm.同品番*(_xlpm.週が前+_xlpm.同週で上行)*$M$2:$M$301)))</f>
        <v/>
      </c>
    </row>
    <row r="131" spans="1:15" ht="15" customHeight="1" x14ac:dyDescent="0.25">
      <c r="A131" s="4" t="str">
        <f>IFERROR(INDEX(tbl_plan[ロットID],ROW()-1),"")</f>
        <v/>
      </c>
      <c r="B131" s="4" t="str">
        <f>IF($A131="","",INDEX(tbl_plan[localId],ROW()-1))</f>
        <v/>
      </c>
      <c r="C131" s="11" t="str">
        <f>IF($A131="","",INDEX(tbl_plan[出荷週],ROW()-1))</f>
        <v/>
      </c>
      <c r="D131" s="4" t="str">
        <f>IF($A131="","",INDEX(tbl_plan[納期先],ROW()-1)&amp;"")</f>
        <v/>
      </c>
      <c r="E131" s="8" t="str">
        <f>IF($A131="","",INDEX(tbl_plan[必要数],ROW()-1))</f>
        <v/>
      </c>
      <c r="F131" s="8" t="str">
        <f t="shared" si="6"/>
        <v/>
      </c>
      <c r="G131" s="8" t="str">
        <f>IF($A131="","",SUMIFS(tbl_ledger[数量],tbl_ledger[ロットID],$A131,tbl_ledger[イベント種類],"発送"))</f>
        <v/>
      </c>
      <c r="H131" s="8" t="str">
        <f>IF($A131="","",_xlfn.LET(
_xlpm.割当,F131,
_xlpm.充当受入,SUMIFS(tbl_ledger[数量],tbl_ledger[充当先ロットID],$A131,tbl_ledger[イベント種類],"充当"),
_xlpm.充当放出,SUMIFS(tbl_ledger[数量],tbl_ledger[ロットID],$A131,tbl_ledger[イベント種類],"充当"),
_xlpm.発送済,G131,
_xlpm.倉庫戻し,SUMIFS(tbl_ledger[数量],tbl_ledger[ロットID],$A131,tbl_ledger[イベント種類],"倉庫戻し"),
_xlpm.余剰化,SUMIFS(tbl_ledger[数量],tbl_ledger[ロットID],$A131,tbl_ledger[イベント種類],"余剰化"),
_xlpm.不良,SUMIFS(tbl_ledger[数量],tbl_ledger[ロットID],$A131,tbl_ledger[イベント種類],"不良発生"),
_xlpm.割当+_xlpm.充当受入-_xlpm.充当放出-_xlpm.発送済-_xlpm.倉庫戻し-_xlpm.余剰化-_xlpm.不良))</f>
        <v/>
      </c>
      <c r="I131" s="8" t="str">
        <f>IF($A131="","",_xlfn.LET(
_xlpm.品番プール,N131,
_xlpm.割当計,SUMIF($B$2:$B$301,$B131,$F$2:$F$301),
_xlpm.余剰化受入,SUMIFS(tbl_ledger[数量],tbl_ledger[localId],$B131,tbl_ledger[イベント種類],"余剰化"),
_xlpm.充当払出,SUMIFS(tbl_ledger[数量],tbl_ledger[localId],$B131,tbl_ledger[イベント種類],"充当",tbl_ledger[ロットID],"="),
_xlpm.品番プール-_xlpm.割当計+_xlpm.余剰化受入-_xlpm.充当払出))</f>
        <v/>
      </c>
      <c r="J131" s="8" t="str">
        <f t="shared" si="7"/>
        <v/>
      </c>
      <c r="K131" s="8" t="str">
        <f t="shared" si="8"/>
        <v/>
      </c>
      <c r="L131" s="4" t="str">
        <f>IF($A131="","",IF(INDEX(tbl_plan[計画状態],ROW()-1)="キャンセル","キャンセル",IF(J131=0,"発送済",IF(K131&gt;0,"要搬出","OK"))))</f>
        <v/>
      </c>
      <c r="M131" s="8">
        <f t="array" ref="M131">_xlfn.LET(
_xlpm.計画状態,IFERROR(INDEX(tbl_plan[計画状態],ROW()-1)&amp;"",""),
_xlpm.必要数,IFERROR(N(INDEX(tbl_plan[必要数],ROW()-1)),0),
IF(_xlpm.計画状態="キャンセル",0,_xlpm.必要数))</f>
        <v>0</v>
      </c>
      <c r="N131" s="8" t="str">
        <f>IF($A131="","",_xlfn.LET(
_xlpm.搬入計,SUMIFS(tbl_ledger[数量],tbl_ledger[localId],$B131,tbl_ledger[イベント種類],"搬入"),
_xlpm.未割当発送,SUMIFS(tbl_ledger[数量],tbl_ledger[localId],$B131,tbl_ledger[イベント種類],"発送",tbl_ledger[ロットID],"="),
_xlpm.未割当倉庫戻し,SUMIFS(tbl_ledger[数量],tbl_ledger[localId],$B131,tbl_ledger[イベント種類],"倉庫戻し",tbl_ledger[ロットID],"="),
_xlpm.未割当不良,SUMIFS(tbl_ledger[数量],tbl_ledger[localId],$B131,tbl_ledger[イベント種類],"不良発生",tbl_ledger[ロットID],"="),
_xlpm.搬入計-_xlpm.未割当発送-_xlpm.未割当倉庫戻し-_xlpm.未割当不良))</f>
        <v/>
      </c>
      <c r="O131" s="8" t="str">
        <f t="array" ref="O131">IF($A131="","",_xlfn.LET(
_xlpm.同品番,($B$2:$B$301=$B131),
_xlpm.週が前,($C$2:$C$301&lt;$C131),
_xlpm.同週で上行,($C$2:$C$301=$C131)*(ROW($C$2:$C$301)&lt;ROW()),
SUMPRODUCT(_xlpm.同品番*(_xlpm.週が前+_xlpm.同週で上行)*$M$2:$M$301)))</f>
        <v/>
      </c>
    </row>
    <row r="132" spans="1:15" ht="15" customHeight="1" x14ac:dyDescent="0.25">
      <c r="A132" s="4" t="str">
        <f>IFERROR(INDEX(tbl_plan[ロットID],ROW()-1),"")</f>
        <v/>
      </c>
      <c r="B132" s="4" t="str">
        <f>IF($A132="","",INDEX(tbl_plan[localId],ROW()-1))</f>
        <v/>
      </c>
      <c r="C132" s="11" t="str">
        <f>IF($A132="","",INDEX(tbl_plan[出荷週],ROW()-1))</f>
        <v/>
      </c>
      <c r="D132" s="4" t="str">
        <f>IF($A132="","",INDEX(tbl_plan[納期先],ROW()-1)&amp;"")</f>
        <v/>
      </c>
      <c r="E132" s="8" t="str">
        <f>IF($A132="","",INDEX(tbl_plan[必要数],ROW()-1))</f>
        <v/>
      </c>
      <c r="F132" s="8" t="str">
        <f t="shared" si="6"/>
        <v/>
      </c>
      <c r="G132" s="8" t="str">
        <f>IF($A132="","",SUMIFS(tbl_ledger[数量],tbl_ledger[ロットID],$A132,tbl_ledger[イベント種類],"発送"))</f>
        <v/>
      </c>
      <c r="H132" s="8" t="str">
        <f>IF($A132="","",_xlfn.LET(
_xlpm.割当,F132,
_xlpm.充当受入,SUMIFS(tbl_ledger[数量],tbl_ledger[充当先ロットID],$A132,tbl_ledger[イベント種類],"充当"),
_xlpm.充当放出,SUMIFS(tbl_ledger[数量],tbl_ledger[ロットID],$A132,tbl_ledger[イベント種類],"充当"),
_xlpm.発送済,G132,
_xlpm.倉庫戻し,SUMIFS(tbl_ledger[数量],tbl_ledger[ロットID],$A132,tbl_ledger[イベント種類],"倉庫戻し"),
_xlpm.余剰化,SUMIFS(tbl_ledger[数量],tbl_ledger[ロットID],$A132,tbl_ledger[イベント種類],"余剰化"),
_xlpm.不良,SUMIFS(tbl_ledger[数量],tbl_ledger[ロットID],$A132,tbl_ledger[イベント種類],"不良発生"),
_xlpm.割当+_xlpm.充当受入-_xlpm.充当放出-_xlpm.発送済-_xlpm.倉庫戻し-_xlpm.余剰化-_xlpm.不良))</f>
        <v/>
      </c>
      <c r="I132" s="8" t="str">
        <f>IF($A132="","",_xlfn.LET(
_xlpm.品番プール,N132,
_xlpm.割当計,SUMIF($B$2:$B$301,$B132,$F$2:$F$301),
_xlpm.余剰化受入,SUMIFS(tbl_ledger[数量],tbl_ledger[localId],$B132,tbl_ledger[イベント種類],"余剰化"),
_xlpm.充当払出,SUMIFS(tbl_ledger[数量],tbl_ledger[localId],$B132,tbl_ledger[イベント種類],"充当",tbl_ledger[ロットID],"="),
_xlpm.品番プール-_xlpm.割当計+_xlpm.余剰化受入-_xlpm.充当払出))</f>
        <v/>
      </c>
      <c r="J132" s="8" t="str">
        <f t="shared" si="7"/>
        <v/>
      </c>
      <c r="K132" s="8" t="str">
        <f t="shared" si="8"/>
        <v/>
      </c>
      <c r="L132" s="4" t="str">
        <f>IF($A132="","",IF(INDEX(tbl_plan[計画状態],ROW()-1)="キャンセル","キャンセル",IF(J132=0,"発送済",IF(K132&gt;0,"要搬出","OK"))))</f>
        <v/>
      </c>
      <c r="M132" s="8">
        <f t="array" ref="M132">_xlfn.LET(
_xlpm.計画状態,IFERROR(INDEX(tbl_plan[計画状態],ROW()-1)&amp;"",""),
_xlpm.必要数,IFERROR(N(INDEX(tbl_plan[必要数],ROW()-1)),0),
IF(_xlpm.計画状態="キャンセル",0,_xlpm.必要数))</f>
        <v>0</v>
      </c>
      <c r="N132" s="8" t="str">
        <f>IF($A132="","",_xlfn.LET(
_xlpm.搬入計,SUMIFS(tbl_ledger[数量],tbl_ledger[localId],$B132,tbl_ledger[イベント種類],"搬入"),
_xlpm.未割当発送,SUMIFS(tbl_ledger[数量],tbl_ledger[localId],$B132,tbl_ledger[イベント種類],"発送",tbl_ledger[ロットID],"="),
_xlpm.未割当倉庫戻し,SUMIFS(tbl_ledger[数量],tbl_ledger[localId],$B132,tbl_ledger[イベント種類],"倉庫戻し",tbl_ledger[ロットID],"="),
_xlpm.未割当不良,SUMIFS(tbl_ledger[数量],tbl_ledger[localId],$B132,tbl_ledger[イベント種類],"不良発生",tbl_ledger[ロットID],"="),
_xlpm.搬入計-_xlpm.未割当発送-_xlpm.未割当倉庫戻し-_xlpm.未割当不良))</f>
        <v/>
      </c>
      <c r="O132" s="8" t="str">
        <f t="array" ref="O132">IF($A132="","",_xlfn.LET(
_xlpm.同品番,($B$2:$B$301=$B132),
_xlpm.週が前,($C$2:$C$301&lt;$C132),
_xlpm.同週で上行,($C$2:$C$301=$C132)*(ROW($C$2:$C$301)&lt;ROW()),
SUMPRODUCT(_xlpm.同品番*(_xlpm.週が前+_xlpm.同週で上行)*$M$2:$M$301)))</f>
        <v/>
      </c>
    </row>
    <row r="133" spans="1:15" ht="15" customHeight="1" x14ac:dyDescent="0.25">
      <c r="A133" s="4" t="str">
        <f>IFERROR(INDEX(tbl_plan[ロットID],ROW()-1),"")</f>
        <v/>
      </c>
      <c r="B133" s="4" t="str">
        <f>IF($A133="","",INDEX(tbl_plan[localId],ROW()-1))</f>
        <v/>
      </c>
      <c r="C133" s="11" t="str">
        <f>IF($A133="","",INDEX(tbl_plan[出荷週],ROW()-1))</f>
        <v/>
      </c>
      <c r="D133" s="4" t="str">
        <f>IF($A133="","",INDEX(tbl_plan[納期先],ROW()-1)&amp;"")</f>
        <v/>
      </c>
      <c r="E133" s="8" t="str">
        <f>IF($A133="","",INDEX(tbl_plan[必要数],ROW()-1))</f>
        <v/>
      </c>
      <c r="F133" s="8" t="str">
        <f t="shared" si="6"/>
        <v/>
      </c>
      <c r="G133" s="8" t="str">
        <f>IF($A133="","",SUMIFS(tbl_ledger[数量],tbl_ledger[ロットID],$A133,tbl_ledger[イベント種類],"発送"))</f>
        <v/>
      </c>
      <c r="H133" s="8" t="str">
        <f>IF($A133="","",_xlfn.LET(
_xlpm.割当,F133,
_xlpm.充当受入,SUMIFS(tbl_ledger[数量],tbl_ledger[充当先ロットID],$A133,tbl_ledger[イベント種類],"充当"),
_xlpm.充当放出,SUMIFS(tbl_ledger[数量],tbl_ledger[ロットID],$A133,tbl_ledger[イベント種類],"充当"),
_xlpm.発送済,G133,
_xlpm.倉庫戻し,SUMIFS(tbl_ledger[数量],tbl_ledger[ロットID],$A133,tbl_ledger[イベント種類],"倉庫戻し"),
_xlpm.余剰化,SUMIFS(tbl_ledger[数量],tbl_ledger[ロットID],$A133,tbl_ledger[イベント種類],"余剰化"),
_xlpm.不良,SUMIFS(tbl_ledger[数量],tbl_ledger[ロットID],$A133,tbl_ledger[イベント種類],"不良発生"),
_xlpm.割当+_xlpm.充当受入-_xlpm.充当放出-_xlpm.発送済-_xlpm.倉庫戻し-_xlpm.余剰化-_xlpm.不良))</f>
        <v/>
      </c>
      <c r="I133" s="8" t="str">
        <f>IF($A133="","",_xlfn.LET(
_xlpm.品番プール,N133,
_xlpm.割当計,SUMIF($B$2:$B$301,$B133,$F$2:$F$301),
_xlpm.余剰化受入,SUMIFS(tbl_ledger[数量],tbl_ledger[localId],$B133,tbl_ledger[イベント種類],"余剰化"),
_xlpm.充当払出,SUMIFS(tbl_ledger[数量],tbl_ledger[localId],$B133,tbl_ledger[イベント種類],"充当",tbl_ledger[ロットID],"="),
_xlpm.品番プール-_xlpm.割当計+_xlpm.余剰化受入-_xlpm.充当払出))</f>
        <v/>
      </c>
      <c r="J133" s="8" t="str">
        <f t="shared" si="7"/>
        <v/>
      </c>
      <c r="K133" s="8" t="str">
        <f t="shared" si="8"/>
        <v/>
      </c>
      <c r="L133" s="4" t="str">
        <f>IF($A133="","",IF(INDEX(tbl_plan[計画状態],ROW()-1)="キャンセル","キャンセル",IF(J133=0,"発送済",IF(K133&gt;0,"要搬出","OK"))))</f>
        <v/>
      </c>
      <c r="M133" s="8">
        <f t="array" ref="M133">_xlfn.LET(
_xlpm.計画状態,IFERROR(INDEX(tbl_plan[計画状態],ROW()-1)&amp;"",""),
_xlpm.必要数,IFERROR(N(INDEX(tbl_plan[必要数],ROW()-1)),0),
IF(_xlpm.計画状態="キャンセル",0,_xlpm.必要数))</f>
        <v>0</v>
      </c>
      <c r="N133" s="8" t="str">
        <f>IF($A133="","",_xlfn.LET(
_xlpm.搬入計,SUMIFS(tbl_ledger[数量],tbl_ledger[localId],$B133,tbl_ledger[イベント種類],"搬入"),
_xlpm.未割当発送,SUMIFS(tbl_ledger[数量],tbl_ledger[localId],$B133,tbl_ledger[イベント種類],"発送",tbl_ledger[ロットID],"="),
_xlpm.未割当倉庫戻し,SUMIFS(tbl_ledger[数量],tbl_ledger[localId],$B133,tbl_ledger[イベント種類],"倉庫戻し",tbl_ledger[ロットID],"="),
_xlpm.未割当不良,SUMIFS(tbl_ledger[数量],tbl_ledger[localId],$B133,tbl_ledger[イベント種類],"不良発生",tbl_ledger[ロットID],"="),
_xlpm.搬入計-_xlpm.未割当発送-_xlpm.未割当倉庫戻し-_xlpm.未割当不良))</f>
        <v/>
      </c>
      <c r="O133" s="8" t="str">
        <f t="array" ref="O133">IF($A133="","",_xlfn.LET(
_xlpm.同品番,($B$2:$B$301=$B133),
_xlpm.週が前,($C$2:$C$301&lt;$C133),
_xlpm.同週で上行,($C$2:$C$301=$C133)*(ROW($C$2:$C$301)&lt;ROW()),
SUMPRODUCT(_xlpm.同品番*(_xlpm.週が前+_xlpm.同週で上行)*$M$2:$M$301)))</f>
        <v/>
      </c>
    </row>
    <row r="134" spans="1:15" ht="15" customHeight="1" x14ac:dyDescent="0.25">
      <c r="A134" s="4" t="str">
        <f>IFERROR(INDEX(tbl_plan[ロットID],ROW()-1),"")</f>
        <v/>
      </c>
      <c r="B134" s="4" t="str">
        <f>IF($A134="","",INDEX(tbl_plan[localId],ROW()-1))</f>
        <v/>
      </c>
      <c r="C134" s="11" t="str">
        <f>IF($A134="","",INDEX(tbl_plan[出荷週],ROW()-1))</f>
        <v/>
      </c>
      <c r="D134" s="4" t="str">
        <f>IF($A134="","",INDEX(tbl_plan[納期先],ROW()-1)&amp;"")</f>
        <v/>
      </c>
      <c r="E134" s="8" t="str">
        <f>IF($A134="","",INDEX(tbl_plan[必要数],ROW()-1))</f>
        <v/>
      </c>
      <c r="F134" s="8" t="str">
        <f t="shared" si="6"/>
        <v/>
      </c>
      <c r="G134" s="8" t="str">
        <f>IF($A134="","",SUMIFS(tbl_ledger[数量],tbl_ledger[ロットID],$A134,tbl_ledger[イベント種類],"発送"))</f>
        <v/>
      </c>
      <c r="H134" s="8" t="str">
        <f>IF($A134="","",_xlfn.LET(
_xlpm.割当,F134,
_xlpm.充当受入,SUMIFS(tbl_ledger[数量],tbl_ledger[充当先ロットID],$A134,tbl_ledger[イベント種類],"充当"),
_xlpm.充当放出,SUMIFS(tbl_ledger[数量],tbl_ledger[ロットID],$A134,tbl_ledger[イベント種類],"充当"),
_xlpm.発送済,G134,
_xlpm.倉庫戻し,SUMIFS(tbl_ledger[数量],tbl_ledger[ロットID],$A134,tbl_ledger[イベント種類],"倉庫戻し"),
_xlpm.余剰化,SUMIFS(tbl_ledger[数量],tbl_ledger[ロットID],$A134,tbl_ledger[イベント種類],"余剰化"),
_xlpm.不良,SUMIFS(tbl_ledger[数量],tbl_ledger[ロットID],$A134,tbl_ledger[イベント種類],"不良発生"),
_xlpm.割当+_xlpm.充当受入-_xlpm.充当放出-_xlpm.発送済-_xlpm.倉庫戻し-_xlpm.余剰化-_xlpm.不良))</f>
        <v/>
      </c>
      <c r="I134" s="8" t="str">
        <f>IF($A134="","",_xlfn.LET(
_xlpm.品番プール,N134,
_xlpm.割当計,SUMIF($B$2:$B$301,$B134,$F$2:$F$301),
_xlpm.余剰化受入,SUMIFS(tbl_ledger[数量],tbl_ledger[localId],$B134,tbl_ledger[イベント種類],"余剰化"),
_xlpm.充当払出,SUMIFS(tbl_ledger[数量],tbl_ledger[localId],$B134,tbl_ledger[イベント種類],"充当",tbl_ledger[ロットID],"="),
_xlpm.品番プール-_xlpm.割当計+_xlpm.余剰化受入-_xlpm.充当払出))</f>
        <v/>
      </c>
      <c r="J134" s="8" t="str">
        <f t="shared" si="7"/>
        <v/>
      </c>
      <c r="K134" s="8" t="str">
        <f t="shared" si="8"/>
        <v/>
      </c>
      <c r="L134" s="4" t="str">
        <f>IF($A134="","",IF(INDEX(tbl_plan[計画状態],ROW()-1)="キャンセル","キャンセル",IF(J134=0,"発送済",IF(K134&gt;0,"要搬出","OK"))))</f>
        <v/>
      </c>
      <c r="M134" s="8">
        <f t="array" ref="M134">_xlfn.LET(
_xlpm.計画状態,IFERROR(INDEX(tbl_plan[計画状態],ROW()-1)&amp;"",""),
_xlpm.必要数,IFERROR(N(INDEX(tbl_plan[必要数],ROW()-1)),0),
IF(_xlpm.計画状態="キャンセル",0,_xlpm.必要数))</f>
        <v>0</v>
      </c>
      <c r="N134" s="8" t="str">
        <f>IF($A134="","",_xlfn.LET(
_xlpm.搬入計,SUMIFS(tbl_ledger[数量],tbl_ledger[localId],$B134,tbl_ledger[イベント種類],"搬入"),
_xlpm.未割当発送,SUMIFS(tbl_ledger[数量],tbl_ledger[localId],$B134,tbl_ledger[イベント種類],"発送",tbl_ledger[ロットID],"="),
_xlpm.未割当倉庫戻し,SUMIFS(tbl_ledger[数量],tbl_ledger[localId],$B134,tbl_ledger[イベント種類],"倉庫戻し",tbl_ledger[ロットID],"="),
_xlpm.未割当不良,SUMIFS(tbl_ledger[数量],tbl_ledger[localId],$B134,tbl_ledger[イベント種類],"不良発生",tbl_ledger[ロットID],"="),
_xlpm.搬入計-_xlpm.未割当発送-_xlpm.未割当倉庫戻し-_xlpm.未割当不良))</f>
        <v/>
      </c>
      <c r="O134" s="8" t="str">
        <f t="array" ref="O134">IF($A134="","",_xlfn.LET(
_xlpm.同品番,($B$2:$B$301=$B134),
_xlpm.週が前,($C$2:$C$301&lt;$C134),
_xlpm.同週で上行,($C$2:$C$301=$C134)*(ROW($C$2:$C$301)&lt;ROW()),
SUMPRODUCT(_xlpm.同品番*(_xlpm.週が前+_xlpm.同週で上行)*$M$2:$M$301)))</f>
        <v/>
      </c>
    </row>
    <row r="135" spans="1:15" ht="15" customHeight="1" x14ac:dyDescent="0.25">
      <c r="A135" s="4" t="str">
        <f>IFERROR(INDEX(tbl_plan[ロットID],ROW()-1),"")</f>
        <v/>
      </c>
      <c r="B135" s="4" t="str">
        <f>IF($A135="","",INDEX(tbl_plan[localId],ROW()-1))</f>
        <v/>
      </c>
      <c r="C135" s="11" t="str">
        <f>IF($A135="","",INDEX(tbl_plan[出荷週],ROW()-1))</f>
        <v/>
      </c>
      <c r="D135" s="4" t="str">
        <f>IF($A135="","",INDEX(tbl_plan[納期先],ROW()-1)&amp;"")</f>
        <v/>
      </c>
      <c r="E135" s="8" t="str">
        <f>IF($A135="","",INDEX(tbl_plan[必要数],ROW()-1))</f>
        <v/>
      </c>
      <c r="F135" s="8" t="str">
        <f t="shared" si="6"/>
        <v/>
      </c>
      <c r="G135" s="8" t="str">
        <f>IF($A135="","",SUMIFS(tbl_ledger[数量],tbl_ledger[ロットID],$A135,tbl_ledger[イベント種類],"発送"))</f>
        <v/>
      </c>
      <c r="H135" s="8" t="str">
        <f>IF($A135="","",_xlfn.LET(
_xlpm.割当,F135,
_xlpm.充当受入,SUMIFS(tbl_ledger[数量],tbl_ledger[充当先ロットID],$A135,tbl_ledger[イベント種類],"充当"),
_xlpm.充当放出,SUMIFS(tbl_ledger[数量],tbl_ledger[ロットID],$A135,tbl_ledger[イベント種類],"充当"),
_xlpm.発送済,G135,
_xlpm.倉庫戻し,SUMIFS(tbl_ledger[数量],tbl_ledger[ロットID],$A135,tbl_ledger[イベント種類],"倉庫戻し"),
_xlpm.余剰化,SUMIFS(tbl_ledger[数量],tbl_ledger[ロットID],$A135,tbl_ledger[イベント種類],"余剰化"),
_xlpm.不良,SUMIFS(tbl_ledger[数量],tbl_ledger[ロットID],$A135,tbl_ledger[イベント種類],"不良発生"),
_xlpm.割当+_xlpm.充当受入-_xlpm.充当放出-_xlpm.発送済-_xlpm.倉庫戻し-_xlpm.余剰化-_xlpm.不良))</f>
        <v/>
      </c>
      <c r="I135" s="8" t="str">
        <f>IF($A135="","",_xlfn.LET(
_xlpm.品番プール,N135,
_xlpm.割当計,SUMIF($B$2:$B$301,$B135,$F$2:$F$301),
_xlpm.余剰化受入,SUMIFS(tbl_ledger[数量],tbl_ledger[localId],$B135,tbl_ledger[イベント種類],"余剰化"),
_xlpm.充当払出,SUMIFS(tbl_ledger[数量],tbl_ledger[localId],$B135,tbl_ledger[イベント種類],"充当",tbl_ledger[ロットID],"="),
_xlpm.品番プール-_xlpm.割当計+_xlpm.余剰化受入-_xlpm.充当払出))</f>
        <v/>
      </c>
      <c r="J135" s="8" t="str">
        <f t="shared" si="7"/>
        <v/>
      </c>
      <c r="K135" s="8" t="str">
        <f t="shared" si="8"/>
        <v/>
      </c>
      <c r="L135" s="4" t="str">
        <f>IF($A135="","",IF(INDEX(tbl_plan[計画状態],ROW()-1)="キャンセル","キャンセル",IF(J135=0,"発送済",IF(K135&gt;0,"要搬出","OK"))))</f>
        <v/>
      </c>
      <c r="M135" s="8">
        <f t="array" ref="M135">_xlfn.LET(
_xlpm.計画状態,IFERROR(INDEX(tbl_plan[計画状態],ROW()-1)&amp;"",""),
_xlpm.必要数,IFERROR(N(INDEX(tbl_plan[必要数],ROW()-1)),0),
IF(_xlpm.計画状態="キャンセル",0,_xlpm.必要数))</f>
        <v>0</v>
      </c>
      <c r="N135" s="8" t="str">
        <f>IF($A135="","",_xlfn.LET(
_xlpm.搬入計,SUMIFS(tbl_ledger[数量],tbl_ledger[localId],$B135,tbl_ledger[イベント種類],"搬入"),
_xlpm.未割当発送,SUMIFS(tbl_ledger[数量],tbl_ledger[localId],$B135,tbl_ledger[イベント種類],"発送",tbl_ledger[ロットID],"="),
_xlpm.未割当倉庫戻し,SUMIFS(tbl_ledger[数量],tbl_ledger[localId],$B135,tbl_ledger[イベント種類],"倉庫戻し",tbl_ledger[ロットID],"="),
_xlpm.未割当不良,SUMIFS(tbl_ledger[数量],tbl_ledger[localId],$B135,tbl_ledger[イベント種類],"不良発生",tbl_ledger[ロットID],"="),
_xlpm.搬入計-_xlpm.未割当発送-_xlpm.未割当倉庫戻し-_xlpm.未割当不良))</f>
        <v/>
      </c>
      <c r="O135" s="8" t="str">
        <f t="array" ref="O135">IF($A135="","",_xlfn.LET(
_xlpm.同品番,($B$2:$B$301=$B135),
_xlpm.週が前,($C$2:$C$301&lt;$C135),
_xlpm.同週で上行,($C$2:$C$301=$C135)*(ROW($C$2:$C$301)&lt;ROW()),
SUMPRODUCT(_xlpm.同品番*(_xlpm.週が前+_xlpm.同週で上行)*$M$2:$M$301)))</f>
        <v/>
      </c>
    </row>
    <row r="136" spans="1:15" ht="15" customHeight="1" x14ac:dyDescent="0.25">
      <c r="A136" s="4" t="str">
        <f>IFERROR(INDEX(tbl_plan[ロットID],ROW()-1),"")</f>
        <v/>
      </c>
      <c r="B136" s="4" t="str">
        <f>IF($A136="","",INDEX(tbl_plan[localId],ROW()-1))</f>
        <v/>
      </c>
      <c r="C136" s="11" t="str">
        <f>IF($A136="","",INDEX(tbl_plan[出荷週],ROW()-1))</f>
        <v/>
      </c>
      <c r="D136" s="4" t="str">
        <f>IF($A136="","",INDEX(tbl_plan[納期先],ROW()-1)&amp;"")</f>
        <v/>
      </c>
      <c r="E136" s="8" t="str">
        <f>IF($A136="","",INDEX(tbl_plan[必要数],ROW()-1))</f>
        <v/>
      </c>
      <c r="F136" s="8" t="str">
        <f t="shared" si="6"/>
        <v/>
      </c>
      <c r="G136" s="8" t="str">
        <f>IF($A136="","",SUMIFS(tbl_ledger[数量],tbl_ledger[ロットID],$A136,tbl_ledger[イベント種類],"発送"))</f>
        <v/>
      </c>
      <c r="H136" s="8" t="str">
        <f>IF($A136="","",_xlfn.LET(
_xlpm.割当,F136,
_xlpm.充当受入,SUMIFS(tbl_ledger[数量],tbl_ledger[充当先ロットID],$A136,tbl_ledger[イベント種類],"充当"),
_xlpm.充当放出,SUMIFS(tbl_ledger[数量],tbl_ledger[ロットID],$A136,tbl_ledger[イベント種類],"充当"),
_xlpm.発送済,G136,
_xlpm.倉庫戻し,SUMIFS(tbl_ledger[数量],tbl_ledger[ロットID],$A136,tbl_ledger[イベント種類],"倉庫戻し"),
_xlpm.余剰化,SUMIFS(tbl_ledger[数量],tbl_ledger[ロットID],$A136,tbl_ledger[イベント種類],"余剰化"),
_xlpm.不良,SUMIFS(tbl_ledger[数量],tbl_ledger[ロットID],$A136,tbl_ledger[イベント種類],"不良発生"),
_xlpm.割当+_xlpm.充当受入-_xlpm.充当放出-_xlpm.発送済-_xlpm.倉庫戻し-_xlpm.余剰化-_xlpm.不良))</f>
        <v/>
      </c>
      <c r="I136" s="8" t="str">
        <f>IF($A136="","",_xlfn.LET(
_xlpm.品番プール,N136,
_xlpm.割当計,SUMIF($B$2:$B$301,$B136,$F$2:$F$301),
_xlpm.余剰化受入,SUMIFS(tbl_ledger[数量],tbl_ledger[localId],$B136,tbl_ledger[イベント種類],"余剰化"),
_xlpm.充当払出,SUMIFS(tbl_ledger[数量],tbl_ledger[localId],$B136,tbl_ledger[イベント種類],"充当",tbl_ledger[ロットID],"="),
_xlpm.品番プール-_xlpm.割当計+_xlpm.余剰化受入-_xlpm.充当払出))</f>
        <v/>
      </c>
      <c r="J136" s="8" t="str">
        <f t="shared" si="7"/>
        <v/>
      </c>
      <c r="K136" s="8" t="str">
        <f t="shared" si="8"/>
        <v/>
      </c>
      <c r="L136" s="4" t="str">
        <f>IF($A136="","",IF(INDEX(tbl_plan[計画状態],ROW()-1)="キャンセル","キャンセル",IF(J136=0,"発送済",IF(K136&gt;0,"要搬出","OK"))))</f>
        <v/>
      </c>
      <c r="M136" s="8">
        <f t="array" ref="M136">_xlfn.LET(
_xlpm.計画状態,IFERROR(INDEX(tbl_plan[計画状態],ROW()-1)&amp;"",""),
_xlpm.必要数,IFERROR(N(INDEX(tbl_plan[必要数],ROW()-1)),0),
IF(_xlpm.計画状態="キャンセル",0,_xlpm.必要数))</f>
        <v>0</v>
      </c>
      <c r="N136" s="8" t="str">
        <f>IF($A136="","",_xlfn.LET(
_xlpm.搬入計,SUMIFS(tbl_ledger[数量],tbl_ledger[localId],$B136,tbl_ledger[イベント種類],"搬入"),
_xlpm.未割当発送,SUMIFS(tbl_ledger[数量],tbl_ledger[localId],$B136,tbl_ledger[イベント種類],"発送",tbl_ledger[ロットID],"="),
_xlpm.未割当倉庫戻し,SUMIFS(tbl_ledger[数量],tbl_ledger[localId],$B136,tbl_ledger[イベント種類],"倉庫戻し",tbl_ledger[ロットID],"="),
_xlpm.未割当不良,SUMIFS(tbl_ledger[数量],tbl_ledger[localId],$B136,tbl_ledger[イベント種類],"不良発生",tbl_ledger[ロットID],"="),
_xlpm.搬入計-_xlpm.未割当発送-_xlpm.未割当倉庫戻し-_xlpm.未割当不良))</f>
        <v/>
      </c>
      <c r="O136" s="8" t="str">
        <f t="array" ref="O136">IF($A136="","",_xlfn.LET(
_xlpm.同品番,($B$2:$B$301=$B136),
_xlpm.週が前,($C$2:$C$301&lt;$C136),
_xlpm.同週で上行,($C$2:$C$301=$C136)*(ROW($C$2:$C$301)&lt;ROW()),
SUMPRODUCT(_xlpm.同品番*(_xlpm.週が前+_xlpm.同週で上行)*$M$2:$M$301)))</f>
        <v/>
      </c>
    </row>
    <row r="137" spans="1:15" ht="15" customHeight="1" x14ac:dyDescent="0.25">
      <c r="A137" s="4" t="str">
        <f>IFERROR(INDEX(tbl_plan[ロットID],ROW()-1),"")</f>
        <v/>
      </c>
      <c r="B137" s="4" t="str">
        <f>IF($A137="","",INDEX(tbl_plan[localId],ROW()-1))</f>
        <v/>
      </c>
      <c r="C137" s="11" t="str">
        <f>IF($A137="","",INDEX(tbl_plan[出荷週],ROW()-1))</f>
        <v/>
      </c>
      <c r="D137" s="4" t="str">
        <f>IF($A137="","",INDEX(tbl_plan[納期先],ROW()-1)&amp;"")</f>
        <v/>
      </c>
      <c r="E137" s="8" t="str">
        <f>IF($A137="","",INDEX(tbl_plan[必要数],ROW()-1))</f>
        <v/>
      </c>
      <c r="F137" s="8" t="str">
        <f t="shared" si="6"/>
        <v/>
      </c>
      <c r="G137" s="8" t="str">
        <f>IF($A137="","",SUMIFS(tbl_ledger[数量],tbl_ledger[ロットID],$A137,tbl_ledger[イベント種類],"発送"))</f>
        <v/>
      </c>
      <c r="H137" s="8" t="str">
        <f>IF($A137="","",_xlfn.LET(
_xlpm.割当,F137,
_xlpm.充当受入,SUMIFS(tbl_ledger[数量],tbl_ledger[充当先ロットID],$A137,tbl_ledger[イベント種類],"充当"),
_xlpm.充当放出,SUMIFS(tbl_ledger[数量],tbl_ledger[ロットID],$A137,tbl_ledger[イベント種類],"充当"),
_xlpm.発送済,G137,
_xlpm.倉庫戻し,SUMIFS(tbl_ledger[数量],tbl_ledger[ロットID],$A137,tbl_ledger[イベント種類],"倉庫戻し"),
_xlpm.余剰化,SUMIFS(tbl_ledger[数量],tbl_ledger[ロットID],$A137,tbl_ledger[イベント種類],"余剰化"),
_xlpm.不良,SUMIFS(tbl_ledger[数量],tbl_ledger[ロットID],$A137,tbl_ledger[イベント種類],"不良発生"),
_xlpm.割当+_xlpm.充当受入-_xlpm.充当放出-_xlpm.発送済-_xlpm.倉庫戻し-_xlpm.余剰化-_xlpm.不良))</f>
        <v/>
      </c>
      <c r="I137" s="8" t="str">
        <f>IF($A137="","",_xlfn.LET(
_xlpm.品番プール,N137,
_xlpm.割当計,SUMIF($B$2:$B$301,$B137,$F$2:$F$301),
_xlpm.余剰化受入,SUMIFS(tbl_ledger[数量],tbl_ledger[localId],$B137,tbl_ledger[イベント種類],"余剰化"),
_xlpm.充当払出,SUMIFS(tbl_ledger[数量],tbl_ledger[localId],$B137,tbl_ledger[イベント種類],"充当",tbl_ledger[ロットID],"="),
_xlpm.品番プール-_xlpm.割当計+_xlpm.余剰化受入-_xlpm.充当払出))</f>
        <v/>
      </c>
      <c r="J137" s="8" t="str">
        <f t="shared" si="7"/>
        <v/>
      </c>
      <c r="K137" s="8" t="str">
        <f t="shared" si="8"/>
        <v/>
      </c>
      <c r="L137" s="4" t="str">
        <f>IF($A137="","",IF(INDEX(tbl_plan[計画状態],ROW()-1)="キャンセル","キャンセル",IF(J137=0,"発送済",IF(K137&gt;0,"要搬出","OK"))))</f>
        <v/>
      </c>
      <c r="M137" s="8">
        <f t="array" ref="M137">_xlfn.LET(
_xlpm.計画状態,IFERROR(INDEX(tbl_plan[計画状態],ROW()-1)&amp;"",""),
_xlpm.必要数,IFERROR(N(INDEX(tbl_plan[必要数],ROW()-1)),0),
IF(_xlpm.計画状態="キャンセル",0,_xlpm.必要数))</f>
        <v>0</v>
      </c>
      <c r="N137" s="8" t="str">
        <f>IF($A137="","",_xlfn.LET(
_xlpm.搬入計,SUMIFS(tbl_ledger[数量],tbl_ledger[localId],$B137,tbl_ledger[イベント種類],"搬入"),
_xlpm.未割当発送,SUMIFS(tbl_ledger[数量],tbl_ledger[localId],$B137,tbl_ledger[イベント種類],"発送",tbl_ledger[ロットID],"="),
_xlpm.未割当倉庫戻し,SUMIFS(tbl_ledger[数量],tbl_ledger[localId],$B137,tbl_ledger[イベント種類],"倉庫戻し",tbl_ledger[ロットID],"="),
_xlpm.未割当不良,SUMIFS(tbl_ledger[数量],tbl_ledger[localId],$B137,tbl_ledger[イベント種類],"不良発生",tbl_ledger[ロットID],"="),
_xlpm.搬入計-_xlpm.未割当発送-_xlpm.未割当倉庫戻し-_xlpm.未割当不良))</f>
        <v/>
      </c>
      <c r="O137" s="8" t="str">
        <f t="array" ref="O137">IF($A137="","",_xlfn.LET(
_xlpm.同品番,($B$2:$B$301=$B137),
_xlpm.週が前,($C$2:$C$301&lt;$C137),
_xlpm.同週で上行,($C$2:$C$301=$C137)*(ROW($C$2:$C$301)&lt;ROW()),
SUMPRODUCT(_xlpm.同品番*(_xlpm.週が前+_xlpm.同週で上行)*$M$2:$M$301)))</f>
        <v/>
      </c>
    </row>
    <row r="138" spans="1:15" ht="15" customHeight="1" x14ac:dyDescent="0.25">
      <c r="A138" s="4" t="str">
        <f>IFERROR(INDEX(tbl_plan[ロットID],ROW()-1),"")</f>
        <v/>
      </c>
      <c r="B138" s="4" t="str">
        <f>IF($A138="","",INDEX(tbl_plan[localId],ROW()-1))</f>
        <v/>
      </c>
      <c r="C138" s="11" t="str">
        <f>IF($A138="","",INDEX(tbl_plan[出荷週],ROW()-1))</f>
        <v/>
      </c>
      <c r="D138" s="4" t="str">
        <f>IF($A138="","",INDEX(tbl_plan[納期先],ROW()-1)&amp;"")</f>
        <v/>
      </c>
      <c r="E138" s="8" t="str">
        <f>IF($A138="","",INDEX(tbl_plan[必要数],ROW()-1))</f>
        <v/>
      </c>
      <c r="F138" s="8" t="str">
        <f t="shared" si="6"/>
        <v/>
      </c>
      <c r="G138" s="8" t="str">
        <f>IF($A138="","",SUMIFS(tbl_ledger[数量],tbl_ledger[ロットID],$A138,tbl_ledger[イベント種類],"発送"))</f>
        <v/>
      </c>
      <c r="H138" s="8" t="str">
        <f>IF($A138="","",_xlfn.LET(
_xlpm.割当,F138,
_xlpm.充当受入,SUMIFS(tbl_ledger[数量],tbl_ledger[充当先ロットID],$A138,tbl_ledger[イベント種類],"充当"),
_xlpm.充当放出,SUMIFS(tbl_ledger[数量],tbl_ledger[ロットID],$A138,tbl_ledger[イベント種類],"充当"),
_xlpm.発送済,G138,
_xlpm.倉庫戻し,SUMIFS(tbl_ledger[数量],tbl_ledger[ロットID],$A138,tbl_ledger[イベント種類],"倉庫戻し"),
_xlpm.余剰化,SUMIFS(tbl_ledger[数量],tbl_ledger[ロットID],$A138,tbl_ledger[イベント種類],"余剰化"),
_xlpm.不良,SUMIFS(tbl_ledger[数量],tbl_ledger[ロットID],$A138,tbl_ledger[イベント種類],"不良発生"),
_xlpm.割当+_xlpm.充当受入-_xlpm.充当放出-_xlpm.発送済-_xlpm.倉庫戻し-_xlpm.余剰化-_xlpm.不良))</f>
        <v/>
      </c>
      <c r="I138" s="8" t="str">
        <f>IF($A138="","",_xlfn.LET(
_xlpm.品番プール,N138,
_xlpm.割当計,SUMIF($B$2:$B$301,$B138,$F$2:$F$301),
_xlpm.余剰化受入,SUMIFS(tbl_ledger[数量],tbl_ledger[localId],$B138,tbl_ledger[イベント種類],"余剰化"),
_xlpm.充当払出,SUMIFS(tbl_ledger[数量],tbl_ledger[localId],$B138,tbl_ledger[イベント種類],"充当",tbl_ledger[ロットID],"="),
_xlpm.品番プール-_xlpm.割当計+_xlpm.余剰化受入-_xlpm.充当払出))</f>
        <v/>
      </c>
      <c r="J138" s="8" t="str">
        <f t="shared" si="7"/>
        <v/>
      </c>
      <c r="K138" s="8" t="str">
        <f t="shared" si="8"/>
        <v/>
      </c>
      <c r="L138" s="4" t="str">
        <f>IF($A138="","",IF(INDEX(tbl_plan[計画状態],ROW()-1)="キャンセル","キャンセル",IF(J138=0,"発送済",IF(K138&gt;0,"要搬出","OK"))))</f>
        <v/>
      </c>
      <c r="M138" s="8">
        <f t="array" ref="M138">_xlfn.LET(
_xlpm.計画状態,IFERROR(INDEX(tbl_plan[計画状態],ROW()-1)&amp;"",""),
_xlpm.必要数,IFERROR(N(INDEX(tbl_plan[必要数],ROW()-1)),0),
IF(_xlpm.計画状態="キャンセル",0,_xlpm.必要数))</f>
        <v>0</v>
      </c>
      <c r="N138" s="8" t="str">
        <f>IF($A138="","",_xlfn.LET(
_xlpm.搬入計,SUMIFS(tbl_ledger[数量],tbl_ledger[localId],$B138,tbl_ledger[イベント種類],"搬入"),
_xlpm.未割当発送,SUMIFS(tbl_ledger[数量],tbl_ledger[localId],$B138,tbl_ledger[イベント種類],"発送",tbl_ledger[ロットID],"="),
_xlpm.未割当倉庫戻し,SUMIFS(tbl_ledger[数量],tbl_ledger[localId],$B138,tbl_ledger[イベント種類],"倉庫戻し",tbl_ledger[ロットID],"="),
_xlpm.未割当不良,SUMIFS(tbl_ledger[数量],tbl_ledger[localId],$B138,tbl_ledger[イベント種類],"不良発生",tbl_ledger[ロットID],"="),
_xlpm.搬入計-_xlpm.未割当発送-_xlpm.未割当倉庫戻し-_xlpm.未割当不良))</f>
        <v/>
      </c>
      <c r="O138" s="8" t="str">
        <f t="array" ref="O138">IF($A138="","",_xlfn.LET(
_xlpm.同品番,($B$2:$B$301=$B138),
_xlpm.週が前,($C$2:$C$301&lt;$C138),
_xlpm.同週で上行,($C$2:$C$301=$C138)*(ROW($C$2:$C$301)&lt;ROW()),
SUMPRODUCT(_xlpm.同品番*(_xlpm.週が前+_xlpm.同週で上行)*$M$2:$M$301)))</f>
        <v/>
      </c>
    </row>
    <row r="139" spans="1:15" ht="15" customHeight="1" x14ac:dyDescent="0.25">
      <c r="A139" s="4" t="str">
        <f>IFERROR(INDEX(tbl_plan[ロットID],ROW()-1),"")</f>
        <v/>
      </c>
      <c r="B139" s="4" t="str">
        <f>IF($A139="","",INDEX(tbl_plan[localId],ROW()-1))</f>
        <v/>
      </c>
      <c r="C139" s="11" t="str">
        <f>IF($A139="","",INDEX(tbl_plan[出荷週],ROW()-1))</f>
        <v/>
      </c>
      <c r="D139" s="4" t="str">
        <f>IF($A139="","",INDEX(tbl_plan[納期先],ROW()-1)&amp;"")</f>
        <v/>
      </c>
      <c r="E139" s="8" t="str">
        <f>IF($A139="","",INDEX(tbl_plan[必要数],ROW()-1))</f>
        <v/>
      </c>
      <c r="F139" s="8" t="str">
        <f t="shared" si="6"/>
        <v/>
      </c>
      <c r="G139" s="8" t="str">
        <f>IF($A139="","",SUMIFS(tbl_ledger[数量],tbl_ledger[ロットID],$A139,tbl_ledger[イベント種類],"発送"))</f>
        <v/>
      </c>
      <c r="H139" s="8" t="str">
        <f>IF($A139="","",_xlfn.LET(
_xlpm.割当,F139,
_xlpm.充当受入,SUMIFS(tbl_ledger[数量],tbl_ledger[充当先ロットID],$A139,tbl_ledger[イベント種類],"充当"),
_xlpm.充当放出,SUMIFS(tbl_ledger[数量],tbl_ledger[ロットID],$A139,tbl_ledger[イベント種類],"充当"),
_xlpm.発送済,G139,
_xlpm.倉庫戻し,SUMIFS(tbl_ledger[数量],tbl_ledger[ロットID],$A139,tbl_ledger[イベント種類],"倉庫戻し"),
_xlpm.余剰化,SUMIFS(tbl_ledger[数量],tbl_ledger[ロットID],$A139,tbl_ledger[イベント種類],"余剰化"),
_xlpm.不良,SUMIFS(tbl_ledger[数量],tbl_ledger[ロットID],$A139,tbl_ledger[イベント種類],"不良発生"),
_xlpm.割当+_xlpm.充当受入-_xlpm.充当放出-_xlpm.発送済-_xlpm.倉庫戻し-_xlpm.余剰化-_xlpm.不良))</f>
        <v/>
      </c>
      <c r="I139" s="8" t="str">
        <f>IF($A139="","",_xlfn.LET(
_xlpm.品番プール,N139,
_xlpm.割当計,SUMIF($B$2:$B$301,$B139,$F$2:$F$301),
_xlpm.余剰化受入,SUMIFS(tbl_ledger[数量],tbl_ledger[localId],$B139,tbl_ledger[イベント種類],"余剰化"),
_xlpm.充当払出,SUMIFS(tbl_ledger[数量],tbl_ledger[localId],$B139,tbl_ledger[イベント種類],"充当",tbl_ledger[ロットID],"="),
_xlpm.品番プール-_xlpm.割当計+_xlpm.余剰化受入-_xlpm.充当払出))</f>
        <v/>
      </c>
      <c r="J139" s="8" t="str">
        <f t="shared" si="7"/>
        <v/>
      </c>
      <c r="K139" s="8" t="str">
        <f t="shared" si="8"/>
        <v/>
      </c>
      <c r="L139" s="4" t="str">
        <f>IF($A139="","",IF(INDEX(tbl_plan[計画状態],ROW()-1)="キャンセル","キャンセル",IF(J139=0,"発送済",IF(K139&gt;0,"要搬出","OK"))))</f>
        <v/>
      </c>
      <c r="M139" s="8">
        <f t="array" ref="M139">_xlfn.LET(
_xlpm.計画状態,IFERROR(INDEX(tbl_plan[計画状態],ROW()-1)&amp;"",""),
_xlpm.必要数,IFERROR(N(INDEX(tbl_plan[必要数],ROW()-1)),0),
IF(_xlpm.計画状態="キャンセル",0,_xlpm.必要数))</f>
        <v>0</v>
      </c>
      <c r="N139" s="8" t="str">
        <f>IF($A139="","",_xlfn.LET(
_xlpm.搬入計,SUMIFS(tbl_ledger[数量],tbl_ledger[localId],$B139,tbl_ledger[イベント種類],"搬入"),
_xlpm.未割当発送,SUMIFS(tbl_ledger[数量],tbl_ledger[localId],$B139,tbl_ledger[イベント種類],"発送",tbl_ledger[ロットID],"="),
_xlpm.未割当倉庫戻し,SUMIFS(tbl_ledger[数量],tbl_ledger[localId],$B139,tbl_ledger[イベント種類],"倉庫戻し",tbl_ledger[ロットID],"="),
_xlpm.未割当不良,SUMIFS(tbl_ledger[数量],tbl_ledger[localId],$B139,tbl_ledger[イベント種類],"不良発生",tbl_ledger[ロットID],"="),
_xlpm.搬入計-_xlpm.未割当発送-_xlpm.未割当倉庫戻し-_xlpm.未割当不良))</f>
        <v/>
      </c>
      <c r="O139" s="8" t="str">
        <f t="array" ref="O139">IF($A139="","",_xlfn.LET(
_xlpm.同品番,($B$2:$B$301=$B139),
_xlpm.週が前,($C$2:$C$301&lt;$C139),
_xlpm.同週で上行,($C$2:$C$301=$C139)*(ROW($C$2:$C$301)&lt;ROW()),
SUMPRODUCT(_xlpm.同品番*(_xlpm.週が前+_xlpm.同週で上行)*$M$2:$M$301)))</f>
        <v/>
      </c>
    </row>
    <row r="140" spans="1:15" ht="15" customHeight="1" x14ac:dyDescent="0.25">
      <c r="A140" s="4" t="str">
        <f>IFERROR(INDEX(tbl_plan[ロットID],ROW()-1),"")</f>
        <v/>
      </c>
      <c r="B140" s="4" t="str">
        <f>IF($A140="","",INDEX(tbl_plan[localId],ROW()-1))</f>
        <v/>
      </c>
      <c r="C140" s="11" t="str">
        <f>IF($A140="","",INDEX(tbl_plan[出荷週],ROW()-1))</f>
        <v/>
      </c>
      <c r="D140" s="4" t="str">
        <f>IF($A140="","",INDEX(tbl_plan[納期先],ROW()-1)&amp;"")</f>
        <v/>
      </c>
      <c r="E140" s="8" t="str">
        <f>IF($A140="","",INDEX(tbl_plan[必要数],ROW()-1))</f>
        <v/>
      </c>
      <c r="F140" s="8" t="str">
        <f t="shared" si="6"/>
        <v/>
      </c>
      <c r="G140" s="8" t="str">
        <f>IF($A140="","",SUMIFS(tbl_ledger[数量],tbl_ledger[ロットID],$A140,tbl_ledger[イベント種類],"発送"))</f>
        <v/>
      </c>
      <c r="H140" s="8" t="str">
        <f>IF($A140="","",_xlfn.LET(
_xlpm.割当,F140,
_xlpm.充当受入,SUMIFS(tbl_ledger[数量],tbl_ledger[充当先ロットID],$A140,tbl_ledger[イベント種類],"充当"),
_xlpm.充当放出,SUMIFS(tbl_ledger[数量],tbl_ledger[ロットID],$A140,tbl_ledger[イベント種類],"充当"),
_xlpm.発送済,G140,
_xlpm.倉庫戻し,SUMIFS(tbl_ledger[数量],tbl_ledger[ロットID],$A140,tbl_ledger[イベント種類],"倉庫戻し"),
_xlpm.余剰化,SUMIFS(tbl_ledger[数量],tbl_ledger[ロットID],$A140,tbl_ledger[イベント種類],"余剰化"),
_xlpm.不良,SUMIFS(tbl_ledger[数量],tbl_ledger[ロットID],$A140,tbl_ledger[イベント種類],"不良発生"),
_xlpm.割当+_xlpm.充当受入-_xlpm.充当放出-_xlpm.発送済-_xlpm.倉庫戻し-_xlpm.余剰化-_xlpm.不良))</f>
        <v/>
      </c>
      <c r="I140" s="8" t="str">
        <f>IF($A140="","",_xlfn.LET(
_xlpm.品番プール,N140,
_xlpm.割当計,SUMIF($B$2:$B$301,$B140,$F$2:$F$301),
_xlpm.余剰化受入,SUMIFS(tbl_ledger[数量],tbl_ledger[localId],$B140,tbl_ledger[イベント種類],"余剰化"),
_xlpm.充当払出,SUMIFS(tbl_ledger[数量],tbl_ledger[localId],$B140,tbl_ledger[イベント種類],"充当",tbl_ledger[ロットID],"="),
_xlpm.品番プール-_xlpm.割当計+_xlpm.余剰化受入-_xlpm.充当払出))</f>
        <v/>
      </c>
      <c r="J140" s="8" t="str">
        <f t="shared" si="7"/>
        <v/>
      </c>
      <c r="K140" s="8" t="str">
        <f t="shared" si="8"/>
        <v/>
      </c>
      <c r="L140" s="4" t="str">
        <f>IF($A140="","",IF(INDEX(tbl_plan[計画状態],ROW()-1)="キャンセル","キャンセル",IF(J140=0,"発送済",IF(K140&gt;0,"要搬出","OK"))))</f>
        <v/>
      </c>
      <c r="M140" s="8">
        <f t="array" ref="M140">_xlfn.LET(
_xlpm.計画状態,IFERROR(INDEX(tbl_plan[計画状態],ROW()-1)&amp;"",""),
_xlpm.必要数,IFERROR(N(INDEX(tbl_plan[必要数],ROW()-1)),0),
IF(_xlpm.計画状態="キャンセル",0,_xlpm.必要数))</f>
        <v>0</v>
      </c>
      <c r="N140" s="8" t="str">
        <f>IF($A140="","",_xlfn.LET(
_xlpm.搬入計,SUMIFS(tbl_ledger[数量],tbl_ledger[localId],$B140,tbl_ledger[イベント種類],"搬入"),
_xlpm.未割当発送,SUMIFS(tbl_ledger[数量],tbl_ledger[localId],$B140,tbl_ledger[イベント種類],"発送",tbl_ledger[ロットID],"="),
_xlpm.未割当倉庫戻し,SUMIFS(tbl_ledger[数量],tbl_ledger[localId],$B140,tbl_ledger[イベント種類],"倉庫戻し",tbl_ledger[ロットID],"="),
_xlpm.未割当不良,SUMIFS(tbl_ledger[数量],tbl_ledger[localId],$B140,tbl_ledger[イベント種類],"不良発生",tbl_ledger[ロットID],"="),
_xlpm.搬入計-_xlpm.未割当発送-_xlpm.未割当倉庫戻し-_xlpm.未割当不良))</f>
        <v/>
      </c>
      <c r="O140" s="8" t="str">
        <f t="array" ref="O140">IF($A140="","",_xlfn.LET(
_xlpm.同品番,($B$2:$B$301=$B140),
_xlpm.週が前,($C$2:$C$301&lt;$C140),
_xlpm.同週で上行,($C$2:$C$301=$C140)*(ROW($C$2:$C$301)&lt;ROW()),
SUMPRODUCT(_xlpm.同品番*(_xlpm.週が前+_xlpm.同週で上行)*$M$2:$M$301)))</f>
        <v/>
      </c>
    </row>
    <row r="141" spans="1:15" ht="15" customHeight="1" x14ac:dyDescent="0.25">
      <c r="A141" s="4" t="str">
        <f>IFERROR(INDEX(tbl_plan[ロットID],ROW()-1),"")</f>
        <v/>
      </c>
      <c r="B141" s="4" t="str">
        <f>IF($A141="","",INDEX(tbl_plan[localId],ROW()-1))</f>
        <v/>
      </c>
      <c r="C141" s="11" t="str">
        <f>IF($A141="","",INDEX(tbl_plan[出荷週],ROW()-1))</f>
        <v/>
      </c>
      <c r="D141" s="4" t="str">
        <f>IF($A141="","",INDEX(tbl_plan[納期先],ROW()-1)&amp;"")</f>
        <v/>
      </c>
      <c r="E141" s="8" t="str">
        <f>IF($A141="","",INDEX(tbl_plan[必要数],ROW()-1))</f>
        <v/>
      </c>
      <c r="F141" s="8" t="str">
        <f t="shared" si="6"/>
        <v/>
      </c>
      <c r="G141" s="8" t="str">
        <f>IF($A141="","",SUMIFS(tbl_ledger[数量],tbl_ledger[ロットID],$A141,tbl_ledger[イベント種類],"発送"))</f>
        <v/>
      </c>
      <c r="H141" s="8" t="str">
        <f>IF($A141="","",_xlfn.LET(
_xlpm.割当,F141,
_xlpm.充当受入,SUMIFS(tbl_ledger[数量],tbl_ledger[充当先ロットID],$A141,tbl_ledger[イベント種類],"充当"),
_xlpm.充当放出,SUMIFS(tbl_ledger[数量],tbl_ledger[ロットID],$A141,tbl_ledger[イベント種類],"充当"),
_xlpm.発送済,G141,
_xlpm.倉庫戻し,SUMIFS(tbl_ledger[数量],tbl_ledger[ロットID],$A141,tbl_ledger[イベント種類],"倉庫戻し"),
_xlpm.余剰化,SUMIFS(tbl_ledger[数量],tbl_ledger[ロットID],$A141,tbl_ledger[イベント種類],"余剰化"),
_xlpm.不良,SUMIFS(tbl_ledger[数量],tbl_ledger[ロットID],$A141,tbl_ledger[イベント種類],"不良発生"),
_xlpm.割当+_xlpm.充当受入-_xlpm.充当放出-_xlpm.発送済-_xlpm.倉庫戻し-_xlpm.余剰化-_xlpm.不良))</f>
        <v/>
      </c>
      <c r="I141" s="8" t="str">
        <f>IF($A141="","",_xlfn.LET(
_xlpm.品番プール,N141,
_xlpm.割当計,SUMIF($B$2:$B$301,$B141,$F$2:$F$301),
_xlpm.余剰化受入,SUMIFS(tbl_ledger[数量],tbl_ledger[localId],$B141,tbl_ledger[イベント種類],"余剰化"),
_xlpm.充当払出,SUMIFS(tbl_ledger[数量],tbl_ledger[localId],$B141,tbl_ledger[イベント種類],"充当",tbl_ledger[ロットID],"="),
_xlpm.品番プール-_xlpm.割当計+_xlpm.余剰化受入-_xlpm.充当払出))</f>
        <v/>
      </c>
      <c r="J141" s="8" t="str">
        <f t="shared" si="7"/>
        <v/>
      </c>
      <c r="K141" s="8" t="str">
        <f t="shared" si="8"/>
        <v/>
      </c>
      <c r="L141" s="4" t="str">
        <f>IF($A141="","",IF(INDEX(tbl_plan[計画状態],ROW()-1)="キャンセル","キャンセル",IF(J141=0,"発送済",IF(K141&gt;0,"要搬出","OK"))))</f>
        <v/>
      </c>
      <c r="M141" s="8">
        <f t="array" ref="M141">_xlfn.LET(
_xlpm.計画状態,IFERROR(INDEX(tbl_plan[計画状態],ROW()-1)&amp;"",""),
_xlpm.必要数,IFERROR(N(INDEX(tbl_plan[必要数],ROW()-1)),0),
IF(_xlpm.計画状態="キャンセル",0,_xlpm.必要数))</f>
        <v>0</v>
      </c>
      <c r="N141" s="8" t="str">
        <f>IF($A141="","",_xlfn.LET(
_xlpm.搬入計,SUMIFS(tbl_ledger[数量],tbl_ledger[localId],$B141,tbl_ledger[イベント種類],"搬入"),
_xlpm.未割当発送,SUMIFS(tbl_ledger[数量],tbl_ledger[localId],$B141,tbl_ledger[イベント種類],"発送",tbl_ledger[ロットID],"="),
_xlpm.未割当倉庫戻し,SUMIFS(tbl_ledger[数量],tbl_ledger[localId],$B141,tbl_ledger[イベント種類],"倉庫戻し",tbl_ledger[ロットID],"="),
_xlpm.未割当不良,SUMIFS(tbl_ledger[数量],tbl_ledger[localId],$B141,tbl_ledger[イベント種類],"不良発生",tbl_ledger[ロットID],"="),
_xlpm.搬入計-_xlpm.未割当発送-_xlpm.未割当倉庫戻し-_xlpm.未割当不良))</f>
        <v/>
      </c>
      <c r="O141" s="8" t="str">
        <f t="array" ref="O141">IF($A141="","",_xlfn.LET(
_xlpm.同品番,($B$2:$B$301=$B141),
_xlpm.週が前,($C$2:$C$301&lt;$C141),
_xlpm.同週で上行,($C$2:$C$301=$C141)*(ROW($C$2:$C$301)&lt;ROW()),
SUMPRODUCT(_xlpm.同品番*(_xlpm.週が前+_xlpm.同週で上行)*$M$2:$M$301)))</f>
        <v/>
      </c>
    </row>
    <row r="142" spans="1:15" ht="15" customHeight="1" x14ac:dyDescent="0.25">
      <c r="A142" s="4" t="str">
        <f>IFERROR(INDEX(tbl_plan[ロットID],ROW()-1),"")</f>
        <v/>
      </c>
      <c r="B142" s="4" t="str">
        <f>IF($A142="","",INDEX(tbl_plan[localId],ROW()-1))</f>
        <v/>
      </c>
      <c r="C142" s="11" t="str">
        <f>IF($A142="","",INDEX(tbl_plan[出荷週],ROW()-1))</f>
        <v/>
      </c>
      <c r="D142" s="4" t="str">
        <f>IF($A142="","",INDEX(tbl_plan[納期先],ROW()-1)&amp;"")</f>
        <v/>
      </c>
      <c r="E142" s="8" t="str">
        <f>IF($A142="","",INDEX(tbl_plan[必要数],ROW()-1))</f>
        <v/>
      </c>
      <c r="F142" s="8" t="str">
        <f t="shared" si="6"/>
        <v/>
      </c>
      <c r="G142" s="8" t="str">
        <f>IF($A142="","",SUMIFS(tbl_ledger[数量],tbl_ledger[ロットID],$A142,tbl_ledger[イベント種類],"発送"))</f>
        <v/>
      </c>
      <c r="H142" s="8" t="str">
        <f>IF($A142="","",_xlfn.LET(
_xlpm.割当,F142,
_xlpm.充当受入,SUMIFS(tbl_ledger[数量],tbl_ledger[充当先ロットID],$A142,tbl_ledger[イベント種類],"充当"),
_xlpm.充当放出,SUMIFS(tbl_ledger[数量],tbl_ledger[ロットID],$A142,tbl_ledger[イベント種類],"充当"),
_xlpm.発送済,G142,
_xlpm.倉庫戻し,SUMIFS(tbl_ledger[数量],tbl_ledger[ロットID],$A142,tbl_ledger[イベント種類],"倉庫戻し"),
_xlpm.余剰化,SUMIFS(tbl_ledger[数量],tbl_ledger[ロットID],$A142,tbl_ledger[イベント種類],"余剰化"),
_xlpm.不良,SUMIFS(tbl_ledger[数量],tbl_ledger[ロットID],$A142,tbl_ledger[イベント種類],"不良発生"),
_xlpm.割当+_xlpm.充当受入-_xlpm.充当放出-_xlpm.発送済-_xlpm.倉庫戻し-_xlpm.余剰化-_xlpm.不良))</f>
        <v/>
      </c>
      <c r="I142" s="8" t="str">
        <f>IF($A142="","",_xlfn.LET(
_xlpm.品番プール,N142,
_xlpm.割当計,SUMIF($B$2:$B$301,$B142,$F$2:$F$301),
_xlpm.余剰化受入,SUMIFS(tbl_ledger[数量],tbl_ledger[localId],$B142,tbl_ledger[イベント種類],"余剰化"),
_xlpm.充当払出,SUMIFS(tbl_ledger[数量],tbl_ledger[localId],$B142,tbl_ledger[イベント種類],"充当",tbl_ledger[ロットID],"="),
_xlpm.品番プール-_xlpm.割当計+_xlpm.余剰化受入-_xlpm.充当払出))</f>
        <v/>
      </c>
      <c r="J142" s="8" t="str">
        <f t="shared" si="7"/>
        <v/>
      </c>
      <c r="K142" s="8" t="str">
        <f t="shared" si="8"/>
        <v/>
      </c>
      <c r="L142" s="4" t="str">
        <f>IF($A142="","",IF(INDEX(tbl_plan[計画状態],ROW()-1)="キャンセル","キャンセル",IF(J142=0,"発送済",IF(K142&gt;0,"要搬出","OK"))))</f>
        <v/>
      </c>
      <c r="M142" s="8">
        <f t="array" ref="M142">_xlfn.LET(
_xlpm.計画状態,IFERROR(INDEX(tbl_plan[計画状態],ROW()-1)&amp;"",""),
_xlpm.必要数,IFERROR(N(INDEX(tbl_plan[必要数],ROW()-1)),0),
IF(_xlpm.計画状態="キャンセル",0,_xlpm.必要数))</f>
        <v>0</v>
      </c>
      <c r="N142" s="8" t="str">
        <f>IF($A142="","",_xlfn.LET(
_xlpm.搬入計,SUMIFS(tbl_ledger[数量],tbl_ledger[localId],$B142,tbl_ledger[イベント種類],"搬入"),
_xlpm.未割当発送,SUMIFS(tbl_ledger[数量],tbl_ledger[localId],$B142,tbl_ledger[イベント種類],"発送",tbl_ledger[ロットID],"="),
_xlpm.未割当倉庫戻し,SUMIFS(tbl_ledger[数量],tbl_ledger[localId],$B142,tbl_ledger[イベント種類],"倉庫戻し",tbl_ledger[ロットID],"="),
_xlpm.未割当不良,SUMIFS(tbl_ledger[数量],tbl_ledger[localId],$B142,tbl_ledger[イベント種類],"不良発生",tbl_ledger[ロットID],"="),
_xlpm.搬入計-_xlpm.未割当発送-_xlpm.未割当倉庫戻し-_xlpm.未割当不良))</f>
        <v/>
      </c>
      <c r="O142" s="8" t="str">
        <f t="array" ref="O142">IF($A142="","",_xlfn.LET(
_xlpm.同品番,($B$2:$B$301=$B142),
_xlpm.週が前,($C$2:$C$301&lt;$C142),
_xlpm.同週で上行,($C$2:$C$301=$C142)*(ROW($C$2:$C$301)&lt;ROW()),
SUMPRODUCT(_xlpm.同品番*(_xlpm.週が前+_xlpm.同週で上行)*$M$2:$M$301)))</f>
        <v/>
      </c>
    </row>
    <row r="143" spans="1:15" ht="15" customHeight="1" x14ac:dyDescent="0.25">
      <c r="A143" s="4" t="str">
        <f>IFERROR(INDEX(tbl_plan[ロットID],ROW()-1),"")</f>
        <v/>
      </c>
      <c r="B143" s="4" t="str">
        <f>IF($A143="","",INDEX(tbl_plan[localId],ROW()-1))</f>
        <v/>
      </c>
      <c r="C143" s="11" t="str">
        <f>IF($A143="","",INDEX(tbl_plan[出荷週],ROW()-1))</f>
        <v/>
      </c>
      <c r="D143" s="4" t="str">
        <f>IF($A143="","",INDEX(tbl_plan[納期先],ROW()-1)&amp;"")</f>
        <v/>
      </c>
      <c r="E143" s="8" t="str">
        <f>IF($A143="","",INDEX(tbl_plan[必要数],ROW()-1))</f>
        <v/>
      </c>
      <c r="F143" s="8" t="str">
        <f t="shared" si="6"/>
        <v/>
      </c>
      <c r="G143" s="8" t="str">
        <f>IF($A143="","",SUMIFS(tbl_ledger[数量],tbl_ledger[ロットID],$A143,tbl_ledger[イベント種類],"発送"))</f>
        <v/>
      </c>
      <c r="H143" s="8" t="str">
        <f>IF($A143="","",_xlfn.LET(
_xlpm.割当,F143,
_xlpm.充当受入,SUMIFS(tbl_ledger[数量],tbl_ledger[充当先ロットID],$A143,tbl_ledger[イベント種類],"充当"),
_xlpm.充当放出,SUMIFS(tbl_ledger[数量],tbl_ledger[ロットID],$A143,tbl_ledger[イベント種類],"充当"),
_xlpm.発送済,G143,
_xlpm.倉庫戻し,SUMIFS(tbl_ledger[数量],tbl_ledger[ロットID],$A143,tbl_ledger[イベント種類],"倉庫戻し"),
_xlpm.余剰化,SUMIFS(tbl_ledger[数量],tbl_ledger[ロットID],$A143,tbl_ledger[イベント種類],"余剰化"),
_xlpm.不良,SUMIFS(tbl_ledger[数量],tbl_ledger[ロットID],$A143,tbl_ledger[イベント種類],"不良発生"),
_xlpm.割当+_xlpm.充当受入-_xlpm.充当放出-_xlpm.発送済-_xlpm.倉庫戻し-_xlpm.余剰化-_xlpm.不良))</f>
        <v/>
      </c>
      <c r="I143" s="8" t="str">
        <f>IF($A143="","",_xlfn.LET(
_xlpm.品番プール,N143,
_xlpm.割当計,SUMIF($B$2:$B$301,$B143,$F$2:$F$301),
_xlpm.余剰化受入,SUMIFS(tbl_ledger[数量],tbl_ledger[localId],$B143,tbl_ledger[イベント種類],"余剰化"),
_xlpm.充当払出,SUMIFS(tbl_ledger[数量],tbl_ledger[localId],$B143,tbl_ledger[イベント種類],"充当",tbl_ledger[ロットID],"="),
_xlpm.品番プール-_xlpm.割当計+_xlpm.余剰化受入-_xlpm.充当払出))</f>
        <v/>
      </c>
      <c r="J143" s="8" t="str">
        <f t="shared" si="7"/>
        <v/>
      </c>
      <c r="K143" s="8" t="str">
        <f t="shared" si="8"/>
        <v/>
      </c>
      <c r="L143" s="4" t="str">
        <f>IF($A143="","",IF(INDEX(tbl_plan[計画状態],ROW()-1)="キャンセル","キャンセル",IF(J143=0,"発送済",IF(K143&gt;0,"要搬出","OK"))))</f>
        <v/>
      </c>
      <c r="M143" s="8">
        <f t="array" ref="M143">_xlfn.LET(
_xlpm.計画状態,IFERROR(INDEX(tbl_plan[計画状態],ROW()-1)&amp;"",""),
_xlpm.必要数,IFERROR(N(INDEX(tbl_plan[必要数],ROW()-1)),0),
IF(_xlpm.計画状態="キャンセル",0,_xlpm.必要数))</f>
        <v>0</v>
      </c>
      <c r="N143" s="8" t="str">
        <f>IF($A143="","",_xlfn.LET(
_xlpm.搬入計,SUMIFS(tbl_ledger[数量],tbl_ledger[localId],$B143,tbl_ledger[イベント種類],"搬入"),
_xlpm.未割当発送,SUMIFS(tbl_ledger[数量],tbl_ledger[localId],$B143,tbl_ledger[イベント種類],"発送",tbl_ledger[ロットID],"="),
_xlpm.未割当倉庫戻し,SUMIFS(tbl_ledger[数量],tbl_ledger[localId],$B143,tbl_ledger[イベント種類],"倉庫戻し",tbl_ledger[ロットID],"="),
_xlpm.未割当不良,SUMIFS(tbl_ledger[数量],tbl_ledger[localId],$B143,tbl_ledger[イベント種類],"不良発生",tbl_ledger[ロットID],"="),
_xlpm.搬入計-_xlpm.未割当発送-_xlpm.未割当倉庫戻し-_xlpm.未割当不良))</f>
        <v/>
      </c>
      <c r="O143" s="8" t="str">
        <f t="array" ref="O143">IF($A143="","",_xlfn.LET(
_xlpm.同品番,($B$2:$B$301=$B143),
_xlpm.週が前,($C$2:$C$301&lt;$C143),
_xlpm.同週で上行,($C$2:$C$301=$C143)*(ROW($C$2:$C$301)&lt;ROW()),
SUMPRODUCT(_xlpm.同品番*(_xlpm.週が前+_xlpm.同週で上行)*$M$2:$M$301)))</f>
        <v/>
      </c>
    </row>
    <row r="144" spans="1:15" ht="15" customHeight="1" x14ac:dyDescent="0.25">
      <c r="A144" s="4" t="str">
        <f>IFERROR(INDEX(tbl_plan[ロットID],ROW()-1),"")</f>
        <v/>
      </c>
      <c r="B144" s="4" t="str">
        <f>IF($A144="","",INDEX(tbl_plan[localId],ROW()-1))</f>
        <v/>
      </c>
      <c r="C144" s="11" t="str">
        <f>IF($A144="","",INDEX(tbl_plan[出荷週],ROW()-1))</f>
        <v/>
      </c>
      <c r="D144" s="4" t="str">
        <f>IF($A144="","",INDEX(tbl_plan[納期先],ROW()-1)&amp;"")</f>
        <v/>
      </c>
      <c r="E144" s="8" t="str">
        <f>IF($A144="","",INDEX(tbl_plan[必要数],ROW()-1))</f>
        <v/>
      </c>
      <c r="F144" s="8" t="str">
        <f t="shared" si="6"/>
        <v/>
      </c>
      <c r="G144" s="8" t="str">
        <f>IF($A144="","",SUMIFS(tbl_ledger[数量],tbl_ledger[ロットID],$A144,tbl_ledger[イベント種類],"発送"))</f>
        <v/>
      </c>
      <c r="H144" s="8" t="str">
        <f>IF($A144="","",_xlfn.LET(
_xlpm.割当,F144,
_xlpm.充当受入,SUMIFS(tbl_ledger[数量],tbl_ledger[充当先ロットID],$A144,tbl_ledger[イベント種類],"充当"),
_xlpm.充当放出,SUMIFS(tbl_ledger[数量],tbl_ledger[ロットID],$A144,tbl_ledger[イベント種類],"充当"),
_xlpm.発送済,G144,
_xlpm.倉庫戻し,SUMIFS(tbl_ledger[数量],tbl_ledger[ロットID],$A144,tbl_ledger[イベント種類],"倉庫戻し"),
_xlpm.余剰化,SUMIFS(tbl_ledger[数量],tbl_ledger[ロットID],$A144,tbl_ledger[イベント種類],"余剰化"),
_xlpm.不良,SUMIFS(tbl_ledger[数量],tbl_ledger[ロットID],$A144,tbl_ledger[イベント種類],"不良発生"),
_xlpm.割当+_xlpm.充当受入-_xlpm.充当放出-_xlpm.発送済-_xlpm.倉庫戻し-_xlpm.余剰化-_xlpm.不良))</f>
        <v/>
      </c>
      <c r="I144" s="8" t="str">
        <f>IF($A144="","",_xlfn.LET(
_xlpm.品番プール,N144,
_xlpm.割当計,SUMIF($B$2:$B$301,$B144,$F$2:$F$301),
_xlpm.余剰化受入,SUMIFS(tbl_ledger[数量],tbl_ledger[localId],$B144,tbl_ledger[イベント種類],"余剰化"),
_xlpm.充当払出,SUMIFS(tbl_ledger[数量],tbl_ledger[localId],$B144,tbl_ledger[イベント種類],"充当",tbl_ledger[ロットID],"="),
_xlpm.品番プール-_xlpm.割当計+_xlpm.余剰化受入-_xlpm.充当払出))</f>
        <v/>
      </c>
      <c r="J144" s="8" t="str">
        <f t="shared" si="7"/>
        <v/>
      </c>
      <c r="K144" s="8" t="str">
        <f t="shared" si="8"/>
        <v/>
      </c>
      <c r="L144" s="4" t="str">
        <f>IF($A144="","",IF(INDEX(tbl_plan[計画状態],ROW()-1)="キャンセル","キャンセル",IF(J144=0,"発送済",IF(K144&gt;0,"要搬出","OK"))))</f>
        <v/>
      </c>
      <c r="M144" s="8">
        <f t="array" ref="M144">_xlfn.LET(
_xlpm.計画状態,IFERROR(INDEX(tbl_plan[計画状態],ROW()-1)&amp;"",""),
_xlpm.必要数,IFERROR(N(INDEX(tbl_plan[必要数],ROW()-1)),0),
IF(_xlpm.計画状態="キャンセル",0,_xlpm.必要数))</f>
        <v>0</v>
      </c>
      <c r="N144" s="8" t="str">
        <f>IF($A144="","",_xlfn.LET(
_xlpm.搬入計,SUMIFS(tbl_ledger[数量],tbl_ledger[localId],$B144,tbl_ledger[イベント種類],"搬入"),
_xlpm.未割当発送,SUMIFS(tbl_ledger[数量],tbl_ledger[localId],$B144,tbl_ledger[イベント種類],"発送",tbl_ledger[ロットID],"="),
_xlpm.未割当倉庫戻し,SUMIFS(tbl_ledger[数量],tbl_ledger[localId],$B144,tbl_ledger[イベント種類],"倉庫戻し",tbl_ledger[ロットID],"="),
_xlpm.未割当不良,SUMIFS(tbl_ledger[数量],tbl_ledger[localId],$B144,tbl_ledger[イベント種類],"不良発生",tbl_ledger[ロットID],"="),
_xlpm.搬入計-_xlpm.未割当発送-_xlpm.未割当倉庫戻し-_xlpm.未割当不良))</f>
        <v/>
      </c>
      <c r="O144" s="8" t="str">
        <f t="array" ref="O144">IF($A144="","",_xlfn.LET(
_xlpm.同品番,($B$2:$B$301=$B144),
_xlpm.週が前,($C$2:$C$301&lt;$C144),
_xlpm.同週で上行,($C$2:$C$301=$C144)*(ROW($C$2:$C$301)&lt;ROW()),
SUMPRODUCT(_xlpm.同品番*(_xlpm.週が前+_xlpm.同週で上行)*$M$2:$M$301)))</f>
        <v/>
      </c>
    </row>
    <row r="145" spans="1:15" ht="15" customHeight="1" x14ac:dyDescent="0.25">
      <c r="A145" s="4" t="str">
        <f>IFERROR(INDEX(tbl_plan[ロットID],ROW()-1),"")</f>
        <v/>
      </c>
      <c r="B145" s="4" t="str">
        <f>IF($A145="","",INDEX(tbl_plan[localId],ROW()-1))</f>
        <v/>
      </c>
      <c r="C145" s="11" t="str">
        <f>IF($A145="","",INDEX(tbl_plan[出荷週],ROW()-1))</f>
        <v/>
      </c>
      <c r="D145" s="4" t="str">
        <f>IF($A145="","",INDEX(tbl_plan[納期先],ROW()-1)&amp;"")</f>
        <v/>
      </c>
      <c r="E145" s="8" t="str">
        <f>IF($A145="","",INDEX(tbl_plan[必要数],ROW()-1))</f>
        <v/>
      </c>
      <c r="F145" s="8" t="str">
        <f t="shared" si="6"/>
        <v/>
      </c>
      <c r="G145" s="8" t="str">
        <f>IF($A145="","",SUMIFS(tbl_ledger[数量],tbl_ledger[ロットID],$A145,tbl_ledger[イベント種類],"発送"))</f>
        <v/>
      </c>
      <c r="H145" s="8" t="str">
        <f>IF($A145="","",_xlfn.LET(
_xlpm.割当,F145,
_xlpm.充当受入,SUMIFS(tbl_ledger[数量],tbl_ledger[充当先ロットID],$A145,tbl_ledger[イベント種類],"充当"),
_xlpm.充当放出,SUMIFS(tbl_ledger[数量],tbl_ledger[ロットID],$A145,tbl_ledger[イベント種類],"充当"),
_xlpm.発送済,G145,
_xlpm.倉庫戻し,SUMIFS(tbl_ledger[数量],tbl_ledger[ロットID],$A145,tbl_ledger[イベント種類],"倉庫戻し"),
_xlpm.余剰化,SUMIFS(tbl_ledger[数量],tbl_ledger[ロットID],$A145,tbl_ledger[イベント種類],"余剰化"),
_xlpm.不良,SUMIFS(tbl_ledger[数量],tbl_ledger[ロットID],$A145,tbl_ledger[イベント種類],"不良発生"),
_xlpm.割当+_xlpm.充当受入-_xlpm.充当放出-_xlpm.発送済-_xlpm.倉庫戻し-_xlpm.余剰化-_xlpm.不良))</f>
        <v/>
      </c>
      <c r="I145" s="8" t="str">
        <f>IF($A145="","",_xlfn.LET(
_xlpm.品番プール,N145,
_xlpm.割当計,SUMIF($B$2:$B$301,$B145,$F$2:$F$301),
_xlpm.余剰化受入,SUMIFS(tbl_ledger[数量],tbl_ledger[localId],$B145,tbl_ledger[イベント種類],"余剰化"),
_xlpm.充当払出,SUMIFS(tbl_ledger[数量],tbl_ledger[localId],$B145,tbl_ledger[イベント種類],"充当",tbl_ledger[ロットID],"="),
_xlpm.品番プール-_xlpm.割当計+_xlpm.余剰化受入-_xlpm.充当払出))</f>
        <v/>
      </c>
      <c r="J145" s="8" t="str">
        <f t="shared" si="7"/>
        <v/>
      </c>
      <c r="K145" s="8" t="str">
        <f t="shared" si="8"/>
        <v/>
      </c>
      <c r="L145" s="4" t="str">
        <f>IF($A145="","",IF(INDEX(tbl_plan[計画状態],ROW()-1)="キャンセル","キャンセル",IF(J145=0,"発送済",IF(K145&gt;0,"要搬出","OK"))))</f>
        <v/>
      </c>
      <c r="M145" s="8">
        <f t="array" ref="M145">_xlfn.LET(
_xlpm.計画状態,IFERROR(INDEX(tbl_plan[計画状態],ROW()-1)&amp;"",""),
_xlpm.必要数,IFERROR(N(INDEX(tbl_plan[必要数],ROW()-1)),0),
IF(_xlpm.計画状態="キャンセル",0,_xlpm.必要数))</f>
        <v>0</v>
      </c>
      <c r="N145" s="8" t="str">
        <f>IF($A145="","",_xlfn.LET(
_xlpm.搬入計,SUMIFS(tbl_ledger[数量],tbl_ledger[localId],$B145,tbl_ledger[イベント種類],"搬入"),
_xlpm.未割当発送,SUMIFS(tbl_ledger[数量],tbl_ledger[localId],$B145,tbl_ledger[イベント種類],"発送",tbl_ledger[ロットID],"="),
_xlpm.未割当倉庫戻し,SUMIFS(tbl_ledger[数量],tbl_ledger[localId],$B145,tbl_ledger[イベント種類],"倉庫戻し",tbl_ledger[ロットID],"="),
_xlpm.未割当不良,SUMIFS(tbl_ledger[数量],tbl_ledger[localId],$B145,tbl_ledger[イベント種類],"不良発生",tbl_ledger[ロットID],"="),
_xlpm.搬入計-_xlpm.未割当発送-_xlpm.未割当倉庫戻し-_xlpm.未割当不良))</f>
        <v/>
      </c>
      <c r="O145" s="8" t="str">
        <f t="array" ref="O145">IF($A145="","",_xlfn.LET(
_xlpm.同品番,($B$2:$B$301=$B145),
_xlpm.週が前,($C$2:$C$301&lt;$C145),
_xlpm.同週で上行,($C$2:$C$301=$C145)*(ROW($C$2:$C$301)&lt;ROW()),
SUMPRODUCT(_xlpm.同品番*(_xlpm.週が前+_xlpm.同週で上行)*$M$2:$M$301)))</f>
        <v/>
      </c>
    </row>
    <row r="146" spans="1:15" ht="15" customHeight="1" x14ac:dyDescent="0.25">
      <c r="A146" s="4" t="str">
        <f>IFERROR(INDEX(tbl_plan[ロットID],ROW()-1),"")</f>
        <v/>
      </c>
      <c r="B146" s="4" t="str">
        <f>IF($A146="","",INDEX(tbl_plan[localId],ROW()-1))</f>
        <v/>
      </c>
      <c r="C146" s="11" t="str">
        <f>IF($A146="","",INDEX(tbl_plan[出荷週],ROW()-1))</f>
        <v/>
      </c>
      <c r="D146" s="4" t="str">
        <f>IF($A146="","",INDEX(tbl_plan[納期先],ROW()-1)&amp;"")</f>
        <v/>
      </c>
      <c r="E146" s="8" t="str">
        <f>IF($A146="","",INDEX(tbl_plan[必要数],ROW()-1))</f>
        <v/>
      </c>
      <c r="F146" s="8" t="str">
        <f t="shared" si="6"/>
        <v/>
      </c>
      <c r="G146" s="8" t="str">
        <f>IF($A146="","",SUMIFS(tbl_ledger[数量],tbl_ledger[ロットID],$A146,tbl_ledger[イベント種類],"発送"))</f>
        <v/>
      </c>
      <c r="H146" s="8" t="str">
        <f>IF($A146="","",_xlfn.LET(
_xlpm.割当,F146,
_xlpm.充当受入,SUMIFS(tbl_ledger[数量],tbl_ledger[充当先ロットID],$A146,tbl_ledger[イベント種類],"充当"),
_xlpm.充当放出,SUMIFS(tbl_ledger[数量],tbl_ledger[ロットID],$A146,tbl_ledger[イベント種類],"充当"),
_xlpm.発送済,G146,
_xlpm.倉庫戻し,SUMIFS(tbl_ledger[数量],tbl_ledger[ロットID],$A146,tbl_ledger[イベント種類],"倉庫戻し"),
_xlpm.余剰化,SUMIFS(tbl_ledger[数量],tbl_ledger[ロットID],$A146,tbl_ledger[イベント種類],"余剰化"),
_xlpm.不良,SUMIFS(tbl_ledger[数量],tbl_ledger[ロットID],$A146,tbl_ledger[イベント種類],"不良発生"),
_xlpm.割当+_xlpm.充当受入-_xlpm.充当放出-_xlpm.発送済-_xlpm.倉庫戻し-_xlpm.余剰化-_xlpm.不良))</f>
        <v/>
      </c>
      <c r="I146" s="8" t="str">
        <f>IF($A146="","",_xlfn.LET(
_xlpm.品番プール,N146,
_xlpm.割当計,SUMIF($B$2:$B$301,$B146,$F$2:$F$301),
_xlpm.余剰化受入,SUMIFS(tbl_ledger[数量],tbl_ledger[localId],$B146,tbl_ledger[イベント種類],"余剰化"),
_xlpm.充当払出,SUMIFS(tbl_ledger[数量],tbl_ledger[localId],$B146,tbl_ledger[イベント種類],"充当",tbl_ledger[ロットID],"="),
_xlpm.品番プール-_xlpm.割当計+_xlpm.余剰化受入-_xlpm.充当払出))</f>
        <v/>
      </c>
      <c r="J146" s="8" t="str">
        <f t="shared" si="7"/>
        <v/>
      </c>
      <c r="K146" s="8" t="str">
        <f t="shared" si="8"/>
        <v/>
      </c>
      <c r="L146" s="4" t="str">
        <f>IF($A146="","",IF(INDEX(tbl_plan[計画状態],ROW()-1)="キャンセル","キャンセル",IF(J146=0,"発送済",IF(K146&gt;0,"要搬出","OK"))))</f>
        <v/>
      </c>
      <c r="M146" s="8">
        <f t="array" ref="M146">_xlfn.LET(
_xlpm.計画状態,IFERROR(INDEX(tbl_plan[計画状態],ROW()-1)&amp;"",""),
_xlpm.必要数,IFERROR(N(INDEX(tbl_plan[必要数],ROW()-1)),0),
IF(_xlpm.計画状態="キャンセル",0,_xlpm.必要数))</f>
        <v>0</v>
      </c>
      <c r="N146" s="8" t="str">
        <f>IF($A146="","",_xlfn.LET(
_xlpm.搬入計,SUMIFS(tbl_ledger[数量],tbl_ledger[localId],$B146,tbl_ledger[イベント種類],"搬入"),
_xlpm.未割当発送,SUMIFS(tbl_ledger[数量],tbl_ledger[localId],$B146,tbl_ledger[イベント種類],"発送",tbl_ledger[ロットID],"="),
_xlpm.未割当倉庫戻し,SUMIFS(tbl_ledger[数量],tbl_ledger[localId],$B146,tbl_ledger[イベント種類],"倉庫戻し",tbl_ledger[ロットID],"="),
_xlpm.未割当不良,SUMIFS(tbl_ledger[数量],tbl_ledger[localId],$B146,tbl_ledger[イベント種類],"不良発生",tbl_ledger[ロットID],"="),
_xlpm.搬入計-_xlpm.未割当発送-_xlpm.未割当倉庫戻し-_xlpm.未割当不良))</f>
        <v/>
      </c>
      <c r="O146" s="8" t="str">
        <f t="array" ref="O146">IF($A146="","",_xlfn.LET(
_xlpm.同品番,($B$2:$B$301=$B146),
_xlpm.週が前,($C$2:$C$301&lt;$C146),
_xlpm.同週で上行,($C$2:$C$301=$C146)*(ROW($C$2:$C$301)&lt;ROW()),
SUMPRODUCT(_xlpm.同品番*(_xlpm.週が前+_xlpm.同週で上行)*$M$2:$M$301)))</f>
        <v/>
      </c>
    </row>
    <row r="147" spans="1:15" ht="15" customHeight="1" x14ac:dyDescent="0.25">
      <c r="A147" s="4" t="str">
        <f>IFERROR(INDEX(tbl_plan[ロットID],ROW()-1),"")</f>
        <v/>
      </c>
      <c r="B147" s="4" t="str">
        <f>IF($A147="","",INDEX(tbl_plan[localId],ROW()-1))</f>
        <v/>
      </c>
      <c r="C147" s="11" t="str">
        <f>IF($A147="","",INDEX(tbl_plan[出荷週],ROW()-1))</f>
        <v/>
      </c>
      <c r="D147" s="4" t="str">
        <f>IF($A147="","",INDEX(tbl_plan[納期先],ROW()-1)&amp;"")</f>
        <v/>
      </c>
      <c r="E147" s="8" t="str">
        <f>IF($A147="","",INDEX(tbl_plan[必要数],ROW()-1))</f>
        <v/>
      </c>
      <c r="F147" s="8" t="str">
        <f t="shared" si="6"/>
        <v/>
      </c>
      <c r="G147" s="8" t="str">
        <f>IF($A147="","",SUMIFS(tbl_ledger[数量],tbl_ledger[ロットID],$A147,tbl_ledger[イベント種類],"発送"))</f>
        <v/>
      </c>
      <c r="H147" s="8" t="str">
        <f>IF($A147="","",_xlfn.LET(
_xlpm.割当,F147,
_xlpm.充当受入,SUMIFS(tbl_ledger[数量],tbl_ledger[充当先ロットID],$A147,tbl_ledger[イベント種類],"充当"),
_xlpm.充当放出,SUMIFS(tbl_ledger[数量],tbl_ledger[ロットID],$A147,tbl_ledger[イベント種類],"充当"),
_xlpm.発送済,G147,
_xlpm.倉庫戻し,SUMIFS(tbl_ledger[数量],tbl_ledger[ロットID],$A147,tbl_ledger[イベント種類],"倉庫戻し"),
_xlpm.余剰化,SUMIFS(tbl_ledger[数量],tbl_ledger[ロットID],$A147,tbl_ledger[イベント種類],"余剰化"),
_xlpm.不良,SUMIFS(tbl_ledger[数量],tbl_ledger[ロットID],$A147,tbl_ledger[イベント種類],"不良発生"),
_xlpm.割当+_xlpm.充当受入-_xlpm.充当放出-_xlpm.発送済-_xlpm.倉庫戻し-_xlpm.余剰化-_xlpm.不良))</f>
        <v/>
      </c>
      <c r="I147" s="8" t="str">
        <f>IF($A147="","",_xlfn.LET(
_xlpm.品番プール,N147,
_xlpm.割当計,SUMIF($B$2:$B$301,$B147,$F$2:$F$301),
_xlpm.余剰化受入,SUMIFS(tbl_ledger[数量],tbl_ledger[localId],$B147,tbl_ledger[イベント種類],"余剰化"),
_xlpm.充当払出,SUMIFS(tbl_ledger[数量],tbl_ledger[localId],$B147,tbl_ledger[イベント種類],"充当",tbl_ledger[ロットID],"="),
_xlpm.品番プール-_xlpm.割当計+_xlpm.余剰化受入-_xlpm.充当払出))</f>
        <v/>
      </c>
      <c r="J147" s="8" t="str">
        <f t="shared" si="7"/>
        <v/>
      </c>
      <c r="K147" s="8" t="str">
        <f t="shared" si="8"/>
        <v/>
      </c>
      <c r="L147" s="4" t="str">
        <f>IF($A147="","",IF(INDEX(tbl_plan[計画状態],ROW()-1)="キャンセル","キャンセル",IF(J147=0,"発送済",IF(K147&gt;0,"要搬出","OK"))))</f>
        <v/>
      </c>
      <c r="M147" s="8">
        <f t="array" ref="M147">_xlfn.LET(
_xlpm.計画状態,IFERROR(INDEX(tbl_plan[計画状態],ROW()-1)&amp;"",""),
_xlpm.必要数,IFERROR(N(INDEX(tbl_plan[必要数],ROW()-1)),0),
IF(_xlpm.計画状態="キャンセル",0,_xlpm.必要数))</f>
        <v>0</v>
      </c>
      <c r="N147" s="8" t="str">
        <f>IF($A147="","",_xlfn.LET(
_xlpm.搬入計,SUMIFS(tbl_ledger[数量],tbl_ledger[localId],$B147,tbl_ledger[イベント種類],"搬入"),
_xlpm.未割当発送,SUMIFS(tbl_ledger[数量],tbl_ledger[localId],$B147,tbl_ledger[イベント種類],"発送",tbl_ledger[ロットID],"="),
_xlpm.未割当倉庫戻し,SUMIFS(tbl_ledger[数量],tbl_ledger[localId],$B147,tbl_ledger[イベント種類],"倉庫戻し",tbl_ledger[ロットID],"="),
_xlpm.未割当不良,SUMIFS(tbl_ledger[数量],tbl_ledger[localId],$B147,tbl_ledger[イベント種類],"不良発生",tbl_ledger[ロットID],"="),
_xlpm.搬入計-_xlpm.未割当発送-_xlpm.未割当倉庫戻し-_xlpm.未割当不良))</f>
        <v/>
      </c>
      <c r="O147" s="8" t="str">
        <f t="array" ref="O147">IF($A147="","",_xlfn.LET(
_xlpm.同品番,($B$2:$B$301=$B147),
_xlpm.週が前,($C$2:$C$301&lt;$C147),
_xlpm.同週で上行,($C$2:$C$301=$C147)*(ROW($C$2:$C$301)&lt;ROW()),
SUMPRODUCT(_xlpm.同品番*(_xlpm.週が前+_xlpm.同週で上行)*$M$2:$M$301)))</f>
        <v/>
      </c>
    </row>
    <row r="148" spans="1:15" ht="15" customHeight="1" x14ac:dyDescent="0.25">
      <c r="A148" s="4" t="str">
        <f>IFERROR(INDEX(tbl_plan[ロットID],ROW()-1),"")</f>
        <v/>
      </c>
      <c r="B148" s="4" t="str">
        <f>IF($A148="","",INDEX(tbl_plan[localId],ROW()-1))</f>
        <v/>
      </c>
      <c r="C148" s="11" t="str">
        <f>IF($A148="","",INDEX(tbl_plan[出荷週],ROW()-1))</f>
        <v/>
      </c>
      <c r="D148" s="4" t="str">
        <f>IF($A148="","",INDEX(tbl_plan[納期先],ROW()-1)&amp;"")</f>
        <v/>
      </c>
      <c r="E148" s="8" t="str">
        <f>IF($A148="","",INDEX(tbl_plan[必要数],ROW()-1))</f>
        <v/>
      </c>
      <c r="F148" s="8" t="str">
        <f t="shared" si="6"/>
        <v/>
      </c>
      <c r="G148" s="8" t="str">
        <f>IF($A148="","",SUMIFS(tbl_ledger[数量],tbl_ledger[ロットID],$A148,tbl_ledger[イベント種類],"発送"))</f>
        <v/>
      </c>
      <c r="H148" s="8" t="str">
        <f>IF($A148="","",_xlfn.LET(
_xlpm.割当,F148,
_xlpm.充当受入,SUMIFS(tbl_ledger[数量],tbl_ledger[充当先ロットID],$A148,tbl_ledger[イベント種類],"充当"),
_xlpm.充当放出,SUMIFS(tbl_ledger[数量],tbl_ledger[ロットID],$A148,tbl_ledger[イベント種類],"充当"),
_xlpm.発送済,G148,
_xlpm.倉庫戻し,SUMIFS(tbl_ledger[数量],tbl_ledger[ロットID],$A148,tbl_ledger[イベント種類],"倉庫戻し"),
_xlpm.余剰化,SUMIFS(tbl_ledger[数量],tbl_ledger[ロットID],$A148,tbl_ledger[イベント種類],"余剰化"),
_xlpm.不良,SUMIFS(tbl_ledger[数量],tbl_ledger[ロットID],$A148,tbl_ledger[イベント種類],"不良発生"),
_xlpm.割当+_xlpm.充当受入-_xlpm.充当放出-_xlpm.発送済-_xlpm.倉庫戻し-_xlpm.余剰化-_xlpm.不良))</f>
        <v/>
      </c>
      <c r="I148" s="8" t="str">
        <f>IF($A148="","",_xlfn.LET(
_xlpm.品番プール,N148,
_xlpm.割当計,SUMIF($B$2:$B$301,$B148,$F$2:$F$301),
_xlpm.余剰化受入,SUMIFS(tbl_ledger[数量],tbl_ledger[localId],$B148,tbl_ledger[イベント種類],"余剰化"),
_xlpm.充当払出,SUMIFS(tbl_ledger[数量],tbl_ledger[localId],$B148,tbl_ledger[イベント種類],"充当",tbl_ledger[ロットID],"="),
_xlpm.品番プール-_xlpm.割当計+_xlpm.余剰化受入-_xlpm.充当払出))</f>
        <v/>
      </c>
      <c r="J148" s="8" t="str">
        <f t="shared" si="7"/>
        <v/>
      </c>
      <c r="K148" s="8" t="str">
        <f t="shared" si="8"/>
        <v/>
      </c>
      <c r="L148" s="4" t="str">
        <f>IF($A148="","",IF(INDEX(tbl_plan[計画状態],ROW()-1)="キャンセル","キャンセル",IF(J148=0,"発送済",IF(K148&gt;0,"要搬出","OK"))))</f>
        <v/>
      </c>
      <c r="M148" s="8">
        <f t="array" ref="M148">_xlfn.LET(
_xlpm.計画状態,IFERROR(INDEX(tbl_plan[計画状態],ROW()-1)&amp;"",""),
_xlpm.必要数,IFERROR(N(INDEX(tbl_plan[必要数],ROW()-1)),0),
IF(_xlpm.計画状態="キャンセル",0,_xlpm.必要数))</f>
        <v>0</v>
      </c>
      <c r="N148" s="8" t="str">
        <f>IF($A148="","",_xlfn.LET(
_xlpm.搬入計,SUMIFS(tbl_ledger[数量],tbl_ledger[localId],$B148,tbl_ledger[イベント種類],"搬入"),
_xlpm.未割当発送,SUMIFS(tbl_ledger[数量],tbl_ledger[localId],$B148,tbl_ledger[イベント種類],"発送",tbl_ledger[ロットID],"="),
_xlpm.未割当倉庫戻し,SUMIFS(tbl_ledger[数量],tbl_ledger[localId],$B148,tbl_ledger[イベント種類],"倉庫戻し",tbl_ledger[ロットID],"="),
_xlpm.未割当不良,SUMIFS(tbl_ledger[数量],tbl_ledger[localId],$B148,tbl_ledger[イベント種類],"不良発生",tbl_ledger[ロットID],"="),
_xlpm.搬入計-_xlpm.未割当発送-_xlpm.未割当倉庫戻し-_xlpm.未割当不良))</f>
        <v/>
      </c>
      <c r="O148" s="8" t="str">
        <f t="array" ref="O148">IF($A148="","",_xlfn.LET(
_xlpm.同品番,($B$2:$B$301=$B148),
_xlpm.週が前,($C$2:$C$301&lt;$C148),
_xlpm.同週で上行,($C$2:$C$301=$C148)*(ROW($C$2:$C$301)&lt;ROW()),
SUMPRODUCT(_xlpm.同品番*(_xlpm.週が前+_xlpm.同週で上行)*$M$2:$M$301)))</f>
        <v/>
      </c>
    </row>
    <row r="149" spans="1:15" ht="15" customHeight="1" x14ac:dyDescent="0.25">
      <c r="A149" s="4" t="str">
        <f>IFERROR(INDEX(tbl_plan[ロットID],ROW()-1),"")</f>
        <v/>
      </c>
      <c r="B149" s="4" t="str">
        <f>IF($A149="","",INDEX(tbl_plan[localId],ROW()-1))</f>
        <v/>
      </c>
      <c r="C149" s="11" t="str">
        <f>IF($A149="","",INDEX(tbl_plan[出荷週],ROW()-1))</f>
        <v/>
      </c>
      <c r="D149" s="4" t="str">
        <f>IF($A149="","",INDEX(tbl_plan[納期先],ROW()-1)&amp;"")</f>
        <v/>
      </c>
      <c r="E149" s="8" t="str">
        <f>IF($A149="","",INDEX(tbl_plan[必要数],ROW()-1))</f>
        <v/>
      </c>
      <c r="F149" s="8" t="str">
        <f t="shared" si="6"/>
        <v/>
      </c>
      <c r="G149" s="8" t="str">
        <f>IF($A149="","",SUMIFS(tbl_ledger[数量],tbl_ledger[ロットID],$A149,tbl_ledger[イベント種類],"発送"))</f>
        <v/>
      </c>
      <c r="H149" s="8" t="str">
        <f>IF($A149="","",_xlfn.LET(
_xlpm.割当,F149,
_xlpm.充当受入,SUMIFS(tbl_ledger[数量],tbl_ledger[充当先ロットID],$A149,tbl_ledger[イベント種類],"充当"),
_xlpm.充当放出,SUMIFS(tbl_ledger[数量],tbl_ledger[ロットID],$A149,tbl_ledger[イベント種類],"充当"),
_xlpm.発送済,G149,
_xlpm.倉庫戻し,SUMIFS(tbl_ledger[数量],tbl_ledger[ロットID],$A149,tbl_ledger[イベント種類],"倉庫戻し"),
_xlpm.余剰化,SUMIFS(tbl_ledger[数量],tbl_ledger[ロットID],$A149,tbl_ledger[イベント種類],"余剰化"),
_xlpm.不良,SUMIFS(tbl_ledger[数量],tbl_ledger[ロットID],$A149,tbl_ledger[イベント種類],"不良発生"),
_xlpm.割当+_xlpm.充当受入-_xlpm.充当放出-_xlpm.発送済-_xlpm.倉庫戻し-_xlpm.余剰化-_xlpm.不良))</f>
        <v/>
      </c>
      <c r="I149" s="8" t="str">
        <f>IF($A149="","",_xlfn.LET(
_xlpm.品番プール,N149,
_xlpm.割当計,SUMIF($B$2:$B$301,$B149,$F$2:$F$301),
_xlpm.余剰化受入,SUMIFS(tbl_ledger[数量],tbl_ledger[localId],$B149,tbl_ledger[イベント種類],"余剰化"),
_xlpm.充当払出,SUMIFS(tbl_ledger[数量],tbl_ledger[localId],$B149,tbl_ledger[イベント種類],"充当",tbl_ledger[ロットID],"="),
_xlpm.品番プール-_xlpm.割当計+_xlpm.余剰化受入-_xlpm.充当払出))</f>
        <v/>
      </c>
      <c r="J149" s="8" t="str">
        <f t="shared" si="7"/>
        <v/>
      </c>
      <c r="K149" s="8" t="str">
        <f t="shared" si="8"/>
        <v/>
      </c>
      <c r="L149" s="4" t="str">
        <f>IF($A149="","",IF(INDEX(tbl_plan[計画状態],ROW()-1)="キャンセル","キャンセル",IF(J149=0,"発送済",IF(K149&gt;0,"要搬出","OK"))))</f>
        <v/>
      </c>
      <c r="M149" s="8">
        <f t="array" ref="M149">_xlfn.LET(
_xlpm.計画状態,IFERROR(INDEX(tbl_plan[計画状態],ROW()-1)&amp;"",""),
_xlpm.必要数,IFERROR(N(INDEX(tbl_plan[必要数],ROW()-1)),0),
IF(_xlpm.計画状態="キャンセル",0,_xlpm.必要数))</f>
        <v>0</v>
      </c>
      <c r="N149" s="8" t="str">
        <f>IF($A149="","",_xlfn.LET(
_xlpm.搬入計,SUMIFS(tbl_ledger[数量],tbl_ledger[localId],$B149,tbl_ledger[イベント種類],"搬入"),
_xlpm.未割当発送,SUMIFS(tbl_ledger[数量],tbl_ledger[localId],$B149,tbl_ledger[イベント種類],"発送",tbl_ledger[ロットID],"="),
_xlpm.未割当倉庫戻し,SUMIFS(tbl_ledger[数量],tbl_ledger[localId],$B149,tbl_ledger[イベント種類],"倉庫戻し",tbl_ledger[ロットID],"="),
_xlpm.未割当不良,SUMIFS(tbl_ledger[数量],tbl_ledger[localId],$B149,tbl_ledger[イベント種類],"不良発生",tbl_ledger[ロットID],"="),
_xlpm.搬入計-_xlpm.未割当発送-_xlpm.未割当倉庫戻し-_xlpm.未割当不良))</f>
        <v/>
      </c>
      <c r="O149" s="8" t="str">
        <f t="array" ref="O149">IF($A149="","",_xlfn.LET(
_xlpm.同品番,($B$2:$B$301=$B149),
_xlpm.週が前,($C$2:$C$301&lt;$C149),
_xlpm.同週で上行,($C$2:$C$301=$C149)*(ROW($C$2:$C$301)&lt;ROW()),
SUMPRODUCT(_xlpm.同品番*(_xlpm.週が前+_xlpm.同週で上行)*$M$2:$M$301)))</f>
        <v/>
      </c>
    </row>
    <row r="150" spans="1:15" ht="15" customHeight="1" x14ac:dyDescent="0.25">
      <c r="A150" s="4" t="str">
        <f>IFERROR(INDEX(tbl_plan[ロットID],ROW()-1),"")</f>
        <v/>
      </c>
      <c r="B150" s="4" t="str">
        <f>IF($A150="","",INDEX(tbl_plan[localId],ROW()-1))</f>
        <v/>
      </c>
      <c r="C150" s="11" t="str">
        <f>IF($A150="","",INDEX(tbl_plan[出荷週],ROW()-1))</f>
        <v/>
      </c>
      <c r="D150" s="4" t="str">
        <f>IF($A150="","",INDEX(tbl_plan[納期先],ROW()-1)&amp;"")</f>
        <v/>
      </c>
      <c r="E150" s="8" t="str">
        <f>IF($A150="","",INDEX(tbl_plan[必要数],ROW()-1))</f>
        <v/>
      </c>
      <c r="F150" s="8" t="str">
        <f t="shared" si="6"/>
        <v/>
      </c>
      <c r="G150" s="8" t="str">
        <f>IF($A150="","",SUMIFS(tbl_ledger[数量],tbl_ledger[ロットID],$A150,tbl_ledger[イベント種類],"発送"))</f>
        <v/>
      </c>
      <c r="H150" s="8" t="str">
        <f>IF($A150="","",_xlfn.LET(
_xlpm.割当,F150,
_xlpm.充当受入,SUMIFS(tbl_ledger[数量],tbl_ledger[充当先ロットID],$A150,tbl_ledger[イベント種類],"充当"),
_xlpm.充当放出,SUMIFS(tbl_ledger[数量],tbl_ledger[ロットID],$A150,tbl_ledger[イベント種類],"充当"),
_xlpm.発送済,G150,
_xlpm.倉庫戻し,SUMIFS(tbl_ledger[数量],tbl_ledger[ロットID],$A150,tbl_ledger[イベント種類],"倉庫戻し"),
_xlpm.余剰化,SUMIFS(tbl_ledger[数量],tbl_ledger[ロットID],$A150,tbl_ledger[イベント種類],"余剰化"),
_xlpm.不良,SUMIFS(tbl_ledger[数量],tbl_ledger[ロットID],$A150,tbl_ledger[イベント種類],"不良発生"),
_xlpm.割当+_xlpm.充当受入-_xlpm.充当放出-_xlpm.発送済-_xlpm.倉庫戻し-_xlpm.余剰化-_xlpm.不良))</f>
        <v/>
      </c>
      <c r="I150" s="8" t="str">
        <f>IF($A150="","",_xlfn.LET(
_xlpm.品番プール,N150,
_xlpm.割当計,SUMIF($B$2:$B$301,$B150,$F$2:$F$301),
_xlpm.余剰化受入,SUMIFS(tbl_ledger[数量],tbl_ledger[localId],$B150,tbl_ledger[イベント種類],"余剰化"),
_xlpm.充当払出,SUMIFS(tbl_ledger[数量],tbl_ledger[localId],$B150,tbl_ledger[イベント種類],"充当",tbl_ledger[ロットID],"="),
_xlpm.品番プール-_xlpm.割当計+_xlpm.余剰化受入-_xlpm.充当払出))</f>
        <v/>
      </c>
      <c r="J150" s="8" t="str">
        <f t="shared" si="7"/>
        <v/>
      </c>
      <c r="K150" s="8" t="str">
        <f t="shared" si="8"/>
        <v/>
      </c>
      <c r="L150" s="4" t="str">
        <f>IF($A150="","",IF(INDEX(tbl_plan[計画状態],ROW()-1)="キャンセル","キャンセル",IF(J150=0,"発送済",IF(K150&gt;0,"要搬出","OK"))))</f>
        <v/>
      </c>
      <c r="M150" s="8">
        <f t="array" ref="M150">_xlfn.LET(
_xlpm.計画状態,IFERROR(INDEX(tbl_plan[計画状態],ROW()-1)&amp;"",""),
_xlpm.必要数,IFERROR(N(INDEX(tbl_plan[必要数],ROW()-1)),0),
IF(_xlpm.計画状態="キャンセル",0,_xlpm.必要数))</f>
        <v>0</v>
      </c>
      <c r="N150" s="8" t="str">
        <f>IF($A150="","",_xlfn.LET(
_xlpm.搬入計,SUMIFS(tbl_ledger[数量],tbl_ledger[localId],$B150,tbl_ledger[イベント種類],"搬入"),
_xlpm.未割当発送,SUMIFS(tbl_ledger[数量],tbl_ledger[localId],$B150,tbl_ledger[イベント種類],"発送",tbl_ledger[ロットID],"="),
_xlpm.未割当倉庫戻し,SUMIFS(tbl_ledger[数量],tbl_ledger[localId],$B150,tbl_ledger[イベント種類],"倉庫戻し",tbl_ledger[ロットID],"="),
_xlpm.未割当不良,SUMIFS(tbl_ledger[数量],tbl_ledger[localId],$B150,tbl_ledger[イベント種類],"不良発生",tbl_ledger[ロットID],"="),
_xlpm.搬入計-_xlpm.未割当発送-_xlpm.未割当倉庫戻し-_xlpm.未割当不良))</f>
        <v/>
      </c>
      <c r="O150" s="8" t="str">
        <f t="array" ref="O150">IF($A150="","",_xlfn.LET(
_xlpm.同品番,($B$2:$B$301=$B150),
_xlpm.週が前,($C$2:$C$301&lt;$C150),
_xlpm.同週で上行,($C$2:$C$301=$C150)*(ROW($C$2:$C$301)&lt;ROW()),
SUMPRODUCT(_xlpm.同品番*(_xlpm.週が前+_xlpm.同週で上行)*$M$2:$M$301)))</f>
        <v/>
      </c>
    </row>
    <row r="151" spans="1:15" ht="15" customHeight="1" x14ac:dyDescent="0.25">
      <c r="A151" s="4" t="str">
        <f>IFERROR(INDEX(tbl_plan[ロットID],ROW()-1),"")</f>
        <v/>
      </c>
      <c r="B151" s="4" t="str">
        <f>IF($A151="","",INDEX(tbl_plan[localId],ROW()-1))</f>
        <v/>
      </c>
      <c r="C151" s="11" t="str">
        <f>IF($A151="","",INDEX(tbl_plan[出荷週],ROW()-1))</f>
        <v/>
      </c>
      <c r="D151" s="4" t="str">
        <f>IF($A151="","",INDEX(tbl_plan[納期先],ROW()-1)&amp;"")</f>
        <v/>
      </c>
      <c r="E151" s="8" t="str">
        <f>IF($A151="","",INDEX(tbl_plan[必要数],ROW()-1))</f>
        <v/>
      </c>
      <c r="F151" s="8" t="str">
        <f t="shared" si="6"/>
        <v/>
      </c>
      <c r="G151" s="8" t="str">
        <f>IF($A151="","",SUMIFS(tbl_ledger[数量],tbl_ledger[ロットID],$A151,tbl_ledger[イベント種類],"発送"))</f>
        <v/>
      </c>
      <c r="H151" s="8" t="str">
        <f>IF($A151="","",_xlfn.LET(
_xlpm.割当,F151,
_xlpm.充当受入,SUMIFS(tbl_ledger[数量],tbl_ledger[充当先ロットID],$A151,tbl_ledger[イベント種類],"充当"),
_xlpm.充当放出,SUMIFS(tbl_ledger[数量],tbl_ledger[ロットID],$A151,tbl_ledger[イベント種類],"充当"),
_xlpm.発送済,G151,
_xlpm.倉庫戻し,SUMIFS(tbl_ledger[数量],tbl_ledger[ロットID],$A151,tbl_ledger[イベント種類],"倉庫戻し"),
_xlpm.余剰化,SUMIFS(tbl_ledger[数量],tbl_ledger[ロットID],$A151,tbl_ledger[イベント種類],"余剰化"),
_xlpm.不良,SUMIFS(tbl_ledger[数量],tbl_ledger[ロットID],$A151,tbl_ledger[イベント種類],"不良発生"),
_xlpm.割当+_xlpm.充当受入-_xlpm.充当放出-_xlpm.発送済-_xlpm.倉庫戻し-_xlpm.余剰化-_xlpm.不良))</f>
        <v/>
      </c>
      <c r="I151" s="8" t="str">
        <f>IF($A151="","",_xlfn.LET(
_xlpm.品番プール,N151,
_xlpm.割当計,SUMIF($B$2:$B$301,$B151,$F$2:$F$301),
_xlpm.余剰化受入,SUMIFS(tbl_ledger[数量],tbl_ledger[localId],$B151,tbl_ledger[イベント種類],"余剰化"),
_xlpm.充当払出,SUMIFS(tbl_ledger[数量],tbl_ledger[localId],$B151,tbl_ledger[イベント種類],"充当",tbl_ledger[ロットID],"="),
_xlpm.品番プール-_xlpm.割当計+_xlpm.余剰化受入-_xlpm.充当払出))</f>
        <v/>
      </c>
      <c r="J151" s="8" t="str">
        <f t="shared" si="7"/>
        <v/>
      </c>
      <c r="K151" s="8" t="str">
        <f t="shared" si="8"/>
        <v/>
      </c>
      <c r="L151" s="4" t="str">
        <f>IF($A151="","",IF(INDEX(tbl_plan[計画状態],ROW()-1)="キャンセル","キャンセル",IF(J151=0,"発送済",IF(K151&gt;0,"要搬出","OK"))))</f>
        <v/>
      </c>
      <c r="M151" s="8">
        <f t="array" ref="M151">_xlfn.LET(
_xlpm.計画状態,IFERROR(INDEX(tbl_plan[計画状態],ROW()-1)&amp;"",""),
_xlpm.必要数,IFERROR(N(INDEX(tbl_plan[必要数],ROW()-1)),0),
IF(_xlpm.計画状態="キャンセル",0,_xlpm.必要数))</f>
        <v>0</v>
      </c>
      <c r="N151" s="8" t="str">
        <f>IF($A151="","",_xlfn.LET(
_xlpm.搬入計,SUMIFS(tbl_ledger[数量],tbl_ledger[localId],$B151,tbl_ledger[イベント種類],"搬入"),
_xlpm.未割当発送,SUMIFS(tbl_ledger[数量],tbl_ledger[localId],$B151,tbl_ledger[イベント種類],"発送",tbl_ledger[ロットID],"="),
_xlpm.未割当倉庫戻し,SUMIFS(tbl_ledger[数量],tbl_ledger[localId],$B151,tbl_ledger[イベント種類],"倉庫戻し",tbl_ledger[ロットID],"="),
_xlpm.未割当不良,SUMIFS(tbl_ledger[数量],tbl_ledger[localId],$B151,tbl_ledger[イベント種類],"不良発生",tbl_ledger[ロットID],"="),
_xlpm.搬入計-_xlpm.未割当発送-_xlpm.未割当倉庫戻し-_xlpm.未割当不良))</f>
        <v/>
      </c>
      <c r="O151" s="8" t="str">
        <f t="array" ref="O151">IF($A151="","",_xlfn.LET(
_xlpm.同品番,($B$2:$B$301=$B151),
_xlpm.週が前,($C$2:$C$301&lt;$C151),
_xlpm.同週で上行,($C$2:$C$301=$C151)*(ROW($C$2:$C$301)&lt;ROW()),
SUMPRODUCT(_xlpm.同品番*(_xlpm.週が前+_xlpm.同週で上行)*$M$2:$M$301)))</f>
        <v/>
      </c>
    </row>
    <row r="152" spans="1:15" ht="15" customHeight="1" x14ac:dyDescent="0.25">
      <c r="A152" s="4" t="str">
        <f>IFERROR(INDEX(tbl_plan[ロットID],ROW()-1),"")</f>
        <v/>
      </c>
      <c r="B152" s="4" t="str">
        <f>IF($A152="","",INDEX(tbl_plan[localId],ROW()-1))</f>
        <v/>
      </c>
      <c r="C152" s="11" t="str">
        <f>IF($A152="","",INDEX(tbl_plan[出荷週],ROW()-1))</f>
        <v/>
      </c>
      <c r="D152" s="4" t="str">
        <f>IF($A152="","",INDEX(tbl_plan[納期先],ROW()-1)&amp;"")</f>
        <v/>
      </c>
      <c r="E152" s="8" t="str">
        <f>IF($A152="","",INDEX(tbl_plan[必要数],ROW()-1))</f>
        <v/>
      </c>
      <c r="F152" s="8" t="str">
        <f t="shared" si="6"/>
        <v/>
      </c>
      <c r="G152" s="8" t="str">
        <f>IF($A152="","",SUMIFS(tbl_ledger[数量],tbl_ledger[ロットID],$A152,tbl_ledger[イベント種類],"発送"))</f>
        <v/>
      </c>
      <c r="H152" s="8" t="str">
        <f>IF($A152="","",_xlfn.LET(
_xlpm.割当,F152,
_xlpm.充当受入,SUMIFS(tbl_ledger[数量],tbl_ledger[充当先ロットID],$A152,tbl_ledger[イベント種類],"充当"),
_xlpm.充当放出,SUMIFS(tbl_ledger[数量],tbl_ledger[ロットID],$A152,tbl_ledger[イベント種類],"充当"),
_xlpm.発送済,G152,
_xlpm.倉庫戻し,SUMIFS(tbl_ledger[数量],tbl_ledger[ロットID],$A152,tbl_ledger[イベント種類],"倉庫戻し"),
_xlpm.余剰化,SUMIFS(tbl_ledger[数量],tbl_ledger[ロットID],$A152,tbl_ledger[イベント種類],"余剰化"),
_xlpm.不良,SUMIFS(tbl_ledger[数量],tbl_ledger[ロットID],$A152,tbl_ledger[イベント種類],"不良発生"),
_xlpm.割当+_xlpm.充当受入-_xlpm.充当放出-_xlpm.発送済-_xlpm.倉庫戻し-_xlpm.余剰化-_xlpm.不良))</f>
        <v/>
      </c>
      <c r="I152" s="8" t="str">
        <f>IF($A152="","",_xlfn.LET(
_xlpm.品番プール,N152,
_xlpm.割当計,SUMIF($B$2:$B$301,$B152,$F$2:$F$301),
_xlpm.余剰化受入,SUMIFS(tbl_ledger[数量],tbl_ledger[localId],$B152,tbl_ledger[イベント種類],"余剰化"),
_xlpm.充当払出,SUMIFS(tbl_ledger[数量],tbl_ledger[localId],$B152,tbl_ledger[イベント種類],"充当",tbl_ledger[ロットID],"="),
_xlpm.品番プール-_xlpm.割当計+_xlpm.余剰化受入-_xlpm.充当払出))</f>
        <v/>
      </c>
      <c r="J152" s="8" t="str">
        <f t="shared" si="7"/>
        <v/>
      </c>
      <c r="K152" s="8" t="str">
        <f t="shared" si="8"/>
        <v/>
      </c>
      <c r="L152" s="4" t="str">
        <f>IF($A152="","",IF(INDEX(tbl_plan[計画状態],ROW()-1)="キャンセル","キャンセル",IF(J152=0,"発送済",IF(K152&gt;0,"要搬出","OK"))))</f>
        <v/>
      </c>
      <c r="M152" s="8">
        <f t="array" ref="M152">_xlfn.LET(
_xlpm.計画状態,IFERROR(INDEX(tbl_plan[計画状態],ROW()-1)&amp;"",""),
_xlpm.必要数,IFERROR(N(INDEX(tbl_plan[必要数],ROW()-1)),0),
IF(_xlpm.計画状態="キャンセル",0,_xlpm.必要数))</f>
        <v>0</v>
      </c>
      <c r="N152" s="8" t="str">
        <f>IF($A152="","",_xlfn.LET(
_xlpm.搬入計,SUMIFS(tbl_ledger[数量],tbl_ledger[localId],$B152,tbl_ledger[イベント種類],"搬入"),
_xlpm.未割当発送,SUMIFS(tbl_ledger[数量],tbl_ledger[localId],$B152,tbl_ledger[イベント種類],"発送",tbl_ledger[ロットID],"="),
_xlpm.未割当倉庫戻し,SUMIFS(tbl_ledger[数量],tbl_ledger[localId],$B152,tbl_ledger[イベント種類],"倉庫戻し",tbl_ledger[ロットID],"="),
_xlpm.未割当不良,SUMIFS(tbl_ledger[数量],tbl_ledger[localId],$B152,tbl_ledger[イベント種類],"不良発生",tbl_ledger[ロットID],"="),
_xlpm.搬入計-_xlpm.未割当発送-_xlpm.未割当倉庫戻し-_xlpm.未割当不良))</f>
        <v/>
      </c>
      <c r="O152" s="8" t="str">
        <f t="array" ref="O152">IF($A152="","",_xlfn.LET(
_xlpm.同品番,($B$2:$B$301=$B152),
_xlpm.週が前,($C$2:$C$301&lt;$C152),
_xlpm.同週で上行,($C$2:$C$301=$C152)*(ROW($C$2:$C$301)&lt;ROW()),
SUMPRODUCT(_xlpm.同品番*(_xlpm.週が前+_xlpm.同週で上行)*$M$2:$M$301)))</f>
        <v/>
      </c>
    </row>
    <row r="153" spans="1:15" ht="15" customHeight="1" x14ac:dyDescent="0.25">
      <c r="A153" s="4" t="str">
        <f>IFERROR(INDEX(tbl_plan[ロットID],ROW()-1),"")</f>
        <v/>
      </c>
      <c r="B153" s="4" t="str">
        <f>IF($A153="","",INDEX(tbl_plan[localId],ROW()-1))</f>
        <v/>
      </c>
      <c r="C153" s="11" t="str">
        <f>IF($A153="","",INDEX(tbl_plan[出荷週],ROW()-1))</f>
        <v/>
      </c>
      <c r="D153" s="4" t="str">
        <f>IF($A153="","",INDEX(tbl_plan[納期先],ROW()-1)&amp;"")</f>
        <v/>
      </c>
      <c r="E153" s="8" t="str">
        <f>IF($A153="","",INDEX(tbl_plan[必要数],ROW()-1))</f>
        <v/>
      </c>
      <c r="F153" s="8" t="str">
        <f t="shared" si="6"/>
        <v/>
      </c>
      <c r="G153" s="8" t="str">
        <f>IF($A153="","",SUMIFS(tbl_ledger[数量],tbl_ledger[ロットID],$A153,tbl_ledger[イベント種類],"発送"))</f>
        <v/>
      </c>
      <c r="H153" s="8" t="str">
        <f>IF($A153="","",_xlfn.LET(
_xlpm.割当,F153,
_xlpm.充当受入,SUMIFS(tbl_ledger[数量],tbl_ledger[充当先ロットID],$A153,tbl_ledger[イベント種類],"充当"),
_xlpm.充当放出,SUMIFS(tbl_ledger[数量],tbl_ledger[ロットID],$A153,tbl_ledger[イベント種類],"充当"),
_xlpm.発送済,G153,
_xlpm.倉庫戻し,SUMIFS(tbl_ledger[数量],tbl_ledger[ロットID],$A153,tbl_ledger[イベント種類],"倉庫戻し"),
_xlpm.余剰化,SUMIFS(tbl_ledger[数量],tbl_ledger[ロットID],$A153,tbl_ledger[イベント種類],"余剰化"),
_xlpm.不良,SUMIFS(tbl_ledger[数量],tbl_ledger[ロットID],$A153,tbl_ledger[イベント種類],"不良発生"),
_xlpm.割当+_xlpm.充当受入-_xlpm.充当放出-_xlpm.発送済-_xlpm.倉庫戻し-_xlpm.余剰化-_xlpm.不良))</f>
        <v/>
      </c>
      <c r="I153" s="8" t="str">
        <f>IF($A153="","",_xlfn.LET(
_xlpm.品番プール,N153,
_xlpm.割当計,SUMIF($B$2:$B$301,$B153,$F$2:$F$301),
_xlpm.余剰化受入,SUMIFS(tbl_ledger[数量],tbl_ledger[localId],$B153,tbl_ledger[イベント種類],"余剰化"),
_xlpm.充当払出,SUMIFS(tbl_ledger[数量],tbl_ledger[localId],$B153,tbl_ledger[イベント種類],"充当",tbl_ledger[ロットID],"="),
_xlpm.品番プール-_xlpm.割当計+_xlpm.余剰化受入-_xlpm.充当払出))</f>
        <v/>
      </c>
      <c r="J153" s="8" t="str">
        <f t="shared" si="7"/>
        <v/>
      </c>
      <c r="K153" s="8" t="str">
        <f t="shared" si="8"/>
        <v/>
      </c>
      <c r="L153" s="4" t="str">
        <f>IF($A153="","",IF(INDEX(tbl_plan[計画状態],ROW()-1)="キャンセル","キャンセル",IF(J153=0,"発送済",IF(K153&gt;0,"要搬出","OK"))))</f>
        <v/>
      </c>
      <c r="M153" s="8">
        <f t="array" ref="M153">_xlfn.LET(
_xlpm.計画状態,IFERROR(INDEX(tbl_plan[計画状態],ROW()-1)&amp;"",""),
_xlpm.必要数,IFERROR(N(INDEX(tbl_plan[必要数],ROW()-1)),0),
IF(_xlpm.計画状態="キャンセル",0,_xlpm.必要数))</f>
        <v>0</v>
      </c>
      <c r="N153" s="8" t="str">
        <f>IF($A153="","",_xlfn.LET(
_xlpm.搬入計,SUMIFS(tbl_ledger[数量],tbl_ledger[localId],$B153,tbl_ledger[イベント種類],"搬入"),
_xlpm.未割当発送,SUMIFS(tbl_ledger[数量],tbl_ledger[localId],$B153,tbl_ledger[イベント種類],"発送",tbl_ledger[ロットID],"="),
_xlpm.未割当倉庫戻し,SUMIFS(tbl_ledger[数量],tbl_ledger[localId],$B153,tbl_ledger[イベント種類],"倉庫戻し",tbl_ledger[ロットID],"="),
_xlpm.未割当不良,SUMIFS(tbl_ledger[数量],tbl_ledger[localId],$B153,tbl_ledger[イベント種類],"不良発生",tbl_ledger[ロットID],"="),
_xlpm.搬入計-_xlpm.未割当発送-_xlpm.未割当倉庫戻し-_xlpm.未割当不良))</f>
        <v/>
      </c>
      <c r="O153" s="8" t="str">
        <f t="array" ref="O153">IF($A153="","",_xlfn.LET(
_xlpm.同品番,($B$2:$B$301=$B153),
_xlpm.週が前,($C$2:$C$301&lt;$C153),
_xlpm.同週で上行,($C$2:$C$301=$C153)*(ROW($C$2:$C$301)&lt;ROW()),
SUMPRODUCT(_xlpm.同品番*(_xlpm.週が前+_xlpm.同週で上行)*$M$2:$M$301)))</f>
        <v/>
      </c>
    </row>
    <row r="154" spans="1:15" ht="15" customHeight="1" x14ac:dyDescent="0.25">
      <c r="A154" s="4" t="str">
        <f>IFERROR(INDEX(tbl_plan[ロットID],ROW()-1),"")</f>
        <v/>
      </c>
      <c r="B154" s="4" t="str">
        <f>IF($A154="","",INDEX(tbl_plan[localId],ROW()-1))</f>
        <v/>
      </c>
      <c r="C154" s="11" t="str">
        <f>IF($A154="","",INDEX(tbl_plan[出荷週],ROW()-1))</f>
        <v/>
      </c>
      <c r="D154" s="4" t="str">
        <f>IF($A154="","",INDEX(tbl_plan[納期先],ROW()-1)&amp;"")</f>
        <v/>
      </c>
      <c r="E154" s="8" t="str">
        <f>IF($A154="","",INDEX(tbl_plan[必要数],ROW()-1))</f>
        <v/>
      </c>
      <c r="F154" s="8" t="str">
        <f t="shared" si="6"/>
        <v/>
      </c>
      <c r="G154" s="8" t="str">
        <f>IF($A154="","",SUMIFS(tbl_ledger[数量],tbl_ledger[ロットID],$A154,tbl_ledger[イベント種類],"発送"))</f>
        <v/>
      </c>
      <c r="H154" s="8" t="str">
        <f>IF($A154="","",_xlfn.LET(
_xlpm.割当,F154,
_xlpm.充当受入,SUMIFS(tbl_ledger[数量],tbl_ledger[充当先ロットID],$A154,tbl_ledger[イベント種類],"充当"),
_xlpm.充当放出,SUMIFS(tbl_ledger[数量],tbl_ledger[ロットID],$A154,tbl_ledger[イベント種類],"充当"),
_xlpm.発送済,G154,
_xlpm.倉庫戻し,SUMIFS(tbl_ledger[数量],tbl_ledger[ロットID],$A154,tbl_ledger[イベント種類],"倉庫戻し"),
_xlpm.余剰化,SUMIFS(tbl_ledger[数量],tbl_ledger[ロットID],$A154,tbl_ledger[イベント種類],"余剰化"),
_xlpm.不良,SUMIFS(tbl_ledger[数量],tbl_ledger[ロットID],$A154,tbl_ledger[イベント種類],"不良発生"),
_xlpm.割当+_xlpm.充当受入-_xlpm.充当放出-_xlpm.発送済-_xlpm.倉庫戻し-_xlpm.余剰化-_xlpm.不良))</f>
        <v/>
      </c>
      <c r="I154" s="8" t="str">
        <f>IF($A154="","",_xlfn.LET(
_xlpm.品番プール,N154,
_xlpm.割当計,SUMIF($B$2:$B$301,$B154,$F$2:$F$301),
_xlpm.余剰化受入,SUMIFS(tbl_ledger[数量],tbl_ledger[localId],$B154,tbl_ledger[イベント種類],"余剰化"),
_xlpm.充当払出,SUMIFS(tbl_ledger[数量],tbl_ledger[localId],$B154,tbl_ledger[イベント種類],"充当",tbl_ledger[ロットID],"="),
_xlpm.品番プール-_xlpm.割当計+_xlpm.余剰化受入-_xlpm.充当払出))</f>
        <v/>
      </c>
      <c r="J154" s="8" t="str">
        <f t="shared" si="7"/>
        <v/>
      </c>
      <c r="K154" s="8" t="str">
        <f t="shared" si="8"/>
        <v/>
      </c>
      <c r="L154" s="4" t="str">
        <f>IF($A154="","",IF(INDEX(tbl_plan[計画状態],ROW()-1)="キャンセル","キャンセル",IF(J154=0,"発送済",IF(K154&gt;0,"要搬出","OK"))))</f>
        <v/>
      </c>
      <c r="M154" s="8">
        <f t="array" ref="M154">_xlfn.LET(
_xlpm.計画状態,IFERROR(INDEX(tbl_plan[計画状態],ROW()-1)&amp;"",""),
_xlpm.必要数,IFERROR(N(INDEX(tbl_plan[必要数],ROW()-1)),0),
IF(_xlpm.計画状態="キャンセル",0,_xlpm.必要数))</f>
        <v>0</v>
      </c>
      <c r="N154" s="8" t="str">
        <f>IF($A154="","",_xlfn.LET(
_xlpm.搬入計,SUMIFS(tbl_ledger[数量],tbl_ledger[localId],$B154,tbl_ledger[イベント種類],"搬入"),
_xlpm.未割当発送,SUMIFS(tbl_ledger[数量],tbl_ledger[localId],$B154,tbl_ledger[イベント種類],"発送",tbl_ledger[ロットID],"="),
_xlpm.未割当倉庫戻し,SUMIFS(tbl_ledger[数量],tbl_ledger[localId],$B154,tbl_ledger[イベント種類],"倉庫戻し",tbl_ledger[ロットID],"="),
_xlpm.未割当不良,SUMIFS(tbl_ledger[数量],tbl_ledger[localId],$B154,tbl_ledger[イベント種類],"不良発生",tbl_ledger[ロットID],"="),
_xlpm.搬入計-_xlpm.未割当発送-_xlpm.未割当倉庫戻し-_xlpm.未割当不良))</f>
        <v/>
      </c>
      <c r="O154" s="8" t="str">
        <f t="array" ref="O154">IF($A154="","",_xlfn.LET(
_xlpm.同品番,($B$2:$B$301=$B154),
_xlpm.週が前,($C$2:$C$301&lt;$C154),
_xlpm.同週で上行,($C$2:$C$301=$C154)*(ROW($C$2:$C$301)&lt;ROW()),
SUMPRODUCT(_xlpm.同品番*(_xlpm.週が前+_xlpm.同週で上行)*$M$2:$M$301)))</f>
        <v/>
      </c>
    </row>
    <row r="155" spans="1:15" ht="15" customHeight="1" x14ac:dyDescent="0.25">
      <c r="A155" s="4" t="str">
        <f>IFERROR(INDEX(tbl_plan[ロットID],ROW()-1),"")</f>
        <v/>
      </c>
      <c r="B155" s="4" t="str">
        <f>IF($A155="","",INDEX(tbl_plan[localId],ROW()-1))</f>
        <v/>
      </c>
      <c r="C155" s="11" t="str">
        <f>IF($A155="","",INDEX(tbl_plan[出荷週],ROW()-1))</f>
        <v/>
      </c>
      <c r="D155" s="4" t="str">
        <f>IF($A155="","",INDEX(tbl_plan[納期先],ROW()-1)&amp;"")</f>
        <v/>
      </c>
      <c r="E155" s="8" t="str">
        <f>IF($A155="","",INDEX(tbl_plan[必要数],ROW()-1))</f>
        <v/>
      </c>
      <c r="F155" s="8" t="str">
        <f t="shared" si="6"/>
        <v/>
      </c>
      <c r="G155" s="8" t="str">
        <f>IF($A155="","",SUMIFS(tbl_ledger[数量],tbl_ledger[ロットID],$A155,tbl_ledger[イベント種類],"発送"))</f>
        <v/>
      </c>
      <c r="H155" s="8" t="str">
        <f>IF($A155="","",_xlfn.LET(
_xlpm.割当,F155,
_xlpm.充当受入,SUMIFS(tbl_ledger[数量],tbl_ledger[充当先ロットID],$A155,tbl_ledger[イベント種類],"充当"),
_xlpm.充当放出,SUMIFS(tbl_ledger[数量],tbl_ledger[ロットID],$A155,tbl_ledger[イベント種類],"充当"),
_xlpm.発送済,G155,
_xlpm.倉庫戻し,SUMIFS(tbl_ledger[数量],tbl_ledger[ロットID],$A155,tbl_ledger[イベント種類],"倉庫戻し"),
_xlpm.余剰化,SUMIFS(tbl_ledger[数量],tbl_ledger[ロットID],$A155,tbl_ledger[イベント種類],"余剰化"),
_xlpm.不良,SUMIFS(tbl_ledger[数量],tbl_ledger[ロットID],$A155,tbl_ledger[イベント種類],"不良発生"),
_xlpm.割当+_xlpm.充当受入-_xlpm.充当放出-_xlpm.発送済-_xlpm.倉庫戻し-_xlpm.余剰化-_xlpm.不良))</f>
        <v/>
      </c>
      <c r="I155" s="8" t="str">
        <f>IF($A155="","",_xlfn.LET(
_xlpm.品番プール,N155,
_xlpm.割当計,SUMIF($B$2:$B$301,$B155,$F$2:$F$301),
_xlpm.余剰化受入,SUMIFS(tbl_ledger[数量],tbl_ledger[localId],$B155,tbl_ledger[イベント種類],"余剰化"),
_xlpm.充当払出,SUMIFS(tbl_ledger[数量],tbl_ledger[localId],$B155,tbl_ledger[イベント種類],"充当",tbl_ledger[ロットID],"="),
_xlpm.品番プール-_xlpm.割当計+_xlpm.余剰化受入-_xlpm.充当払出))</f>
        <v/>
      </c>
      <c r="J155" s="8" t="str">
        <f t="shared" si="7"/>
        <v/>
      </c>
      <c r="K155" s="8" t="str">
        <f t="shared" si="8"/>
        <v/>
      </c>
      <c r="L155" s="4" t="str">
        <f>IF($A155="","",IF(INDEX(tbl_plan[計画状態],ROW()-1)="キャンセル","キャンセル",IF(J155=0,"発送済",IF(K155&gt;0,"要搬出","OK"))))</f>
        <v/>
      </c>
      <c r="M155" s="8">
        <f t="array" ref="M155">_xlfn.LET(
_xlpm.計画状態,IFERROR(INDEX(tbl_plan[計画状態],ROW()-1)&amp;"",""),
_xlpm.必要数,IFERROR(N(INDEX(tbl_plan[必要数],ROW()-1)),0),
IF(_xlpm.計画状態="キャンセル",0,_xlpm.必要数))</f>
        <v>0</v>
      </c>
      <c r="N155" s="8" t="str">
        <f>IF($A155="","",_xlfn.LET(
_xlpm.搬入計,SUMIFS(tbl_ledger[数量],tbl_ledger[localId],$B155,tbl_ledger[イベント種類],"搬入"),
_xlpm.未割当発送,SUMIFS(tbl_ledger[数量],tbl_ledger[localId],$B155,tbl_ledger[イベント種類],"発送",tbl_ledger[ロットID],"="),
_xlpm.未割当倉庫戻し,SUMIFS(tbl_ledger[数量],tbl_ledger[localId],$B155,tbl_ledger[イベント種類],"倉庫戻し",tbl_ledger[ロットID],"="),
_xlpm.未割当不良,SUMIFS(tbl_ledger[数量],tbl_ledger[localId],$B155,tbl_ledger[イベント種類],"不良発生",tbl_ledger[ロットID],"="),
_xlpm.搬入計-_xlpm.未割当発送-_xlpm.未割当倉庫戻し-_xlpm.未割当不良))</f>
        <v/>
      </c>
      <c r="O155" s="8" t="str">
        <f t="array" ref="O155">IF($A155="","",_xlfn.LET(
_xlpm.同品番,($B$2:$B$301=$B155),
_xlpm.週が前,($C$2:$C$301&lt;$C155),
_xlpm.同週で上行,($C$2:$C$301=$C155)*(ROW($C$2:$C$301)&lt;ROW()),
SUMPRODUCT(_xlpm.同品番*(_xlpm.週が前+_xlpm.同週で上行)*$M$2:$M$301)))</f>
        <v/>
      </c>
    </row>
    <row r="156" spans="1:15" ht="15" customHeight="1" x14ac:dyDescent="0.25">
      <c r="A156" s="4" t="str">
        <f>IFERROR(INDEX(tbl_plan[ロットID],ROW()-1),"")</f>
        <v/>
      </c>
      <c r="B156" s="4" t="str">
        <f>IF($A156="","",INDEX(tbl_plan[localId],ROW()-1))</f>
        <v/>
      </c>
      <c r="C156" s="11" t="str">
        <f>IF($A156="","",INDEX(tbl_plan[出荷週],ROW()-1))</f>
        <v/>
      </c>
      <c r="D156" s="4" t="str">
        <f>IF($A156="","",INDEX(tbl_plan[納期先],ROW()-1)&amp;"")</f>
        <v/>
      </c>
      <c r="E156" s="8" t="str">
        <f>IF($A156="","",INDEX(tbl_plan[必要数],ROW()-1))</f>
        <v/>
      </c>
      <c r="F156" s="8" t="str">
        <f t="shared" si="6"/>
        <v/>
      </c>
      <c r="G156" s="8" t="str">
        <f>IF($A156="","",SUMIFS(tbl_ledger[数量],tbl_ledger[ロットID],$A156,tbl_ledger[イベント種類],"発送"))</f>
        <v/>
      </c>
      <c r="H156" s="8" t="str">
        <f>IF($A156="","",_xlfn.LET(
_xlpm.割当,F156,
_xlpm.充当受入,SUMIFS(tbl_ledger[数量],tbl_ledger[充当先ロットID],$A156,tbl_ledger[イベント種類],"充当"),
_xlpm.充当放出,SUMIFS(tbl_ledger[数量],tbl_ledger[ロットID],$A156,tbl_ledger[イベント種類],"充当"),
_xlpm.発送済,G156,
_xlpm.倉庫戻し,SUMIFS(tbl_ledger[数量],tbl_ledger[ロットID],$A156,tbl_ledger[イベント種類],"倉庫戻し"),
_xlpm.余剰化,SUMIFS(tbl_ledger[数量],tbl_ledger[ロットID],$A156,tbl_ledger[イベント種類],"余剰化"),
_xlpm.不良,SUMIFS(tbl_ledger[数量],tbl_ledger[ロットID],$A156,tbl_ledger[イベント種類],"不良発生"),
_xlpm.割当+_xlpm.充当受入-_xlpm.充当放出-_xlpm.発送済-_xlpm.倉庫戻し-_xlpm.余剰化-_xlpm.不良))</f>
        <v/>
      </c>
      <c r="I156" s="8" t="str">
        <f>IF($A156="","",_xlfn.LET(
_xlpm.品番プール,N156,
_xlpm.割当計,SUMIF($B$2:$B$301,$B156,$F$2:$F$301),
_xlpm.余剰化受入,SUMIFS(tbl_ledger[数量],tbl_ledger[localId],$B156,tbl_ledger[イベント種類],"余剰化"),
_xlpm.充当払出,SUMIFS(tbl_ledger[数量],tbl_ledger[localId],$B156,tbl_ledger[イベント種類],"充当",tbl_ledger[ロットID],"="),
_xlpm.品番プール-_xlpm.割当計+_xlpm.余剰化受入-_xlpm.充当払出))</f>
        <v/>
      </c>
      <c r="J156" s="8" t="str">
        <f t="shared" si="7"/>
        <v/>
      </c>
      <c r="K156" s="8" t="str">
        <f t="shared" si="8"/>
        <v/>
      </c>
      <c r="L156" s="4" t="str">
        <f>IF($A156="","",IF(INDEX(tbl_plan[計画状態],ROW()-1)="キャンセル","キャンセル",IF(J156=0,"発送済",IF(K156&gt;0,"要搬出","OK"))))</f>
        <v/>
      </c>
      <c r="M156" s="8">
        <f t="array" ref="M156">_xlfn.LET(
_xlpm.計画状態,IFERROR(INDEX(tbl_plan[計画状態],ROW()-1)&amp;"",""),
_xlpm.必要数,IFERROR(N(INDEX(tbl_plan[必要数],ROW()-1)),0),
IF(_xlpm.計画状態="キャンセル",0,_xlpm.必要数))</f>
        <v>0</v>
      </c>
      <c r="N156" s="8" t="str">
        <f>IF($A156="","",_xlfn.LET(
_xlpm.搬入計,SUMIFS(tbl_ledger[数量],tbl_ledger[localId],$B156,tbl_ledger[イベント種類],"搬入"),
_xlpm.未割当発送,SUMIFS(tbl_ledger[数量],tbl_ledger[localId],$B156,tbl_ledger[イベント種類],"発送",tbl_ledger[ロットID],"="),
_xlpm.未割当倉庫戻し,SUMIFS(tbl_ledger[数量],tbl_ledger[localId],$B156,tbl_ledger[イベント種類],"倉庫戻し",tbl_ledger[ロットID],"="),
_xlpm.未割当不良,SUMIFS(tbl_ledger[数量],tbl_ledger[localId],$B156,tbl_ledger[イベント種類],"不良発生",tbl_ledger[ロットID],"="),
_xlpm.搬入計-_xlpm.未割当発送-_xlpm.未割当倉庫戻し-_xlpm.未割当不良))</f>
        <v/>
      </c>
      <c r="O156" s="8" t="str">
        <f t="array" ref="O156">IF($A156="","",_xlfn.LET(
_xlpm.同品番,($B$2:$B$301=$B156),
_xlpm.週が前,($C$2:$C$301&lt;$C156),
_xlpm.同週で上行,($C$2:$C$301=$C156)*(ROW($C$2:$C$301)&lt;ROW()),
SUMPRODUCT(_xlpm.同品番*(_xlpm.週が前+_xlpm.同週で上行)*$M$2:$M$301)))</f>
        <v/>
      </c>
    </row>
    <row r="157" spans="1:15" ht="15" customHeight="1" x14ac:dyDescent="0.25">
      <c r="A157" s="4" t="str">
        <f>IFERROR(INDEX(tbl_plan[ロットID],ROW()-1),"")</f>
        <v/>
      </c>
      <c r="B157" s="4" t="str">
        <f>IF($A157="","",INDEX(tbl_plan[localId],ROW()-1))</f>
        <v/>
      </c>
      <c r="C157" s="11" t="str">
        <f>IF($A157="","",INDEX(tbl_plan[出荷週],ROW()-1))</f>
        <v/>
      </c>
      <c r="D157" s="4" t="str">
        <f>IF($A157="","",INDEX(tbl_plan[納期先],ROW()-1)&amp;"")</f>
        <v/>
      </c>
      <c r="E157" s="8" t="str">
        <f>IF($A157="","",INDEX(tbl_plan[必要数],ROW()-1))</f>
        <v/>
      </c>
      <c r="F157" s="8" t="str">
        <f t="shared" si="6"/>
        <v/>
      </c>
      <c r="G157" s="8" t="str">
        <f>IF($A157="","",SUMIFS(tbl_ledger[数量],tbl_ledger[ロットID],$A157,tbl_ledger[イベント種類],"発送"))</f>
        <v/>
      </c>
      <c r="H157" s="8" t="str">
        <f>IF($A157="","",_xlfn.LET(
_xlpm.割当,F157,
_xlpm.充当受入,SUMIFS(tbl_ledger[数量],tbl_ledger[充当先ロットID],$A157,tbl_ledger[イベント種類],"充当"),
_xlpm.充当放出,SUMIFS(tbl_ledger[数量],tbl_ledger[ロットID],$A157,tbl_ledger[イベント種類],"充当"),
_xlpm.発送済,G157,
_xlpm.倉庫戻し,SUMIFS(tbl_ledger[数量],tbl_ledger[ロットID],$A157,tbl_ledger[イベント種類],"倉庫戻し"),
_xlpm.余剰化,SUMIFS(tbl_ledger[数量],tbl_ledger[ロットID],$A157,tbl_ledger[イベント種類],"余剰化"),
_xlpm.不良,SUMIFS(tbl_ledger[数量],tbl_ledger[ロットID],$A157,tbl_ledger[イベント種類],"不良発生"),
_xlpm.割当+_xlpm.充当受入-_xlpm.充当放出-_xlpm.発送済-_xlpm.倉庫戻し-_xlpm.余剰化-_xlpm.不良))</f>
        <v/>
      </c>
      <c r="I157" s="8" t="str">
        <f>IF($A157="","",_xlfn.LET(
_xlpm.品番プール,N157,
_xlpm.割当計,SUMIF($B$2:$B$301,$B157,$F$2:$F$301),
_xlpm.余剰化受入,SUMIFS(tbl_ledger[数量],tbl_ledger[localId],$B157,tbl_ledger[イベント種類],"余剰化"),
_xlpm.充当払出,SUMIFS(tbl_ledger[数量],tbl_ledger[localId],$B157,tbl_ledger[イベント種類],"充当",tbl_ledger[ロットID],"="),
_xlpm.品番プール-_xlpm.割当計+_xlpm.余剰化受入-_xlpm.充当払出))</f>
        <v/>
      </c>
      <c r="J157" s="8" t="str">
        <f t="shared" si="7"/>
        <v/>
      </c>
      <c r="K157" s="8" t="str">
        <f t="shared" si="8"/>
        <v/>
      </c>
      <c r="L157" s="4" t="str">
        <f>IF($A157="","",IF(INDEX(tbl_plan[計画状態],ROW()-1)="キャンセル","キャンセル",IF(J157=0,"発送済",IF(K157&gt;0,"要搬出","OK"))))</f>
        <v/>
      </c>
      <c r="M157" s="8">
        <f t="array" ref="M157">_xlfn.LET(
_xlpm.計画状態,IFERROR(INDEX(tbl_plan[計画状態],ROW()-1)&amp;"",""),
_xlpm.必要数,IFERROR(N(INDEX(tbl_plan[必要数],ROW()-1)),0),
IF(_xlpm.計画状態="キャンセル",0,_xlpm.必要数))</f>
        <v>0</v>
      </c>
      <c r="N157" s="8" t="str">
        <f>IF($A157="","",_xlfn.LET(
_xlpm.搬入計,SUMIFS(tbl_ledger[数量],tbl_ledger[localId],$B157,tbl_ledger[イベント種類],"搬入"),
_xlpm.未割当発送,SUMIFS(tbl_ledger[数量],tbl_ledger[localId],$B157,tbl_ledger[イベント種類],"発送",tbl_ledger[ロットID],"="),
_xlpm.未割当倉庫戻し,SUMIFS(tbl_ledger[数量],tbl_ledger[localId],$B157,tbl_ledger[イベント種類],"倉庫戻し",tbl_ledger[ロットID],"="),
_xlpm.未割当不良,SUMIFS(tbl_ledger[数量],tbl_ledger[localId],$B157,tbl_ledger[イベント種類],"不良発生",tbl_ledger[ロットID],"="),
_xlpm.搬入計-_xlpm.未割当発送-_xlpm.未割当倉庫戻し-_xlpm.未割当不良))</f>
        <v/>
      </c>
      <c r="O157" s="8" t="str">
        <f t="array" ref="O157">IF($A157="","",_xlfn.LET(
_xlpm.同品番,($B$2:$B$301=$B157),
_xlpm.週が前,($C$2:$C$301&lt;$C157),
_xlpm.同週で上行,($C$2:$C$301=$C157)*(ROW($C$2:$C$301)&lt;ROW()),
SUMPRODUCT(_xlpm.同品番*(_xlpm.週が前+_xlpm.同週で上行)*$M$2:$M$301)))</f>
        <v/>
      </c>
    </row>
    <row r="158" spans="1:15" ht="15" customHeight="1" x14ac:dyDescent="0.25">
      <c r="A158" s="4" t="str">
        <f>IFERROR(INDEX(tbl_plan[ロットID],ROW()-1),"")</f>
        <v/>
      </c>
      <c r="B158" s="4" t="str">
        <f>IF($A158="","",INDEX(tbl_plan[localId],ROW()-1))</f>
        <v/>
      </c>
      <c r="C158" s="11" t="str">
        <f>IF($A158="","",INDEX(tbl_plan[出荷週],ROW()-1))</f>
        <v/>
      </c>
      <c r="D158" s="4" t="str">
        <f>IF($A158="","",INDEX(tbl_plan[納期先],ROW()-1)&amp;"")</f>
        <v/>
      </c>
      <c r="E158" s="8" t="str">
        <f>IF($A158="","",INDEX(tbl_plan[必要数],ROW()-1))</f>
        <v/>
      </c>
      <c r="F158" s="8" t="str">
        <f t="shared" si="6"/>
        <v/>
      </c>
      <c r="G158" s="8" t="str">
        <f>IF($A158="","",SUMIFS(tbl_ledger[数量],tbl_ledger[ロットID],$A158,tbl_ledger[イベント種類],"発送"))</f>
        <v/>
      </c>
      <c r="H158" s="8" t="str">
        <f>IF($A158="","",_xlfn.LET(
_xlpm.割当,F158,
_xlpm.充当受入,SUMIFS(tbl_ledger[数量],tbl_ledger[充当先ロットID],$A158,tbl_ledger[イベント種類],"充当"),
_xlpm.充当放出,SUMIFS(tbl_ledger[数量],tbl_ledger[ロットID],$A158,tbl_ledger[イベント種類],"充当"),
_xlpm.発送済,G158,
_xlpm.倉庫戻し,SUMIFS(tbl_ledger[数量],tbl_ledger[ロットID],$A158,tbl_ledger[イベント種類],"倉庫戻し"),
_xlpm.余剰化,SUMIFS(tbl_ledger[数量],tbl_ledger[ロットID],$A158,tbl_ledger[イベント種類],"余剰化"),
_xlpm.不良,SUMIFS(tbl_ledger[数量],tbl_ledger[ロットID],$A158,tbl_ledger[イベント種類],"不良発生"),
_xlpm.割当+_xlpm.充当受入-_xlpm.充当放出-_xlpm.発送済-_xlpm.倉庫戻し-_xlpm.余剰化-_xlpm.不良))</f>
        <v/>
      </c>
      <c r="I158" s="8" t="str">
        <f>IF($A158="","",_xlfn.LET(
_xlpm.品番プール,N158,
_xlpm.割当計,SUMIF($B$2:$B$301,$B158,$F$2:$F$301),
_xlpm.余剰化受入,SUMIFS(tbl_ledger[数量],tbl_ledger[localId],$B158,tbl_ledger[イベント種類],"余剰化"),
_xlpm.充当払出,SUMIFS(tbl_ledger[数量],tbl_ledger[localId],$B158,tbl_ledger[イベント種類],"充当",tbl_ledger[ロットID],"="),
_xlpm.品番プール-_xlpm.割当計+_xlpm.余剰化受入-_xlpm.充当払出))</f>
        <v/>
      </c>
      <c r="J158" s="8" t="str">
        <f t="shared" si="7"/>
        <v/>
      </c>
      <c r="K158" s="8" t="str">
        <f t="shared" si="8"/>
        <v/>
      </c>
      <c r="L158" s="4" t="str">
        <f>IF($A158="","",IF(INDEX(tbl_plan[計画状態],ROW()-1)="キャンセル","キャンセル",IF(J158=0,"発送済",IF(K158&gt;0,"要搬出","OK"))))</f>
        <v/>
      </c>
      <c r="M158" s="8">
        <f t="array" ref="M158">_xlfn.LET(
_xlpm.計画状態,IFERROR(INDEX(tbl_plan[計画状態],ROW()-1)&amp;"",""),
_xlpm.必要数,IFERROR(N(INDEX(tbl_plan[必要数],ROW()-1)),0),
IF(_xlpm.計画状態="キャンセル",0,_xlpm.必要数))</f>
        <v>0</v>
      </c>
      <c r="N158" s="8" t="str">
        <f>IF($A158="","",_xlfn.LET(
_xlpm.搬入計,SUMIFS(tbl_ledger[数量],tbl_ledger[localId],$B158,tbl_ledger[イベント種類],"搬入"),
_xlpm.未割当発送,SUMIFS(tbl_ledger[数量],tbl_ledger[localId],$B158,tbl_ledger[イベント種類],"発送",tbl_ledger[ロットID],"="),
_xlpm.未割当倉庫戻し,SUMIFS(tbl_ledger[数量],tbl_ledger[localId],$B158,tbl_ledger[イベント種類],"倉庫戻し",tbl_ledger[ロットID],"="),
_xlpm.未割当不良,SUMIFS(tbl_ledger[数量],tbl_ledger[localId],$B158,tbl_ledger[イベント種類],"不良発生",tbl_ledger[ロットID],"="),
_xlpm.搬入計-_xlpm.未割当発送-_xlpm.未割当倉庫戻し-_xlpm.未割当不良))</f>
        <v/>
      </c>
      <c r="O158" s="8" t="str">
        <f t="array" ref="O158">IF($A158="","",_xlfn.LET(
_xlpm.同品番,($B$2:$B$301=$B158),
_xlpm.週が前,($C$2:$C$301&lt;$C158),
_xlpm.同週で上行,($C$2:$C$301=$C158)*(ROW($C$2:$C$301)&lt;ROW()),
SUMPRODUCT(_xlpm.同品番*(_xlpm.週が前+_xlpm.同週で上行)*$M$2:$M$301)))</f>
        <v/>
      </c>
    </row>
    <row r="159" spans="1:15" ht="15" customHeight="1" x14ac:dyDescent="0.25">
      <c r="A159" s="4" t="str">
        <f>IFERROR(INDEX(tbl_plan[ロットID],ROW()-1),"")</f>
        <v/>
      </c>
      <c r="B159" s="4" t="str">
        <f>IF($A159="","",INDEX(tbl_plan[localId],ROW()-1))</f>
        <v/>
      </c>
      <c r="C159" s="11" t="str">
        <f>IF($A159="","",INDEX(tbl_plan[出荷週],ROW()-1))</f>
        <v/>
      </c>
      <c r="D159" s="4" t="str">
        <f>IF($A159="","",INDEX(tbl_plan[納期先],ROW()-1)&amp;"")</f>
        <v/>
      </c>
      <c r="E159" s="8" t="str">
        <f>IF($A159="","",INDEX(tbl_plan[必要数],ROW()-1))</f>
        <v/>
      </c>
      <c r="F159" s="8" t="str">
        <f t="shared" si="6"/>
        <v/>
      </c>
      <c r="G159" s="8" t="str">
        <f>IF($A159="","",SUMIFS(tbl_ledger[数量],tbl_ledger[ロットID],$A159,tbl_ledger[イベント種類],"発送"))</f>
        <v/>
      </c>
      <c r="H159" s="8" t="str">
        <f>IF($A159="","",_xlfn.LET(
_xlpm.割当,F159,
_xlpm.充当受入,SUMIFS(tbl_ledger[数量],tbl_ledger[充当先ロットID],$A159,tbl_ledger[イベント種類],"充当"),
_xlpm.充当放出,SUMIFS(tbl_ledger[数量],tbl_ledger[ロットID],$A159,tbl_ledger[イベント種類],"充当"),
_xlpm.発送済,G159,
_xlpm.倉庫戻し,SUMIFS(tbl_ledger[数量],tbl_ledger[ロットID],$A159,tbl_ledger[イベント種類],"倉庫戻し"),
_xlpm.余剰化,SUMIFS(tbl_ledger[数量],tbl_ledger[ロットID],$A159,tbl_ledger[イベント種類],"余剰化"),
_xlpm.不良,SUMIFS(tbl_ledger[数量],tbl_ledger[ロットID],$A159,tbl_ledger[イベント種類],"不良発生"),
_xlpm.割当+_xlpm.充当受入-_xlpm.充当放出-_xlpm.発送済-_xlpm.倉庫戻し-_xlpm.余剰化-_xlpm.不良))</f>
        <v/>
      </c>
      <c r="I159" s="8" t="str">
        <f>IF($A159="","",_xlfn.LET(
_xlpm.品番プール,N159,
_xlpm.割当計,SUMIF($B$2:$B$301,$B159,$F$2:$F$301),
_xlpm.余剰化受入,SUMIFS(tbl_ledger[数量],tbl_ledger[localId],$B159,tbl_ledger[イベント種類],"余剰化"),
_xlpm.充当払出,SUMIFS(tbl_ledger[数量],tbl_ledger[localId],$B159,tbl_ledger[イベント種類],"充当",tbl_ledger[ロットID],"="),
_xlpm.品番プール-_xlpm.割当計+_xlpm.余剰化受入-_xlpm.充当払出))</f>
        <v/>
      </c>
      <c r="J159" s="8" t="str">
        <f t="shared" si="7"/>
        <v/>
      </c>
      <c r="K159" s="8" t="str">
        <f t="shared" si="8"/>
        <v/>
      </c>
      <c r="L159" s="4" t="str">
        <f>IF($A159="","",IF(INDEX(tbl_plan[計画状態],ROW()-1)="キャンセル","キャンセル",IF(J159=0,"発送済",IF(K159&gt;0,"要搬出","OK"))))</f>
        <v/>
      </c>
      <c r="M159" s="8">
        <f t="array" ref="M159">_xlfn.LET(
_xlpm.計画状態,IFERROR(INDEX(tbl_plan[計画状態],ROW()-1)&amp;"",""),
_xlpm.必要数,IFERROR(N(INDEX(tbl_plan[必要数],ROW()-1)),0),
IF(_xlpm.計画状態="キャンセル",0,_xlpm.必要数))</f>
        <v>0</v>
      </c>
      <c r="N159" s="8" t="str">
        <f>IF($A159="","",_xlfn.LET(
_xlpm.搬入計,SUMIFS(tbl_ledger[数量],tbl_ledger[localId],$B159,tbl_ledger[イベント種類],"搬入"),
_xlpm.未割当発送,SUMIFS(tbl_ledger[数量],tbl_ledger[localId],$B159,tbl_ledger[イベント種類],"発送",tbl_ledger[ロットID],"="),
_xlpm.未割当倉庫戻し,SUMIFS(tbl_ledger[数量],tbl_ledger[localId],$B159,tbl_ledger[イベント種類],"倉庫戻し",tbl_ledger[ロットID],"="),
_xlpm.未割当不良,SUMIFS(tbl_ledger[数量],tbl_ledger[localId],$B159,tbl_ledger[イベント種類],"不良発生",tbl_ledger[ロットID],"="),
_xlpm.搬入計-_xlpm.未割当発送-_xlpm.未割当倉庫戻し-_xlpm.未割当不良))</f>
        <v/>
      </c>
      <c r="O159" s="8" t="str">
        <f t="array" ref="O159">IF($A159="","",_xlfn.LET(
_xlpm.同品番,($B$2:$B$301=$B159),
_xlpm.週が前,($C$2:$C$301&lt;$C159),
_xlpm.同週で上行,($C$2:$C$301=$C159)*(ROW($C$2:$C$301)&lt;ROW()),
SUMPRODUCT(_xlpm.同品番*(_xlpm.週が前+_xlpm.同週で上行)*$M$2:$M$301)))</f>
        <v/>
      </c>
    </row>
    <row r="160" spans="1:15" ht="15" customHeight="1" x14ac:dyDescent="0.25">
      <c r="A160" s="4" t="str">
        <f>IFERROR(INDEX(tbl_plan[ロットID],ROW()-1),"")</f>
        <v/>
      </c>
      <c r="B160" s="4" t="str">
        <f>IF($A160="","",INDEX(tbl_plan[localId],ROW()-1))</f>
        <v/>
      </c>
      <c r="C160" s="11" t="str">
        <f>IF($A160="","",INDEX(tbl_plan[出荷週],ROW()-1))</f>
        <v/>
      </c>
      <c r="D160" s="4" t="str">
        <f>IF($A160="","",INDEX(tbl_plan[納期先],ROW()-1)&amp;"")</f>
        <v/>
      </c>
      <c r="E160" s="8" t="str">
        <f>IF($A160="","",INDEX(tbl_plan[必要数],ROW()-1))</f>
        <v/>
      </c>
      <c r="F160" s="8" t="str">
        <f t="shared" si="6"/>
        <v/>
      </c>
      <c r="G160" s="8" t="str">
        <f>IF($A160="","",SUMIFS(tbl_ledger[数量],tbl_ledger[ロットID],$A160,tbl_ledger[イベント種類],"発送"))</f>
        <v/>
      </c>
      <c r="H160" s="8" t="str">
        <f>IF($A160="","",_xlfn.LET(
_xlpm.割当,F160,
_xlpm.充当受入,SUMIFS(tbl_ledger[数量],tbl_ledger[充当先ロットID],$A160,tbl_ledger[イベント種類],"充当"),
_xlpm.充当放出,SUMIFS(tbl_ledger[数量],tbl_ledger[ロットID],$A160,tbl_ledger[イベント種類],"充当"),
_xlpm.発送済,G160,
_xlpm.倉庫戻し,SUMIFS(tbl_ledger[数量],tbl_ledger[ロットID],$A160,tbl_ledger[イベント種類],"倉庫戻し"),
_xlpm.余剰化,SUMIFS(tbl_ledger[数量],tbl_ledger[ロットID],$A160,tbl_ledger[イベント種類],"余剰化"),
_xlpm.不良,SUMIFS(tbl_ledger[数量],tbl_ledger[ロットID],$A160,tbl_ledger[イベント種類],"不良発生"),
_xlpm.割当+_xlpm.充当受入-_xlpm.充当放出-_xlpm.発送済-_xlpm.倉庫戻し-_xlpm.余剰化-_xlpm.不良))</f>
        <v/>
      </c>
      <c r="I160" s="8" t="str">
        <f>IF($A160="","",_xlfn.LET(
_xlpm.品番プール,N160,
_xlpm.割当計,SUMIF($B$2:$B$301,$B160,$F$2:$F$301),
_xlpm.余剰化受入,SUMIFS(tbl_ledger[数量],tbl_ledger[localId],$B160,tbl_ledger[イベント種類],"余剰化"),
_xlpm.充当払出,SUMIFS(tbl_ledger[数量],tbl_ledger[localId],$B160,tbl_ledger[イベント種類],"充当",tbl_ledger[ロットID],"="),
_xlpm.品番プール-_xlpm.割当計+_xlpm.余剰化受入-_xlpm.充当払出))</f>
        <v/>
      </c>
      <c r="J160" s="8" t="str">
        <f t="shared" si="7"/>
        <v/>
      </c>
      <c r="K160" s="8" t="str">
        <f t="shared" si="8"/>
        <v/>
      </c>
      <c r="L160" s="4" t="str">
        <f>IF($A160="","",IF(INDEX(tbl_plan[計画状態],ROW()-1)="キャンセル","キャンセル",IF(J160=0,"発送済",IF(K160&gt;0,"要搬出","OK"))))</f>
        <v/>
      </c>
      <c r="M160" s="8">
        <f t="array" ref="M160">_xlfn.LET(
_xlpm.計画状態,IFERROR(INDEX(tbl_plan[計画状態],ROW()-1)&amp;"",""),
_xlpm.必要数,IFERROR(N(INDEX(tbl_plan[必要数],ROW()-1)),0),
IF(_xlpm.計画状態="キャンセル",0,_xlpm.必要数))</f>
        <v>0</v>
      </c>
      <c r="N160" s="8" t="str">
        <f>IF($A160="","",_xlfn.LET(
_xlpm.搬入計,SUMIFS(tbl_ledger[数量],tbl_ledger[localId],$B160,tbl_ledger[イベント種類],"搬入"),
_xlpm.未割当発送,SUMIFS(tbl_ledger[数量],tbl_ledger[localId],$B160,tbl_ledger[イベント種類],"発送",tbl_ledger[ロットID],"="),
_xlpm.未割当倉庫戻し,SUMIFS(tbl_ledger[数量],tbl_ledger[localId],$B160,tbl_ledger[イベント種類],"倉庫戻し",tbl_ledger[ロットID],"="),
_xlpm.未割当不良,SUMIFS(tbl_ledger[数量],tbl_ledger[localId],$B160,tbl_ledger[イベント種類],"不良発生",tbl_ledger[ロットID],"="),
_xlpm.搬入計-_xlpm.未割当発送-_xlpm.未割当倉庫戻し-_xlpm.未割当不良))</f>
        <v/>
      </c>
      <c r="O160" s="8" t="str">
        <f t="array" ref="O160">IF($A160="","",_xlfn.LET(
_xlpm.同品番,($B$2:$B$301=$B160),
_xlpm.週が前,($C$2:$C$301&lt;$C160),
_xlpm.同週で上行,($C$2:$C$301=$C160)*(ROW($C$2:$C$301)&lt;ROW()),
SUMPRODUCT(_xlpm.同品番*(_xlpm.週が前+_xlpm.同週で上行)*$M$2:$M$301)))</f>
        <v/>
      </c>
    </row>
    <row r="161" spans="1:15" ht="15" customHeight="1" x14ac:dyDescent="0.25">
      <c r="A161" s="4" t="str">
        <f>IFERROR(INDEX(tbl_plan[ロットID],ROW()-1),"")</f>
        <v/>
      </c>
      <c r="B161" s="4" t="str">
        <f>IF($A161="","",INDEX(tbl_plan[localId],ROW()-1))</f>
        <v/>
      </c>
      <c r="C161" s="11" t="str">
        <f>IF($A161="","",INDEX(tbl_plan[出荷週],ROW()-1))</f>
        <v/>
      </c>
      <c r="D161" s="4" t="str">
        <f>IF($A161="","",INDEX(tbl_plan[納期先],ROW()-1)&amp;"")</f>
        <v/>
      </c>
      <c r="E161" s="8" t="str">
        <f>IF($A161="","",INDEX(tbl_plan[必要数],ROW()-1))</f>
        <v/>
      </c>
      <c r="F161" s="8" t="str">
        <f t="shared" si="6"/>
        <v/>
      </c>
      <c r="G161" s="8" t="str">
        <f>IF($A161="","",SUMIFS(tbl_ledger[数量],tbl_ledger[ロットID],$A161,tbl_ledger[イベント種類],"発送"))</f>
        <v/>
      </c>
      <c r="H161" s="8" t="str">
        <f>IF($A161="","",_xlfn.LET(
_xlpm.割当,F161,
_xlpm.充当受入,SUMIFS(tbl_ledger[数量],tbl_ledger[充当先ロットID],$A161,tbl_ledger[イベント種類],"充当"),
_xlpm.充当放出,SUMIFS(tbl_ledger[数量],tbl_ledger[ロットID],$A161,tbl_ledger[イベント種類],"充当"),
_xlpm.発送済,G161,
_xlpm.倉庫戻し,SUMIFS(tbl_ledger[数量],tbl_ledger[ロットID],$A161,tbl_ledger[イベント種類],"倉庫戻し"),
_xlpm.余剰化,SUMIFS(tbl_ledger[数量],tbl_ledger[ロットID],$A161,tbl_ledger[イベント種類],"余剰化"),
_xlpm.不良,SUMIFS(tbl_ledger[数量],tbl_ledger[ロットID],$A161,tbl_ledger[イベント種類],"不良発生"),
_xlpm.割当+_xlpm.充当受入-_xlpm.充当放出-_xlpm.発送済-_xlpm.倉庫戻し-_xlpm.余剰化-_xlpm.不良))</f>
        <v/>
      </c>
      <c r="I161" s="8" t="str">
        <f>IF($A161="","",_xlfn.LET(
_xlpm.品番プール,N161,
_xlpm.割当計,SUMIF($B$2:$B$301,$B161,$F$2:$F$301),
_xlpm.余剰化受入,SUMIFS(tbl_ledger[数量],tbl_ledger[localId],$B161,tbl_ledger[イベント種類],"余剰化"),
_xlpm.充当払出,SUMIFS(tbl_ledger[数量],tbl_ledger[localId],$B161,tbl_ledger[イベント種類],"充当",tbl_ledger[ロットID],"="),
_xlpm.品番プール-_xlpm.割当計+_xlpm.余剰化受入-_xlpm.充当払出))</f>
        <v/>
      </c>
      <c r="J161" s="8" t="str">
        <f t="shared" si="7"/>
        <v/>
      </c>
      <c r="K161" s="8" t="str">
        <f t="shared" si="8"/>
        <v/>
      </c>
      <c r="L161" s="4" t="str">
        <f>IF($A161="","",IF(INDEX(tbl_plan[計画状態],ROW()-1)="キャンセル","キャンセル",IF(J161=0,"発送済",IF(K161&gt;0,"要搬出","OK"))))</f>
        <v/>
      </c>
      <c r="M161" s="8">
        <f t="array" ref="M161">_xlfn.LET(
_xlpm.計画状態,IFERROR(INDEX(tbl_plan[計画状態],ROW()-1)&amp;"",""),
_xlpm.必要数,IFERROR(N(INDEX(tbl_plan[必要数],ROW()-1)),0),
IF(_xlpm.計画状態="キャンセル",0,_xlpm.必要数))</f>
        <v>0</v>
      </c>
      <c r="N161" s="8" t="str">
        <f>IF($A161="","",_xlfn.LET(
_xlpm.搬入計,SUMIFS(tbl_ledger[数量],tbl_ledger[localId],$B161,tbl_ledger[イベント種類],"搬入"),
_xlpm.未割当発送,SUMIFS(tbl_ledger[数量],tbl_ledger[localId],$B161,tbl_ledger[イベント種類],"発送",tbl_ledger[ロットID],"="),
_xlpm.未割当倉庫戻し,SUMIFS(tbl_ledger[数量],tbl_ledger[localId],$B161,tbl_ledger[イベント種類],"倉庫戻し",tbl_ledger[ロットID],"="),
_xlpm.未割当不良,SUMIFS(tbl_ledger[数量],tbl_ledger[localId],$B161,tbl_ledger[イベント種類],"不良発生",tbl_ledger[ロットID],"="),
_xlpm.搬入計-_xlpm.未割当発送-_xlpm.未割当倉庫戻し-_xlpm.未割当不良))</f>
        <v/>
      </c>
      <c r="O161" s="8" t="str">
        <f t="array" ref="O161">IF($A161="","",_xlfn.LET(
_xlpm.同品番,($B$2:$B$301=$B161),
_xlpm.週が前,($C$2:$C$301&lt;$C161),
_xlpm.同週で上行,($C$2:$C$301=$C161)*(ROW($C$2:$C$301)&lt;ROW()),
SUMPRODUCT(_xlpm.同品番*(_xlpm.週が前+_xlpm.同週で上行)*$M$2:$M$301)))</f>
        <v/>
      </c>
    </row>
    <row r="162" spans="1:15" ht="15" customHeight="1" x14ac:dyDescent="0.25">
      <c r="A162" s="4" t="str">
        <f>IFERROR(INDEX(tbl_plan[ロットID],ROW()-1),"")</f>
        <v/>
      </c>
      <c r="B162" s="4" t="str">
        <f>IF($A162="","",INDEX(tbl_plan[localId],ROW()-1))</f>
        <v/>
      </c>
      <c r="C162" s="11" t="str">
        <f>IF($A162="","",INDEX(tbl_plan[出荷週],ROW()-1))</f>
        <v/>
      </c>
      <c r="D162" s="4" t="str">
        <f>IF($A162="","",INDEX(tbl_plan[納期先],ROW()-1)&amp;"")</f>
        <v/>
      </c>
      <c r="E162" s="8" t="str">
        <f>IF($A162="","",INDEX(tbl_plan[必要数],ROW()-1))</f>
        <v/>
      </c>
      <c r="F162" s="8" t="str">
        <f t="shared" si="6"/>
        <v/>
      </c>
      <c r="G162" s="8" t="str">
        <f>IF($A162="","",SUMIFS(tbl_ledger[数量],tbl_ledger[ロットID],$A162,tbl_ledger[イベント種類],"発送"))</f>
        <v/>
      </c>
      <c r="H162" s="8" t="str">
        <f>IF($A162="","",_xlfn.LET(
_xlpm.割当,F162,
_xlpm.充当受入,SUMIFS(tbl_ledger[数量],tbl_ledger[充当先ロットID],$A162,tbl_ledger[イベント種類],"充当"),
_xlpm.充当放出,SUMIFS(tbl_ledger[数量],tbl_ledger[ロットID],$A162,tbl_ledger[イベント種類],"充当"),
_xlpm.発送済,G162,
_xlpm.倉庫戻し,SUMIFS(tbl_ledger[数量],tbl_ledger[ロットID],$A162,tbl_ledger[イベント種類],"倉庫戻し"),
_xlpm.余剰化,SUMIFS(tbl_ledger[数量],tbl_ledger[ロットID],$A162,tbl_ledger[イベント種類],"余剰化"),
_xlpm.不良,SUMIFS(tbl_ledger[数量],tbl_ledger[ロットID],$A162,tbl_ledger[イベント種類],"不良発生"),
_xlpm.割当+_xlpm.充当受入-_xlpm.充当放出-_xlpm.発送済-_xlpm.倉庫戻し-_xlpm.余剰化-_xlpm.不良))</f>
        <v/>
      </c>
      <c r="I162" s="8" t="str">
        <f>IF($A162="","",_xlfn.LET(
_xlpm.品番プール,N162,
_xlpm.割当計,SUMIF($B$2:$B$301,$B162,$F$2:$F$301),
_xlpm.余剰化受入,SUMIFS(tbl_ledger[数量],tbl_ledger[localId],$B162,tbl_ledger[イベント種類],"余剰化"),
_xlpm.充当払出,SUMIFS(tbl_ledger[数量],tbl_ledger[localId],$B162,tbl_ledger[イベント種類],"充当",tbl_ledger[ロットID],"="),
_xlpm.品番プール-_xlpm.割当計+_xlpm.余剰化受入-_xlpm.充当払出))</f>
        <v/>
      </c>
      <c r="J162" s="8" t="str">
        <f t="shared" si="7"/>
        <v/>
      </c>
      <c r="K162" s="8" t="str">
        <f t="shared" si="8"/>
        <v/>
      </c>
      <c r="L162" s="4" t="str">
        <f>IF($A162="","",IF(INDEX(tbl_plan[計画状態],ROW()-1)="キャンセル","キャンセル",IF(J162=0,"発送済",IF(K162&gt;0,"要搬出","OK"))))</f>
        <v/>
      </c>
      <c r="M162" s="8">
        <f t="array" ref="M162">_xlfn.LET(
_xlpm.計画状態,IFERROR(INDEX(tbl_plan[計画状態],ROW()-1)&amp;"",""),
_xlpm.必要数,IFERROR(N(INDEX(tbl_plan[必要数],ROW()-1)),0),
IF(_xlpm.計画状態="キャンセル",0,_xlpm.必要数))</f>
        <v>0</v>
      </c>
      <c r="N162" s="8" t="str">
        <f>IF($A162="","",_xlfn.LET(
_xlpm.搬入計,SUMIFS(tbl_ledger[数量],tbl_ledger[localId],$B162,tbl_ledger[イベント種類],"搬入"),
_xlpm.未割当発送,SUMIFS(tbl_ledger[数量],tbl_ledger[localId],$B162,tbl_ledger[イベント種類],"発送",tbl_ledger[ロットID],"="),
_xlpm.未割当倉庫戻し,SUMIFS(tbl_ledger[数量],tbl_ledger[localId],$B162,tbl_ledger[イベント種類],"倉庫戻し",tbl_ledger[ロットID],"="),
_xlpm.未割当不良,SUMIFS(tbl_ledger[数量],tbl_ledger[localId],$B162,tbl_ledger[イベント種類],"不良発生",tbl_ledger[ロットID],"="),
_xlpm.搬入計-_xlpm.未割当発送-_xlpm.未割当倉庫戻し-_xlpm.未割当不良))</f>
        <v/>
      </c>
      <c r="O162" s="8" t="str">
        <f t="array" ref="O162">IF($A162="","",_xlfn.LET(
_xlpm.同品番,($B$2:$B$301=$B162),
_xlpm.週が前,($C$2:$C$301&lt;$C162),
_xlpm.同週で上行,($C$2:$C$301=$C162)*(ROW($C$2:$C$301)&lt;ROW()),
SUMPRODUCT(_xlpm.同品番*(_xlpm.週が前+_xlpm.同週で上行)*$M$2:$M$301)))</f>
        <v/>
      </c>
    </row>
    <row r="163" spans="1:15" ht="15" customHeight="1" x14ac:dyDescent="0.25">
      <c r="A163" s="4" t="str">
        <f>IFERROR(INDEX(tbl_plan[ロットID],ROW()-1),"")</f>
        <v/>
      </c>
      <c r="B163" s="4" t="str">
        <f>IF($A163="","",INDEX(tbl_plan[localId],ROW()-1))</f>
        <v/>
      </c>
      <c r="C163" s="11" t="str">
        <f>IF($A163="","",INDEX(tbl_plan[出荷週],ROW()-1))</f>
        <v/>
      </c>
      <c r="D163" s="4" t="str">
        <f>IF($A163="","",INDEX(tbl_plan[納期先],ROW()-1)&amp;"")</f>
        <v/>
      </c>
      <c r="E163" s="8" t="str">
        <f>IF($A163="","",INDEX(tbl_plan[必要数],ROW()-1))</f>
        <v/>
      </c>
      <c r="F163" s="8" t="str">
        <f t="shared" si="6"/>
        <v/>
      </c>
      <c r="G163" s="8" t="str">
        <f>IF($A163="","",SUMIFS(tbl_ledger[数量],tbl_ledger[ロットID],$A163,tbl_ledger[イベント種類],"発送"))</f>
        <v/>
      </c>
      <c r="H163" s="8" t="str">
        <f>IF($A163="","",_xlfn.LET(
_xlpm.割当,F163,
_xlpm.充当受入,SUMIFS(tbl_ledger[数量],tbl_ledger[充当先ロットID],$A163,tbl_ledger[イベント種類],"充当"),
_xlpm.充当放出,SUMIFS(tbl_ledger[数量],tbl_ledger[ロットID],$A163,tbl_ledger[イベント種類],"充当"),
_xlpm.発送済,G163,
_xlpm.倉庫戻し,SUMIFS(tbl_ledger[数量],tbl_ledger[ロットID],$A163,tbl_ledger[イベント種類],"倉庫戻し"),
_xlpm.余剰化,SUMIFS(tbl_ledger[数量],tbl_ledger[ロットID],$A163,tbl_ledger[イベント種類],"余剰化"),
_xlpm.不良,SUMIFS(tbl_ledger[数量],tbl_ledger[ロットID],$A163,tbl_ledger[イベント種類],"不良発生"),
_xlpm.割当+_xlpm.充当受入-_xlpm.充当放出-_xlpm.発送済-_xlpm.倉庫戻し-_xlpm.余剰化-_xlpm.不良))</f>
        <v/>
      </c>
      <c r="I163" s="8" t="str">
        <f>IF($A163="","",_xlfn.LET(
_xlpm.品番プール,N163,
_xlpm.割当計,SUMIF($B$2:$B$301,$B163,$F$2:$F$301),
_xlpm.余剰化受入,SUMIFS(tbl_ledger[数量],tbl_ledger[localId],$B163,tbl_ledger[イベント種類],"余剰化"),
_xlpm.充当払出,SUMIFS(tbl_ledger[数量],tbl_ledger[localId],$B163,tbl_ledger[イベント種類],"充当",tbl_ledger[ロットID],"="),
_xlpm.品番プール-_xlpm.割当計+_xlpm.余剰化受入-_xlpm.充当払出))</f>
        <v/>
      </c>
      <c r="J163" s="8" t="str">
        <f t="shared" si="7"/>
        <v/>
      </c>
      <c r="K163" s="8" t="str">
        <f t="shared" si="8"/>
        <v/>
      </c>
      <c r="L163" s="4" t="str">
        <f>IF($A163="","",IF(INDEX(tbl_plan[計画状態],ROW()-1)="キャンセル","キャンセル",IF(J163=0,"発送済",IF(K163&gt;0,"要搬出","OK"))))</f>
        <v/>
      </c>
      <c r="M163" s="8">
        <f t="array" ref="M163">_xlfn.LET(
_xlpm.計画状態,IFERROR(INDEX(tbl_plan[計画状態],ROW()-1)&amp;"",""),
_xlpm.必要数,IFERROR(N(INDEX(tbl_plan[必要数],ROW()-1)),0),
IF(_xlpm.計画状態="キャンセル",0,_xlpm.必要数))</f>
        <v>0</v>
      </c>
      <c r="N163" s="8" t="str">
        <f>IF($A163="","",_xlfn.LET(
_xlpm.搬入計,SUMIFS(tbl_ledger[数量],tbl_ledger[localId],$B163,tbl_ledger[イベント種類],"搬入"),
_xlpm.未割当発送,SUMIFS(tbl_ledger[数量],tbl_ledger[localId],$B163,tbl_ledger[イベント種類],"発送",tbl_ledger[ロットID],"="),
_xlpm.未割当倉庫戻し,SUMIFS(tbl_ledger[数量],tbl_ledger[localId],$B163,tbl_ledger[イベント種類],"倉庫戻し",tbl_ledger[ロットID],"="),
_xlpm.未割当不良,SUMIFS(tbl_ledger[数量],tbl_ledger[localId],$B163,tbl_ledger[イベント種類],"不良発生",tbl_ledger[ロットID],"="),
_xlpm.搬入計-_xlpm.未割当発送-_xlpm.未割当倉庫戻し-_xlpm.未割当不良))</f>
        <v/>
      </c>
      <c r="O163" s="8" t="str">
        <f t="array" ref="O163">IF($A163="","",_xlfn.LET(
_xlpm.同品番,($B$2:$B$301=$B163),
_xlpm.週が前,($C$2:$C$301&lt;$C163),
_xlpm.同週で上行,($C$2:$C$301=$C163)*(ROW($C$2:$C$301)&lt;ROW()),
SUMPRODUCT(_xlpm.同品番*(_xlpm.週が前+_xlpm.同週で上行)*$M$2:$M$301)))</f>
        <v/>
      </c>
    </row>
    <row r="164" spans="1:15" ht="15" customHeight="1" x14ac:dyDescent="0.25">
      <c r="A164" s="4" t="str">
        <f>IFERROR(INDEX(tbl_plan[ロットID],ROW()-1),"")</f>
        <v/>
      </c>
      <c r="B164" s="4" t="str">
        <f>IF($A164="","",INDEX(tbl_plan[localId],ROW()-1))</f>
        <v/>
      </c>
      <c r="C164" s="11" t="str">
        <f>IF($A164="","",INDEX(tbl_plan[出荷週],ROW()-1))</f>
        <v/>
      </c>
      <c r="D164" s="4" t="str">
        <f>IF($A164="","",INDEX(tbl_plan[納期先],ROW()-1)&amp;"")</f>
        <v/>
      </c>
      <c r="E164" s="8" t="str">
        <f>IF($A164="","",INDEX(tbl_plan[必要数],ROW()-1))</f>
        <v/>
      </c>
      <c r="F164" s="8" t="str">
        <f t="shared" si="6"/>
        <v/>
      </c>
      <c r="G164" s="8" t="str">
        <f>IF($A164="","",SUMIFS(tbl_ledger[数量],tbl_ledger[ロットID],$A164,tbl_ledger[イベント種類],"発送"))</f>
        <v/>
      </c>
      <c r="H164" s="8" t="str">
        <f>IF($A164="","",_xlfn.LET(
_xlpm.割当,F164,
_xlpm.充当受入,SUMIFS(tbl_ledger[数量],tbl_ledger[充当先ロットID],$A164,tbl_ledger[イベント種類],"充当"),
_xlpm.充当放出,SUMIFS(tbl_ledger[数量],tbl_ledger[ロットID],$A164,tbl_ledger[イベント種類],"充当"),
_xlpm.発送済,G164,
_xlpm.倉庫戻し,SUMIFS(tbl_ledger[数量],tbl_ledger[ロットID],$A164,tbl_ledger[イベント種類],"倉庫戻し"),
_xlpm.余剰化,SUMIFS(tbl_ledger[数量],tbl_ledger[ロットID],$A164,tbl_ledger[イベント種類],"余剰化"),
_xlpm.不良,SUMIFS(tbl_ledger[数量],tbl_ledger[ロットID],$A164,tbl_ledger[イベント種類],"不良発生"),
_xlpm.割当+_xlpm.充当受入-_xlpm.充当放出-_xlpm.発送済-_xlpm.倉庫戻し-_xlpm.余剰化-_xlpm.不良))</f>
        <v/>
      </c>
      <c r="I164" s="8" t="str">
        <f>IF($A164="","",_xlfn.LET(
_xlpm.品番プール,N164,
_xlpm.割当計,SUMIF($B$2:$B$301,$B164,$F$2:$F$301),
_xlpm.余剰化受入,SUMIFS(tbl_ledger[数量],tbl_ledger[localId],$B164,tbl_ledger[イベント種類],"余剰化"),
_xlpm.充当払出,SUMIFS(tbl_ledger[数量],tbl_ledger[localId],$B164,tbl_ledger[イベント種類],"充当",tbl_ledger[ロットID],"="),
_xlpm.品番プール-_xlpm.割当計+_xlpm.余剰化受入-_xlpm.充当払出))</f>
        <v/>
      </c>
      <c r="J164" s="8" t="str">
        <f t="shared" si="7"/>
        <v/>
      </c>
      <c r="K164" s="8" t="str">
        <f t="shared" si="8"/>
        <v/>
      </c>
      <c r="L164" s="4" t="str">
        <f>IF($A164="","",IF(INDEX(tbl_plan[計画状態],ROW()-1)="キャンセル","キャンセル",IF(J164=0,"発送済",IF(K164&gt;0,"要搬出","OK"))))</f>
        <v/>
      </c>
      <c r="M164" s="8">
        <f t="array" ref="M164">_xlfn.LET(
_xlpm.計画状態,IFERROR(INDEX(tbl_plan[計画状態],ROW()-1)&amp;"",""),
_xlpm.必要数,IFERROR(N(INDEX(tbl_plan[必要数],ROW()-1)),0),
IF(_xlpm.計画状態="キャンセル",0,_xlpm.必要数))</f>
        <v>0</v>
      </c>
      <c r="N164" s="8" t="str">
        <f>IF($A164="","",_xlfn.LET(
_xlpm.搬入計,SUMIFS(tbl_ledger[数量],tbl_ledger[localId],$B164,tbl_ledger[イベント種類],"搬入"),
_xlpm.未割当発送,SUMIFS(tbl_ledger[数量],tbl_ledger[localId],$B164,tbl_ledger[イベント種類],"発送",tbl_ledger[ロットID],"="),
_xlpm.未割当倉庫戻し,SUMIFS(tbl_ledger[数量],tbl_ledger[localId],$B164,tbl_ledger[イベント種類],"倉庫戻し",tbl_ledger[ロットID],"="),
_xlpm.未割当不良,SUMIFS(tbl_ledger[数量],tbl_ledger[localId],$B164,tbl_ledger[イベント種類],"不良発生",tbl_ledger[ロットID],"="),
_xlpm.搬入計-_xlpm.未割当発送-_xlpm.未割当倉庫戻し-_xlpm.未割当不良))</f>
        <v/>
      </c>
      <c r="O164" s="8" t="str">
        <f t="array" ref="O164">IF($A164="","",_xlfn.LET(
_xlpm.同品番,($B$2:$B$301=$B164),
_xlpm.週が前,($C$2:$C$301&lt;$C164),
_xlpm.同週で上行,($C$2:$C$301=$C164)*(ROW($C$2:$C$301)&lt;ROW()),
SUMPRODUCT(_xlpm.同品番*(_xlpm.週が前+_xlpm.同週で上行)*$M$2:$M$301)))</f>
        <v/>
      </c>
    </row>
    <row r="165" spans="1:15" ht="15" customHeight="1" x14ac:dyDescent="0.25">
      <c r="A165" s="4" t="str">
        <f>IFERROR(INDEX(tbl_plan[ロットID],ROW()-1),"")</f>
        <v/>
      </c>
      <c r="B165" s="4" t="str">
        <f>IF($A165="","",INDEX(tbl_plan[localId],ROW()-1))</f>
        <v/>
      </c>
      <c r="C165" s="11" t="str">
        <f>IF($A165="","",INDEX(tbl_plan[出荷週],ROW()-1))</f>
        <v/>
      </c>
      <c r="D165" s="4" t="str">
        <f>IF($A165="","",INDEX(tbl_plan[納期先],ROW()-1)&amp;"")</f>
        <v/>
      </c>
      <c r="E165" s="8" t="str">
        <f>IF($A165="","",INDEX(tbl_plan[必要数],ROW()-1))</f>
        <v/>
      </c>
      <c r="F165" s="8" t="str">
        <f t="shared" si="6"/>
        <v/>
      </c>
      <c r="G165" s="8" t="str">
        <f>IF($A165="","",SUMIFS(tbl_ledger[数量],tbl_ledger[ロットID],$A165,tbl_ledger[イベント種類],"発送"))</f>
        <v/>
      </c>
      <c r="H165" s="8" t="str">
        <f>IF($A165="","",_xlfn.LET(
_xlpm.割当,F165,
_xlpm.充当受入,SUMIFS(tbl_ledger[数量],tbl_ledger[充当先ロットID],$A165,tbl_ledger[イベント種類],"充当"),
_xlpm.充当放出,SUMIFS(tbl_ledger[数量],tbl_ledger[ロットID],$A165,tbl_ledger[イベント種類],"充当"),
_xlpm.発送済,G165,
_xlpm.倉庫戻し,SUMIFS(tbl_ledger[数量],tbl_ledger[ロットID],$A165,tbl_ledger[イベント種類],"倉庫戻し"),
_xlpm.余剰化,SUMIFS(tbl_ledger[数量],tbl_ledger[ロットID],$A165,tbl_ledger[イベント種類],"余剰化"),
_xlpm.不良,SUMIFS(tbl_ledger[数量],tbl_ledger[ロットID],$A165,tbl_ledger[イベント種類],"不良発生"),
_xlpm.割当+_xlpm.充当受入-_xlpm.充当放出-_xlpm.発送済-_xlpm.倉庫戻し-_xlpm.余剰化-_xlpm.不良))</f>
        <v/>
      </c>
      <c r="I165" s="8" t="str">
        <f>IF($A165="","",_xlfn.LET(
_xlpm.品番プール,N165,
_xlpm.割当計,SUMIF($B$2:$B$301,$B165,$F$2:$F$301),
_xlpm.余剰化受入,SUMIFS(tbl_ledger[数量],tbl_ledger[localId],$B165,tbl_ledger[イベント種類],"余剰化"),
_xlpm.充当払出,SUMIFS(tbl_ledger[数量],tbl_ledger[localId],$B165,tbl_ledger[イベント種類],"充当",tbl_ledger[ロットID],"="),
_xlpm.品番プール-_xlpm.割当計+_xlpm.余剰化受入-_xlpm.充当払出))</f>
        <v/>
      </c>
      <c r="J165" s="8" t="str">
        <f t="shared" si="7"/>
        <v/>
      </c>
      <c r="K165" s="8" t="str">
        <f t="shared" si="8"/>
        <v/>
      </c>
      <c r="L165" s="4" t="str">
        <f>IF($A165="","",IF(INDEX(tbl_plan[計画状態],ROW()-1)="キャンセル","キャンセル",IF(J165=0,"発送済",IF(K165&gt;0,"要搬出","OK"))))</f>
        <v/>
      </c>
      <c r="M165" s="8">
        <f t="array" ref="M165">_xlfn.LET(
_xlpm.計画状態,IFERROR(INDEX(tbl_plan[計画状態],ROW()-1)&amp;"",""),
_xlpm.必要数,IFERROR(N(INDEX(tbl_plan[必要数],ROW()-1)),0),
IF(_xlpm.計画状態="キャンセル",0,_xlpm.必要数))</f>
        <v>0</v>
      </c>
      <c r="N165" s="8" t="str">
        <f>IF($A165="","",_xlfn.LET(
_xlpm.搬入計,SUMIFS(tbl_ledger[数量],tbl_ledger[localId],$B165,tbl_ledger[イベント種類],"搬入"),
_xlpm.未割当発送,SUMIFS(tbl_ledger[数量],tbl_ledger[localId],$B165,tbl_ledger[イベント種類],"発送",tbl_ledger[ロットID],"="),
_xlpm.未割当倉庫戻し,SUMIFS(tbl_ledger[数量],tbl_ledger[localId],$B165,tbl_ledger[イベント種類],"倉庫戻し",tbl_ledger[ロットID],"="),
_xlpm.未割当不良,SUMIFS(tbl_ledger[数量],tbl_ledger[localId],$B165,tbl_ledger[イベント種類],"不良発生",tbl_ledger[ロットID],"="),
_xlpm.搬入計-_xlpm.未割当発送-_xlpm.未割当倉庫戻し-_xlpm.未割当不良))</f>
        <v/>
      </c>
      <c r="O165" s="8" t="str">
        <f t="array" ref="O165">IF($A165="","",_xlfn.LET(
_xlpm.同品番,($B$2:$B$301=$B165),
_xlpm.週が前,($C$2:$C$301&lt;$C165),
_xlpm.同週で上行,($C$2:$C$301=$C165)*(ROW($C$2:$C$301)&lt;ROW()),
SUMPRODUCT(_xlpm.同品番*(_xlpm.週が前+_xlpm.同週で上行)*$M$2:$M$301)))</f>
        <v/>
      </c>
    </row>
    <row r="166" spans="1:15" ht="15" customHeight="1" x14ac:dyDescent="0.25">
      <c r="A166" s="4" t="str">
        <f>IFERROR(INDEX(tbl_plan[ロットID],ROW()-1),"")</f>
        <v/>
      </c>
      <c r="B166" s="4" t="str">
        <f>IF($A166="","",INDEX(tbl_plan[localId],ROW()-1))</f>
        <v/>
      </c>
      <c r="C166" s="11" t="str">
        <f>IF($A166="","",INDEX(tbl_plan[出荷週],ROW()-1))</f>
        <v/>
      </c>
      <c r="D166" s="4" t="str">
        <f>IF($A166="","",INDEX(tbl_plan[納期先],ROW()-1)&amp;"")</f>
        <v/>
      </c>
      <c r="E166" s="8" t="str">
        <f>IF($A166="","",INDEX(tbl_plan[必要数],ROW()-1))</f>
        <v/>
      </c>
      <c r="F166" s="8" t="str">
        <f t="shared" si="6"/>
        <v/>
      </c>
      <c r="G166" s="8" t="str">
        <f>IF($A166="","",SUMIFS(tbl_ledger[数量],tbl_ledger[ロットID],$A166,tbl_ledger[イベント種類],"発送"))</f>
        <v/>
      </c>
      <c r="H166" s="8" t="str">
        <f>IF($A166="","",_xlfn.LET(
_xlpm.割当,F166,
_xlpm.充当受入,SUMIFS(tbl_ledger[数量],tbl_ledger[充当先ロットID],$A166,tbl_ledger[イベント種類],"充当"),
_xlpm.充当放出,SUMIFS(tbl_ledger[数量],tbl_ledger[ロットID],$A166,tbl_ledger[イベント種類],"充当"),
_xlpm.発送済,G166,
_xlpm.倉庫戻し,SUMIFS(tbl_ledger[数量],tbl_ledger[ロットID],$A166,tbl_ledger[イベント種類],"倉庫戻し"),
_xlpm.余剰化,SUMIFS(tbl_ledger[数量],tbl_ledger[ロットID],$A166,tbl_ledger[イベント種類],"余剰化"),
_xlpm.不良,SUMIFS(tbl_ledger[数量],tbl_ledger[ロットID],$A166,tbl_ledger[イベント種類],"不良発生"),
_xlpm.割当+_xlpm.充当受入-_xlpm.充当放出-_xlpm.発送済-_xlpm.倉庫戻し-_xlpm.余剰化-_xlpm.不良))</f>
        <v/>
      </c>
      <c r="I166" s="8" t="str">
        <f>IF($A166="","",_xlfn.LET(
_xlpm.品番プール,N166,
_xlpm.割当計,SUMIF($B$2:$B$301,$B166,$F$2:$F$301),
_xlpm.余剰化受入,SUMIFS(tbl_ledger[数量],tbl_ledger[localId],$B166,tbl_ledger[イベント種類],"余剰化"),
_xlpm.充当払出,SUMIFS(tbl_ledger[数量],tbl_ledger[localId],$B166,tbl_ledger[イベント種類],"充当",tbl_ledger[ロットID],"="),
_xlpm.品番プール-_xlpm.割当計+_xlpm.余剰化受入-_xlpm.充当払出))</f>
        <v/>
      </c>
      <c r="J166" s="8" t="str">
        <f t="shared" si="7"/>
        <v/>
      </c>
      <c r="K166" s="8" t="str">
        <f t="shared" si="8"/>
        <v/>
      </c>
      <c r="L166" s="4" t="str">
        <f>IF($A166="","",IF(INDEX(tbl_plan[計画状態],ROW()-1)="キャンセル","キャンセル",IF(J166=0,"発送済",IF(K166&gt;0,"要搬出","OK"))))</f>
        <v/>
      </c>
      <c r="M166" s="8">
        <f t="array" ref="M166">_xlfn.LET(
_xlpm.計画状態,IFERROR(INDEX(tbl_plan[計画状態],ROW()-1)&amp;"",""),
_xlpm.必要数,IFERROR(N(INDEX(tbl_plan[必要数],ROW()-1)),0),
IF(_xlpm.計画状態="キャンセル",0,_xlpm.必要数))</f>
        <v>0</v>
      </c>
      <c r="N166" s="8" t="str">
        <f>IF($A166="","",_xlfn.LET(
_xlpm.搬入計,SUMIFS(tbl_ledger[数量],tbl_ledger[localId],$B166,tbl_ledger[イベント種類],"搬入"),
_xlpm.未割当発送,SUMIFS(tbl_ledger[数量],tbl_ledger[localId],$B166,tbl_ledger[イベント種類],"発送",tbl_ledger[ロットID],"="),
_xlpm.未割当倉庫戻し,SUMIFS(tbl_ledger[数量],tbl_ledger[localId],$B166,tbl_ledger[イベント種類],"倉庫戻し",tbl_ledger[ロットID],"="),
_xlpm.未割当不良,SUMIFS(tbl_ledger[数量],tbl_ledger[localId],$B166,tbl_ledger[イベント種類],"不良発生",tbl_ledger[ロットID],"="),
_xlpm.搬入計-_xlpm.未割当発送-_xlpm.未割当倉庫戻し-_xlpm.未割当不良))</f>
        <v/>
      </c>
      <c r="O166" s="8" t="str">
        <f t="array" ref="O166">IF($A166="","",_xlfn.LET(
_xlpm.同品番,($B$2:$B$301=$B166),
_xlpm.週が前,($C$2:$C$301&lt;$C166),
_xlpm.同週で上行,($C$2:$C$301=$C166)*(ROW($C$2:$C$301)&lt;ROW()),
SUMPRODUCT(_xlpm.同品番*(_xlpm.週が前+_xlpm.同週で上行)*$M$2:$M$301)))</f>
        <v/>
      </c>
    </row>
    <row r="167" spans="1:15" ht="15" customHeight="1" x14ac:dyDescent="0.25">
      <c r="A167" s="4" t="str">
        <f>IFERROR(INDEX(tbl_plan[ロットID],ROW()-1),"")</f>
        <v/>
      </c>
      <c r="B167" s="4" t="str">
        <f>IF($A167="","",INDEX(tbl_plan[localId],ROW()-1))</f>
        <v/>
      </c>
      <c r="C167" s="11" t="str">
        <f>IF($A167="","",INDEX(tbl_plan[出荷週],ROW()-1))</f>
        <v/>
      </c>
      <c r="D167" s="4" t="str">
        <f>IF($A167="","",INDEX(tbl_plan[納期先],ROW()-1)&amp;"")</f>
        <v/>
      </c>
      <c r="E167" s="8" t="str">
        <f>IF($A167="","",INDEX(tbl_plan[必要数],ROW()-1))</f>
        <v/>
      </c>
      <c r="F167" s="8" t="str">
        <f t="shared" si="6"/>
        <v/>
      </c>
      <c r="G167" s="8" t="str">
        <f>IF($A167="","",SUMIFS(tbl_ledger[数量],tbl_ledger[ロットID],$A167,tbl_ledger[イベント種類],"発送"))</f>
        <v/>
      </c>
      <c r="H167" s="8" t="str">
        <f>IF($A167="","",_xlfn.LET(
_xlpm.割当,F167,
_xlpm.充当受入,SUMIFS(tbl_ledger[数量],tbl_ledger[充当先ロットID],$A167,tbl_ledger[イベント種類],"充当"),
_xlpm.充当放出,SUMIFS(tbl_ledger[数量],tbl_ledger[ロットID],$A167,tbl_ledger[イベント種類],"充当"),
_xlpm.発送済,G167,
_xlpm.倉庫戻し,SUMIFS(tbl_ledger[数量],tbl_ledger[ロットID],$A167,tbl_ledger[イベント種類],"倉庫戻し"),
_xlpm.余剰化,SUMIFS(tbl_ledger[数量],tbl_ledger[ロットID],$A167,tbl_ledger[イベント種類],"余剰化"),
_xlpm.不良,SUMIFS(tbl_ledger[数量],tbl_ledger[ロットID],$A167,tbl_ledger[イベント種類],"不良発生"),
_xlpm.割当+_xlpm.充当受入-_xlpm.充当放出-_xlpm.発送済-_xlpm.倉庫戻し-_xlpm.余剰化-_xlpm.不良))</f>
        <v/>
      </c>
      <c r="I167" s="8" t="str">
        <f>IF($A167="","",_xlfn.LET(
_xlpm.品番プール,N167,
_xlpm.割当計,SUMIF($B$2:$B$301,$B167,$F$2:$F$301),
_xlpm.余剰化受入,SUMIFS(tbl_ledger[数量],tbl_ledger[localId],$B167,tbl_ledger[イベント種類],"余剰化"),
_xlpm.充当払出,SUMIFS(tbl_ledger[数量],tbl_ledger[localId],$B167,tbl_ledger[イベント種類],"充当",tbl_ledger[ロットID],"="),
_xlpm.品番プール-_xlpm.割当計+_xlpm.余剰化受入-_xlpm.充当払出))</f>
        <v/>
      </c>
      <c r="J167" s="8" t="str">
        <f t="shared" si="7"/>
        <v/>
      </c>
      <c r="K167" s="8" t="str">
        <f t="shared" si="8"/>
        <v/>
      </c>
      <c r="L167" s="4" t="str">
        <f>IF($A167="","",IF(INDEX(tbl_plan[計画状態],ROW()-1)="キャンセル","キャンセル",IF(J167=0,"発送済",IF(K167&gt;0,"要搬出","OK"))))</f>
        <v/>
      </c>
      <c r="M167" s="8">
        <f t="array" ref="M167">_xlfn.LET(
_xlpm.計画状態,IFERROR(INDEX(tbl_plan[計画状態],ROW()-1)&amp;"",""),
_xlpm.必要数,IFERROR(N(INDEX(tbl_plan[必要数],ROW()-1)),0),
IF(_xlpm.計画状態="キャンセル",0,_xlpm.必要数))</f>
        <v>0</v>
      </c>
      <c r="N167" s="8" t="str">
        <f>IF($A167="","",_xlfn.LET(
_xlpm.搬入計,SUMIFS(tbl_ledger[数量],tbl_ledger[localId],$B167,tbl_ledger[イベント種類],"搬入"),
_xlpm.未割当発送,SUMIFS(tbl_ledger[数量],tbl_ledger[localId],$B167,tbl_ledger[イベント種類],"発送",tbl_ledger[ロットID],"="),
_xlpm.未割当倉庫戻し,SUMIFS(tbl_ledger[数量],tbl_ledger[localId],$B167,tbl_ledger[イベント種類],"倉庫戻し",tbl_ledger[ロットID],"="),
_xlpm.未割当不良,SUMIFS(tbl_ledger[数量],tbl_ledger[localId],$B167,tbl_ledger[イベント種類],"不良発生",tbl_ledger[ロットID],"="),
_xlpm.搬入計-_xlpm.未割当発送-_xlpm.未割当倉庫戻し-_xlpm.未割当不良))</f>
        <v/>
      </c>
      <c r="O167" s="8" t="str">
        <f t="array" ref="O167">IF($A167="","",_xlfn.LET(
_xlpm.同品番,($B$2:$B$301=$B167),
_xlpm.週が前,($C$2:$C$301&lt;$C167),
_xlpm.同週で上行,($C$2:$C$301=$C167)*(ROW($C$2:$C$301)&lt;ROW()),
SUMPRODUCT(_xlpm.同品番*(_xlpm.週が前+_xlpm.同週で上行)*$M$2:$M$301)))</f>
        <v/>
      </c>
    </row>
    <row r="168" spans="1:15" ht="15" customHeight="1" x14ac:dyDescent="0.25">
      <c r="A168" s="4" t="str">
        <f>IFERROR(INDEX(tbl_plan[ロットID],ROW()-1),"")</f>
        <v/>
      </c>
      <c r="B168" s="4" t="str">
        <f>IF($A168="","",INDEX(tbl_plan[localId],ROW()-1))</f>
        <v/>
      </c>
      <c r="C168" s="11" t="str">
        <f>IF($A168="","",INDEX(tbl_plan[出荷週],ROW()-1))</f>
        <v/>
      </c>
      <c r="D168" s="4" t="str">
        <f>IF($A168="","",INDEX(tbl_plan[納期先],ROW()-1)&amp;"")</f>
        <v/>
      </c>
      <c r="E168" s="8" t="str">
        <f>IF($A168="","",INDEX(tbl_plan[必要数],ROW()-1))</f>
        <v/>
      </c>
      <c r="F168" s="8" t="str">
        <f t="shared" si="6"/>
        <v/>
      </c>
      <c r="G168" s="8" t="str">
        <f>IF($A168="","",SUMIFS(tbl_ledger[数量],tbl_ledger[ロットID],$A168,tbl_ledger[イベント種類],"発送"))</f>
        <v/>
      </c>
      <c r="H168" s="8" t="str">
        <f>IF($A168="","",_xlfn.LET(
_xlpm.割当,F168,
_xlpm.充当受入,SUMIFS(tbl_ledger[数量],tbl_ledger[充当先ロットID],$A168,tbl_ledger[イベント種類],"充当"),
_xlpm.充当放出,SUMIFS(tbl_ledger[数量],tbl_ledger[ロットID],$A168,tbl_ledger[イベント種類],"充当"),
_xlpm.発送済,G168,
_xlpm.倉庫戻し,SUMIFS(tbl_ledger[数量],tbl_ledger[ロットID],$A168,tbl_ledger[イベント種類],"倉庫戻し"),
_xlpm.余剰化,SUMIFS(tbl_ledger[数量],tbl_ledger[ロットID],$A168,tbl_ledger[イベント種類],"余剰化"),
_xlpm.不良,SUMIFS(tbl_ledger[数量],tbl_ledger[ロットID],$A168,tbl_ledger[イベント種類],"不良発生"),
_xlpm.割当+_xlpm.充当受入-_xlpm.充当放出-_xlpm.発送済-_xlpm.倉庫戻し-_xlpm.余剰化-_xlpm.不良))</f>
        <v/>
      </c>
      <c r="I168" s="8" t="str">
        <f>IF($A168="","",_xlfn.LET(
_xlpm.品番プール,N168,
_xlpm.割当計,SUMIF($B$2:$B$301,$B168,$F$2:$F$301),
_xlpm.余剰化受入,SUMIFS(tbl_ledger[数量],tbl_ledger[localId],$B168,tbl_ledger[イベント種類],"余剰化"),
_xlpm.充当払出,SUMIFS(tbl_ledger[数量],tbl_ledger[localId],$B168,tbl_ledger[イベント種類],"充当",tbl_ledger[ロットID],"="),
_xlpm.品番プール-_xlpm.割当計+_xlpm.余剰化受入-_xlpm.充当払出))</f>
        <v/>
      </c>
      <c r="J168" s="8" t="str">
        <f t="shared" si="7"/>
        <v/>
      </c>
      <c r="K168" s="8" t="str">
        <f t="shared" si="8"/>
        <v/>
      </c>
      <c r="L168" s="4" t="str">
        <f>IF($A168="","",IF(INDEX(tbl_plan[計画状態],ROW()-1)="キャンセル","キャンセル",IF(J168=0,"発送済",IF(K168&gt;0,"要搬出","OK"))))</f>
        <v/>
      </c>
      <c r="M168" s="8">
        <f t="array" ref="M168">_xlfn.LET(
_xlpm.計画状態,IFERROR(INDEX(tbl_plan[計画状態],ROW()-1)&amp;"",""),
_xlpm.必要数,IFERROR(N(INDEX(tbl_plan[必要数],ROW()-1)),0),
IF(_xlpm.計画状態="キャンセル",0,_xlpm.必要数))</f>
        <v>0</v>
      </c>
      <c r="N168" s="8" t="str">
        <f>IF($A168="","",_xlfn.LET(
_xlpm.搬入計,SUMIFS(tbl_ledger[数量],tbl_ledger[localId],$B168,tbl_ledger[イベント種類],"搬入"),
_xlpm.未割当発送,SUMIFS(tbl_ledger[数量],tbl_ledger[localId],$B168,tbl_ledger[イベント種類],"発送",tbl_ledger[ロットID],"="),
_xlpm.未割当倉庫戻し,SUMIFS(tbl_ledger[数量],tbl_ledger[localId],$B168,tbl_ledger[イベント種類],"倉庫戻し",tbl_ledger[ロットID],"="),
_xlpm.未割当不良,SUMIFS(tbl_ledger[数量],tbl_ledger[localId],$B168,tbl_ledger[イベント種類],"不良発生",tbl_ledger[ロットID],"="),
_xlpm.搬入計-_xlpm.未割当発送-_xlpm.未割当倉庫戻し-_xlpm.未割当不良))</f>
        <v/>
      </c>
      <c r="O168" s="8" t="str">
        <f t="array" ref="O168">IF($A168="","",_xlfn.LET(
_xlpm.同品番,($B$2:$B$301=$B168),
_xlpm.週が前,($C$2:$C$301&lt;$C168),
_xlpm.同週で上行,($C$2:$C$301=$C168)*(ROW($C$2:$C$301)&lt;ROW()),
SUMPRODUCT(_xlpm.同品番*(_xlpm.週が前+_xlpm.同週で上行)*$M$2:$M$301)))</f>
        <v/>
      </c>
    </row>
    <row r="169" spans="1:15" ht="15" customHeight="1" x14ac:dyDescent="0.25">
      <c r="A169" s="4" t="str">
        <f>IFERROR(INDEX(tbl_plan[ロットID],ROW()-1),"")</f>
        <v/>
      </c>
      <c r="B169" s="4" t="str">
        <f>IF($A169="","",INDEX(tbl_plan[localId],ROW()-1))</f>
        <v/>
      </c>
      <c r="C169" s="11" t="str">
        <f>IF($A169="","",INDEX(tbl_plan[出荷週],ROW()-1))</f>
        <v/>
      </c>
      <c r="D169" s="4" t="str">
        <f>IF($A169="","",INDEX(tbl_plan[納期先],ROW()-1)&amp;"")</f>
        <v/>
      </c>
      <c r="E169" s="8" t="str">
        <f>IF($A169="","",INDEX(tbl_plan[必要数],ROW()-1))</f>
        <v/>
      </c>
      <c r="F169" s="8" t="str">
        <f t="shared" si="6"/>
        <v/>
      </c>
      <c r="G169" s="8" t="str">
        <f>IF($A169="","",SUMIFS(tbl_ledger[数量],tbl_ledger[ロットID],$A169,tbl_ledger[イベント種類],"発送"))</f>
        <v/>
      </c>
      <c r="H169" s="8" t="str">
        <f>IF($A169="","",_xlfn.LET(
_xlpm.割当,F169,
_xlpm.充当受入,SUMIFS(tbl_ledger[数量],tbl_ledger[充当先ロットID],$A169,tbl_ledger[イベント種類],"充当"),
_xlpm.充当放出,SUMIFS(tbl_ledger[数量],tbl_ledger[ロットID],$A169,tbl_ledger[イベント種類],"充当"),
_xlpm.発送済,G169,
_xlpm.倉庫戻し,SUMIFS(tbl_ledger[数量],tbl_ledger[ロットID],$A169,tbl_ledger[イベント種類],"倉庫戻し"),
_xlpm.余剰化,SUMIFS(tbl_ledger[数量],tbl_ledger[ロットID],$A169,tbl_ledger[イベント種類],"余剰化"),
_xlpm.不良,SUMIFS(tbl_ledger[数量],tbl_ledger[ロットID],$A169,tbl_ledger[イベント種類],"不良発生"),
_xlpm.割当+_xlpm.充当受入-_xlpm.充当放出-_xlpm.発送済-_xlpm.倉庫戻し-_xlpm.余剰化-_xlpm.不良))</f>
        <v/>
      </c>
      <c r="I169" s="8" t="str">
        <f>IF($A169="","",_xlfn.LET(
_xlpm.品番プール,N169,
_xlpm.割当計,SUMIF($B$2:$B$301,$B169,$F$2:$F$301),
_xlpm.余剰化受入,SUMIFS(tbl_ledger[数量],tbl_ledger[localId],$B169,tbl_ledger[イベント種類],"余剰化"),
_xlpm.充当払出,SUMIFS(tbl_ledger[数量],tbl_ledger[localId],$B169,tbl_ledger[イベント種類],"充当",tbl_ledger[ロットID],"="),
_xlpm.品番プール-_xlpm.割当計+_xlpm.余剰化受入-_xlpm.充当払出))</f>
        <v/>
      </c>
      <c r="J169" s="8" t="str">
        <f t="shared" si="7"/>
        <v/>
      </c>
      <c r="K169" s="8" t="str">
        <f t="shared" si="8"/>
        <v/>
      </c>
      <c r="L169" s="4" t="str">
        <f>IF($A169="","",IF(INDEX(tbl_plan[計画状態],ROW()-1)="キャンセル","キャンセル",IF(J169=0,"発送済",IF(K169&gt;0,"要搬出","OK"))))</f>
        <v/>
      </c>
      <c r="M169" s="8">
        <f t="array" ref="M169">_xlfn.LET(
_xlpm.計画状態,IFERROR(INDEX(tbl_plan[計画状態],ROW()-1)&amp;"",""),
_xlpm.必要数,IFERROR(N(INDEX(tbl_plan[必要数],ROW()-1)),0),
IF(_xlpm.計画状態="キャンセル",0,_xlpm.必要数))</f>
        <v>0</v>
      </c>
      <c r="N169" s="8" t="str">
        <f>IF($A169="","",_xlfn.LET(
_xlpm.搬入計,SUMIFS(tbl_ledger[数量],tbl_ledger[localId],$B169,tbl_ledger[イベント種類],"搬入"),
_xlpm.未割当発送,SUMIFS(tbl_ledger[数量],tbl_ledger[localId],$B169,tbl_ledger[イベント種類],"発送",tbl_ledger[ロットID],"="),
_xlpm.未割当倉庫戻し,SUMIFS(tbl_ledger[数量],tbl_ledger[localId],$B169,tbl_ledger[イベント種類],"倉庫戻し",tbl_ledger[ロットID],"="),
_xlpm.未割当不良,SUMIFS(tbl_ledger[数量],tbl_ledger[localId],$B169,tbl_ledger[イベント種類],"不良発生",tbl_ledger[ロットID],"="),
_xlpm.搬入計-_xlpm.未割当発送-_xlpm.未割当倉庫戻し-_xlpm.未割当不良))</f>
        <v/>
      </c>
      <c r="O169" s="8" t="str">
        <f t="array" ref="O169">IF($A169="","",_xlfn.LET(
_xlpm.同品番,($B$2:$B$301=$B169),
_xlpm.週が前,($C$2:$C$301&lt;$C169),
_xlpm.同週で上行,($C$2:$C$301=$C169)*(ROW($C$2:$C$301)&lt;ROW()),
SUMPRODUCT(_xlpm.同品番*(_xlpm.週が前+_xlpm.同週で上行)*$M$2:$M$301)))</f>
        <v/>
      </c>
    </row>
    <row r="170" spans="1:15" ht="15" customHeight="1" x14ac:dyDescent="0.25">
      <c r="A170" s="4" t="str">
        <f>IFERROR(INDEX(tbl_plan[ロットID],ROW()-1),"")</f>
        <v/>
      </c>
      <c r="B170" s="4" t="str">
        <f>IF($A170="","",INDEX(tbl_plan[localId],ROW()-1))</f>
        <v/>
      </c>
      <c r="C170" s="11" t="str">
        <f>IF($A170="","",INDEX(tbl_plan[出荷週],ROW()-1))</f>
        <v/>
      </c>
      <c r="D170" s="4" t="str">
        <f>IF($A170="","",INDEX(tbl_plan[納期先],ROW()-1)&amp;"")</f>
        <v/>
      </c>
      <c r="E170" s="8" t="str">
        <f>IF($A170="","",INDEX(tbl_plan[必要数],ROW()-1))</f>
        <v/>
      </c>
      <c r="F170" s="8" t="str">
        <f t="shared" si="6"/>
        <v/>
      </c>
      <c r="G170" s="8" t="str">
        <f>IF($A170="","",SUMIFS(tbl_ledger[数量],tbl_ledger[ロットID],$A170,tbl_ledger[イベント種類],"発送"))</f>
        <v/>
      </c>
      <c r="H170" s="8" t="str">
        <f>IF($A170="","",_xlfn.LET(
_xlpm.割当,F170,
_xlpm.充当受入,SUMIFS(tbl_ledger[数量],tbl_ledger[充当先ロットID],$A170,tbl_ledger[イベント種類],"充当"),
_xlpm.充当放出,SUMIFS(tbl_ledger[数量],tbl_ledger[ロットID],$A170,tbl_ledger[イベント種類],"充当"),
_xlpm.発送済,G170,
_xlpm.倉庫戻し,SUMIFS(tbl_ledger[数量],tbl_ledger[ロットID],$A170,tbl_ledger[イベント種類],"倉庫戻し"),
_xlpm.余剰化,SUMIFS(tbl_ledger[数量],tbl_ledger[ロットID],$A170,tbl_ledger[イベント種類],"余剰化"),
_xlpm.不良,SUMIFS(tbl_ledger[数量],tbl_ledger[ロットID],$A170,tbl_ledger[イベント種類],"不良発生"),
_xlpm.割当+_xlpm.充当受入-_xlpm.充当放出-_xlpm.発送済-_xlpm.倉庫戻し-_xlpm.余剰化-_xlpm.不良))</f>
        <v/>
      </c>
      <c r="I170" s="8" t="str">
        <f>IF($A170="","",_xlfn.LET(
_xlpm.品番プール,N170,
_xlpm.割当計,SUMIF($B$2:$B$301,$B170,$F$2:$F$301),
_xlpm.余剰化受入,SUMIFS(tbl_ledger[数量],tbl_ledger[localId],$B170,tbl_ledger[イベント種類],"余剰化"),
_xlpm.充当払出,SUMIFS(tbl_ledger[数量],tbl_ledger[localId],$B170,tbl_ledger[イベント種類],"充当",tbl_ledger[ロットID],"="),
_xlpm.品番プール-_xlpm.割当計+_xlpm.余剰化受入-_xlpm.充当払出))</f>
        <v/>
      </c>
      <c r="J170" s="8" t="str">
        <f t="shared" si="7"/>
        <v/>
      </c>
      <c r="K170" s="8" t="str">
        <f t="shared" si="8"/>
        <v/>
      </c>
      <c r="L170" s="4" t="str">
        <f>IF($A170="","",IF(INDEX(tbl_plan[計画状態],ROW()-1)="キャンセル","キャンセル",IF(J170=0,"発送済",IF(K170&gt;0,"要搬出","OK"))))</f>
        <v/>
      </c>
      <c r="M170" s="8">
        <f t="array" ref="M170">_xlfn.LET(
_xlpm.計画状態,IFERROR(INDEX(tbl_plan[計画状態],ROW()-1)&amp;"",""),
_xlpm.必要数,IFERROR(N(INDEX(tbl_plan[必要数],ROW()-1)),0),
IF(_xlpm.計画状態="キャンセル",0,_xlpm.必要数))</f>
        <v>0</v>
      </c>
      <c r="N170" s="8" t="str">
        <f>IF($A170="","",_xlfn.LET(
_xlpm.搬入計,SUMIFS(tbl_ledger[数量],tbl_ledger[localId],$B170,tbl_ledger[イベント種類],"搬入"),
_xlpm.未割当発送,SUMIFS(tbl_ledger[数量],tbl_ledger[localId],$B170,tbl_ledger[イベント種類],"発送",tbl_ledger[ロットID],"="),
_xlpm.未割当倉庫戻し,SUMIFS(tbl_ledger[数量],tbl_ledger[localId],$B170,tbl_ledger[イベント種類],"倉庫戻し",tbl_ledger[ロットID],"="),
_xlpm.未割当不良,SUMIFS(tbl_ledger[数量],tbl_ledger[localId],$B170,tbl_ledger[イベント種類],"不良発生",tbl_ledger[ロットID],"="),
_xlpm.搬入計-_xlpm.未割当発送-_xlpm.未割当倉庫戻し-_xlpm.未割当不良))</f>
        <v/>
      </c>
      <c r="O170" s="8" t="str">
        <f t="array" ref="O170">IF($A170="","",_xlfn.LET(
_xlpm.同品番,($B$2:$B$301=$B170),
_xlpm.週が前,($C$2:$C$301&lt;$C170),
_xlpm.同週で上行,($C$2:$C$301=$C170)*(ROW($C$2:$C$301)&lt;ROW()),
SUMPRODUCT(_xlpm.同品番*(_xlpm.週が前+_xlpm.同週で上行)*$M$2:$M$301)))</f>
        <v/>
      </c>
    </row>
    <row r="171" spans="1:15" ht="15" customHeight="1" x14ac:dyDescent="0.25">
      <c r="A171" s="4" t="str">
        <f>IFERROR(INDEX(tbl_plan[ロットID],ROW()-1),"")</f>
        <v/>
      </c>
      <c r="B171" s="4" t="str">
        <f>IF($A171="","",INDEX(tbl_plan[localId],ROW()-1))</f>
        <v/>
      </c>
      <c r="C171" s="11" t="str">
        <f>IF($A171="","",INDEX(tbl_plan[出荷週],ROW()-1))</f>
        <v/>
      </c>
      <c r="D171" s="4" t="str">
        <f>IF($A171="","",INDEX(tbl_plan[納期先],ROW()-1)&amp;"")</f>
        <v/>
      </c>
      <c r="E171" s="8" t="str">
        <f>IF($A171="","",INDEX(tbl_plan[必要数],ROW()-1))</f>
        <v/>
      </c>
      <c r="F171" s="8" t="str">
        <f t="shared" si="6"/>
        <v/>
      </c>
      <c r="G171" s="8" t="str">
        <f>IF($A171="","",SUMIFS(tbl_ledger[数量],tbl_ledger[ロットID],$A171,tbl_ledger[イベント種類],"発送"))</f>
        <v/>
      </c>
      <c r="H171" s="8" t="str">
        <f>IF($A171="","",_xlfn.LET(
_xlpm.割当,F171,
_xlpm.充当受入,SUMIFS(tbl_ledger[数量],tbl_ledger[充当先ロットID],$A171,tbl_ledger[イベント種類],"充当"),
_xlpm.充当放出,SUMIFS(tbl_ledger[数量],tbl_ledger[ロットID],$A171,tbl_ledger[イベント種類],"充当"),
_xlpm.発送済,G171,
_xlpm.倉庫戻し,SUMIFS(tbl_ledger[数量],tbl_ledger[ロットID],$A171,tbl_ledger[イベント種類],"倉庫戻し"),
_xlpm.余剰化,SUMIFS(tbl_ledger[数量],tbl_ledger[ロットID],$A171,tbl_ledger[イベント種類],"余剰化"),
_xlpm.不良,SUMIFS(tbl_ledger[数量],tbl_ledger[ロットID],$A171,tbl_ledger[イベント種類],"不良発生"),
_xlpm.割当+_xlpm.充当受入-_xlpm.充当放出-_xlpm.発送済-_xlpm.倉庫戻し-_xlpm.余剰化-_xlpm.不良))</f>
        <v/>
      </c>
      <c r="I171" s="8" t="str">
        <f>IF($A171="","",_xlfn.LET(
_xlpm.品番プール,N171,
_xlpm.割当計,SUMIF($B$2:$B$301,$B171,$F$2:$F$301),
_xlpm.余剰化受入,SUMIFS(tbl_ledger[数量],tbl_ledger[localId],$B171,tbl_ledger[イベント種類],"余剰化"),
_xlpm.充当払出,SUMIFS(tbl_ledger[数量],tbl_ledger[localId],$B171,tbl_ledger[イベント種類],"充当",tbl_ledger[ロットID],"="),
_xlpm.品番プール-_xlpm.割当計+_xlpm.余剰化受入-_xlpm.充当払出))</f>
        <v/>
      </c>
      <c r="J171" s="8" t="str">
        <f t="shared" si="7"/>
        <v/>
      </c>
      <c r="K171" s="8" t="str">
        <f t="shared" si="8"/>
        <v/>
      </c>
      <c r="L171" s="4" t="str">
        <f>IF($A171="","",IF(INDEX(tbl_plan[計画状態],ROW()-1)="キャンセル","キャンセル",IF(J171=0,"発送済",IF(K171&gt;0,"要搬出","OK"))))</f>
        <v/>
      </c>
      <c r="M171" s="8">
        <f t="array" ref="M171">_xlfn.LET(
_xlpm.計画状態,IFERROR(INDEX(tbl_plan[計画状態],ROW()-1)&amp;"",""),
_xlpm.必要数,IFERROR(N(INDEX(tbl_plan[必要数],ROW()-1)),0),
IF(_xlpm.計画状態="キャンセル",0,_xlpm.必要数))</f>
        <v>0</v>
      </c>
      <c r="N171" s="8" t="str">
        <f>IF($A171="","",_xlfn.LET(
_xlpm.搬入計,SUMIFS(tbl_ledger[数量],tbl_ledger[localId],$B171,tbl_ledger[イベント種類],"搬入"),
_xlpm.未割当発送,SUMIFS(tbl_ledger[数量],tbl_ledger[localId],$B171,tbl_ledger[イベント種類],"発送",tbl_ledger[ロットID],"="),
_xlpm.未割当倉庫戻し,SUMIFS(tbl_ledger[数量],tbl_ledger[localId],$B171,tbl_ledger[イベント種類],"倉庫戻し",tbl_ledger[ロットID],"="),
_xlpm.未割当不良,SUMIFS(tbl_ledger[数量],tbl_ledger[localId],$B171,tbl_ledger[イベント種類],"不良発生",tbl_ledger[ロットID],"="),
_xlpm.搬入計-_xlpm.未割当発送-_xlpm.未割当倉庫戻し-_xlpm.未割当不良))</f>
        <v/>
      </c>
      <c r="O171" s="8" t="str">
        <f t="array" ref="O171">IF($A171="","",_xlfn.LET(
_xlpm.同品番,($B$2:$B$301=$B171),
_xlpm.週が前,($C$2:$C$301&lt;$C171),
_xlpm.同週で上行,($C$2:$C$301=$C171)*(ROW($C$2:$C$301)&lt;ROW()),
SUMPRODUCT(_xlpm.同品番*(_xlpm.週が前+_xlpm.同週で上行)*$M$2:$M$301)))</f>
        <v/>
      </c>
    </row>
    <row r="172" spans="1:15" ht="15" customHeight="1" x14ac:dyDescent="0.25">
      <c r="A172" s="4" t="str">
        <f>IFERROR(INDEX(tbl_plan[ロットID],ROW()-1),"")</f>
        <v/>
      </c>
      <c r="B172" s="4" t="str">
        <f>IF($A172="","",INDEX(tbl_plan[localId],ROW()-1))</f>
        <v/>
      </c>
      <c r="C172" s="11" t="str">
        <f>IF($A172="","",INDEX(tbl_plan[出荷週],ROW()-1))</f>
        <v/>
      </c>
      <c r="D172" s="4" t="str">
        <f>IF($A172="","",INDEX(tbl_plan[納期先],ROW()-1)&amp;"")</f>
        <v/>
      </c>
      <c r="E172" s="8" t="str">
        <f>IF($A172="","",INDEX(tbl_plan[必要数],ROW()-1))</f>
        <v/>
      </c>
      <c r="F172" s="8" t="str">
        <f t="shared" si="6"/>
        <v/>
      </c>
      <c r="G172" s="8" t="str">
        <f>IF($A172="","",SUMIFS(tbl_ledger[数量],tbl_ledger[ロットID],$A172,tbl_ledger[イベント種類],"発送"))</f>
        <v/>
      </c>
      <c r="H172" s="8" t="str">
        <f>IF($A172="","",_xlfn.LET(
_xlpm.割当,F172,
_xlpm.充当受入,SUMIFS(tbl_ledger[数量],tbl_ledger[充当先ロットID],$A172,tbl_ledger[イベント種類],"充当"),
_xlpm.充当放出,SUMIFS(tbl_ledger[数量],tbl_ledger[ロットID],$A172,tbl_ledger[イベント種類],"充当"),
_xlpm.発送済,G172,
_xlpm.倉庫戻し,SUMIFS(tbl_ledger[数量],tbl_ledger[ロットID],$A172,tbl_ledger[イベント種類],"倉庫戻し"),
_xlpm.余剰化,SUMIFS(tbl_ledger[数量],tbl_ledger[ロットID],$A172,tbl_ledger[イベント種類],"余剰化"),
_xlpm.不良,SUMIFS(tbl_ledger[数量],tbl_ledger[ロットID],$A172,tbl_ledger[イベント種類],"不良発生"),
_xlpm.割当+_xlpm.充当受入-_xlpm.充当放出-_xlpm.発送済-_xlpm.倉庫戻し-_xlpm.余剰化-_xlpm.不良))</f>
        <v/>
      </c>
      <c r="I172" s="8" t="str">
        <f>IF($A172="","",_xlfn.LET(
_xlpm.品番プール,N172,
_xlpm.割当計,SUMIF($B$2:$B$301,$B172,$F$2:$F$301),
_xlpm.余剰化受入,SUMIFS(tbl_ledger[数量],tbl_ledger[localId],$B172,tbl_ledger[イベント種類],"余剰化"),
_xlpm.充当払出,SUMIFS(tbl_ledger[数量],tbl_ledger[localId],$B172,tbl_ledger[イベント種類],"充当",tbl_ledger[ロットID],"="),
_xlpm.品番プール-_xlpm.割当計+_xlpm.余剰化受入-_xlpm.充当払出))</f>
        <v/>
      </c>
      <c r="J172" s="8" t="str">
        <f t="shared" si="7"/>
        <v/>
      </c>
      <c r="K172" s="8" t="str">
        <f t="shared" si="8"/>
        <v/>
      </c>
      <c r="L172" s="4" t="str">
        <f>IF($A172="","",IF(INDEX(tbl_plan[計画状態],ROW()-1)="キャンセル","キャンセル",IF(J172=0,"発送済",IF(K172&gt;0,"要搬出","OK"))))</f>
        <v/>
      </c>
      <c r="M172" s="8">
        <f t="array" ref="M172">_xlfn.LET(
_xlpm.計画状態,IFERROR(INDEX(tbl_plan[計画状態],ROW()-1)&amp;"",""),
_xlpm.必要数,IFERROR(N(INDEX(tbl_plan[必要数],ROW()-1)),0),
IF(_xlpm.計画状態="キャンセル",0,_xlpm.必要数))</f>
        <v>0</v>
      </c>
      <c r="N172" s="8" t="str">
        <f>IF($A172="","",_xlfn.LET(
_xlpm.搬入計,SUMIFS(tbl_ledger[数量],tbl_ledger[localId],$B172,tbl_ledger[イベント種類],"搬入"),
_xlpm.未割当発送,SUMIFS(tbl_ledger[数量],tbl_ledger[localId],$B172,tbl_ledger[イベント種類],"発送",tbl_ledger[ロットID],"="),
_xlpm.未割当倉庫戻し,SUMIFS(tbl_ledger[数量],tbl_ledger[localId],$B172,tbl_ledger[イベント種類],"倉庫戻し",tbl_ledger[ロットID],"="),
_xlpm.未割当不良,SUMIFS(tbl_ledger[数量],tbl_ledger[localId],$B172,tbl_ledger[イベント種類],"不良発生",tbl_ledger[ロットID],"="),
_xlpm.搬入計-_xlpm.未割当発送-_xlpm.未割当倉庫戻し-_xlpm.未割当不良))</f>
        <v/>
      </c>
      <c r="O172" s="8" t="str">
        <f t="array" ref="O172">IF($A172="","",_xlfn.LET(
_xlpm.同品番,($B$2:$B$301=$B172),
_xlpm.週が前,($C$2:$C$301&lt;$C172),
_xlpm.同週で上行,($C$2:$C$301=$C172)*(ROW($C$2:$C$301)&lt;ROW()),
SUMPRODUCT(_xlpm.同品番*(_xlpm.週が前+_xlpm.同週で上行)*$M$2:$M$301)))</f>
        <v/>
      </c>
    </row>
    <row r="173" spans="1:15" ht="15" customHeight="1" x14ac:dyDescent="0.25">
      <c r="A173" s="4" t="str">
        <f>IFERROR(INDEX(tbl_plan[ロットID],ROW()-1),"")</f>
        <v/>
      </c>
      <c r="B173" s="4" t="str">
        <f>IF($A173="","",INDEX(tbl_plan[localId],ROW()-1))</f>
        <v/>
      </c>
      <c r="C173" s="11" t="str">
        <f>IF($A173="","",INDEX(tbl_plan[出荷週],ROW()-1))</f>
        <v/>
      </c>
      <c r="D173" s="4" t="str">
        <f>IF($A173="","",INDEX(tbl_plan[納期先],ROW()-1)&amp;"")</f>
        <v/>
      </c>
      <c r="E173" s="8" t="str">
        <f>IF($A173="","",INDEX(tbl_plan[必要数],ROW()-1))</f>
        <v/>
      </c>
      <c r="F173" s="8" t="str">
        <f t="shared" si="6"/>
        <v/>
      </c>
      <c r="G173" s="8" t="str">
        <f>IF($A173="","",SUMIFS(tbl_ledger[数量],tbl_ledger[ロットID],$A173,tbl_ledger[イベント種類],"発送"))</f>
        <v/>
      </c>
      <c r="H173" s="8" t="str">
        <f>IF($A173="","",_xlfn.LET(
_xlpm.割当,F173,
_xlpm.充当受入,SUMIFS(tbl_ledger[数量],tbl_ledger[充当先ロットID],$A173,tbl_ledger[イベント種類],"充当"),
_xlpm.充当放出,SUMIFS(tbl_ledger[数量],tbl_ledger[ロットID],$A173,tbl_ledger[イベント種類],"充当"),
_xlpm.発送済,G173,
_xlpm.倉庫戻し,SUMIFS(tbl_ledger[数量],tbl_ledger[ロットID],$A173,tbl_ledger[イベント種類],"倉庫戻し"),
_xlpm.余剰化,SUMIFS(tbl_ledger[数量],tbl_ledger[ロットID],$A173,tbl_ledger[イベント種類],"余剰化"),
_xlpm.不良,SUMIFS(tbl_ledger[数量],tbl_ledger[ロットID],$A173,tbl_ledger[イベント種類],"不良発生"),
_xlpm.割当+_xlpm.充当受入-_xlpm.充当放出-_xlpm.発送済-_xlpm.倉庫戻し-_xlpm.余剰化-_xlpm.不良))</f>
        <v/>
      </c>
      <c r="I173" s="8" t="str">
        <f>IF($A173="","",_xlfn.LET(
_xlpm.品番プール,N173,
_xlpm.割当計,SUMIF($B$2:$B$301,$B173,$F$2:$F$301),
_xlpm.余剰化受入,SUMIFS(tbl_ledger[数量],tbl_ledger[localId],$B173,tbl_ledger[イベント種類],"余剰化"),
_xlpm.充当払出,SUMIFS(tbl_ledger[数量],tbl_ledger[localId],$B173,tbl_ledger[イベント種類],"充当",tbl_ledger[ロットID],"="),
_xlpm.品番プール-_xlpm.割当計+_xlpm.余剰化受入-_xlpm.充当払出))</f>
        <v/>
      </c>
      <c r="J173" s="8" t="str">
        <f t="shared" si="7"/>
        <v/>
      </c>
      <c r="K173" s="8" t="str">
        <f t="shared" si="8"/>
        <v/>
      </c>
      <c r="L173" s="4" t="str">
        <f>IF($A173="","",IF(INDEX(tbl_plan[計画状態],ROW()-1)="キャンセル","キャンセル",IF(J173=0,"発送済",IF(K173&gt;0,"要搬出","OK"))))</f>
        <v/>
      </c>
      <c r="M173" s="8">
        <f t="array" ref="M173">_xlfn.LET(
_xlpm.計画状態,IFERROR(INDEX(tbl_plan[計画状態],ROW()-1)&amp;"",""),
_xlpm.必要数,IFERROR(N(INDEX(tbl_plan[必要数],ROW()-1)),0),
IF(_xlpm.計画状態="キャンセル",0,_xlpm.必要数))</f>
        <v>0</v>
      </c>
      <c r="N173" s="8" t="str">
        <f>IF($A173="","",_xlfn.LET(
_xlpm.搬入計,SUMIFS(tbl_ledger[数量],tbl_ledger[localId],$B173,tbl_ledger[イベント種類],"搬入"),
_xlpm.未割当発送,SUMIFS(tbl_ledger[数量],tbl_ledger[localId],$B173,tbl_ledger[イベント種類],"発送",tbl_ledger[ロットID],"="),
_xlpm.未割当倉庫戻し,SUMIFS(tbl_ledger[数量],tbl_ledger[localId],$B173,tbl_ledger[イベント種類],"倉庫戻し",tbl_ledger[ロットID],"="),
_xlpm.未割当不良,SUMIFS(tbl_ledger[数量],tbl_ledger[localId],$B173,tbl_ledger[イベント種類],"不良発生",tbl_ledger[ロットID],"="),
_xlpm.搬入計-_xlpm.未割当発送-_xlpm.未割当倉庫戻し-_xlpm.未割当不良))</f>
        <v/>
      </c>
      <c r="O173" s="8" t="str">
        <f t="array" ref="O173">IF($A173="","",_xlfn.LET(
_xlpm.同品番,($B$2:$B$301=$B173),
_xlpm.週が前,($C$2:$C$301&lt;$C173),
_xlpm.同週で上行,($C$2:$C$301=$C173)*(ROW($C$2:$C$301)&lt;ROW()),
SUMPRODUCT(_xlpm.同品番*(_xlpm.週が前+_xlpm.同週で上行)*$M$2:$M$301)))</f>
        <v/>
      </c>
    </row>
    <row r="174" spans="1:15" ht="15" customHeight="1" x14ac:dyDescent="0.25">
      <c r="A174" s="4" t="str">
        <f>IFERROR(INDEX(tbl_plan[ロットID],ROW()-1),"")</f>
        <v/>
      </c>
      <c r="B174" s="4" t="str">
        <f>IF($A174="","",INDEX(tbl_plan[localId],ROW()-1))</f>
        <v/>
      </c>
      <c r="C174" s="11" t="str">
        <f>IF($A174="","",INDEX(tbl_plan[出荷週],ROW()-1))</f>
        <v/>
      </c>
      <c r="D174" s="4" t="str">
        <f>IF($A174="","",INDEX(tbl_plan[納期先],ROW()-1)&amp;"")</f>
        <v/>
      </c>
      <c r="E174" s="8" t="str">
        <f>IF($A174="","",INDEX(tbl_plan[必要数],ROW()-1))</f>
        <v/>
      </c>
      <c r="F174" s="8" t="str">
        <f t="shared" si="6"/>
        <v/>
      </c>
      <c r="G174" s="8" t="str">
        <f>IF($A174="","",SUMIFS(tbl_ledger[数量],tbl_ledger[ロットID],$A174,tbl_ledger[イベント種類],"発送"))</f>
        <v/>
      </c>
      <c r="H174" s="8" t="str">
        <f>IF($A174="","",_xlfn.LET(
_xlpm.割当,F174,
_xlpm.充当受入,SUMIFS(tbl_ledger[数量],tbl_ledger[充当先ロットID],$A174,tbl_ledger[イベント種類],"充当"),
_xlpm.充当放出,SUMIFS(tbl_ledger[数量],tbl_ledger[ロットID],$A174,tbl_ledger[イベント種類],"充当"),
_xlpm.発送済,G174,
_xlpm.倉庫戻し,SUMIFS(tbl_ledger[数量],tbl_ledger[ロットID],$A174,tbl_ledger[イベント種類],"倉庫戻し"),
_xlpm.余剰化,SUMIFS(tbl_ledger[数量],tbl_ledger[ロットID],$A174,tbl_ledger[イベント種類],"余剰化"),
_xlpm.不良,SUMIFS(tbl_ledger[数量],tbl_ledger[ロットID],$A174,tbl_ledger[イベント種類],"不良発生"),
_xlpm.割当+_xlpm.充当受入-_xlpm.充当放出-_xlpm.発送済-_xlpm.倉庫戻し-_xlpm.余剰化-_xlpm.不良))</f>
        <v/>
      </c>
      <c r="I174" s="8" t="str">
        <f>IF($A174="","",_xlfn.LET(
_xlpm.品番プール,N174,
_xlpm.割当計,SUMIF($B$2:$B$301,$B174,$F$2:$F$301),
_xlpm.余剰化受入,SUMIFS(tbl_ledger[数量],tbl_ledger[localId],$B174,tbl_ledger[イベント種類],"余剰化"),
_xlpm.充当払出,SUMIFS(tbl_ledger[数量],tbl_ledger[localId],$B174,tbl_ledger[イベント種類],"充当",tbl_ledger[ロットID],"="),
_xlpm.品番プール-_xlpm.割当計+_xlpm.余剰化受入-_xlpm.充当払出))</f>
        <v/>
      </c>
      <c r="J174" s="8" t="str">
        <f t="shared" si="7"/>
        <v/>
      </c>
      <c r="K174" s="8" t="str">
        <f t="shared" si="8"/>
        <v/>
      </c>
      <c r="L174" s="4" t="str">
        <f>IF($A174="","",IF(INDEX(tbl_plan[計画状態],ROW()-1)="キャンセル","キャンセル",IF(J174=0,"発送済",IF(K174&gt;0,"要搬出","OK"))))</f>
        <v/>
      </c>
      <c r="M174" s="8">
        <f t="array" ref="M174">_xlfn.LET(
_xlpm.計画状態,IFERROR(INDEX(tbl_plan[計画状態],ROW()-1)&amp;"",""),
_xlpm.必要数,IFERROR(N(INDEX(tbl_plan[必要数],ROW()-1)),0),
IF(_xlpm.計画状態="キャンセル",0,_xlpm.必要数))</f>
        <v>0</v>
      </c>
      <c r="N174" s="8" t="str">
        <f>IF($A174="","",_xlfn.LET(
_xlpm.搬入計,SUMIFS(tbl_ledger[数量],tbl_ledger[localId],$B174,tbl_ledger[イベント種類],"搬入"),
_xlpm.未割当発送,SUMIFS(tbl_ledger[数量],tbl_ledger[localId],$B174,tbl_ledger[イベント種類],"発送",tbl_ledger[ロットID],"="),
_xlpm.未割当倉庫戻し,SUMIFS(tbl_ledger[数量],tbl_ledger[localId],$B174,tbl_ledger[イベント種類],"倉庫戻し",tbl_ledger[ロットID],"="),
_xlpm.未割当不良,SUMIFS(tbl_ledger[数量],tbl_ledger[localId],$B174,tbl_ledger[イベント種類],"不良発生",tbl_ledger[ロットID],"="),
_xlpm.搬入計-_xlpm.未割当発送-_xlpm.未割当倉庫戻し-_xlpm.未割当不良))</f>
        <v/>
      </c>
      <c r="O174" s="8" t="str">
        <f t="array" ref="O174">IF($A174="","",_xlfn.LET(
_xlpm.同品番,($B$2:$B$301=$B174),
_xlpm.週が前,($C$2:$C$301&lt;$C174),
_xlpm.同週で上行,($C$2:$C$301=$C174)*(ROW($C$2:$C$301)&lt;ROW()),
SUMPRODUCT(_xlpm.同品番*(_xlpm.週が前+_xlpm.同週で上行)*$M$2:$M$301)))</f>
        <v/>
      </c>
    </row>
    <row r="175" spans="1:15" ht="15" customHeight="1" x14ac:dyDescent="0.25">
      <c r="A175" s="4" t="str">
        <f>IFERROR(INDEX(tbl_plan[ロットID],ROW()-1),"")</f>
        <v/>
      </c>
      <c r="B175" s="4" t="str">
        <f>IF($A175="","",INDEX(tbl_plan[localId],ROW()-1))</f>
        <v/>
      </c>
      <c r="C175" s="11" t="str">
        <f>IF($A175="","",INDEX(tbl_plan[出荷週],ROW()-1))</f>
        <v/>
      </c>
      <c r="D175" s="4" t="str">
        <f>IF($A175="","",INDEX(tbl_plan[納期先],ROW()-1)&amp;"")</f>
        <v/>
      </c>
      <c r="E175" s="8" t="str">
        <f>IF($A175="","",INDEX(tbl_plan[必要数],ROW()-1))</f>
        <v/>
      </c>
      <c r="F175" s="8" t="str">
        <f t="shared" si="6"/>
        <v/>
      </c>
      <c r="G175" s="8" t="str">
        <f>IF($A175="","",SUMIFS(tbl_ledger[数量],tbl_ledger[ロットID],$A175,tbl_ledger[イベント種類],"発送"))</f>
        <v/>
      </c>
      <c r="H175" s="8" t="str">
        <f>IF($A175="","",_xlfn.LET(
_xlpm.割当,F175,
_xlpm.充当受入,SUMIFS(tbl_ledger[数量],tbl_ledger[充当先ロットID],$A175,tbl_ledger[イベント種類],"充当"),
_xlpm.充当放出,SUMIFS(tbl_ledger[数量],tbl_ledger[ロットID],$A175,tbl_ledger[イベント種類],"充当"),
_xlpm.発送済,G175,
_xlpm.倉庫戻し,SUMIFS(tbl_ledger[数量],tbl_ledger[ロットID],$A175,tbl_ledger[イベント種類],"倉庫戻し"),
_xlpm.余剰化,SUMIFS(tbl_ledger[数量],tbl_ledger[ロットID],$A175,tbl_ledger[イベント種類],"余剰化"),
_xlpm.不良,SUMIFS(tbl_ledger[数量],tbl_ledger[ロットID],$A175,tbl_ledger[イベント種類],"不良発生"),
_xlpm.割当+_xlpm.充当受入-_xlpm.充当放出-_xlpm.発送済-_xlpm.倉庫戻し-_xlpm.余剰化-_xlpm.不良))</f>
        <v/>
      </c>
      <c r="I175" s="8" t="str">
        <f>IF($A175="","",_xlfn.LET(
_xlpm.品番プール,N175,
_xlpm.割当計,SUMIF($B$2:$B$301,$B175,$F$2:$F$301),
_xlpm.余剰化受入,SUMIFS(tbl_ledger[数量],tbl_ledger[localId],$B175,tbl_ledger[イベント種類],"余剰化"),
_xlpm.充当払出,SUMIFS(tbl_ledger[数量],tbl_ledger[localId],$B175,tbl_ledger[イベント種類],"充当",tbl_ledger[ロットID],"="),
_xlpm.品番プール-_xlpm.割当計+_xlpm.余剰化受入-_xlpm.充当払出))</f>
        <v/>
      </c>
      <c r="J175" s="8" t="str">
        <f t="shared" si="7"/>
        <v/>
      </c>
      <c r="K175" s="8" t="str">
        <f t="shared" si="8"/>
        <v/>
      </c>
      <c r="L175" s="4" t="str">
        <f>IF($A175="","",IF(INDEX(tbl_plan[計画状態],ROW()-1)="キャンセル","キャンセル",IF(J175=0,"発送済",IF(K175&gt;0,"要搬出","OK"))))</f>
        <v/>
      </c>
      <c r="M175" s="8">
        <f t="array" ref="M175">_xlfn.LET(
_xlpm.計画状態,IFERROR(INDEX(tbl_plan[計画状態],ROW()-1)&amp;"",""),
_xlpm.必要数,IFERROR(N(INDEX(tbl_plan[必要数],ROW()-1)),0),
IF(_xlpm.計画状態="キャンセル",0,_xlpm.必要数))</f>
        <v>0</v>
      </c>
      <c r="N175" s="8" t="str">
        <f>IF($A175="","",_xlfn.LET(
_xlpm.搬入計,SUMIFS(tbl_ledger[数量],tbl_ledger[localId],$B175,tbl_ledger[イベント種類],"搬入"),
_xlpm.未割当発送,SUMIFS(tbl_ledger[数量],tbl_ledger[localId],$B175,tbl_ledger[イベント種類],"発送",tbl_ledger[ロットID],"="),
_xlpm.未割当倉庫戻し,SUMIFS(tbl_ledger[数量],tbl_ledger[localId],$B175,tbl_ledger[イベント種類],"倉庫戻し",tbl_ledger[ロットID],"="),
_xlpm.未割当不良,SUMIFS(tbl_ledger[数量],tbl_ledger[localId],$B175,tbl_ledger[イベント種類],"不良発生",tbl_ledger[ロットID],"="),
_xlpm.搬入計-_xlpm.未割当発送-_xlpm.未割当倉庫戻し-_xlpm.未割当不良))</f>
        <v/>
      </c>
      <c r="O175" s="8" t="str">
        <f t="array" ref="O175">IF($A175="","",_xlfn.LET(
_xlpm.同品番,($B$2:$B$301=$B175),
_xlpm.週が前,($C$2:$C$301&lt;$C175),
_xlpm.同週で上行,($C$2:$C$301=$C175)*(ROW($C$2:$C$301)&lt;ROW()),
SUMPRODUCT(_xlpm.同品番*(_xlpm.週が前+_xlpm.同週で上行)*$M$2:$M$301)))</f>
        <v/>
      </c>
    </row>
    <row r="176" spans="1:15" ht="15" customHeight="1" x14ac:dyDescent="0.25">
      <c r="A176" s="4" t="str">
        <f>IFERROR(INDEX(tbl_plan[ロットID],ROW()-1),"")</f>
        <v/>
      </c>
      <c r="B176" s="4" t="str">
        <f>IF($A176="","",INDEX(tbl_plan[localId],ROW()-1))</f>
        <v/>
      </c>
      <c r="C176" s="11" t="str">
        <f>IF($A176="","",INDEX(tbl_plan[出荷週],ROW()-1))</f>
        <v/>
      </c>
      <c r="D176" s="4" t="str">
        <f>IF($A176="","",INDEX(tbl_plan[納期先],ROW()-1)&amp;"")</f>
        <v/>
      </c>
      <c r="E176" s="8" t="str">
        <f>IF($A176="","",INDEX(tbl_plan[必要数],ROW()-1))</f>
        <v/>
      </c>
      <c r="F176" s="8" t="str">
        <f t="shared" si="6"/>
        <v/>
      </c>
      <c r="G176" s="8" t="str">
        <f>IF($A176="","",SUMIFS(tbl_ledger[数量],tbl_ledger[ロットID],$A176,tbl_ledger[イベント種類],"発送"))</f>
        <v/>
      </c>
      <c r="H176" s="8" t="str">
        <f>IF($A176="","",_xlfn.LET(
_xlpm.割当,F176,
_xlpm.充当受入,SUMIFS(tbl_ledger[数量],tbl_ledger[充当先ロットID],$A176,tbl_ledger[イベント種類],"充当"),
_xlpm.充当放出,SUMIFS(tbl_ledger[数量],tbl_ledger[ロットID],$A176,tbl_ledger[イベント種類],"充当"),
_xlpm.発送済,G176,
_xlpm.倉庫戻し,SUMIFS(tbl_ledger[数量],tbl_ledger[ロットID],$A176,tbl_ledger[イベント種類],"倉庫戻し"),
_xlpm.余剰化,SUMIFS(tbl_ledger[数量],tbl_ledger[ロットID],$A176,tbl_ledger[イベント種類],"余剰化"),
_xlpm.不良,SUMIFS(tbl_ledger[数量],tbl_ledger[ロットID],$A176,tbl_ledger[イベント種類],"不良発生"),
_xlpm.割当+_xlpm.充当受入-_xlpm.充当放出-_xlpm.発送済-_xlpm.倉庫戻し-_xlpm.余剰化-_xlpm.不良))</f>
        <v/>
      </c>
      <c r="I176" s="8" t="str">
        <f>IF($A176="","",_xlfn.LET(
_xlpm.品番プール,N176,
_xlpm.割当計,SUMIF($B$2:$B$301,$B176,$F$2:$F$301),
_xlpm.余剰化受入,SUMIFS(tbl_ledger[数量],tbl_ledger[localId],$B176,tbl_ledger[イベント種類],"余剰化"),
_xlpm.充当払出,SUMIFS(tbl_ledger[数量],tbl_ledger[localId],$B176,tbl_ledger[イベント種類],"充当",tbl_ledger[ロットID],"="),
_xlpm.品番プール-_xlpm.割当計+_xlpm.余剰化受入-_xlpm.充当払出))</f>
        <v/>
      </c>
      <c r="J176" s="8" t="str">
        <f t="shared" si="7"/>
        <v/>
      </c>
      <c r="K176" s="8" t="str">
        <f t="shared" si="8"/>
        <v/>
      </c>
      <c r="L176" s="4" t="str">
        <f>IF($A176="","",IF(INDEX(tbl_plan[計画状態],ROW()-1)="キャンセル","キャンセル",IF(J176=0,"発送済",IF(K176&gt;0,"要搬出","OK"))))</f>
        <v/>
      </c>
      <c r="M176" s="8">
        <f t="array" ref="M176">_xlfn.LET(
_xlpm.計画状態,IFERROR(INDEX(tbl_plan[計画状態],ROW()-1)&amp;"",""),
_xlpm.必要数,IFERROR(N(INDEX(tbl_plan[必要数],ROW()-1)),0),
IF(_xlpm.計画状態="キャンセル",0,_xlpm.必要数))</f>
        <v>0</v>
      </c>
      <c r="N176" s="8" t="str">
        <f>IF($A176="","",_xlfn.LET(
_xlpm.搬入計,SUMIFS(tbl_ledger[数量],tbl_ledger[localId],$B176,tbl_ledger[イベント種類],"搬入"),
_xlpm.未割当発送,SUMIFS(tbl_ledger[数量],tbl_ledger[localId],$B176,tbl_ledger[イベント種類],"発送",tbl_ledger[ロットID],"="),
_xlpm.未割当倉庫戻し,SUMIFS(tbl_ledger[数量],tbl_ledger[localId],$B176,tbl_ledger[イベント種類],"倉庫戻し",tbl_ledger[ロットID],"="),
_xlpm.未割当不良,SUMIFS(tbl_ledger[数量],tbl_ledger[localId],$B176,tbl_ledger[イベント種類],"不良発生",tbl_ledger[ロットID],"="),
_xlpm.搬入計-_xlpm.未割当発送-_xlpm.未割当倉庫戻し-_xlpm.未割当不良))</f>
        <v/>
      </c>
      <c r="O176" s="8" t="str">
        <f t="array" ref="O176">IF($A176="","",_xlfn.LET(
_xlpm.同品番,($B$2:$B$301=$B176),
_xlpm.週が前,($C$2:$C$301&lt;$C176),
_xlpm.同週で上行,($C$2:$C$301=$C176)*(ROW($C$2:$C$301)&lt;ROW()),
SUMPRODUCT(_xlpm.同品番*(_xlpm.週が前+_xlpm.同週で上行)*$M$2:$M$301)))</f>
        <v/>
      </c>
    </row>
    <row r="177" spans="1:15" ht="15" customHeight="1" x14ac:dyDescent="0.25">
      <c r="A177" s="4" t="str">
        <f>IFERROR(INDEX(tbl_plan[ロットID],ROW()-1),"")</f>
        <v/>
      </c>
      <c r="B177" s="4" t="str">
        <f>IF($A177="","",INDEX(tbl_plan[localId],ROW()-1))</f>
        <v/>
      </c>
      <c r="C177" s="11" t="str">
        <f>IF($A177="","",INDEX(tbl_plan[出荷週],ROW()-1))</f>
        <v/>
      </c>
      <c r="D177" s="4" t="str">
        <f>IF($A177="","",INDEX(tbl_plan[納期先],ROW()-1)&amp;"")</f>
        <v/>
      </c>
      <c r="E177" s="8" t="str">
        <f>IF($A177="","",INDEX(tbl_plan[必要数],ROW()-1))</f>
        <v/>
      </c>
      <c r="F177" s="8" t="str">
        <f t="shared" si="6"/>
        <v/>
      </c>
      <c r="G177" s="8" t="str">
        <f>IF($A177="","",SUMIFS(tbl_ledger[数量],tbl_ledger[ロットID],$A177,tbl_ledger[イベント種類],"発送"))</f>
        <v/>
      </c>
      <c r="H177" s="8" t="str">
        <f>IF($A177="","",_xlfn.LET(
_xlpm.割当,F177,
_xlpm.充当受入,SUMIFS(tbl_ledger[数量],tbl_ledger[充当先ロットID],$A177,tbl_ledger[イベント種類],"充当"),
_xlpm.充当放出,SUMIFS(tbl_ledger[数量],tbl_ledger[ロットID],$A177,tbl_ledger[イベント種類],"充当"),
_xlpm.発送済,G177,
_xlpm.倉庫戻し,SUMIFS(tbl_ledger[数量],tbl_ledger[ロットID],$A177,tbl_ledger[イベント種類],"倉庫戻し"),
_xlpm.余剰化,SUMIFS(tbl_ledger[数量],tbl_ledger[ロットID],$A177,tbl_ledger[イベント種類],"余剰化"),
_xlpm.不良,SUMIFS(tbl_ledger[数量],tbl_ledger[ロットID],$A177,tbl_ledger[イベント種類],"不良発生"),
_xlpm.割当+_xlpm.充当受入-_xlpm.充当放出-_xlpm.発送済-_xlpm.倉庫戻し-_xlpm.余剰化-_xlpm.不良))</f>
        <v/>
      </c>
      <c r="I177" s="8" t="str">
        <f>IF($A177="","",_xlfn.LET(
_xlpm.品番プール,N177,
_xlpm.割当計,SUMIF($B$2:$B$301,$B177,$F$2:$F$301),
_xlpm.余剰化受入,SUMIFS(tbl_ledger[数量],tbl_ledger[localId],$B177,tbl_ledger[イベント種類],"余剰化"),
_xlpm.充当払出,SUMIFS(tbl_ledger[数量],tbl_ledger[localId],$B177,tbl_ledger[イベント種類],"充当",tbl_ledger[ロットID],"="),
_xlpm.品番プール-_xlpm.割当計+_xlpm.余剰化受入-_xlpm.充当払出))</f>
        <v/>
      </c>
      <c r="J177" s="8" t="str">
        <f t="shared" si="7"/>
        <v/>
      </c>
      <c r="K177" s="8" t="str">
        <f t="shared" si="8"/>
        <v/>
      </c>
      <c r="L177" s="4" t="str">
        <f>IF($A177="","",IF(INDEX(tbl_plan[計画状態],ROW()-1)="キャンセル","キャンセル",IF(J177=0,"発送済",IF(K177&gt;0,"要搬出","OK"))))</f>
        <v/>
      </c>
      <c r="M177" s="8">
        <f t="array" ref="M177">_xlfn.LET(
_xlpm.計画状態,IFERROR(INDEX(tbl_plan[計画状態],ROW()-1)&amp;"",""),
_xlpm.必要数,IFERROR(N(INDEX(tbl_plan[必要数],ROW()-1)),0),
IF(_xlpm.計画状態="キャンセル",0,_xlpm.必要数))</f>
        <v>0</v>
      </c>
      <c r="N177" s="8" t="str">
        <f>IF($A177="","",_xlfn.LET(
_xlpm.搬入計,SUMIFS(tbl_ledger[数量],tbl_ledger[localId],$B177,tbl_ledger[イベント種類],"搬入"),
_xlpm.未割当発送,SUMIFS(tbl_ledger[数量],tbl_ledger[localId],$B177,tbl_ledger[イベント種類],"発送",tbl_ledger[ロットID],"="),
_xlpm.未割当倉庫戻し,SUMIFS(tbl_ledger[数量],tbl_ledger[localId],$B177,tbl_ledger[イベント種類],"倉庫戻し",tbl_ledger[ロットID],"="),
_xlpm.未割当不良,SUMIFS(tbl_ledger[数量],tbl_ledger[localId],$B177,tbl_ledger[イベント種類],"不良発生",tbl_ledger[ロットID],"="),
_xlpm.搬入計-_xlpm.未割当発送-_xlpm.未割当倉庫戻し-_xlpm.未割当不良))</f>
        <v/>
      </c>
      <c r="O177" s="8" t="str">
        <f t="array" ref="O177">IF($A177="","",_xlfn.LET(
_xlpm.同品番,($B$2:$B$301=$B177),
_xlpm.週が前,($C$2:$C$301&lt;$C177),
_xlpm.同週で上行,($C$2:$C$301=$C177)*(ROW($C$2:$C$301)&lt;ROW()),
SUMPRODUCT(_xlpm.同品番*(_xlpm.週が前+_xlpm.同週で上行)*$M$2:$M$301)))</f>
        <v/>
      </c>
    </row>
    <row r="178" spans="1:15" ht="15" customHeight="1" x14ac:dyDescent="0.25">
      <c r="A178" s="4" t="str">
        <f>IFERROR(INDEX(tbl_plan[ロットID],ROW()-1),"")</f>
        <v/>
      </c>
      <c r="B178" s="4" t="str">
        <f>IF($A178="","",INDEX(tbl_plan[localId],ROW()-1))</f>
        <v/>
      </c>
      <c r="C178" s="11" t="str">
        <f>IF($A178="","",INDEX(tbl_plan[出荷週],ROW()-1))</f>
        <v/>
      </c>
      <c r="D178" s="4" t="str">
        <f>IF($A178="","",INDEX(tbl_plan[納期先],ROW()-1)&amp;"")</f>
        <v/>
      </c>
      <c r="E178" s="8" t="str">
        <f>IF($A178="","",INDEX(tbl_plan[必要数],ROW()-1))</f>
        <v/>
      </c>
      <c r="F178" s="8" t="str">
        <f t="shared" si="6"/>
        <v/>
      </c>
      <c r="G178" s="8" t="str">
        <f>IF($A178="","",SUMIFS(tbl_ledger[数量],tbl_ledger[ロットID],$A178,tbl_ledger[イベント種類],"発送"))</f>
        <v/>
      </c>
      <c r="H178" s="8" t="str">
        <f>IF($A178="","",_xlfn.LET(
_xlpm.割当,F178,
_xlpm.充当受入,SUMIFS(tbl_ledger[数量],tbl_ledger[充当先ロットID],$A178,tbl_ledger[イベント種類],"充当"),
_xlpm.充当放出,SUMIFS(tbl_ledger[数量],tbl_ledger[ロットID],$A178,tbl_ledger[イベント種類],"充当"),
_xlpm.発送済,G178,
_xlpm.倉庫戻し,SUMIFS(tbl_ledger[数量],tbl_ledger[ロットID],$A178,tbl_ledger[イベント種類],"倉庫戻し"),
_xlpm.余剰化,SUMIFS(tbl_ledger[数量],tbl_ledger[ロットID],$A178,tbl_ledger[イベント種類],"余剰化"),
_xlpm.不良,SUMIFS(tbl_ledger[数量],tbl_ledger[ロットID],$A178,tbl_ledger[イベント種類],"不良発生"),
_xlpm.割当+_xlpm.充当受入-_xlpm.充当放出-_xlpm.発送済-_xlpm.倉庫戻し-_xlpm.余剰化-_xlpm.不良))</f>
        <v/>
      </c>
      <c r="I178" s="8" t="str">
        <f>IF($A178="","",_xlfn.LET(
_xlpm.品番プール,N178,
_xlpm.割当計,SUMIF($B$2:$B$301,$B178,$F$2:$F$301),
_xlpm.余剰化受入,SUMIFS(tbl_ledger[数量],tbl_ledger[localId],$B178,tbl_ledger[イベント種類],"余剰化"),
_xlpm.充当払出,SUMIFS(tbl_ledger[数量],tbl_ledger[localId],$B178,tbl_ledger[イベント種類],"充当",tbl_ledger[ロットID],"="),
_xlpm.品番プール-_xlpm.割当計+_xlpm.余剰化受入-_xlpm.充当払出))</f>
        <v/>
      </c>
      <c r="J178" s="8" t="str">
        <f t="shared" si="7"/>
        <v/>
      </c>
      <c r="K178" s="8" t="str">
        <f t="shared" si="8"/>
        <v/>
      </c>
      <c r="L178" s="4" t="str">
        <f>IF($A178="","",IF(INDEX(tbl_plan[計画状態],ROW()-1)="キャンセル","キャンセル",IF(J178=0,"発送済",IF(K178&gt;0,"要搬出","OK"))))</f>
        <v/>
      </c>
      <c r="M178" s="8">
        <f t="array" ref="M178">_xlfn.LET(
_xlpm.計画状態,IFERROR(INDEX(tbl_plan[計画状態],ROW()-1)&amp;"",""),
_xlpm.必要数,IFERROR(N(INDEX(tbl_plan[必要数],ROW()-1)),0),
IF(_xlpm.計画状態="キャンセル",0,_xlpm.必要数))</f>
        <v>0</v>
      </c>
      <c r="N178" s="8" t="str">
        <f>IF($A178="","",_xlfn.LET(
_xlpm.搬入計,SUMIFS(tbl_ledger[数量],tbl_ledger[localId],$B178,tbl_ledger[イベント種類],"搬入"),
_xlpm.未割当発送,SUMIFS(tbl_ledger[数量],tbl_ledger[localId],$B178,tbl_ledger[イベント種類],"発送",tbl_ledger[ロットID],"="),
_xlpm.未割当倉庫戻し,SUMIFS(tbl_ledger[数量],tbl_ledger[localId],$B178,tbl_ledger[イベント種類],"倉庫戻し",tbl_ledger[ロットID],"="),
_xlpm.未割当不良,SUMIFS(tbl_ledger[数量],tbl_ledger[localId],$B178,tbl_ledger[イベント種類],"不良発生",tbl_ledger[ロットID],"="),
_xlpm.搬入計-_xlpm.未割当発送-_xlpm.未割当倉庫戻し-_xlpm.未割当不良))</f>
        <v/>
      </c>
      <c r="O178" s="8" t="str">
        <f t="array" ref="O178">IF($A178="","",_xlfn.LET(
_xlpm.同品番,($B$2:$B$301=$B178),
_xlpm.週が前,($C$2:$C$301&lt;$C178),
_xlpm.同週で上行,($C$2:$C$301=$C178)*(ROW($C$2:$C$301)&lt;ROW()),
SUMPRODUCT(_xlpm.同品番*(_xlpm.週が前+_xlpm.同週で上行)*$M$2:$M$301)))</f>
        <v/>
      </c>
    </row>
    <row r="179" spans="1:15" ht="15" customHeight="1" x14ac:dyDescent="0.25">
      <c r="A179" s="4" t="str">
        <f>IFERROR(INDEX(tbl_plan[ロットID],ROW()-1),"")</f>
        <v/>
      </c>
      <c r="B179" s="4" t="str">
        <f>IF($A179="","",INDEX(tbl_plan[localId],ROW()-1))</f>
        <v/>
      </c>
      <c r="C179" s="11" t="str">
        <f>IF($A179="","",INDEX(tbl_plan[出荷週],ROW()-1))</f>
        <v/>
      </c>
      <c r="D179" s="4" t="str">
        <f>IF($A179="","",INDEX(tbl_plan[納期先],ROW()-1)&amp;"")</f>
        <v/>
      </c>
      <c r="E179" s="8" t="str">
        <f>IF($A179="","",INDEX(tbl_plan[必要数],ROW()-1))</f>
        <v/>
      </c>
      <c r="F179" s="8" t="str">
        <f t="shared" si="6"/>
        <v/>
      </c>
      <c r="G179" s="8" t="str">
        <f>IF($A179="","",SUMIFS(tbl_ledger[数量],tbl_ledger[ロットID],$A179,tbl_ledger[イベント種類],"発送"))</f>
        <v/>
      </c>
      <c r="H179" s="8" t="str">
        <f>IF($A179="","",_xlfn.LET(
_xlpm.割当,F179,
_xlpm.充当受入,SUMIFS(tbl_ledger[数量],tbl_ledger[充当先ロットID],$A179,tbl_ledger[イベント種類],"充当"),
_xlpm.充当放出,SUMIFS(tbl_ledger[数量],tbl_ledger[ロットID],$A179,tbl_ledger[イベント種類],"充当"),
_xlpm.発送済,G179,
_xlpm.倉庫戻し,SUMIFS(tbl_ledger[数量],tbl_ledger[ロットID],$A179,tbl_ledger[イベント種類],"倉庫戻し"),
_xlpm.余剰化,SUMIFS(tbl_ledger[数量],tbl_ledger[ロットID],$A179,tbl_ledger[イベント種類],"余剰化"),
_xlpm.不良,SUMIFS(tbl_ledger[数量],tbl_ledger[ロットID],$A179,tbl_ledger[イベント種類],"不良発生"),
_xlpm.割当+_xlpm.充当受入-_xlpm.充当放出-_xlpm.発送済-_xlpm.倉庫戻し-_xlpm.余剰化-_xlpm.不良))</f>
        <v/>
      </c>
      <c r="I179" s="8" t="str">
        <f>IF($A179="","",_xlfn.LET(
_xlpm.品番プール,N179,
_xlpm.割当計,SUMIF($B$2:$B$301,$B179,$F$2:$F$301),
_xlpm.余剰化受入,SUMIFS(tbl_ledger[数量],tbl_ledger[localId],$B179,tbl_ledger[イベント種類],"余剰化"),
_xlpm.充当払出,SUMIFS(tbl_ledger[数量],tbl_ledger[localId],$B179,tbl_ledger[イベント種類],"充当",tbl_ledger[ロットID],"="),
_xlpm.品番プール-_xlpm.割当計+_xlpm.余剰化受入-_xlpm.充当払出))</f>
        <v/>
      </c>
      <c r="J179" s="8" t="str">
        <f t="shared" si="7"/>
        <v/>
      </c>
      <c r="K179" s="8" t="str">
        <f t="shared" si="8"/>
        <v/>
      </c>
      <c r="L179" s="4" t="str">
        <f>IF($A179="","",IF(INDEX(tbl_plan[計画状態],ROW()-1)="キャンセル","キャンセル",IF(J179=0,"発送済",IF(K179&gt;0,"要搬出","OK"))))</f>
        <v/>
      </c>
      <c r="M179" s="8">
        <f t="array" ref="M179">_xlfn.LET(
_xlpm.計画状態,IFERROR(INDEX(tbl_plan[計画状態],ROW()-1)&amp;"",""),
_xlpm.必要数,IFERROR(N(INDEX(tbl_plan[必要数],ROW()-1)),0),
IF(_xlpm.計画状態="キャンセル",0,_xlpm.必要数))</f>
        <v>0</v>
      </c>
      <c r="N179" s="8" t="str">
        <f>IF($A179="","",_xlfn.LET(
_xlpm.搬入計,SUMIFS(tbl_ledger[数量],tbl_ledger[localId],$B179,tbl_ledger[イベント種類],"搬入"),
_xlpm.未割当発送,SUMIFS(tbl_ledger[数量],tbl_ledger[localId],$B179,tbl_ledger[イベント種類],"発送",tbl_ledger[ロットID],"="),
_xlpm.未割当倉庫戻し,SUMIFS(tbl_ledger[数量],tbl_ledger[localId],$B179,tbl_ledger[イベント種類],"倉庫戻し",tbl_ledger[ロットID],"="),
_xlpm.未割当不良,SUMIFS(tbl_ledger[数量],tbl_ledger[localId],$B179,tbl_ledger[イベント種類],"不良発生",tbl_ledger[ロットID],"="),
_xlpm.搬入計-_xlpm.未割当発送-_xlpm.未割当倉庫戻し-_xlpm.未割当不良))</f>
        <v/>
      </c>
      <c r="O179" s="8" t="str">
        <f t="array" ref="O179">IF($A179="","",_xlfn.LET(
_xlpm.同品番,($B$2:$B$301=$B179),
_xlpm.週が前,($C$2:$C$301&lt;$C179),
_xlpm.同週で上行,($C$2:$C$301=$C179)*(ROW($C$2:$C$301)&lt;ROW()),
SUMPRODUCT(_xlpm.同品番*(_xlpm.週が前+_xlpm.同週で上行)*$M$2:$M$301)))</f>
        <v/>
      </c>
    </row>
    <row r="180" spans="1:15" ht="15" customHeight="1" x14ac:dyDescent="0.25">
      <c r="A180" s="4" t="str">
        <f>IFERROR(INDEX(tbl_plan[ロットID],ROW()-1),"")</f>
        <v/>
      </c>
      <c r="B180" s="4" t="str">
        <f>IF($A180="","",INDEX(tbl_plan[localId],ROW()-1))</f>
        <v/>
      </c>
      <c r="C180" s="11" t="str">
        <f>IF($A180="","",INDEX(tbl_plan[出荷週],ROW()-1))</f>
        <v/>
      </c>
      <c r="D180" s="4" t="str">
        <f>IF($A180="","",INDEX(tbl_plan[納期先],ROW()-1)&amp;"")</f>
        <v/>
      </c>
      <c r="E180" s="8" t="str">
        <f>IF($A180="","",INDEX(tbl_plan[必要数],ROW()-1))</f>
        <v/>
      </c>
      <c r="F180" s="8" t="str">
        <f t="shared" si="6"/>
        <v/>
      </c>
      <c r="G180" s="8" t="str">
        <f>IF($A180="","",SUMIFS(tbl_ledger[数量],tbl_ledger[ロットID],$A180,tbl_ledger[イベント種類],"発送"))</f>
        <v/>
      </c>
      <c r="H180" s="8" t="str">
        <f>IF($A180="","",_xlfn.LET(
_xlpm.割当,F180,
_xlpm.充当受入,SUMIFS(tbl_ledger[数量],tbl_ledger[充当先ロットID],$A180,tbl_ledger[イベント種類],"充当"),
_xlpm.充当放出,SUMIFS(tbl_ledger[数量],tbl_ledger[ロットID],$A180,tbl_ledger[イベント種類],"充当"),
_xlpm.発送済,G180,
_xlpm.倉庫戻し,SUMIFS(tbl_ledger[数量],tbl_ledger[ロットID],$A180,tbl_ledger[イベント種類],"倉庫戻し"),
_xlpm.余剰化,SUMIFS(tbl_ledger[数量],tbl_ledger[ロットID],$A180,tbl_ledger[イベント種類],"余剰化"),
_xlpm.不良,SUMIFS(tbl_ledger[数量],tbl_ledger[ロットID],$A180,tbl_ledger[イベント種類],"不良発生"),
_xlpm.割当+_xlpm.充当受入-_xlpm.充当放出-_xlpm.発送済-_xlpm.倉庫戻し-_xlpm.余剰化-_xlpm.不良))</f>
        <v/>
      </c>
      <c r="I180" s="8" t="str">
        <f>IF($A180="","",_xlfn.LET(
_xlpm.品番プール,N180,
_xlpm.割当計,SUMIF($B$2:$B$301,$B180,$F$2:$F$301),
_xlpm.余剰化受入,SUMIFS(tbl_ledger[数量],tbl_ledger[localId],$B180,tbl_ledger[イベント種類],"余剰化"),
_xlpm.充当払出,SUMIFS(tbl_ledger[数量],tbl_ledger[localId],$B180,tbl_ledger[イベント種類],"充当",tbl_ledger[ロットID],"="),
_xlpm.品番プール-_xlpm.割当計+_xlpm.余剰化受入-_xlpm.充当払出))</f>
        <v/>
      </c>
      <c r="J180" s="8" t="str">
        <f t="shared" si="7"/>
        <v/>
      </c>
      <c r="K180" s="8" t="str">
        <f t="shared" si="8"/>
        <v/>
      </c>
      <c r="L180" s="4" t="str">
        <f>IF($A180="","",IF(INDEX(tbl_plan[計画状態],ROW()-1)="キャンセル","キャンセル",IF(J180=0,"発送済",IF(K180&gt;0,"要搬出","OK"))))</f>
        <v/>
      </c>
      <c r="M180" s="8">
        <f t="array" ref="M180">_xlfn.LET(
_xlpm.計画状態,IFERROR(INDEX(tbl_plan[計画状態],ROW()-1)&amp;"",""),
_xlpm.必要数,IFERROR(N(INDEX(tbl_plan[必要数],ROW()-1)),0),
IF(_xlpm.計画状態="キャンセル",0,_xlpm.必要数))</f>
        <v>0</v>
      </c>
      <c r="N180" s="8" t="str">
        <f>IF($A180="","",_xlfn.LET(
_xlpm.搬入計,SUMIFS(tbl_ledger[数量],tbl_ledger[localId],$B180,tbl_ledger[イベント種類],"搬入"),
_xlpm.未割当発送,SUMIFS(tbl_ledger[数量],tbl_ledger[localId],$B180,tbl_ledger[イベント種類],"発送",tbl_ledger[ロットID],"="),
_xlpm.未割当倉庫戻し,SUMIFS(tbl_ledger[数量],tbl_ledger[localId],$B180,tbl_ledger[イベント種類],"倉庫戻し",tbl_ledger[ロットID],"="),
_xlpm.未割当不良,SUMIFS(tbl_ledger[数量],tbl_ledger[localId],$B180,tbl_ledger[イベント種類],"不良発生",tbl_ledger[ロットID],"="),
_xlpm.搬入計-_xlpm.未割当発送-_xlpm.未割当倉庫戻し-_xlpm.未割当不良))</f>
        <v/>
      </c>
      <c r="O180" s="8" t="str">
        <f t="array" ref="O180">IF($A180="","",_xlfn.LET(
_xlpm.同品番,($B$2:$B$301=$B180),
_xlpm.週が前,($C$2:$C$301&lt;$C180),
_xlpm.同週で上行,($C$2:$C$301=$C180)*(ROW($C$2:$C$301)&lt;ROW()),
SUMPRODUCT(_xlpm.同品番*(_xlpm.週が前+_xlpm.同週で上行)*$M$2:$M$301)))</f>
        <v/>
      </c>
    </row>
    <row r="181" spans="1:15" ht="15" customHeight="1" x14ac:dyDescent="0.25">
      <c r="A181" s="4" t="str">
        <f>IFERROR(INDEX(tbl_plan[ロットID],ROW()-1),"")</f>
        <v/>
      </c>
      <c r="B181" s="4" t="str">
        <f>IF($A181="","",INDEX(tbl_plan[localId],ROW()-1))</f>
        <v/>
      </c>
      <c r="C181" s="11" t="str">
        <f>IF($A181="","",INDEX(tbl_plan[出荷週],ROW()-1))</f>
        <v/>
      </c>
      <c r="D181" s="4" t="str">
        <f>IF($A181="","",INDEX(tbl_plan[納期先],ROW()-1)&amp;"")</f>
        <v/>
      </c>
      <c r="E181" s="8" t="str">
        <f>IF($A181="","",INDEX(tbl_plan[必要数],ROW()-1))</f>
        <v/>
      </c>
      <c r="F181" s="8" t="str">
        <f t="shared" si="6"/>
        <v/>
      </c>
      <c r="G181" s="8" t="str">
        <f>IF($A181="","",SUMIFS(tbl_ledger[数量],tbl_ledger[ロットID],$A181,tbl_ledger[イベント種類],"発送"))</f>
        <v/>
      </c>
      <c r="H181" s="8" t="str">
        <f>IF($A181="","",_xlfn.LET(
_xlpm.割当,F181,
_xlpm.充当受入,SUMIFS(tbl_ledger[数量],tbl_ledger[充当先ロットID],$A181,tbl_ledger[イベント種類],"充当"),
_xlpm.充当放出,SUMIFS(tbl_ledger[数量],tbl_ledger[ロットID],$A181,tbl_ledger[イベント種類],"充当"),
_xlpm.発送済,G181,
_xlpm.倉庫戻し,SUMIFS(tbl_ledger[数量],tbl_ledger[ロットID],$A181,tbl_ledger[イベント種類],"倉庫戻し"),
_xlpm.余剰化,SUMIFS(tbl_ledger[数量],tbl_ledger[ロットID],$A181,tbl_ledger[イベント種類],"余剰化"),
_xlpm.不良,SUMIFS(tbl_ledger[数量],tbl_ledger[ロットID],$A181,tbl_ledger[イベント種類],"不良発生"),
_xlpm.割当+_xlpm.充当受入-_xlpm.充当放出-_xlpm.発送済-_xlpm.倉庫戻し-_xlpm.余剰化-_xlpm.不良))</f>
        <v/>
      </c>
      <c r="I181" s="8" t="str">
        <f>IF($A181="","",_xlfn.LET(
_xlpm.品番プール,N181,
_xlpm.割当計,SUMIF($B$2:$B$301,$B181,$F$2:$F$301),
_xlpm.余剰化受入,SUMIFS(tbl_ledger[数量],tbl_ledger[localId],$B181,tbl_ledger[イベント種類],"余剰化"),
_xlpm.充当払出,SUMIFS(tbl_ledger[数量],tbl_ledger[localId],$B181,tbl_ledger[イベント種類],"充当",tbl_ledger[ロットID],"="),
_xlpm.品番プール-_xlpm.割当計+_xlpm.余剰化受入-_xlpm.充当払出))</f>
        <v/>
      </c>
      <c r="J181" s="8" t="str">
        <f t="shared" si="7"/>
        <v/>
      </c>
      <c r="K181" s="8" t="str">
        <f t="shared" si="8"/>
        <v/>
      </c>
      <c r="L181" s="4" t="str">
        <f>IF($A181="","",IF(INDEX(tbl_plan[計画状態],ROW()-1)="キャンセル","キャンセル",IF(J181=0,"発送済",IF(K181&gt;0,"要搬出","OK"))))</f>
        <v/>
      </c>
      <c r="M181" s="8">
        <f t="array" ref="M181">_xlfn.LET(
_xlpm.計画状態,IFERROR(INDEX(tbl_plan[計画状態],ROW()-1)&amp;"",""),
_xlpm.必要数,IFERROR(N(INDEX(tbl_plan[必要数],ROW()-1)),0),
IF(_xlpm.計画状態="キャンセル",0,_xlpm.必要数))</f>
        <v>0</v>
      </c>
      <c r="N181" s="8" t="str">
        <f>IF($A181="","",_xlfn.LET(
_xlpm.搬入計,SUMIFS(tbl_ledger[数量],tbl_ledger[localId],$B181,tbl_ledger[イベント種類],"搬入"),
_xlpm.未割当発送,SUMIFS(tbl_ledger[数量],tbl_ledger[localId],$B181,tbl_ledger[イベント種類],"発送",tbl_ledger[ロットID],"="),
_xlpm.未割当倉庫戻し,SUMIFS(tbl_ledger[数量],tbl_ledger[localId],$B181,tbl_ledger[イベント種類],"倉庫戻し",tbl_ledger[ロットID],"="),
_xlpm.未割当不良,SUMIFS(tbl_ledger[数量],tbl_ledger[localId],$B181,tbl_ledger[イベント種類],"不良発生",tbl_ledger[ロットID],"="),
_xlpm.搬入計-_xlpm.未割当発送-_xlpm.未割当倉庫戻し-_xlpm.未割当不良))</f>
        <v/>
      </c>
      <c r="O181" s="8" t="str">
        <f t="array" ref="O181">IF($A181="","",_xlfn.LET(
_xlpm.同品番,($B$2:$B$301=$B181),
_xlpm.週が前,($C$2:$C$301&lt;$C181),
_xlpm.同週で上行,($C$2:$C$301=$C181)*(ROW($C$2:$C$301)&lt;ROW()),
SUMPRODUCT(_xlpm.同品番*(_xlpm.週が前+_xlpm.同週で上行)*$M$2:$M$301)))</f>
        <v/>
      </c>
    </row>
    <row r="182" spans="1:15" ht="15" customHeight="1" x14ac:dyDescent="0.25">
      <c r="A182" s="4" t="str">
        <f>IFERROR(INDEX(tbl_plan[ロットID],ROW()-1),"")</f>
        <v/>
      </c>
      <c r="B182" s="4" t="str">
        <f>IF($A182="","",INDEX(tbl_plan[localId],ROW()-1))</f>
        <v/>
      </c>
      <c r="C182" s="11" t="str">
        <f>IF($A182="","",INDEX(tbl_plan[出荷週],ROW()-1))</f>
        <v/>
      </c>
      <c r="D182" s="4" t="str">
        <f>IF($A182="","",INDEX(tbl_plan[納期先],ROW()-1)&amp;"")</f>
        <v/>
      </c>
      <c r="E182" s="8" t="str">
        <f>IF($A182="","",INDEX(tbl_plan[必要数],ROW()-1))</f>
        <v/>
      </c>
      <c r="F182" s="8" t="str">
        <f t="shared" si="6"/>
        <v/>
      </c>
      <c r="G182" s="8" t="str">
        <f>IF($A182="","",SUMIFS(tbl_ledger[数量],tbl_ledger[ロットID],$A182,tbl_ledger[イベント種類],"発送"))</f>
        <v/>
      </c>
      <c r="H182" s="8" t="str">
        <f>IF($A182="","",_xlfn.LET(
_xlpm.割当,F182,
_xlpm.充当受入,SUMIFS(tbl_ledger[数量],tbl_ledger[充当先ロットID],$A182,tbl_ledger[イベント種類],"充当"),
_xlpm.充当放出,SUMIFS(tbl_ledger[数量],tbl_ledger[ロットID],$A182,tbl_ledger[イベント種類],"充当"),
_xlpm.発送済,G182,
_xlpm.倉庫戻し,SUMIFS(tbl_ledger[数量],tbl_ledger[ロットID],$A182,tbl_ledger[イベント種類],"倉庫戻し"),
_xlpm.余剰化,SUMIFS(tbl_ledger[数量],tbl_ledger[ロットID],$A182,tbl_ledger[イベント種類],"余剰化"),
_xlpm.不良,SUMIFS(tbl_ledger[数量],tbl_ledger[ロットID],$A182,tbl_ledger[イベント種類],"不良発生"),
_xlpm.割当+_xlpm.充当受入-_xlpm.充当放出-_xlpm.発送済-_xlpm.倉庫戻し-_xlpm.余剰化-_xlpm.不良))</f>
        <v/>
      </c>
      <c r="I182" s="8" t="str">
        <f>IF($A182="","",_xlfn.LET(
_xlpm.品番プール,N182,
_xlpm.割当計,SUMIF($B$2:$B$301,$B182,$F$2:$F$301),
_xlpm.余剰化受入,SUMIFS(tbl_ledger[数量],tbl_ledger[localId],$B182,tbl_ledger[イベント種類],"余剰化"),
_xlpm.充当払出,SUMIFS(tbl_ledger[数量],tbl_ledger[localId],$B182,tbl_ledger[イベント種類],"充当",tbl_ledger[ロットID],"="),
_xlpm.品番プール-_xlpm.割当計+_xlpm.余剰化受入-_xlpm.充当払出))</f>
        <v/>
      </c>
      <c r="J182" s="8" t="str">
        <f t="shared" si="7"/>
        <v/>
      </c>
      <c r="K182" s="8" t="str">
        <f t="shared" si="8"/>
        <v/>
      </c>
      <c r="L182" s="4" t="str">
        <f>IF($A182="","",IF(INDEX(tbl_plan[計画状態],ROW()-1)="キャンセル","キャンセル",IF(J182=0,"発送済",IF(K182&gt;0,"要搬出","OK"))))</f>
        <v/>
      </c>
      <c r="M182" s="8">
        <f t="array" ref="M182">_xlfn.LET(
_xlpm.計画状態,IFERROR(INDEX(tbl_plan[計画状態],ROW()-1)&amp;"",""),
_xlpm.必要数,IFERROR(N(INDEX(tbl_plan[必要数],ROW()-1)),0),
IF(_xlpm.計画状態="キャンセル",0,_xlpm.必要数))</f>
        <v>0</v>
      </c>
      <c r="N182" s="8" t="str">
        <f>IF($A182="","",_xlfn.LET(
_xlpm.搬入計,SUMIFS(tbl_ledger[数量],tbl_ledger[localId],$B182,tbl_ledger[イベント種類],"搬入"),
_xlpm.未割当発送,SUMIFS(tbl_ledger[数量],tbl_ledger[localId],$B182,tbl_ledger[イベント種類],"発送",tbl_ledger[ロットID],"="),
_xlpm.未割当倉庫戻し,SUMIFS(tbl_ledger[数量],tbl_ledger[localId],$B182,tbl_ledger[イベント種類],"倉庫戻し",tbl_ledger[ロットID],"="),
_xlpm.未割当不良,SUMIFS(tbl_ledger[数量],tbl_ledger[localId],$B182,tbl_ledger[イベント種類],"不良発生",tbl_ledger[ロットID],"="),
_xlpm.搬入計-_xlpm.未割当発送-_xlpm.未割当倉庫戻し-_xlpm.未割当不良))</f>
        <v/>
      </c>
      <c r="O182" s="8" t="str">
        <f t="array" ref="O182">IF($A182="","",_xlfn.LET(
_xlpm.同品番,($B$2:$B$301=$B182),
_xlpm.週が前,($C$2:$C$301&lt;$C182),
_xlpm.同週で上行,($C$2:$C$301=$C182)*(ROW($C$2:$C$301)&lt;ROW()),
SUMPRODUCT(_xlpm.同品番*(_xlpm.週が前+_xlpm.同週で上行)*$M$2:$M$301)))</f>
        <v/>
      </c>
    </row>
    <row r="183" spans="1:15" ht="15" customHeight="1" x14ac:dyDescent="0.25">
      <c r="A183" s="4" t="str">
        <f>IFERROR(INDEX(tbl_plan[ロットID],ROW()-1),"")</f>
        <v/>
      </c>
      <c r="B183" s="4" t="str">
        <f>IF($A183="","",INDEX(tbl_plan[localId],ROW()-1))</f>
        <v/>
      </c>
      <c r="C183" s="11" t="str">
        <f>IF($A183="","",INDEX(tbl_plan[出荷週],ROW()-1))</f>
        <v/>
      </c>
      <c r="D183" s="4" t="str">
        <f>IF($A183="","",INDEX(tbl_plan[納期先],ROW()-1)&amp;"")</f>
        <v/>
      </c>
      <c r="E183" s="8" t="str">
        <f>IF($A183="","",INDEX(tbl_plan[必要数],ROW()-1))</f>
        <v/>
      </c>
      <c r="F183" s="8" t="str">
        <f t="shared" si="6"/>
        <v/>
      </c>
      <c r="G183" s="8" t="str">
        <f>IF($A183="","",SUMIFS(tbl_ledger[数量],tbl_ledger[ロットID],$A183,tbl_ledger[イベント種類],"発送"))</f>
        <v/>
      </c>
      <c r="H183" s="8" t="str">
        <f>IF($A183="","",_xlfn.LET(
_xlpm.割当,F183,
_xlpm.充当受入,SUMIFS(tbl_ledger[数量],tbl_ledger[充当先ロットID],$A183,tbl_ledger[イベント種類],"充当"),
_xlpm.充当放出,SUMIFS(tbl_ledger[数量],tbl_ledger[ロットID],$A183,tbl_ledger[イベント種類],"充当"),
_xlpm.発送済,G183,
_xlpm.倉庫戻し,SUMIFS(tbl_ledger[数量],tbl_ledger[ロットID],$A183,tbl_ledger[イベント種類],"倉庫戻し"),
_xlpm.余剰化,SUMIFS(tbl_ledger[数量],tbl_ledger[ロットID],$A183,tbl_ledger[イベント種類],"余剰化"),
_xlpm.不良,SUMIFS(tbl_ledger[数量],tbl_ledger[ロットID],$A183,tbl_ledger[イベント種類],"不良発生"),
_xlpm.割当+_xlpm.充当受入-_xlpm.充当放出-_xlpm.発送済-_xlpm.倉庫戻し-_xlpm.余剰化-_xlpm.不良))</f>
        <v/>
      </c>
      <c r="I183" s="8" t="str">
        <f>IF($A183="","",_xlfn.LET(
_xlpm.品番プール,N183,
_xlpm.割当計,SUMIF($B$2:$B$301,$B183,$F$2:$F$301),
_xlpm.余剰化受入,SUMIFS(tbl_ledger[数量],tbl_ledger[localId],$B183,tbl_ledger[イベント種類],"余剰化"),
_xlpm.充当払出,SUMIFS(tbl_ledger[数量],tbl_ledger[localId],$B183,tbl_ledger[イベント種類],"充当",tbl_ledger[ロットID],"="),
_xlpm.品番プール-_xlpm.割当計+_xlpm.余剰化受入-_xlpm.充当払出))</f>
        <v/>
      </c>
      <c r="J183" s="8" t="str">
        <f t="shared" si="7"/>
        <v/>
      </c>
      <c r="K183" s="8" t="str">
        <f t="shared" si="8"/>
        <v/>
      </c>
      <c r="L183" s="4" t="str">
        <f>IF($A183="","",IF(INDEX(tbl_plan[計画状態],ROW()-1)="キャンセル","キャンセル",IF(J183=0,"発送済",IF(K183&gt;0,"要搬出","OK"))))</f>
        <v/>
      </c>
      <c r="M183" s="8">
        <f t="array" ref="M183">_xlfn.LET(
_xlpm.計画状態,IFERROR(INDEX(tbl_plan[計画状態],ROW()-1)&amp;"",""),
_xlpm.必要数,IFERROR(N(INDEX(tbl_plan[必要数],ROW()-1)),0),
IF(_xlpm.計画状態="キャンセル",0,_xlpm.必要数))</f>
        <v>0</v>
      </c>
      <c r="N183" s="8" t="str">
        <f>IF($A183="","",_xlfn.LET(
_xlpm.搬入計,SUMIFS(tbl_ledger[数量],tbl_ledger[localId],$B183,tbl_ledger[イベント種類],"搬入"),
_xlpm.未割当発送,SUMIFS(tbl_ledger[数量],tbl_ledger[localId],$B183,tbl_ledger[イベント種類],"発送",tbl_ledger[ロットID],"="),
_xlpm.未割当倉庫戻し,SUMIFS(tbl_ledger[数量],tbl_ledger[localId],$B183,tbl_ledger[イベント種類],"倉庫戻し",tbl_ledger[ロットID],"="),
_xlpm.未割当不良,SUMIFS(tbl_ledger[数量],tbl_ledger[localId],$B183,tbl_ledger[イベント種類],"不良発生",tbl_ledger[ロットID],"="),
_xlpm.搬入計-_xlpm.未割当発送-_xlpm.未割当倉庫戻し-_xlpm.未割当不良))</f>
        <v/>
      </c>
      <c r="O183" s="8" t="str">
        <f t="array" ref="O183">IF($A183="","",_xlfn.LET(
_xlpm.同品番,($B$2:$B$301=$B183),
_xlpm.週が前,($C$2:$C$301&lt;$C183),
_xlpm.同週で上行,($C$2:$C$301=$C183)*(ROW($C$2:$C$301)&lt;ROW()),
SUMPRODUCT(_xlpm.同品番*(_xlpm.週が前+_xlpm.同週で上行)*$M$2:$M$301)))</f>
        <v/>
      </c>
    </row>
    <row r="184" spans="1:15" ht="15" customHeight="1" x14ac:dyDescent="0.25">
      <c r="A184" s="4" t="str">
        <f>IFERROR(INDEX(tbl_plan[ロットID],ROW()-1),"")</f>
        <v/>
      </c>
      <c r="B184" s="4" t="str">
        <f>IF($A184="","",INDEX(tbl_plan[localId],ROW()-1))</f>
        <v/>
      </c>
      <c r="C184" s="11" t="str">
        <f>IF($A184="","",INDEX(tbl_plan[出荷週],ROW()-1))</f>
        <v/>
      </c>
      <c r="D184" s="4" t="str">
        <f>IF($A184="","",INDEX(tbl_plan[納期先],ROW()-1)&amp;"")</f>
        <v/>
      </c>
      <c r="E184" s="8" t="str">
        <f>IF($A184="","",INDEX(tbl_plan[必要数],ROW()-1))</f>
        <v/>
      </c>
      <c r="F184" s="8" t="str">
        <f t="shared" si="6"/>
        <v/>
      </c>
      <c r="G184" s="8" t="str">
        <f>IF($A184="","",SUMIFS(tbl_ledger[数量],tbl_ledger[ロットID],$A184,tbl_ledger[イベント種類],"発送"))</f>
        <v/>
      </c>
      <c r="H184" s="8" t="str">
        <f>IF($A184="","",_xlfn.LET(
_xlpm.割当,F184,
_xlpm.充当受入,SUMIFS(tbl_ledger[数量],tbl_ledger[充当先ロットID],$A184,tbl_ledger[イベント種類],"充当"),
_xlpm.充当放出,SUMIFS(tbl_ledger[数量],tbl_ledger[ロットID],$A184,tbl_ledger[イベント種類],"充当"),
_xlpm.発送済,G184,
_xlpm.倉庫戻し,SUMIFS(tbl_ledger[数量],tbl_ledger[ロットID],$A184,tbl_ledger[イベント種類],"倉庫戻し"),
_xlpm.余剰化,SUMIFS(tbl_ledger[数量],tbl_ledger[ロットID],$A184,tbl_ledger[イベント種類],"余剰化"),
_xlpm.不良,SUMIFS(tbl_ledger[数量],tbl_ledger[ロットID],$A184,tbl_ledger[イベント種類],"不良発生"),
_xlpm.割当+_xlpm.充当受入-_xlpm.充当放出-_xlpm.発送済-_xlpm.倉庫戻し-_xlpm.余剰化-_xlpm.不良))</f>
        <v/>
      </c>
      <c r="I184" s="8" t="str">
        <f>IF($A184="","",_xlfn.LET(
_xlpm.品番プール,N184,
_xlpm.割当計,SUMIF($B$2:$B$301,$B184,$F$2:$F$301),
_xlpm.余剰化受入,SUMIFS(tbl_ledger[数量],tbl_ledger[localId],$B184,tbl_ledger[イベント種類],"余剰化"),
_xlpm.充当払出,SUMIFS(tbl_ledger[数量],tbl_ledger[localId],$B184,tbl_ledger[イベント種類],"充当",tbl_ledger[ロットID],"="),
_xlpm.品番プール-_xlpm.割当計+_xlpm.余剰化受入-_xlpm.充当払出))</f>
        <v/>
      </c>
      <c r="J184" s="8" t="str">
        <f t="shared" si="7"/>
        <v/>
      </c>
      <c r="K184" s="8" t="str">
        <f t="shared" si="8"/>
        <v/>
      </c>
      <c r="L184" s="4" t="str">
        <f>IF($A184="","",IF(INDEX(tbl_plan[計画状態],ROW()-1)="キャンセル","キャンセル",IF(J184=0,"発送済",IF(K184&gt;0,"要搬出","OK"))))</f>
        <v/>
      </c>
      <c r="M184" s="8">
        <f t="array" ref="M184">_xlfn.LET(
_xlpm.計画状態,IFERROR(INDEX(tbl_plan[計画状態],ROW()-1)&amp;"",""),
_xlpm.必要数,IFERROR(N(INDEX(tbl_plan[必要数],ROW()-1)),0),
IF(_xlpm.計画状態="キャンセル",0,_xlpm.必要数))</f>
        <v>0</v>
      </c>
      <c r="N184" s="8" t="str">
        <f>IF($A184="","",_xlfn.LET(
_xlpm.搬入計,SUMIFS(tbl_ledger[数量],tbl_ledger[localId],$B184,tbl_ledger[イベント種類],"搬入"),
_xlpm.未割当発送,SUMIFS(tbl_ledger[数量],tbl_ledger[localId],$B184,tbl_ledger[イベント種類],"発送",tbl_ledger[ロットID],"="),
_xlpm.未割当倉庫戻し,SUMIFS(tbl_ledger[数量],tbl_ledger[localId],$B184,tbl_ledger[イベント種類],"倉庫戻し",tbl_ledger[ロットID],"="),
_xlpm.未割当不良,SUMIFS(tbl_ledger[数量],tbl_ledger[localId],$B184,tbl_ledger[イベント種類],"不良発生",tbl_ledger[ロットID],"="),
_xlpm.搬入計-_xlpm.未割当発送-_xlpm.未割当倉庫戻し-_xlpm.未割当不良))</f>
        <v/>
      </c>
      <c r="O184" s="8" t="str">
        <f t="array" ref="O184">IF($A184="","",_xlfn.LET(
_xlpm.同品番,($B$2:$B$301=$B184),
_xlpm.週が前,($C$2:$C$301&lt;$C184),
_xlpm.同週で上行,($C$2:$C$301=$C184)*(ROW($C$2:$C$301)&lt;ROW()),
SUMPRODUCT(_xlpm.同品番*(_xlpm.週が前+_xlpm.同週で上行)*$M$2:$M$301)))</f>
        <v/>
      </c>
    </row>
    <row r="185" spans="1:15" ht="15" customHeight="1" x14ac:dyDescent="0.25">
      <c r="A185" s="4" t="str">
        <f>IFERROR(INDEX(tbl_plan[ロットID],ROW()-1),"")</f>
        <v/>
      </c>
      <c r="B185" s="4" t="str">
        <f>IF($A185="","",INDEX(tbl_plan[localId],ROW()-1))</f>
        <v/>
      </c>
      <c r="C185" s="11" t="str">
        <f>IF($A185="","",INDEX(tbl_plan[出荷週],ROW()-1))</f>
        <v/>
      </c>
      <c r="D185" s="4" t="str">
        <f>IF($A185="","",INDEX(tbl_plan[納期先],ROW()-1)&amp;"")</f>
        <v/>
      </c>
      <c r="E185" s="8" t="str">
        <f>IF($A185="","",INDEX(tbl_plan[必要数],ROW()-1))</f>
        <v/>
      </c>
      <c r="F185" s="8" t="str">
        <f t="shared" si="6"/>
        <v/>
      </c>
      <c r="G185" s="8" t="str">
        <f>IF($A185="","",SUMIFS(tbl_ledger[数量],tbl_ledger[ロットID],$A185,tbl_ledger[イベント種類],"発送"))</f>
        <v/>
      </c>
      <c r="H185" s="8" t="str">
        <f>IF($A185="","",_xlfn.LET(
_xlpm.割当,F185,
_xlpm.充当受入,SUMIFS(tbl_ledger[数量],tbl_ledger[充当先ロットID],$A185,tbl_ledger[イベント種類],"充当"),
_xlpm.充当放出,SUMIFS(tbl_ledger[数量],tbl_ledger[ロットID],$A185,tbl_ledger[イベント種類],"充当"),
_xlpm.発送済,G185,
_xlpm.倉庫戻し,SUMIFS(tbl_ledger[数量],tbl_ledger[ロットID],$A185,tbl_ledger[イベント種類],"倉庫戻し"),
_xlpm.余剰化,SUMIFS(tbl_ledger[数量],tbl_ledger[ロットID],$A185,tbl_ledger[イベント種類],"余剰化"),
_xlpm.不良,SUMIFS(tbl_ledger[数量],tbl_ledger[ロットID],$A185,tbl_ledger[イベント種類],"不良発生"),
_xlpm.割当+_xlpm.充当受入-_xlpm.充当放出-_xlpm.発送済-_xlpm.倉庫戻し-_xlpm.余剰化-_xlpm.不良))</f>
        <v/>
      </c>
      <c r="I185" s="8" t="str">
        <f>IF($A185="","",_xlfn.LET(
_xlpm.品番プール,N185,
_xlpm.割当計,SUMIF($B$2:$B$301,$B185,$F$2:$F$301),
_xlpm.余剰化受入,SUMIFS(tbl_ledger[数量],tbl_ledger[localId],$B185,tbl_ledger[イベント種類],"余剰化"),
_xlpm.充当払出,SUMIFS(tbl_ledger[数量],tbl_ledger[localId],$B185,tbl_ledger[イベント種類],"充当",tbl_ledger[ロットID],"="),
_xlpm.品番プール-_xlpm.割当計+_xlpm.余剰化受入-_xlpm.充当払出))</f>
        <v/>
      </c>
      <c r="J185" s="8" t="str">
        <f t="shared" si="7"/>
        <v/>
      </c>
      <c r="K185" s="8" t="str">
        <f t="shared" si="8"/>
        <v/>
      </c>
      <c r="L185" s="4" t="str">
        <f>IF($A185="","",IF(INDEX(tbl_plan[計画状態],ROW()-1)="キャンセル","キャンセル",IF(J185=0,"発送済",IF(K185&gt;0,"要搬出","OK"))))</f>
        <v/>
      </c>
      <c r="M185" s="8">
        <f t="array" ref="M185">_xlfn.LET(
_xlpm.計画状態,IFERROR(INDEX(tbl_plan[計画状態],ROW()-1)&amp;"",""),
_xlpm.必要数,IFERROR(N(INDEX(tbl_plan[必要数],ROW()-1)),0),
IF(_xlpm.計画状態="キャンセル",0,_xlpm.必要数))</f>
        <v>0</v>
      </c>
      <c r="N185" s="8" t="str">
        <f>IF($A185="","",_xlfn.LET(
_xlpm.搬入計,SUMIFS(tbl_ledger[数量],tbl_ledger[localId],$B185,tbl_ledger[イベント種類],"搬入"),
_xlpm.未割当発送,SUMIFS(tbl_ledger[数量],tbl_ledger[localId],$B185,tbl_ledger[イベント種類],"発送",tbl_ledger[ロットID],"="),
_xlpm.未割当倉庫戻し,SUMIFS(tbl_ledger[数量],tbl_ledger[localId],$B185,tbl_ledger[イベント種類],"倉庫戻し",tbl_ledger[ロットID],"="),
_xlpm.未割当不良,SUMIFS(tbl_ledger[数量],tbl_ledger[localId],$B185,tbl_ledger[イベント種類],"不良発生",tbl_ledger[ロットID],"="),
_xlpm.搬入計-_xlpm.未割当発送-_xlpm.未割当倉庫戻し-_xlpm.未割当不良))</f>
        <v/>
      </c>
      <c r="O185" s="8" t="str">
        <f t="array" ref="O185">IF($A185="","",_xlfn.LET(
_xlpm.同品番,($B$2:$B$301=$B185),
_xlpm.週が前,($C$2:$C$301&lt;$C185),
_xlpm.同週で上行,($C$2:$C$301=$C185)*(ROW($C$2:$C$301)&lt;ROW()),
SUMPRODUCT(_xlpm.同品番*(_xlpm.週が前+_xlpm.同週で上行)*$M$2:$M$301)))</f>
        <v/>
      </c>
    </row>
    <row r="186" spans="1:15" ht="15" customHeight="1" x14ac:dyDescent="0.25">
      <c r="A186" s="4" t="str">
        <f>IFERROR(INDEX(tbl_plan[ロットID],ROW()-1),"")</f>
        <v/>
      </c>
      <c r="B186" s="4" t="str">
        <f>IF($A186="","",INDEX(tbl_plan[localId],ROW()-1))</f>
        <v/>
      </c>
      <c r="C186" s="11" t="str">
        <f>IF($A186="","",INDEX(tbl_plan[出荷週],ROW()-1))</f>
        <v/>
      </c>
      <c r="D186" s="4" t="str">
        <f>IF($A186="","",INDEX(tbl_plan[納期先],ROW()-1)&amp;"")</f>
        <v/>
      </c>
      <c r="E186" s="8" t="str">
        <f>IF($A186="","",INDEX(tbl_plan[必要数],ROW()-1))</f>
        <v/>
      </c>
      <c r="F186" s="8" t="str">
        <f t="shared" si="6"/>
        <v/>
      </c>
      <c r="G186" s="8" t="str">
        <f>IF($A186="","",SUMIFS(tbl_ledger[数量],tbl_ledger[ロットID],$A186,tbl_ledger[イベント種類],"発送"))</f>
        <v/>
      </c>
      <c r="H186" s="8" t="str">
        <f>IF($A186="","",_xlfn.LET(
_xlpm.割当,F186,
_xlpm.充当受入,SUMIFS(tbl_ledger[数量],tbl_ledger[充当先ロットID],$A186,tbl_ledger[イベント種類],"充当"),
_xlpm.充当放出,SUMIFS(tbl_ledger[数量],tbl_ledger[ロットID],$A186,tbl_ledger[イベント種類],"充当"),
_xlpm.発送済,G186,
_xlpm.倉庫戻し,SUMIFS(tbl_ledger[数量],tbl_ledger[ロットID],$A186,tbl_ledger[イベント種類],"倉庫戻し"),
_xlpm.余剰化,SUMIFS(tbl_ledger[数量],tbl_ledger[ロットID],$A186,tbl_ledger[イベント種類],"余剰化"),
_xlpm.不良,SUMIFS(tbl_ledger[数量],tbl_ledger[ロットID],$A186,tbl_ledger[イベント種類],"不良発生"),
_xlpm.割当+_xlpm.充当受入-_xlpm.充当放出-_xlpm.発送済-_xlpm.倉庫戻し-_xlpm.余剰化-_xlpm.不良))</f>
        <v/>
      </c>
      <c r="I186" s="8" t="str">
        <f>IF($A186="","",_xlfn.LET(
_xlpm.品番プール,N186,
_xlpm.割当計,SUMIF($B$2:$B$301,$B186,$F$2:$F$301),
_xlpm.余剰化受入,SUMIFS(tbl_ledger[数量],tbl_ledger[localId],$B186,tbl_ledger[イベント種類],"余剰化"),
_xlpm.充当払出,SUMIFS(tbl_ledger[数量],tbl_ledger[localId],$B186,tbl_ledger[イベント種類],"充当",tbl_ledger[ロットID],"="),
_xlpm.品番プール-_xlpm.割当計+_xlpm.余剰化受入-_xlpm.充当払出))</f>
        <v/>
      </c>
      <c r="J186" s="8" t="str">
        <f t="shared" si="7"/>
        <v/>
      </c>
      <c r="K186" s="8" t="str">
        <f t="shared" si="8"/>
        <v/>
      </c>
      <c r="L186" s="4" t="str">
        <f>IF($A186="","",IF(INDEX(tbl_plan[計画状態],ROW()-1)="キャンセル","キャンセル",IF(J186=0,"発送済",IF(K186&gt;0,"要搬出","OK"))))</f>
        <v/>
      </c>
      <c r="M186" s="8">
        <f t="array" ref="M186">_xlfn.LET(
_xlpm.計画状態,IFERROR(INDEX(tbl_plan[計画状態],ROW()-1)&amp;"",""),
_xlpm.必要数,IFERROR(N(INDEX(tbl_plan[必要数],ROW()-1)),0),
IF(_xlpm.計画状態="キャンセル",0,_xlpm.必要数))</f>
        <v>0</v>
      </c>
      <c r="N186" s="8" t="str">
        <f>IF($A186="","",_xlfn.LET(
_xlpm.搬入計,SUMIFS(tbl_ledger[数量],tbl_ledger[localId],$B186,tbl_ledger[イベント種類],"搬入"),
_xlpm.未割当発送,SUMIFS(tbl_ledger[数量],tbl_ledger[localId],$B186,tbl_ledger[イベント種類],"発送",tbl_ledger[ロットID],"="),
_xlpm.未割当倉庫戻し,SUMIFS(tbl_ledger[数量],tbl_ledger[localId],$B186,tbl_ledger[イベント種類],"倉庫戻し",tbl_ledger[ロットID],"="),
_xlpm.未割当不良,SUMIFS(tbl_ledger[数量],tbl_ledger[localId],$B186,tbl_ledger[イベント種類],"不良発生",tbl_ledger[ロットID],"="),
_xlpm.搬入計-_xlpm.未割当発送-_xlpm.未割当倉庫戻し-_xlpm.未割当不良))</f>
        <v/>
      </c>
      <c r="O186" s="8" t="str">
        <f t="array" ref="O186">IF($A186="","",_xlfn.LET(
_xlpm.同品番,($B$2:$B$301=$B186),
_xlpm.週が前,($C$2:$C$301&lt;$C186),
_xlpm.同週で上行,($C$2:$C$301=$C186)*(ROW($C$2:$C$301)&lt;ROW()),
SUMPRODUCT(_xlpm.同品番*(_xlpm.週が前+_xlpm.同週で上行)*$M$2:$M$301)))</f>
        <v/>
      </c>
    </row>
    <row r="187" spans="1:15" ht="15" customHeight="1" x14ac:dyDescent="0.25">
      <c r="A187" s="4" t="str">
        <f>IFERROR(INDEX(tbl_plan[ロットID],ROW()-1),"")</f>
        <v/>
      </c>
      <c r="B187" s="4" t="str">
        <f>IF($A187="","",INDEX(tbl_plan[localId],ROW()-1))</f>
        <v/>
      </c>
      <c r="C187" s="11" t="str">
        <f>IF($A187="","",INDEX(tbl_plan[出荷週],ROW()-1))</f>
        <v/>
      </c>
      <c r="D187" s="4" t="str">
        <f>IF($A187="","",INDEX(tbl_plan[納期先],ROW()-1)&amp;"")</f>
        <v/>
      </c>
      <c r="E187" s="8" t="str">
        <f>IF($A187="","",INDEX(tbl_plan[必要数],ROW()-1))</f>
        <v/>
      </c>
      <c r="F187" s="8" t="str">
        <f t="shared" si="6"/>
        <v/>
      </c>
      <c r="G187" s="8" t="str">
        <f>IF($A187="","",SUMIFS(tbl_ledger[数量],tbl_ledger[ロットID],$A187,tbl_ledger[イベント種類],"発送"))</f>
        <v/>
      </c>
      <c r="H187" s="8" t="str">
        <f>IF($A187="","",_xlfn.LET(
_xlpm.割当,F187,
_xlpm.充当受入,SUMIFS(tbl_ledger[数量],tbl_ledger[充当先ロットID],$A187,tbl_ledger[イベント種類],"充当"),
_xlpm.充当放出,SUMIFS(tbl_ledger[数量],tbl_ledger[ロットID],$A187,tbl_ledger[イベント種類],"充当"),
_xlpm.発送済,G187,
_xlpm.倉庫戻し,SUMIFS(tbl_ledger[数量],tbl_ledger[ロットID],$A187,tbl_ledger[イベント種類],"倉庫戻し"),
_xlpm.余剰化,SUMIFS(tbl_ledger[数量],tbl_ledger[ロットID],$A187,tbl_ledger[イベント種類],"余剰化"),
_xlpm.不良,SUMIFS(tbl_ledger[数量],tbl_ledger[ロットID],$A187,tbl_ledger[イベント種類],"不良発生"),
_xlpm.割当+_xlpm.充当受入-_xlpm.充当放出-_xlpm.発送済-_xlpm.倉庫戻し-_xlpm.余剰化-_xlpm.不良))</f>
        <v/>
      </c>
      <c r="I187" s="8" t="str">
        <f>IF($A187="","",_xlfn.LET(
_xlpm.品番プール,N187,
_xlpm.割当計,SUMIF($B$2:$B$301,$B187,$F$2:$F$301),
_xlpm.余剰化受入,SUMIFS(tbl_ledger[数量],tbl_ledger[localId],$B187,tbl_ledger[イベント種類],"余剰化"),
_xlpm.充当払出,SUMIFS(tbl_ledger[数量],tbl_ledger[localId],$B187,tbl_ledger[イベント種類],"充当",tbl_ledger[ロットID],"="),
_xlpm.品番プール-_xlpm.割当計+_xlpm.余剰化受入-_xlpm.充当払出))</f>
        <v/>
      </c>
      <c r="J187" s="8" t="str">
        <f t="shared" si="7"/>
        <v/>
      </c>
      <c r="K187" s="8" t="str">
        <f t="shared" si="8"/>
        <v/>
      </c>
      <c r="L187" s="4" t="str">
        <f>IF($A187="","",IF(INDEX(tbl_plan[計画状態],ROW()-1)="キャンセル","キャンセル",IF(J187=0,"発送済",IF(K187&gt;0,"要搬出","OK"))))</f>
        <v/>
      </c>
      <c r="M187" s="8">
        <f t="array" ref="M187">_xlfn.LET(
_xlpm.計画状態,IFERROR(INDEX(tbl_plan[計画状態],ROW()-1)&amp;"",""),
_xlpm.必要数,IFERROR(N(INDEX(tbl_plan[必要数],ROW()-1)),0),
IF(_xlpm.計画状態="キャンセル",0,_xlpm.必要数))</f>
        <v>0</v>
      </c>
      <c r="N187" s="8" t="str">
        <f>IF($A187="","",_xlfn.LET(
_xlpm.搬入計,SUMIFS(tbl_ledger[数量],tbl_ledger[localId],$B187,tbl_ledger[イベント種類],"搬入"),
_xlpm.未割当発送,SUMIFS(tbl_ledger[数量],tbl_ledger[localId],$B187,tbl_ledger[イベント種類],"発送",tbl_ledger[ロットID],"="),
_xlpm.未割当倉庫戻し,SUMIFS(tbl_ledger[数量],tbl_ledger[localId],$B187,tbl_ledger[イベント種類],"倉庫戻し",tbl_ledger[ロットID],"="),
_xlpm.未割当不良,SUMIFS(tbl_ledger[数量],tbl_ledger[localId],$B187,tbl_ledger[イベント種類],"不良発生",tbl_ledger[ロットID],"="),
_xlpm.搬入計-_xlpm.未割当発送-_xlpm.未割当倉庫戻し-_xlpm.未割当不良))</f>
        <v/>
      </c>
      <c r="O187" s="8" t="str">
        <f t="array" ref="O187">IF($A187="","",_xlfn.LET(
_xlpm.同品番,($B$2:$B$301=$B187),
_xlpm.週が前,($C$2:$C$301&lt;$C187),
_xlpm.同週で上行,($C$2:$C$301=$C187)*(ROW($C$2:$C$301)&lt;ROW()),
SUMPRODUCT(_xlpm.同品番*(_xlpm.週が前+_xlpm.同週で上行)*$M$2:$M$301)))</f>
        <v/>
      </c>
    </row>
    <row r="188" spans="1:15" ht="15" customHeight="1" x14ac:dyDescent="0.25">
      <c r="A188" s="4" t="str">
        <f>IFERROR(INDEX(tbl_plan[ロットID],ROW()-1),"")</f>
        <v/>
      </c>
      <c r="B188" s="4" t="str">
        <f>IF($A188="","",INDEX(tbl_plan[localId],ROW()-1))</f>
        <v/>
      </c>
      <c r="C188" s="11" t="str">
        <f>IF($A188="","",INDEX(tbl_plan[出荷週],ROW()-1))</f>
        <v/>
      </c>
      <c r="D188" s="4" t="str">
        <f>IF($A188="","",INDEX(tbl_plan[納期先],ROW()-1)&amp;"")</f>
        <v/>
      </c>
      <c r="E188" s="8" t="str">
        <f>IF($A188="","",INDEX(tbl_plan[必要数],ROW()-1))</f>
        <v/>
      </c>
      <c r="F188" s="8" t="str">
        <f t="shared" si="6"/>
        <v/>
      </c>
      <c r="G188" s="8" t="str">
        <f>IF($A188="","",SUMIFS(tbl_ledger[数量],tbl_ledger[ロットID],$A188,tbl_ledger[イベント種類],"発送"))</f>
        <v/>
      </c>
      <c r="H188" s="8" t="str">
        <f>IF($A188="","",_xlfn.LET(
_xlpm.割当,F188,
_xlpm.充当受入,SUMIFS(tbl_ledger[数量],tbl_ledger[充当先ロットID],$A188,tbl_ledger[イベント種類],"充当"),
_xlpm.充当放出,SUMIFS(tbl_ledger[数量],tbl_ledger[ロットID],$A188,tbl_ledger[イベント種類],"充当"),
_xlpm.発送済,G188,
_xlpm.倉庫戻し,SUMIFS(tbl_ledger[数量],tbl_ledger[ロットID],$A188,tbl_ledger[イベント種類],"倉庫戻し"),
_xlpm.余剰化,SUMIFS(tbl_ledger[数量],tbl_ledger[ロットID],$A188,tbl_ledger[イベント種類],"余剰化"),
_xlpm.不良,SUMIFS(tbl_ledger[数量],tbl_ledger[ロットID],$A188,tbl_ledger[イベント種類],"不良発生"),
_xlpm.割当+_xlpm.充当受入-_xlpm.充当放出-_xlpm.発送済-_xlpm.倉庫戻し-_xlpm.余剰化-_xlpm.不良))</f>
        <v/>
      </c>
      <c r="I188" s="8" t="str">
        <f>IF($A188="","",_xlfn.LET(
_xlpm.品番プール,N188,
_xlpm.割当計,SUMIF($B$2:$B$301,$B188,$F$2:$F$301),
_xlpm.余剰化受入,SUMIFS(tbl_ledger[数量],tbl_ledger[localId],$B188,tbl_ledger[イベント種類],"余剰化"),
_xlpm.充当払出,SUMIFS(tbl_ledger[数量],tbl_ledger[localId],$B188,tbl_ledger[イベント種類],"充当",tbl_ledger[ロットID],"="),
_xlpm.品番プール-_xlpm.割当計+_xlpm.余剰化受入-_xlpm.充当払出))</f>
        <v/>
      </c>
      <c r="J188" s="8" t="str">
        <f t="shared" si="7"/>
        <v/>
      </c>
      <c r="K188" s="8" t="str">
        <f t="shared" si="8"/>
        <v/>
      </c>
      <c r="L188" s="4" t="str">
        <f>IF($A188="","",IF(INDEX(tbl_plan[計画状態],ROW()-1)="キャンセル","キャンセル",IF(J188=0,"発送済",IF(K188&gt;0,"要搬出","OK"))))</f>
        <v/>
      </c>
      <c r="M188" s="8">
        <f t="array" ref="M188">_xlfn.LET(
_xlpm.計画状態,IFERROR(INDEX(tbl_plan[計画状態],ROW()-1)&amp;"",""),
_xlpm.必要数,IFERROR(N(INDEX(tbl_plan[必要数],ROW()-1)),0),
IF(_xlpm.計画状態="キャンセル",0,_xlpm.必要数))</f>
        <v>0</v>
      </c>
      <c r="N188" s="8" t="str">
        <f>IF($A188="","",_xlfn.LET(
_xlpm.搬入計,SUMIFS(tbl_ledger[数量],tbl_ledger[localId],$B188,tbl_ledger[イベント種類],"搬入"),
_xlpm.未割当発送,SUMIFS(tbl_ledger[数量],tbl_ledger[localId],$B188,tbl_ledger[イベント種類],"発送",tbl_ledger[ロットID],"="),
_xlpm.未割当倉庫戻し,SUMIFS(tbl_ledger[数量],tbl_ledger[localId],$B188,tbl_ledger[イベント種類],"倉庫戻し",tbl_ledger[ロットID],"="),
_xlpm.未割当不良,SUMIFS(tbl_ledger[数量],tbl_ledger[localId],$B188,tbl_ledger[イベント種類],"不良発生",tbl_ledger[ロットID],"="),
_xlpm.搬入計-_xlpm.未割当発送-_xlpm.未割当倉庫戻し-_xlpm.未割当不良))</f>
        <v/>
      </c>
      <c r="O188" s="8" t="str">
        <f t="array" ref="O188">IF($A188="","",_xlfn.LET(
_xlpm.同品番,($B$2:$B$301=$B188),
_xlpm.週が前,($C$2:$C$301&lt;$C188),
_xlpm.同週で上行,($C$2:$C$301=$C188)*(ROW($C$2:$C$301)&lt;ROW()),
SUMPRODUCT(_xlpm.同品番*(_xlpm.週が前+_xlpm.同週で上行)*$M$2:$M$301)))</f>
        <v/>
      </c>
    </row>
    <row r="189" spans="1:15" ht="15" customHeight="1" x14ac:dyDescent="0.25">
      <c r="A189" s="4" t="str">
        <f>IFERROR(INDEX(tbl_plan[ロットID],ROW()-1),"")</f>
        <v/>
      </c>
      <c r="B189" s="4" t="str">
        <f>IF($A189="","",INDEX(tbl_plan[localId],ROW()-1))</f>
        <v/>
      </c>
      <c r="C189" s="11" t="str">
        <f>IF($A189="","",INDEX(tbl_plan[出荷週],ROW()-1))</f>
        <v/>
      </c>
      <c r="D189" s="4" t="str">
        <f>IF($A189="","",INDEX(tbl_plan[納期先],ROW()-1)&amp;"")</f>
        <v/>
      </c>
      <c r="E189" s="8" t="str">
        <f>IF($A189="","",INDEX(tbl_plan[必要数],ROW()-1))</f>
        <v/>
      </c>
      <c r="F189" s="8" t="str">
        <f t="shared" si="6"/>
        <v/>
      </c>
      <c r="G189" s="8" t="str">
        <f>IF($A189="","",SUMIFS(tbl_ledger[数量],tbl_ledger[ロットID],$A189,tbl_ledger[イベント種類],"発送"))</f>
        <v/>
      </c>
      <c r="H189" s="8" t="str">
        <f>IF($A189="","",_xlfn.LET(
_xlpm.割当,F189,
_xlpm.充当受入,SUMIFS(tbl_ledger[数量],tbl_ledger[充当先ロットID],$A189,tbl_ledger[イベント種類],"充当"),
_xlpm.充当放出,SUMIFS(tbl_ledger[数量],tbl_ledger[ロットID],$A189,tbl_ledger[イベント種類],"充当"),
_xlpm.発送済,G189,
_xlpm.倉庫戻し,SUMIFS(tbl_ledger[数量],tbl_ledger[ロットID],$A189,tbl_ledger[イベント種類],"倉庫戻し"),
_xlpm.余剰化,SUMIFS(tbl_ledger[数量],tbl_ledger[ロットID],$A189,tbl_ledger[イベント種類],"余剰化"),
_xlpm.不良,SUMIFS(tbl_ledger[数量],tbl_ledger[ロットID],$A189,tbl_ledger[イベント種類],"不良発生"),
_xlpm.割当+_xlpm.充当受入-_xlpm.充当放出-_xlpm.発送済-_xlpm.倉庫戻し-_xlpm.余剰化-_xlpm.不良))</f>
        <v/>
      </c>
      <c r="I189" s="8" t="str">
        <f>IF($A189="","",_xlfn.LET(
_xlpm.品番プール,N189,
_xlpm.割当計,SUMIF($B$2:$B$301,$B189,$F$2:$F$301),
_xlpm.余剰化受入,SUMIFS(tbl_ledger[数量],tbl_ledger[localId],$B189,tbl_ledger[イベント種類],"余剰化"),
_xlpm.充当払出,SUMIFS(tbl_ledger[数量],tbl_ledger[localId],$B189,tbl_ledger[イベント種類],"充当",tbl_ledger[ロットID],"="),
_xlpm.品番プール-_xlpm.割当計+_xlpm.余剰化受入-_xlpm.充当払出))</f>
        <v/>
      </c>
      <c r="J189" s="8" t="str">
        <f t="shared" si="7"/>
        <v/>
      </c>
      <c r="K189" s="8" t="str">
        <f t="shared" si="8"/>
        <v/>
      </c>
      <c r="L189" s="4" t="str">
        <f>IF($A189="","",IF(INDEX(tbl_plan[計画状態],ROW()-1)="キャンセル","キャンセル",IF(J189=0,"発送済",IF(K189&gt;0,"要搬出","OK"))))</f>
        <v/>
      </c>
      <c r="M189" s="8">
        <f t="array" ref="M189">_xlfn.LET(
_xlpm.計画状態,IFERROR(INDEX(tbl_plan[計画状態],ROW()-1)&amp;"",""),
_xlpm.必要数,IFERROR(N(INDEX(tbl_plan[必要数],ROW()-1)),0),
IF(_xlpm.計画状態="キャンセル",0,_xlpm.必要数))</f>
        <v>0</v>
      </c>
      <c r="N189" s="8" t="str">
        <f>IF($A189="","",_xlfn.LET(
_xlpm.搬入計,SUMIFS(tbl_ledger[数量],tbl_ledger[localId],$B189,tbl_ledger[イベント種類],"搬入"),
_xlpm.未割当発送,SUMIFS(tbl_ledger[数量],tbl_ledger[localId],$B189,tbl_ledger[イベント種類],"発送",tbl_ledger[ロットID],"="),
_xlpm.未割当倉庫戻し,SUMIFS(tbl_ledger[数量],tbl_ledger[localId],$B189,tbl_ledger[イベント種類],"倉庫戻し",tbl_ledger[ロットID],"="),
_xlpm.未割当不良,SUMIFS(tbl_ledger[数量],tbl_ledger[localId],$B189,tbl_ledger[イベント種類],"不良発生",tbl_ledger[ロットID],"="),
_xlpm.搬入計-_xlpm.未割当発送-_xlpm.未割当倉庫戻し-_xlpm.未割当不良))</f>
        <v/>
      </c>
      <c r="O189" s="8" t="str">
        <f t="array" ref="O189">IF($A189="","",_xlfn.LET(
_xlpm.同品番,($B$2:$B$301=$B189),
_xlpm.週が前,($C$2:$C$301&lt;$C189),
_xlpm.同週で上行,($C$2:$C$301=$C189)*(ROW($C$2:$C$301)&lt;ROW()),
SUMPRODUCT(_xlpm.同品番*(_xlpm.週が前+_xlpm.同週で上行)*$M$2:$M$301)))</f>
        <v/>
      </c>
    </row>
    <row r="190" spans="1:15" ht="15" customHeight="1" x14ac:dyDescent="0.25">
      <c r="A190" s="4" t="str">
        <f>IFERROR(INDEX(tbl_plan[ロットID],ROW()-1),"")</f>
        <v/>
      </c>
      <c r="B190" s="4" t="str">
        <f>IF($A190="","",INDEX(tbl_plan[localId],ROW()-1))</f>
        <v/>
      </c>
      <c r="C190" s="11" t="str">
        <f>IF($A190="","",INDEX(tbl_plan[出荷週],ROW()-1))</f>
        <v/>
      </c>
      <c r="D190" s="4" t="str">
        <f>IF($A190="","",INDEX(tbl_plan[納期先],ROW()-1)&amp;"")</f>
        <v/>
      </c>
      <c r="E190" s="8" t="str">
        <f>IF($A190="","",INDEX(tbl_plan[必要数],ROW()-1))</f>
        <v/>
      </c>
      <c r="F190" s="8" t="str">
        <f t="shared" si="6"/>
        <v/>
      </c>
      <c r="G190" s="8" t="str">
        <f>IF($A190="","",SUMIFS(tbl_ledger[数量],tbl_ledger[ロットID],$A190,tbl_ledger[イベント種類],"発送"))</f>
        <v/>
      </c>
      <c r="H190" s="8" t="str">
        <f>IF($A190="","",_xlfn.LET(
_xlpm.割当,F190,
_xlpm.充当受入,SUMIFS(tbl_ledger[数量],tbl_ledger[充当先ロットID],$A190,tbl_ledger[イベント種類],"充当"),
_xlpm.充当放出,SUMIFS(tbl_ledger[数量],tbl_ledger[ロットID],$A190,tbl_ledger[イベント種類],"充当"),
_xlpm.発送済,G190,
_xlpm.倉庫戻し,SUMIFS(tbl_ledger[数量],tbl_ledger[ロットID],$A190,tbl_ledger[イベント種類],"倉庫戻し"),
_xlpm.余剰化,SUMIFS(tbl_ledger[数量],tbl_ledger[ロットID],$A190,tbl_ledger[イベント種類],"余剰化"),
_xlpm.不良,SUMIFS(tbl_ledger[数量],tbl_ledger[ロットID],$A190,tbl_ledger[イベント種類],"不良発生"),
_xlpm.割当+_xlpm.充当受入-_xlpm.充当放出-_xlpm.発送済-_xlpm.倉庫戻し-_xlpm.余剰化-_xlpm.不良))</f>
        <v/>
      </c>
      <c r="I190" s="8" t="str">
        <f>IF($A190="","",_xlfn.LET(
_xlpm.品番プール,N190,
_xlpm.割当計,SUMIF($B$2:$B$301,$B190,$F$2:$F$301),
_xlpm.余剰化受入,SUMIFS(tbl_ledger[数量],tbl_ledger[localId],$B190,tbl_ledger[イベント種類],"余剰化"),
_xlpm.充当払出,SUMIFS(tbl_ledger[数量],tbl_ledger[localId],$B190,tbl_ledger[イベント種類],"充当",tbl_ledger[ロットID],"="),
_xlpm.品番プール-_xlpm.割当計+_xlpm.余剰化受入-_xlpm.充当払出))</f>
        <v/>
      </c>
      <c r="J190" s="8" t="str">
        <f t="shared" si="7"/>
        <v/>
      </c>
      <c r="K190" s="8" t="str">
        <f t="shared" si="8"/>
        <v/>
      </c>
      <c r="L190" s="4" t="str">
        <f>IF($A190="","",IF(INDEX(tbl_plan[計画状態],ROW()-1)="キャンセル","キャンセル",IF(J190=0,"発送済",IF(K190&gt;0,"要搬出","OK"))))</f>
        <v/>
      </c>
      <c r="M190" s="8">
        <f t="array" ref="M190">_xlfn.LET(
_xlpm.計画状態,IFERROR(INDEX(tbl_plan[計画状態],ROW()-1)&amp;"",""),
_xlpm.必要数,IFERROR(N(INDEX(tbl_plan[必要数],ROW()-1)),0),
IF(_xlpm.計画状態="キャンセル",0,_xlpm.必要数))</f>
        <v>0</v>
      </c>
      <c r="N190" s="8" t="str">
        <f>IF($A190="","",_xlfn.LET(
_xlpm.搬入計,SUMIFS(tbl_ledger[数量],tbl_ledger[localId],$B190,tbl_ledger[イベント種類],"搬入"),
_xlpm.未割当発送,SUMIFS(tbl_ledger[数量],tbl_ledger[localId],$B190,tbl_ledger[イベント種類],"発送",tbl_ledger[ロットID],"="),
_xlpm.未割当倉庫戻し,SUMIFS(tbl_ledger[数量],tbl_ledger[localId],$B190,tbl_ledger[イベント種類],"倉庫戻し",tbl_ledger[ロットID],"="),
_xlpm.未割当不良,SUMIFS(tbl_ledger[数量],tbl_ledger[localId],$B190,tbl_ledger[イベント種類],"不良発生",tbl_ledger[ロットID],"="),
_xlpm.搬入計-_xlpm.未割当発送-_xlpm.未割当倉庫戻し-_xlpm.未割当不良))</f>
        <v/>
      </c>
      <c r="O190" s="8" t="str">
        <f t="array" ref="O190">IF($A190="","",_xlfn.LET(
_xlpm.同品番,($B$2:$B$301=$B190),
_xlpm.週が前,($C$2:$C$301&lt;$C190),
_xlpm.同週で上行,($C$2:$C$301=$C190)*(ROW($C$2:$C$301)&lt;ROW()),
SUMPRODUCT(_xlpm.同品番*(_xlpm.週が前+_xlpm.同週で上行)*$M$2:$M$301)))</f>
        <v/>
      </c>
    </row>
    <row r="191" spans="1:15" ht="15" customHeight="1" x14ac:dyDescent="0.25">
      <c r="A191" s="4" t="str">
        <f>IFERROR(INDEX(tbl_plan[ロットID],ROW()-1),"")</f>
        <v/>
      </c>
      <c r="B191" s="4" t="str">
        <f>IF($A191="","",INDEX(tbl_plan[localId],ROW()-1))</f>
        <v/>
      </c>
      <c r="C191" s="11" t="str">
        <f>IF($A191="","",INDEX(tbl_plan[出荷週],ROW()-1))</f>
        <v/>
      </c>
      <c r="D191" s="4" t="str">
        <f>IF($A191="","",INDEX(tbl_plan[納期先],ROW()-1)&amp;"")</f>
        <v/>
      </c>
      <c r="E191" s="8" t="str">
        <f>IF($A191="","",INDEX(tbl_plan[必要数],ROW()-1))</f>
        <v/>
      </c>
      <c r="F191" s="8" t="str">
        <f t="shared" si="6"/>
        <v/>
      </c>
      <c r="G191" s="8" t="str">
        <f>IF($A191="","",SUMIFS(tbl_ledger[数量],tbl_ledger[ロットID],$A191,tbl_ledger[イベント種類],"発送"))</f>
        <v/>
      </c>
      <c r="H191" s="8" t="str">
        <f>IF($A191="","",_xlfn.LET(
_xlpm.割当,F191,
_xlpm.充当受入,SUMIFS(tbl_ledger[数量],tbl_ledger[充当先ロットID],$A191,tbl_ledger[イベント種類],"充当"),
_xlpm.充当放出,SUMIFS(tbl_ledger[数量],tbl_ledger[ロットID],$A191,tbl_ledger[イベント種類],"充当"),
_xlpm.発送済,G191,
_xlpm.倉庫戻し,SUMIFS(tbl_ledger[数量],tbl_ledger[ロットID],$A191,tbl_ledger[イベント種類],"倉庫戻し"),
_xlpm.余剰化,SUMIFS(tbl_ledger[数量],tbl_ledger[ロットID],$A191,tbl_ledger[イベント種類],"余剰化"),
_xlpm.不良,SUMIFS(tbl_ledger[数量],tbl_ledger[ロットID],$A191,tbl_ledger[イベント種類],"不良発生"),
_xlpm.割当+_xlpm.充当受入-_xlpm.充当放出-_xlpm.発送済-_xlpm.倉庫戻し-_xlpm.余剰化-_xlpm.不良))</f>
        <v/>
      </c>
      <c r="I191" s="8" t="str">
        <f>IF($A191="","",_xlfn.LET(
_xlpm.品番プール,N191,
_xlpm.割当計,SUMIF($B$2:$B$301,$B191,$F$2:$F$301),
_xlpm.余剰化受入,SUMIFS(tbl_ledger[数量],tbl_ledger[localId],$B191,tbl_ledger[イベント種類],"余剰化"),
_xlpm.充当払出,SUMIFS(tbl_ledger[数量],tbl_ledger[localId],$B191,tbl_ledger[イベント種類],"充当",tbl_ledger[ロットID],"="),
_xlpm.品番プール-_xlpm.割当計+_xlpm.余剰化受入-_xlpm.充当払出))</f>
        <v/>
      </c>
      <c r="J191" s="8" t="str">
        <f t="shared" si="7"/>
        <v/>
      </c>
      <c r="K191" s="8" t="str">
        <f t="shared" si="8"/>
        <v/>
      </c>
      <c r="L191" s="4" t="str">
        <f>IF($A191="","",IF(INDEX(tbl_plan[計画状態],ROW()-1)="キャンセル","キャンセル",IF(J191=0,"発送済",IF(K191&gt;0,"要搬出","OK"))))</f>
        <v/>
      </c>
      <c r="M191" s="8">
        <f t="array" ref="M191">_xlfn.LET(
_xlpm.計画状態,IFERROR(INDEX(tbl_plan[計画状態],ROW()-1)&amp;"",""),
_xlpm.必要数,IFERROR(N(INDEX(tbl_plan[必要数],ROW()-1)),0),
IF(_xlpm.計画状態="キャンセル",0,_xlpm.必要数))</f>
        <v>0</v>
      </c>
      <c r="N191" s="8" t="str">
        <f>IF($A191="","",_xlfn.LET(
_xlpm.搬入計,SUMIFS(tbl_ledger[数量],tbl_ledger[localId],$B191,tbl_ledger[イベント種類],"搬入"),
_xlpm.未割当発送,SUMIFS(tbl_ledger[数量],tbl_ledger[localId],$B191,tbl_ledger[イベント種類],"発送",tbl_ledger[ロットID],"="),
_xlpm.未割当倉庫戻し,SUMIFS(tbl_ledger[数量],tbl_ledger[localId],$B191,tbl_ledger[イベント種類],"倉庫戻し",tbl_ledger[ロットID],"="),
_xlpm.未割当不良,SUMIFS(tbl_ledger[数量],tbl_ledger[localId],$B191,tbl_ledger[イベント種類],"不良発生",tbl_ledger[ロットID],"="),
_xlpm.搬入計-_xlpm.未割当発送-_xlpm.未割当倉庫戻し-_xlpm.未割当不良))</f>
        <v/>
      </c>
      <c r="O191" s="8" t="str">
        <f t="array" ref="O191">IF($A191="","",_xlfn.LET(
_xlpm.同品番,($B$2:$B$301=$B191),
_xlpm.週が前,($C$2:$C$301&lt;$C191),
_xlpm.同週で上行,($C$2:$C$301=$C191)*(ROW($C$2:$C$301)&lt;ROW()),
SUMPRODUCT(_xlpm.同品番*(_xlpm.週が前+_xlpm.同週で上行)*$M$2:$M$301)))</f>
        <v/>
      </c>
    </row>
    <row r="192" spans="1:15" ht="15" customHeight="1" x14ac:dyDescent="0.25">
      <c r="A192" s="4" t="str">
        <f>IFERROR(INDEX(tbl_plan[ロットID],ROW()-1),"")</f>
        <v/>
      </c>
      <c r="B192" s="4" t="str">
        <f>IF($A192="","",INDEX(tbl_plan[localId],ROW()-1))</f>
        <v/>
      </c>
      <c r="C192" s="11" t="str">
        <f>IF($A192="","",INDEX(tbl_plan[出荷週],ROW()-1))</f>
        <v/>
      </c>
      <c r="D192" s="4" t="str">
        <f>IF($A192="","",INDEX(tbl_plan[納期先],ROW()-1)&amp;"")</f>
        <v/>
      </c>
      <c r="E192" s="8" t="str">
        <f>IF($A192="","",INDEX(tbl_plan[必要数],ROW()-1))</f>
        <v/>
      </c>
      <c r="F192" s="8" t="str">
        <f t="shared" si="6"/>
        <v/>
      </c>
      <c r="G192" s="8" t="str">
        <f>IF($A192="","",SUMIFS(tbl_ledger[数量],tbl_ledger[ロットID],$A192,tbl_ledger[イベント種類],"発送"))</f>
        <v/>
      </c>
      <c r="H192" s="8" t="str">
        <f>IF($A192="","",_xlfn.LET(
_xlpm.割当,F192,
_xlpm.充当受入,SUMIFS(tbl_ledger[数量],tbl_ledger[充当先ロットID],$A192,tbl_ledger[イベント種類],"充当"),
_xlpm.充当放出,SUMIFS(tbl_ledger[数量],tbl_ledger[ロットID],$A192,tbl_ledger[イベント種類],"充当"),
_xlpm.発送済,G192,
_xlpm.倉庫戻し,SUMIFS(tbl_ledger[数量],tbl_ledger[ロットID],$A192,tbl_ledger[イベント種類],"倉庫戻し"),
_xlpm.余剰化,SUMIFS(tbl_ledger[数量],tbl_ledger[ロットID],$A192,tbl_ledger[イベント種類],"余剰化"),
_xlpm.不良,SUMIFS(tbl_ledger[数量],tbl_ledger[ロットID],$A192,tbl_ledger[イベント種類],"不良発生"),
_xlpm.割当+_xlpm.充当受入-_xlpm.充当放出-_xlpm.発送済-_xlpm.倉庫戻し-_xlpm.余剰化-_xlpm.不良))</f>
        <v/>
      </c>
      <c r="I192" s="8" t="str">
        <f>IF($A192="","",_xlfn.LET(
_xlpm.品番プール,N192,
_xlpm.割当計,SUMIF($B$2:$B$301,$B192,$F$2:$F$301),
_xlpm.余剰化受入,SUMIFS(tbl_ledger[数量],tbl_ledger[localId],$B192,tbl_ledger[イベント種類],"余剰化"),
_xlpm.充当払出,SUMIFS(tbl_ledger[数量],tbl_ledger[localId],$B192,tbl_ledger[イベント種類],"充当",tbl_ledger[ロットID],"="),
_xlpm.品番プール-_xlpm.割当計+_xlpm.余剰化受入-_xlpm.充当払出))</f>
        <v/>
      </c>
      <c r="J192" s="8" t="str">
        <f t="shared" si="7"/>
        <v/>
      </c>
      <c r="K192" s="8" t="str">
        <f t="shared" si="8"/>
        <v/>
      </c>
      <c r="L192" s="4" t="str">
        <f>IF($A192="","",IF(INDEX(tbl_plan[計画状態],ROW()-1)="キャンセル","キャンセル",IF(J192=0,"発送済",IF(K192&gt;0,"要搬出","OK"))))</f>
        <v/>
      </c>
      <c r="M192" s="8">
        <f t="array" ref="M192">_xlfn.LET(
_xlpm.計画状態,IFERROR(INDEX(tbl_plan[計画状態],ROW()-1)&amp;"",""),
_xlpm.必要数,IFERROR(N(INDEX(tbl_plan[必要数],ROW()-1)),0),
IF(_xlpm.計画状態="キャンセル",0,_xlpm.必要数))</f>
        <v>0</v>
      </c>
      <c r="N192" s="8" t="str">
        <f>IF($A192="","",_xlfn.LET(
_xlpm.搬入計,SUMIFS(tbl_ledger[数量],tbl_ledger[localId],$B192,tbl_ledger[イベント種類],"搬入"),
_xlpm.未割当発送,SUMIFS(tbl_ledger[数量],tbl_ledger[localId],$B192,tbl_ledger[イベント種類],"発送",tbl_ledger[ロットID],"="),
_xlpm.未割当倉庫戻し,SUMIFS(tbl_ledger[数量],tbl_ledger[localId],$B192,tbl_ledger[イベント種類],"倉庫戻し",tbl_ledger[ロットID],"="),
_xlpm.未割当不良,SUMIFS(tbl_ledger[数量],tbl_ledger[localId],$B192,tbl_ledger[イベント種類],"不良発生",tbl_ledger[ロットID],"="),
_xlpm.搬入計-_xlpm.未割当発送-_xlpm.未割当倉庫戻し-_xlpm.未割当不良))</f>
        <v/>
      </c>
      <c r="O192" s="8" t="str">
        <f t="array" ref="O192">IF($A192="","",_xlfn.LET(
_xlpm.同品番,($B$2:$B$301=$B192),
_xlpm.週が前,($C$2:$C$301&lt;$C192),
_xlpm.同週で上行,($C$2:$C$301=$C192)*(ROW($C$2:$C$301)&lt;ROW()),
SUMPRODUCT(_xlpm.同品番*(_xlpm.週が前+_xlpm.同週で上行)*$M$2:$M$301)))</f>
        <v/>
      </c>
    </row>
    <row r="193" spans="1:15" ht="15" customHeight="1" x14ac:dyDescent="0.25">
      <c r="A193" s="4" t="str">
        <f>IFERROR(INDEX(tbl_plan[ロットID],ROW()-1),"")</f>
        <v/>
      </c>
      <c r="B193" s="4" t="str">
        <f>IF($A193="","",INDEX(tbl_plan[localId],ROW()-1))</f>
        <v/>
      </c>
      <c r="C193" s="11" t="str">
        <f>IF($A193="","",INDEX(tbl_plan[出荷週],ROW()-1))</f>
        <v/>
      </c>
      <c r="D193" s="4" t="str">
        <f>IF($A193="","",INDEX(tbl_plan[納期先],ROW()-1)&amp;"")</f>
        <v/>
      </c>
      <c r="E193" s="8" t="str">
        <f>IF($A193="","",INDEX(tbl_plan[必要数],ROW()-1))</f>
        <v/>
      </c>
      <c r="F193" s="8" t="str">
        <f t="shared" si="6"/>
        <v/>
      </c>
      <c r="G193" s="8" t="str">
        <f>IF($A193="","",SUMIFS(tbl_ledger[数量],tbl_ledger[ロットID],$A193,tbl_ledger[イベント種類],"発送"))</f>
        <v/>
      </c>
      <c r="H193" s="8" t="str">
        <f>IF($A193="","",_xlfn.LET(
_xlpm.割当,F193,
_xlpm.充当受入,SUMIFS(tbl_ledger[数量],tbl_ledger[充当先ロットID],$A193,tbl_ledger[イベント種類],"充当"),
_xlpm.充当放出,SUMIFS(tbl_ledger[数量],tbl_ledger[ロットID],$A193,tbl_ledger[イベント種類],"充当"),
_xlpm.発送済,G193,
_xlpm.倉庫戻し,SUMIFS(tbl_ledger[数量],tbl_ledger[ロットID],$A193,tbl_ledger[イベント種類],"倉庫戻し"),
_xlpm.余剰化,SUMIFS(tbl_ledger[数量],tbl_ledger[ロットID],$A193,tbl_ledger[イベント種類],"余剰化"),
_xlpm.不良,SUMIFS(tbl_ledger[数量],tbl_ledger[ロットID],$A193,tbl_ledger[イベント種類],"不良発生"),
_xlpm.割当+_xlpm.充当受入-_xlpm.充当放出-_xlpm.発送済-_xlpm.倉庫戻し-_xlpm.余剰化-_xlpm.不良))</f>
        <v/>
      </c>
      <c r="I193" s="8" t="str">
        <f>IF($A193="","",_xlfn.LET(
_xlpm.品番プール,N193,
_xlpm.割当計,SUMIF($B$2:$B$301,$B193,$F$2:$F$301),
_xlpm.余剰化受入,SUMIFS(tbl_ledger[数量],tbl_ledger[localId],$B193,tbl_ledger[イベント種類],"余剰化"),
_xlpm.充当払出,SUMIFS(tbl_ledger[数量],tbl_ledger[localId],$B193,tbl_ledger[イベント種類],"充当",tbl_ledger[ロットID],"="),
_xlpm.品番プール-_xlpm.割当計+_xlpm.余剰化受入-_xlpm.充当払出))</f>
        <v/>
      </c>
      <c r="J193" s="8" t="str">
        <f t="shared" si="7"/>
        <v/>
      </c>
      <c r="K193" s="8" t="str">
        <f t="shared" si="8"/>
        <v/>
      </c>
      <c r="L193" s="4" t="str">
        <f>IF($A193="","",IF(INDEX(tbl_plan[計画状態],ROW()-1)="キャンセル","キャンセル",IF(J193=0,"発送済",IF(K193&gt;0,"要搬出","OK"))))</f>
        <v/>
      </c>
      <c r="M193" s="8">
        <f t="array" ref="M193">_xlfn.LET(
_xlpm.計画状態,IFERROR(INDEX(tbl_plan[計画状態],ROW()-1)&amp;"",""),
_xlpm.必要数,IFERROR(N(INDEX(tbl_plan[必要数],ROW()-1)),0),
IF(_xlpm.計画状態="キャンセル",0,_xlpm.必要数))</f>
        <v>0</v>
      </c>
      <c r="N193" s="8" t="str">
        <f>IF($A193="","",_xlfn.LET(
_xlpm.搬入計,SUMIFS(tbl_ledger[数量],tbl_ledger[localId],$B193,tbl_ledger[イベント種類],"搬入"),
_xlpm.未割当発送,SUMIFS(tbl_ledger[数量],tbl_ledger[localId],$B193,tbl_ledger[イベント種類],"発送",tbl_ledger[ロットID],"="),
_xlpm.未割当倉庫戻し,SUMIFS(tbl_ledger[数量],tbl_ledger[localId],$B193,tbl_ledger[イベント種類],"倉庫戻し",tbl_ledger[ロットID],"="),
_xlpm.未割当不良,SUMIFS(tbl_ledger[数量],tbl_ledger[localId],$B193,tbl_ledger[イベント種類],"不良発生",tbl_ledger[ロットID],"="),
_xlpm.搬入計-_xlpm.未割当発送-_xlpm.未割当倉庫戻し-_xlpm.未割当不良))</f>
        <v/>
      </c>
      <c r="O193" s="8" t="str">
        <f t="array" ref="O193">IF($A193="","",_xlfn.LET(
_xlpm.同品番,($B$2:$B$301=$B193),
_xlpm.週が前,($C$2:$C$301&lt;$C193),
_xlpm.同週で上行,($C$2:$C$301=$C193)*(ROW($C$2:$C$301)&lt;ROW()),
SUMPRODUCT(_xlpm.同品番*(_xlpm.週が前+_xlpm.同週で上行)*$M$2:$M$301)))</f>
        <v/>
      </c>
    </row>
    <row r="194" spans="1:15" ht="15" customHeight="1" x14ac:dyDescent="0.25">
      <c r="A194" s="4" t="str">
        <f>IFERROR(INDEX(tbl_plan[ロットID],ROW()-1),"")</f>
        <v/>
      </c>
      <c r="B194" s="4" t="str">
        <f>IF($A194="","",INDEX(tbl_plan[localId],ROW()-1))</f>
        <v/>
      </c>
      <c r="C194" s="11" t="str">
        <f>IF($A194="","",INDEX(tbl_plan[出荷週],ROW()-1))</f>
        <v/>
      </c>
      <c r="D194" s="4" t="str">
        <f>IF($A194="","",INDEX(tbl_plan[納期先],ROW()-1)&amp;"")</f>
        <v/>
      </c>
      <c r="E194" s="8" t="str">
        <f>IF($A194="","",INDEX(tbl_plan[必要数],ROW()-1))</f>
        <v/>
      </c>
      <c r="F194" s="8" t="str">
        <f t="shared" ref="F194:F257" si="9">IF($A194="","",MIN(M194,MAX(0,N194-O194)))</f>
        <v/>
      </c>
      <c r="G194" s="8" t="str">
        <f>IF($A194="","",SUMIFS(tbl_ledger[数量],tbl_ledger[ロットID],$A194,tbl_ledger[イベント種類],"発送"))</f>
        <v/>
      </c>
      <c r="H194" s="8" t="str">
        <f>IF($A194="","",_xlfn.LET(
_xlpm.割当,F194,
_xlpm.充当受入,SUMIFS(tbl_ledger[数量],tbl_ledger[充当先ロットID],$A194,tbl_ledger[イベント種類],"充当"),
_xlpm.充当放出,SUMIFS(tbl_ledger[数量],tbl_ledger[ロットID],$A194,tbl_ledger[イベント種類],"充当"),
_xlpm.発送済,G194,
_xlpm.倉庫戻し,SUMIFS(tbl_ledger[数量],tbl_ledger[ロットID],$A194,tbl_ledger[イベント種類],"倉庫戻し"),
_xlpm.余剰化,SUMIFS(tbl_ledger[数量],tbl_ledger[ロットID],$A194,tbl_ledger[イベント種類],"余剰化"),
_xlpm.不良,SUMIFS(tbl_ledger[数量],tbl_ledger[ロットID],$A194,tbl_ledger[イベント種類],"不良発生"),
_xlpm.割当+_xlpm.充当受入-_xlpm.充当放出-_xlpm.発送済-_xlpm.倉庫戻し-_xlpm.余剰化-_xlpm.不良))</f>
        <v/>
      </c>
      <c r="I194" s="8" t="str">
        <f>IF($A194="","",_xlfn.LET(
_xlpm.品番プール,N194,
_xlpm.割当計,SUMIF($B$2:$B$301,$B194,$F$2:$F$301),
_xlpm.余剰化受入,SUMIFS(tbl_ledger[数量],tbl_ledger[localId],$B194,tbl_ledger[イベント種類],"余剰化"),
_xlpm.充当払出,SUMIFS(tbl_ledger[数量],tbl_ledger[localId],$B194,tbl_ledger[イベント種類],"充当",tbl_ledger[ロットID],"="),
_xlpm.品番プール-_xlpm.割当計+_xlpm.余剰化受入-_xlpm.充当払出))</f>
        <v/>
      </c>
      <c r="J194" s="8" t="str">
        <f t="shared" ref="J194:J257" si="10">IF($A194="","",MAX(0,M194-G194))</f>
        <v/>
      </c>
      <c r="K194" s="8" t="str">
        <f t="shared" ref="K194:K257" si="11">IF($A194="","",MAX(0,J194-H194-I194))</f>
        <v/>
      </c>
      <c r="L194" s="4" t="str">
        <f>IF($A194="","",IF(INDEX(tbl_plan[計画状態],ROW()-1)="キャンセル","キャンセル",IF(J194=0,"発送済",IF(K194&gt;0,"要搬出","OK"))))</f>
        <v/>
      </c>
      <c r="M194" s="8">
        <f t="array" ref="M194">_xlfn.LET(
_xlpm.計画状態,IFERROR(INDEX(tbl_plan[計画状態],ROW()-1)&amp;"",""),
_xlpm.必要数,IFERROR(N(INDEX(tbl_plan[必要数],ROW()-1)),0),
IF(_xlpm.計画状態="キャンセル",0,_xlpm.必要数))</f>
        <v>0</v>
      </c>
      <c r="N194" s="8" t="str">
        <f>IF($A194="","",_xlfn.LET(
_xlpm.搬入計,SUMIFS(tbl_ledger[数量],tbl_ledger[localId],$B194,tbl_ledger[イベント種類],"搬入"),
_xlpm.未割当発送,SUMIFS(tbl_ledger[数量],tbl_ledger[localId],$B194,tbl_ledger[イベント種類],"発送",tbl_ledger[ロットID],"="),
_xlpm.未割当倉庫戻し,SUMIFS(tbl_ledger[数量],tbl_ledger[localId],$B194,tbl_ledger[イベント種類],"倉庫戻し",tbl_ledger[ロットID],"="),
_xlpm.未割当不良,SUMIFS(tbl_ledger[数量],tbl_ledger[localId],$B194,tbl_ledger[イベント種類],"不良発生",tbl_ledger[ロットID],"="),
_xlpm.搬入計-_xlpm.未割当発送-_xlpm.未割当倉庫戻し-_xlpm.未割当不良))</f>
        <v/>
      </c>
      <c r="O194" s="8" t="str">
        <f t="array" ref="O194">IF($A194="","",_xlfn.LET(
_xlpm.同品番,($B$2:$B$301=$B194),
_xlpm.週が前,($C$2:$C$301&lt;$C194),
_xlpm.同週で上行,($C$2:$C$301=$C194)*(ROW($C$2:$C$301)&lt;ROW()),
SUMPRODUCT(_xlpm.同品番*(_xlpm.週が前+_xlpm.同週で上行)*$M$2:$M$301)))</f>
        <v/>
      </c>
    </row>
    <row r="195" spans="1:15" ht="15" customHeight="1" x14ac:dyDescent="0.25">
      <c r="A195" s="4" t="str">
        <f>IFERROR(INDEX(tbl_plan[ロットID],ROW()-1),"")</f>
        <v/>
      </c>
      <c r="B195" s="4" t="str">
        <f>IF($A195="","",INDEX(tbl_plan[localId],ROW()-1))</f>
        <v/>
      </c>
      <c r="C195" s="11" t="str">
        <f>IF($A195="","",INDEX(tbl_plan[出荷週],ROW()-1))</f>
        <v/>
      </c>
      <c r="D195" s="4" t="str">
        <f>IF($A195="","",INDEX(tbl_plan[納期先],ROW()-1)&amp;"")</f>
        <v/>
      </c>
      <c r="E195" s="8" t="str">
        <f>IF($A195="","",INDEX(tbl_plan[必要数],ROW()-1))</f>
        <v/>
      </c>
      <c r="F195" s="8" t="str">
        <f t="shared" si="9"/>
        <v/>
      </c>
      <c r="G195" s="8" t="str">
        <f>IF($A195="","",SUMIFS(tbl_ledger[数量],tbl_ledger[ロットID],$A195,tbl_ledger[イベント種類],"発送"))</f>
        <v/>
      </c>
      <c r="H195" s="8" t="str">
        <f>IF($A195="","",_xlfn.LET(
_xlpm.割当,F195,
_xlpm.充当受入,SUMIFS(tbl_ledger[数量],tbl_ledger[充当先ロットID],$A195,tbl_ledger[イベント種類],"充当"),
_xlpm.充当放出,SUMIFS(tbl_ledger[数量],tbl_ledger[ロットID],$A195,tbl_ledger[イベント種類],"充当"),
_xlpm.発送済,G195,
_xlpm.倉庫戻し,SUMIFS(tbl_ledger[数量],tbl_ledger[ロットID],$A195,tbl_ledger[イベント種類],"倉庫戻し"),
_xlpm.余剰化,SUMIFS(tbl_ledger[数量],tbl_ledger[ロットID],$A195,tbl_ledger[イベント種類],"余剰化"),
_xlpm.不良,SUMIFS(tbl_ledger[数量],tbl_ledger[ロットID],$A195,tbl_ledger[イベント種類],"不良発生"),
_xlpm.割当+_xlpm.充当受入-_xlpm.充当放出-_xlpm.発送済-_xlpm.倉庫戻し-_xlpm.余剰化-_xlpm.不良))</f>
        <v/>
      </c>
      <c r="I195" s="8" t="str">
        <f>IF($A195="","",_xlfn.LET(
_xlpm.品番プール,N195,
_xlpm.割当計,SUMIF($B$2:$B$301,$B195,$F$2:$F$301),
_xlpm.余剰化受入,SUMIFS(tbl_ledger[数量],tbl_ledger[localId],$B195,tbl_ledger[イベント種類],"余剰化"),
_xlpm.充当払出,SUMIFS(tbl_ledger[数量],tbl_ledger[localId],$B195,tbl_ledger[イベント種類],"充当",tbl_ledger[ロットID],"="),
_xlpm.品番プール-_xlpm.割当計+_xlpm.余剰化受入-_xlpm.充当払出))</f>
        <v/>
      </c>
      <c r="J195" s="8" t="str">
        <f t="shared" si="10"/>
        <v/>
      </c>
      <c r="K195" s="8" t="str">
        <f t="shared" si="11"/>
        <v/>
      </c>
      <c r="L195" s="4" t="str">
        <f>IF($A195="","",IF(INDEX(tbl_plan[計画状態],ROW()-1)="キャンセル","キャンセル",IF(J195=0,"発送済",IF(K195&gt;0,"要搬出","OK"))))</f>
        <v/>
      </c>
      <c r="M195" s="8">
        <f t="array" ref="M195">_xlfn.LET(
_xlpm.計画状態,IFERROR(INDEX(tbl_plan[計画状態],ROW()-1)&amp;"",""),
_xlpm.必要数,IFERROR(N(INDEX(tbl_plan[必要数],ROW()-1)),0),
IF(_xlpm.計画状態="キャンセル",0,_xlpm.必要数))</f>
        <v>0</v>
      </c>
      <c r="N195" s="8" t="str">
        <f>IF($A195="","",_xlfn.LET(
_xlpm.搬入計,SUMIFS(tbl_ledger[数量],tbl_ledger[localId],$B195,tbl_ledger[イベント種類],"搬入"),
_xlpm.未割当発送,SUMIFS(tbl_ledger[数量],tbl_ledger[localId],$B195,tbl_ledger[イベント種類],"発送",tbl_ledger[ロットID],"="),
_xlpm.未割当倉庫戻し,SUMIFS(tbl_ledger[数量],tbl_ledger[localId],$B195,tbl_ledger[イベント種類],"倉庫戻し",tbl_ledger[ロットID],"="),
_xlpm.未割当不良,SUMIFS(tbl_ledger[数量],tbl_ledger[localId],$B195,tbl_ledger[イベント種類],"不良発生",tbl_ledger[ロットID],"="),
_xlpm.搬入計-_xlpm.未割当発送-_xlpm.未割当倉庫戻し-_xlpm.未割当不良))</f>
        <v/>
      </c>
      <c r="O195" s="8" t="str">
        <f t="array" ref="O195">IF($A195="","",_xlfn.LET(
_xlpm.同品番,($B$2:$B$301=$B195),
_xlpm.週が前,($C$2:$C$301&lt;$C195),
_xlpm.同週で上行,($C$2:$C$301=$C195)*(ROW($C$2:$C$301)&lt;ROW()),
SUMPRODUCT(_xlpm.同品番*(_xlpm.週が前+_xlpm.同週で上行)*$M$2:$M$301)))</f>
        <v/>
      </c>
    </row>
    <row r="196" spans="1:15" ht="15" customHeight="1" x14ac:dyDescent="0.25">
      <c r="A196" s="4" t="str">
        <f>IFERROR(INDEX(tbl_plan[ロットID],ROW()-1),"")</f>
        <v/>
      </c>
      <c r="B196" s="4" t="str">
        <f>IF($A196="","",INDEX(tbl_plan[localId],ROW()-1))</f>
        <v/>
      </c>
      <c r="C196" s="11" t="str">
        <f>IF($A196="","",INDEX(tbl_plan[出荷週],ROW()-1))</f>
        <v/>
      </c>
      <c r="D196" s="4" t="str">
        <f>IF($A196="","",INDEX(tbl_plan[納期先],ROW()-1)&amp;"")</f>
        <v/>
      </c>
      <c r="E196" s="8" t="str">
        <f>IF($A196="","",INDEX(tbl_plan[必要数],ROW()-1))</f>
        <v/>
      </c>
      <c r="F196" s="8" t="str">
        <f t="shared" si="9"/>
        <v/>
      </c>
      <c r="G196" s="8" t="str">
        <f>IF($A196="","",SUMIFS(tbl_ledger[数量],tbl_ledger[ロットID],$A196,tbl_ledger[イベント種類],"発送"))</f>
        <v/>
      </c>
      <c r="H196" s="8" t="str">
        <f>IF($A196="","",_xlfn.LET(
_xlpm.割当,F196,
_xlpm.充当受入,SUMIFS(tbl_ledger[数量],tbl_ledger[充当先ロットID],$A196,tbl_ledger[イベント種類],"充当"),
_xlpm.充当放出,SUMIFS(tbl_ledger[数量],tbl_ledger[ロットID],$A196,tbl_ledger[イベント種類],"充当"),
_xlpm.発送済,G196,
_xlpm.倉庫戻し,SUMIFS(tbl_ledger[数量],tbl_ledger[ロットID],$A196,tbl_ledger[イベント種類],"倉庫戻し"),
_xlpm.余剰化,SUMIFS(tbl_ledger[数量],tbl_ledger[ロットID],$A196,tbl_ledger[イベント種類],"余剰化"),
_xlpm.不良,SUMIFS(tbl_ledger[数量],tbl_ledger[ロットID],$A196,tbl_ledger[イベント種類],"不良発生"),
_xlpm.割当+_xlpm.充当受入-_xlpm.充当放出-_xlpm.発送済-_xlpm.倉庫戻し-_xlpm.余剰化-_xlpm.不良))</f>
        <v/>
      </c>
      <c r="I196" s="8" t="str">
        <f>IF($A196="","",_xlfn.LET(
_xlpm.品番プール,N196,
_xlpm.割当計,SUMIF($B$2:$B$301,$B196,$F$2:$F$301),
_xlpm.余剰化受入,SUMIFS(tbl_ledger[数量],tbl_ledger[localId],$B196,tbl_ledger[イベント種類],"余剰化"),
_xlpm.充当払出,SUMIFS(tbl_ledger[数量],tbl_ledger[localId],$B196,tbl_ledger[イベント種類],"充当",tbl_ledger[ロットID],"="),
_xlpm.品番プール-_xlpm.割当計+_xlpm.余剰化受入-_xlpm.充当払出))</f>
        <v/>
      </c>
      <c r="J196" s="8" t="str">
        <f t="shared" si="10"/>
        <v/>
      </c>
      <c r="K196" s="8" t="str">
        <f t="shared" si="11"/>
        <v/>
      </c>
      <c r="L196" s="4" t="str">
        <f>IF($A196="","",IF(INDEX(tbl_plan[計画状態],ROW()-1)="キャンセル","キャンセル",IF(J196=0,"発送済",IF(K196&gt;0,"要搬出","OK"))))</f>
        <v/>
      </c>
      <c r="M196" s="8">
        <f t="array" ref="M196">_xlfn.LET(
_xlpm.計画状態,IFERROR(INDEX(tbl_plan[計画状態],ROW()-1)&amp;"",""),
_xlpm.必要数,IFERROR(N(INDEX(tbl_plan[必要数],ROW()-1)),0),
IF(_xlpm.計画状態="キャンセル",0,_xlpm.必要数))</f>
        <v>0</v>
      </c>
      <c r="N196" s="8" t="str">
        <f>IF($A196="","",_xlfn.LET(
_xlpm.搬入計,SUMIFS(tbl_ledger[数量],tbl_ledger[localId],$B196,tbl_ledger[イベント種類],"搬入"),
_xlpm.未割当発送,SUMIFS(tbl_ledger[数量],tbl_ledger[localId],$B196,tbl_ledger[イベント種類],"発送",tbl_ledger[ロットID],"="),
_xlpm.未割当倉庫戻し,SUMIFS(tbl_ledger[数量],tbl_ledger[localId],$B196,tbl_ledger[イベント種類],"倉庫戻し",tbl_ledger[ロットID],"="),
_xlpm.未割当不良,SUMIFS(tbl_ledger[数量],tbl_ledger[localId],$B196,tbl_ledger[イベント種類],"不良発生",tbl_ledger[ロットID],"="),
_xlpm.搬入計-_xlpm.未割当発送-_xlpm.未割当倉庫戻し-_xlpm.未割当不良))</f>
        <v/>
      </c>
      <c r="O196" s="8" t="str">
        <f t="array" ref="O196">IF($A196="","",_xlfn.LET(
_xlpm.同品番,($B$2:$B$301=$B196),
_xlpm.週が前,($C$2:$C$301&lt;$C196),
_xlpm.同週で上行,($C$2:$C$301=$C196)*(ROW($C$2:$C$301)&lt;ROW()),
SUMPRODUCT(_xlpm.同品番*(_xlpm.週が前+_xlpm.同週で上行)*$M$2:$M$301)))</f>
        <v/>
      </c>
    </row>
    <row r="197" spans="1:15" ht="15" customHeight="1" x14ac:dyDescent="0.25">
      <c r="A197" s="4" t="str">
        <f>IFERROR(INDEX(tbl_plan[ロットID],ROW()-1),"")</f>
        <v/>
      </c>
      <c r="B197" s="4" t="str">
        <f>IF($A197="","",INDEX(tbl_plan[localId],ROW()-1))</f>
        <v/>
      </c>
      <c r="C197" s="11" t="str">
        <f>IF($A197="","",INDEX(tbl_plan[出荷週],ROW()-1))</f>
        <v/>
      </c>
      <c r="D197" s="4" t="str">
        <f>IF($A197="","",INDEX(tbl_plan[納期先],ROW()-1)&amp;"")</f>
        <v/>
      </c>
      <c r="E197" s="8" t="str">
        <f>IF($A197="","",INDEX(tbl_plan[必要数],ROW()-1))</f>
        <v/>
      </c>
      <c r="F197" s="8" t="str">
        <f t="shared" si="9"/>
        <v/>
      </c>
      <c r="G197" s="8" t="str">
        <f>IF($A197="","",SUMIFS(tbl_ledger[数量],tbl_ledger[ロットID],$A197,tbl_ledger[イベント種類],"発送"))</f>
        <v/>
      </c>
      <c r="H197" s="8" t="str">
        <f>IF($A197="","",_xlfn.LET(
_xlpm.割当,F197,
_xlpm.充当受入,SUMIFS(tbl_ledger[数量],tbl_ledger[充当先ロットID],$A197,tbl_ledger[イベント種類],"充当"),
_xlpm.充当放出,SUMIFS(tbl_ledger[数量],tbl_ledger[ロットID],$A197,tbl_ledger[イベント種類],"充当"),
_xlpm.発送済,G197,
_xlpm.倉庫戻し,SUMIFS(tbl_ledger[数量],tbl_ledger[ロットID],$A197,tbl_ledger[イベント種類],"倉庫戻し"),
_xlpm.余剰化,SUMIFS(tbl_ledger[数量],tbl_ledger[ロットID],$A197,tbl_ledger[イベント種類],"余剰化"),
_xlpm.不良,SUMIFS(tbl_ledger[数量],tbl_ledger[ロットID],$A197,tbl_ledger[イベント種類],"不良発生"),
_xlpm.割当+_xlpm.充当受入-_xlpm.充当放出-_xlpm.発送済-_xlpm.倉庫戻し-_xlpm.余剰化-_xlpm.不良))</f>
        <v/>
      </c>
      <c r="I197" s="8" t="str">
        <f>IF($A197="","",_xlfn.LET(
_xlpm.品番プール,N197,
_xlpm.割当計,SUMIF($B$2:$B$301,$B197,$F$2:$F$301),
_xlpm.余剰化受入,SUMIFS(tbl_ledger[数量],tbl_ledger[localId],$B197,tbl_ledger[イベント種類],"余剰化"),
_xlpm.充当払出,SUMIFS(tbl_ledger[数量],tbl_ledger[localId],$B197,tbl_ledger[イベント種類],"充当",tbl_ledger[ロットID],"="),
_xlpm.品番プール-_xlpm.割当計+_xlpm.余剰化受入-_xlpm.充当払出))</f>
        <v/>
      </c>
      <c r="J197" s="8" t="str">
        <f t="shared" si="10"/>
        <v/>
      </c>
      <c r="K197" s="8" t="str">
        <f t="shared" si="11"/>
        <v/>
      </c>
      <c r="L197" s="4" t="str">
        <f>IF($A197="","",IF(INDEX(tbl_plan[計画状態],ROW()-1)="キャンセル","キャンセル",IF(J197=0,"発送済",IF(K197&gt;0,"要搬出","OK"))))</f>
        <v/>
      </c>
      <c r="M197" s="8">
        <f t="array" ref="M197">_xlfn.LET(
_xlpm.計画状態,IFERROR(INDEX(tbl_plan[計画状態],ROW()-1)&amp;"",""),
_xlpm.必要数,IFERROR(N(INDEX(tbl_plan[必要数],ROW()-1)),0),
IF(_xlpm.計画状態="キャンセル",0,_xlpm.必要数))</f>
        <v>0</v>
      </c>
      <c r="N197" s="8" t="str">
        <f>IF($A197="","",_xlfn.LET(
_xlpm.搬入計,SUMIFS(tbl_ledger[数量],tbl_ledger[localId],$B197,tbl_ledger[イベント種類],"搬入"),
_xlpm.未割当発送,SUMIFS(tbl_ledger[数量],tbl_ledger[localId],$B197,tbl_ledger[イベント種類],"発送",tbl_ledger[ロットID],"="),
_xlpm.未割当倉庫戻し,SUMIFS(tbl_ledger[数量],tbl_ledger[localId],$B197,tbl_ledger[イベント種類],"倉庫戻し",tbl_ledger[ロットID],"="),
_xlpm.未割当不良,SUMIFS(tbl_ledger[数量],tbl_ledger[localId],$B197,tbl_ledger[イベント種類],"不良発生",tbl_ledger[ロットID],"="),
_xlpm.搬入計-_xlpm.未割当発送-_xlpm.未割当倉庫戻し-_xlpm.未割当不良))</f>
        <v/>
      </c>
      <c r="O197" s="8" t="str">
        <f t="array" ref="O197">IF($A197="","",_xlfn.LET(
_xlpm.同品番,($B$2:$B$301=$B197),
_xlpm.週が前,($C$2:$C$301&lt;$C197),
_xlpm.同週で上行,($C$2:$C$301=$C197)*(ROW($C$2:$C$301)&lt;ROW()),
SUMPRODUCT(_xlpm.同品番*(_xlpm.週が前+_xlpm.同週で上行)*$M$2:$M$301)))</f>
        <v/>
      </c>
    </row>
    <row r="198" spans="1:15" ht="15" customHeight="1" x14ac:dyDescent="0.25">
      <c r="A198" s="4" t="str">
        <f>IFERROR(INDEX(tbl_plan[ロットID],ROW()-1),"")</f>
        <v/>
      </c>
      <c r="B198" s="4" t="str">
        <f>IF($A198="","",INDEX(tbl_plan[localId],ROW()-1))</f>
        <v/>
      </c>
      <c r="C198" s="11" t="str">
        <f>IF($A198="","",INDEX(tbl_plan[出荷週],ROW()-1))</f>
        <v/>
      </c>
      <c r="D198" s="4" t="str">
        <f>IF($A198="","",INDEX(tbl_plan[納期先],ROW()-1)&amp;"")</f>
        <v/>
      </c>
      <c r="E198" s="8" t="str">
        <f>IF($A198="","",INDEX(tbl_plan[必要数],ROW()-1))</f>
        <v/>
      </c>
      <c r="F198" s="8" t="str">
        <f t="shared" si="9"/>
        <v/>
      </c>
      <c r="G198" s="8" t="str">
        <f>IF($A198="","",SUMIFS(tbl_ledger[数量],tbl_ledger[ロットID],$A198,tbl_ledger[イベント種類],"発送"))</f>
        <v/>
      </c>
      <c r="H198" s="8" t="str">
        <f>IF($A198="","",_xlfn.LET(
_xlpm.割当,F198,
_xlpm.充当受入,SUMIFS(tbl_ledger[数量],tbl_ledger[充当先ロットID],$A198,tbl_ledger[イベント種類],"充当"),
_xlpm.充当放出,SUMIFS(tbl_ledger[数量],tbl_ledger[ロットID],$A198,tbl_ledger[イベント種類],"充当"),
_xlpm.発送済,G198,
_xlpm.倉庫戻し,SUMIFS(tbl_ledger[数量],tbl_ledger[ロットID],$A198,tbl_ledger[イベント種類],"倉庫戻し"),
_xlpm.余剰化,SUMIFS(tbl_ledger[数量],tbl_ledger[ロットID],$A198,tbl_ledger[イベント種類],"余剰化"),
_xlpm.不良,SUMIFS(tbl_ledger[数量],tbl_ledger[ロットID],$A198,tbl_ledger[イベント種類],"不良発生"),
_xlpm.割当+_xlpm.充当受入-_xlpm.充当放出-_xlpm.発送済-_xlpm.倉庫戻し-_xlpm.余剰化-_xlpm.不良))</f>
        <v/>
      </c>
      <c r="I198" s="8" t="str">
        <f>IF($A198="","",_xlfn.LET(
_xlpm.品番プール,N198,
_xlpm.割当計,SUMIF($B$2:$B$301,$B198,$F$2:$F$301),
_xlpm.余剰化受入,SUMIFS(tbl_ledger[数量],tbl_ledger[localId],$B198,tbl_ledger[イベント種類],"余剰化"),
_xlpm.充当払出,SUMIFS(tbl_ledger[数量],tbl_ledger[localId],$B198,tbl_ledger[イベント種類],"充当",tbl_ledger[ロットID],"="),
_xlpm.品番プール-_xlpm.割当計+_xlpm.余剰化受入-_xlpm.充当払出))</f>
        <v/>
      </c>
      <c r="J198" s="8" t="str">
        <f t="shared" si="10"/>
        <v/>
      </c>
      <c r="K198" s="8" t="str">
        <f t="shared" si="11"/>
        <v/>
      </c>
      <c r="L198" s="4" t="str">
        <f>IF($A198="","",IF(INDEX(tbl_plan[計画状態],ROW()-1)="キャンセル","キャンセル",IF(J198=0,"発送済",IF(K198&gt;0,"要搬出","OK"))))</f>
        <v/>
      </c>
      <c r="M198" s="8">
        <f t="array" ref="M198">_xlfn.LET(
_xlpm.計画状態,IFERROR(INDEX(tbl_plan[計画状態],ROW()-1)&amp;"",""),
_xlpm.必要数,IFERROR(N(INDEX(tbl_plan[必要数],ROW()-1)),0),
IF(_xlpm.計画状態="キャンセル",0,_xlpm.必要数))</f>
        <v>0</v>
      </c>
      <c r="N198" s="8" t="str">
        <f>IF($A198="","",_xlfn.LET(
_xlpm.搬入計,SUMIFS(tbl_ledger[数量],tbl_ledger[localId],$B198,tbl_ledger[イベント種類],"搬入"),
_xlpm.未割当発送,SUMIFS(tbl_ledger[数量],tbl_ledger[localId],$B198,tbl_ledger[イベント種類],"発送",tbl_ledger[ロットID],"="),
_xlpm.未割当倉庫戻し,SUMIFS(tbl_ledger[数量],tbl_ledger[localId],$B198,tbl_ledger[イベント種類],"倉庫戻し",tbl_ledger[ロットID],"="),
_xlpm.未割当不良,SUMIFS(tbl_ledger[数量],tbl_ledger[localId],$B198,tbl_ledger[イベント種類],"不良発生",tbl_ledger[ロットID],"="),
_xlpm.搬入計-_xlpm.未割当発送-_xlpm.未割当倉庫戻し-_xlpm.未割当不良))</f>
        <v/>
      </c>
      <c r="O198" s="8" t="str">
        <f t="array" ref="O198">IF($A198="","",_xlfn.LET(
_xlpm.同品番,($B$2:$B$301=$B198),
_xlpm.週が前,($C$2:$C$301&lt;$C198),
_xlpm.同週で上行,($C$2:$C$301=$C198)*(ROW($C$2:$C$301)&lt;ROW()),
SUMPRODUCT(_xlpm.同品番*(_xlpm.週が前+_xlpm.同週で上行)*$M$2:$M$301)))</f>
        <v/>
      </c>
    </row>
    <row r="199" spans="1:15" ht="15" customHeight="1" x14ac:dyDescent="0.25">
      <c r="A199" s="4" t="str">
        <f>IFERROR(INDEX(tbl_plan[ロットID],ROW()-1),"")</f>
        <v/>
      </c>
      <c r="B199" s="4" t="str">
        <f>IF($A199="","",INDEX(tbl_plan[localId],ROW()-1))</f>
        <v/>
      </c>
      <c r="C199" s="11" t="str">
        <f>IF($A199="","",INDEX(tbl_plan[出荷週],ROW()-1))</f>
        <v/>
      </c>
      <c r="D199" s="4" t="str">
        <f>IF($A199="","",INDEX(tbl_plan[納期先],ROW()-1)&amp;"")</f>
        <v/>
      </c>
      <c r="E199" s="8" t="str">
        <f>IF($A199="","",INDEX(tbl_plan[必要数],ROW()-1))</f>
        <v/>
      </c>
      <c r="F199" s="8" t="str">
        <f t="shared" si="9"/>
        <v/>
      </c>
      <c r="G199" s="8" t="str">
        <f>IF($A199="","",SUMIFS(tbl_ledger[数量],tbl_ledger[ロットID],$A199,tbl_ledger[イベント種類],"発送"))</f>
        <v/>
      </c>
      <c r="H199" s="8" t="str">
        <f>IF($A199="","",_xlfn.LET(
_xlpm.割当,F199,
_xlpm.充当受入,SUMIFS(tbl_ledger[数量],tbl_ledger[充当先ロットID],$A199,tbl_ledger[イベント種類],"充当"),
_xlpm.充当放出,SUMIFS(tbl_ledger[数量],tbl_ledger[ロットID],$A199,tbl_ledger[イベント種類],"充当"),
_xlpm.発送済,G199,
_xlpm.倉庫戻し,SUMIFS(tbl_ledger[数量],tbl_ledger[ロットID],$A199,tbl_ledger[イベント種類],"倉庫戻し"),
_xlpm.余剰化,SUMIFS(tbl_ledger[数量],tbl_ledger[ロットID],$A199,tbl_ledger[イベント種類],"余剰化"),
_xlpm.不良,SUMIFS(tbl_ledger[数量],tbl_ledger[ロットID],$A199,tbl_ledger[イベント種類],"不良発生"),
_xlpm.割当+_xlpm.充当受入-_xlpm.充当放出-_xlpm.発送済-_xlpm.倉庫戻し-_xlpm.余剰化-_xlpm.不良))</f>
        <v/>
      </c>
      <c r="I199" s="8" t="str">
        <f>IF($A199="","",_xlfn.LET(
_xlpm.品番プール,N199,
_xlpm.割当計,SUMIF($B$2:$B$301,$B199,$F$2:$F$301),
_xlpm.余剰化受入,SUMIFS(tbl_ledger[数量],tbl_ledger[localId],$B199,tbl_ledger[イベント種類],"余剰化"),
_xlpm.充当払出,SUMIFS(tbl_ledger[数量],tbl_ledger[localId],$B199,tbl_ledger[イベント種類],"充当",tbl_ledger[ロットID],"="),
_xlpm.品番プール-_xlpm.割当計+_xlpm.余剰化受入-_xlpm.充当払出))</f>
        <v/>
      </c>
      <c r="J199" s="8" t="str">
        <f t="shared" si="10"/>
        <v/>
      </c>
      <c r="K199" s="8" t="str">
        <f t="shared" si="11"/>
        <v/>
      </c>
      <c r="L199" s="4" t="str">
        <f>IF($A199="","",IF(INDEX(tbl_plan[計画状態],ROW()-1)="キャンセル","キャンセル",IF(J199=0,"発送済",IF(K199&gt;0,"要搬出","OK"))))</f>
        <v/>
      </c>
      <c r="M199" s="8">
        <f t="array" ref="M199">_xlfn.LET(
_xlpm.計画状態,IFERROR(INDEX(tbl_plan[計画状態],ROW()-1)&amp;"",""),
_xlpm.必要数,IFERROR(N(INDEX(tbl_plan[必要数],ROW()-1)),0),
IF(_xlpm.計画状態="キャンセル",0,_xlpm.必要数))</f>
        <v>0</v>
      </c>
      <c r="N199" s="8" t="str">
        <f>IF($A199="","",_xlfn.LET(
_xlpm.搬入計,SUMIFS(tbl_ledger[数量],tbl_ledger[localId],$B199,tbl_ledger[イベント種類],"搬入"),
_xlpm.未割当発送,SUMIFS(tbl_ledger[数量],tbl_ledger[localId],$B199,tbl_ledger[イベント種類],"発送",tbl_ledger[ロットID],"="),
_xlpm.未割当倉庫戻し,SUMIFS(tbl_ledger[数量],tbl_ledger[localId],$B199,tbl_ledger[イベント種類],"倉庫戻し",tbl_ledger[ロットID],"="),
_xlpm.未割当不良,SUMIFS(tbl_ledger[数量],tbl_ledger[localId],$B199,tbl_ledger[イベント種類],"不良発生",tbl_ledger[ロットID],"="),
_xlpm.搬入計-_xlpm.未割当発送-_xlpm.未割当倉庫戻し-_xlpm.未割当不良))</f>
        <v/>
      </c>
      <c r="O199" s="8" t="str">
        <f t="array" ref="O199">IF($A199="","",_xlfn.LET(
_xlpm.同品番,($B$2:$B$301=$B199),
_xlpm.週が前,($C$2:$C$301&lt;$C199),
_xlpm.同週で上行,($C$2:$C$301=$C199)*(ROW($C$2:$C$301)&lt;ROW()),
SUMPRODUCT(_xlpm.同品番*(_xlpm.週が前+_xlpm.同週で上行)*$M$2:$M$301)))</f>
        <v/>
      </c>
    </row>
    <row r="200" spans="1:15" ht="15" customHeight="1" x14ac:dyDescent="0.25">
      <c r="A200" s="4" t="str">
        <f>IFERROR(INDEX(tbl_plan[ロットID],ROW()-1),"")</f>
        <v/>
      </c>
      <c r="B200" s="4" t="str">
        <f>IF($A200="","",INDEX(tbl_plan[localId],ROW()-1))</f>
        <v/>
      </c>
      <c r="C200" s="11" t="str">
        <f>IF($A200="","",INDEX(tbl_plan[出荷週],ROW()-1))</f>
        <v/>
      </c>
      <c r="D200" s="4" t="str">
        <f>IF($A200="","",INDEX(tbl_plan[納期先],ROW()-1)&amp;"")</f>
        <v/>
      </c>
      <c r="E200" s="8" t="str">
        <f>IF($A200="","",INDEX(tbl_plan[必要数],ROW()-1))</f>
        <v/>
      </c>
      <c r="F200" s="8" t="str">
        <f t="shared" si="9"/>
        <v/>
      </c>
      <c r="G200" s="8" t="str">
        <f>IF($A200="","",SUMIFS(tbl_ledger[数量],tbl_ledger[ロットID],$A200,tbl_ledger[イベント種類],"発送"))</f>
        <v/>
      </c>
      <c r="H200" s="8" t="str">
        <f>IF($A200="","",_xlfn.LET(
_xlpm.割当,F200,
_xlpm.充当受入,SUMIFS(tbl_ledger[数量],tbl_ledger[充当先ロットID],$A200,tbl_ledger[イベント種類],"充当"),
_xlpm.充当放出,SUMIFS(tbl_ledger[数量],tbl_ledger[ロットID],$A200,tbl_ledger[イベント種類],"充当"),
_xlpm.発送済,G200,
_xlpm.倉庫戻し,SUMIFS(tbl_ledger[数量],tbl_ledger[ロットID],$A200,tbl_ledger[イベント種類],"倉庫戻し"),
_xlpm.余剰化,SUMIFS(tbl_ledger[数量],tbl_ledger[ロットID],$A200,tbl_ledger[イベント種類],"余剰化"),
_xlpm.不良,SUMIFS(tbl_ledger[数量],tbl_ledger[ロットID],$A200,tbl_ledger[イベント種類],"不良発生"),
_xlpm.割当+_xlpm.充当受入-_xlpm.充当放出-_xlpm.発送済-_xlpm.倉庫戻し-_xlpm.余剰化-_xlpm.不良))</f>
        <v/>
      </c>
      <c r="I200" s="8" t="str">
        <f>IF($A200="","",_xlfn.LET(
_xlpm.品番プール,N200,
_xlpm.割当計,SUMIF($B$2:$B$301,$B200,$F$2:$F$301),
_xlpm.余剰化受入,SUMIFS(tbl_ledger[数量],tbl_ledger[localId],$B200,tbl_ledger[イベント種類],"余剰化"),
_xlpm.充当払出,SUMIFS(tbl_ledger[数量],tbl_ledger[localId],$B200,tbl_ledger[イベント種類],"充当",tbl_ledger[ロットID],"="),
_xlpm.品番プール-_xlpm.割当計+_xlpm.余剰化受入-_xlpm.充当払出))</f>
        <v/>
      </c>
      <c r="J200" s="8" t="str">
        <f t="shared" si="10"/>
        <v/>
      </c>
      <c r="K200" s="8" t="str">
        <f t="shared" si="11"/>
        <v/>
      </c>
      <c r="L200" s="4" t="str">
        <f>IF($A200="","",IF(INDEX(tbl_plan[計画状態],ROW()-1)="キャンセル","キャンセル",IF(J200=0,"発送済",IF(K200&gt;0,"要搬出","OK"))))</f>
        <v/>
      </c>
      <c r="M200" s="8">
        <f t="array" ref="M200">_xlfn.LET(
_xlpm.計画状態,IFERROR(INDEX(tbl_plan[計画状態],ROW()-1)&amp;"",""),
_xlpm.必要数,IFERROR(N(INDEX(tbl_plan[必要数],ROW()-1)),0),
IF(_xlpm.計画状態="キャンセル",0,_xlpm.必要数))</f>
        <v>0</v>
      </c>
      <c r="N200" s="8" t="str">
        <f>IF($A200="","",_xlfn.LET(
_xlpm.搬入計,SUMIFS(tbl_ledger[数量],tbl_ledger[localId],$B200,tbl_ledger[イベント種類],"搬入"),
_xlpm.未割当発送,SUMIFS(tbl_ledger[数量],tbl_ledger[localId],$B200,tbl_ledger[イベント種類],"発送",tbl_ledger[ロットID],"="),
_xlpm.未割当倉庫戻し,SUMIFS(tbl_ledger[数量],tbl_ledger[localId],$B200,tbl_ledger[イベント種類],"倉庫戻し",tbl_ledger[ロットID],"="),
_xlpm.未割当不良,SUMIFS(tbl_ledger[数量],tbl_ledger[localId],$B200,tbl_ledger[イベント種類],"不良発生",tbl_ledger[ロットID],"="),
_xlpm.搬入計-_xlpm.未割当発送-_xlpm.未割当倉庫戻し-_xlpm.未割当不良))</f>
        <v/>
      </c>
      <c r="O200" s="8" t="str">
        <f t="array" ref="O200">IF($A200="","",_xlfn.LET(
_xlpm.同品番,($B$2:$B$301=$B200),
_xlpm.週が前,($C$2:$C$301&lt;$C200),
_xlpm.同週で上行,($C$2:$C$301=$C200)*(ROW($C$2:$C$301)&lt;ROW()),
SUMPRODUCT(_xlpm.同品番*(_xlpm.週が前+_xlpm.同週で上行)*$M$2:$M$301)))</f>
        <v/>
      </c>
    </row>
    <row r="201" spans="1:15" ht="15" customHeight="1" x14ac:dyDescent="0.25">
      <c r="A201" s="4" t="str">
        <f>IFERROR(INDEX(tbl_plan[ロットID],ROW()-1),"")</f>
        <v/>
      </c>
      <c r="B201" s="4" t="str">
        <f>IF($A201="","",INDEX(tbl_plan[localId],ROW()-1))</f>
        <v/>
      </c>
      <c r="C201" s="11" t="str">
        <f>IF($A201="","",INDEX(tbl_plan[出荷週],ROW()-1))</f>
        <v/>
      </c>
      <c r="D201" s="4" t="str">
        <f>IF($A201="","",INDEX(tbl_plan[納期先],ROW()-1)&amp;"")</f>
        <v/>
      </c>
      <c r="E201" s="8" t="str">
        <f>IF($A201="","",INDEX(tbl_plan[必要数],ROW()-1))</f>
        <v/>
      </c>
      <c r="F201" s="8" t="str">
        <f t="shared" si="9"/>
        <v/>
      </c>
      <c r="G201" s="8" t="str">
        <f>IF($A201="","",SUMIFS(tbl_ledger[数量],tbl_ledger[ロットID],$A201,tbl_ledger[イベント種類],"発送"))</f>
        <v/>
      </c>
      <c r="H201" s="8" t="str">
        <f>IF($A201="","",_xlfn.LET(
_xlpm.割当,F201,
_xlpm.充当受入,SUMIFS(tbl_ledger[数量],tbl_ledger[充当先ロットID],$A201,tbl_ledger[イベント種類],"充当"),
_xlpm.充当放出,SUMIFS(tbl_ledger[数量],tbl_ledger[ロットID],$A201,tbl_ledger[イベント種類],"充当"),
_xlpm.発送済,G201,
_xlpm.倉庫戻し,SUMIFS(tbl_ledger[数量],tbl_ledger[ロットID],$A201,tbl_ledger[イベント種類],"倉庫戻し"),
_xlpm.余剰化,SUMIFS(tbl_ledger[数量],tbl_ledger[ロットID],$A201,tbl_ledger[イベント種類],"余剰化"),
_xlpm.不良,SUMIFS(tbl_ledger[数量],tbl_ledger[ロットID],$A201,tbl_ledger[イベント種類],"不良発生"),
_xlpm.割当+_xlpm.充当受入-_xlpm.充当放出-_xlpm.発送済-_xlpm.倉庫戻し-_xlpm.余剰化-_xlpm.不良))</f>
        <v/>
      </c>
      <c r="I201" s="8" t="str">
        <f>IF($A201="","",_xlfn.LET(
_xlpm.品番プール,N201,
_xlpm.割当計,SUMIF($B$2:$B$301,$B201,$F$2:$F$301),
_xlpm.余剰化受入,SUMIFS(tbl_ledger[数量],tbl_ledger[localId],$B201,tbl_ledger[イベント種類],"余剰化"),
_xlpm.充当払出,SUMIFS(tbl_ledger[数量],tbl_ledger[localId],$B201,tbl_ledger[イベント種類],"充当",tbl_ledger[ロットID],"="),
_xlpm.品番プール-_xlpm.割当計+_xlpm.余剰化受入-_xlpm.充当払出))</f>
        <v/>
      </c>
      <c r="J201" s="8" t="str">
        <f t="shared" si="10"/>
        <v/>
      </c>
      <c r="K201" s="8" t="str">
        <f t="shared" si="11"/>
        <v/>
      </c>
      <c r="L201" s="4" t="str">
        <f>IF($A201="","",IF(INDEX(tbl_plan[計画状態],ROW()-1)="キャンセル","キャンセル",IF(J201=0,"発送済",IF(K201&gt;0,"要搬出","OK"))))</f>
        <v/>
      </c>
      <c r="M201" s="8">
        <f t="array" ref="M201">_xlfn.LET(
_xlpm.計画状態,IFERROR(INDEX(tbl_plan[計画状態],ROW()-1)&amp;"",""),
_xlpm.必要数,IFERROR(N(INDEX(tbl_plan[必要数],ROW()-1)),0),
IF(_xlpm.計画状態="キャンセル",0,_xlpm.必要数))</f>
        <v>0</v>
      </c>
      <c r="N201" s="8" t="str">
        <f>IF($A201="","",_xlfn.LET(
_xlpm.搬入計,SUMIFS(tbl_ledger[数量],tbl_ledger[localId],$B201,tbl_ledger[イベント種類],"搬入"),
_xlpm.未割当発送,SUMIFS(tbl_ledger[数量],tbl_ledger[localId],$B201,tbl_ledger[イベント種類],"発送",tbl_ledger[ロットID],"="),
_xlpm.未割当倉庫戻し,SUMIFS(tbl_ledger[数量],tbl_ledger[localId],$B201,tbl_ledger[イベント種類],"倉庫戻し",tbl_ledger[ロットID],"="),
_xlpm.未割当不良,SUMIFS(tbl_ledger[数量],tbl_ledger[localId],$B201,tbl_ledger[イベント種類],"不良発生",tbl_ledger[ロットID],"="),
_xlpm.搬入計-_xlpm.未割当発送-_xlpm.未割当倉庫戻し-_xlpm.未割当不良))</f>
        <v/>
      </c>
      <c r="O201" s="8" t="str">
        <f t="array" ref="O201">IF($A201="","",_xlfn.LET(
_xlpm.同品番,($B$2:$B$301=$B201),
_xlpm.週が前,($C$2:$C$301&lt;$C201),
_xlpm.同週で上行,($C$2:$C$301=$C201)*(ROW($C$2:$C$301)&lt;ROW()),
SUMPRODUCT(_xlpm.同品番*(_xlpm.週が前+_xlpm.同週で上行)*$M$2:$M$301)))</f>
        <v/>
      </c>
    </row>
    <row r="202" spans="1:15" ht="15" customHeight="1" x14ac:dyDescent="0.25">
      <c r="A202" s="4" t="str">
        <f>IFERROR(INDEX(tbl_plan[ロットID],ROW()-1),"")</f>
        <v/>
      </c>
      <c r="B202" s="4" t="str">
        <f>IF($A202="","",INDEX(tbl_plan[localId],ROW()-1))</f>
        <v/>
      </c>
      <c r="C202" s="11" t="str">
        <f>IF($A202="","",INDEX(tbl_plan[出荷週],ROW()-1))</f>
        <v/>
      </c>
      <c r="D202" s="4" t="str">
        <f>IF($A202="","",INDEX(tbl_plan[納期先],ROW()-1)&amp;"")</f>
        <v/>
      </c>
      <c r="E202" s="8" t="str">
        <f>IF($A202="","",INDEX(tbl_plan[必要数],ROW()-1))</f>
        <v/>
      </c>
      <c r="F202" s="8" t="str">
        <f t="shared" si="9"/>
        <v/>
      </c>
      <c r="G202" s="8" t="str">
        <f>IF($A202="","",SUMIFS(tbl_ledger[数量],tbl_ledger[ロットID],$A202,tbl_ledger[イベント種類],"発送"))</f>
        <v/>
      </c>
      <c r="H202" s="8" t="str">
        <f>IF($A202="","",_xlfn.LET(
_xlpm.割当,F202,
_xlpm.充当受入,SUMIFS(tbl_ledger[数量],tbl_ledger[充当先ロットID],$A202,tbl_ledger[イベント種類],"充当"),
_xlpm.充当放出,SUMIFS(tbl_ledger[数量],tbl_ledger[ロットID],$A202,tbl_ledger[イベント種類],"充当"),
_xlpm.発送済,G202,
_xlpm.倉庫戻し,SUMIFS(tbl_ledger[数量],tbl_ledger[ロットID],$A202,tbl_ledger[イベント種類],"倉庫戻し"),
_xlpm.余剰化,SUMIFS(tbl_ledger[数量],tbl_ledger[ロットID],$A202,tbl_ledger[イベント種類],"余剰化"),
_xlpm.不良,SUMIFS(tbl_ledger[数量],tbl_ledger[ロットID],$A202,tbl_ledger[イベント種類],"不良発生"),
_xlpm.割当+_xlpm.充当受入-_xlpm.充当放出-_xlpm.発送済-_xlpm.倉庫戻し-_xlpm.余剰化-_xlpm.不良))</f>
        <v/>
      </c>
      <c r="I202" s="8" t="str">
        <f>IF($A202="","",_xlfn.LET(
_xlpm.品番プール,N202,
_xlpm.割当計,SUMIF($B$2:$B$301,$B202,$F$2:$F$301),
_xlpm.余剰化受入,SUMIFS(tbl_ledger[数量],tbl_ledger[localId],$B202,tbl_ledger[イベント種類],"余剰化"),
_xlpm.充当払出,SUMIFS(tbl_ledger[数量],tbl_ledger[localId],$B202,tbl_ledger[イベント種類],"充当",tbl_ledger[ロットID],"="),
_xlpm.品番プール-_xlpm.割当計+_xlpm.余剰化受入-_xlpm.充当払出))</f>
        <v/>
      </c>
      <c r="J202" s="8" t="str">
        <f t="shared" si="10"/>
        <v/>
      </c>
      <c r="K202" s="8" t="str">
        <f t="shared" si="11"/>
        <v/>
      </c>
      <c r="L202" s="4" t="str">
        <f>IF($A202="","",IF(INDEX(tbl_plan[計画状態],ROW()-1)="キャンセル","キャンセル",IF(J202=0,"発送済",IF(K202&gt;0,"要搬出","OK"))))</f>
        <v/>
      </c>
      <c r="M202" s="8">
        <f t="array" ref="M202">_xlfn.LET(
_xlpm.計画状態,IFERROR(INDEX(tbl_plan[計画状態],ROW()-1)&amp;"",""),
_xlpm.必要数,IFERROR(N(INDEX(tbl_plan[必要数],ROW()-1)),0),
IF(_xlpm.計画状態="キャンセル",0,_xlpm.必要数))</f>
        <v>0</v>
      </c>
      <c r="N202" s="8" t="str">
        <f>IF($A202="","",_xlfn.LET(
_xlpm.搬入計,SUMIFS(tbl_ledger[数量],tbl_ledger[localId],$B202,tbl_ledger[イベント種類],"搬入"),
_xlpm.未割当発送,SUMIFS(tbl_ledger[数量],tbl_ledger[localId],$B202,tbl_ledger[イベント種類],"発送",tbl_ledger[ロットID],"="),
_xlpm.未割当倉庫戻し,SUMIFS(tbl_ledger[数量],tbl_ledger[localId],$B202,tbl_ledger[イベント種類],"倉庫戻し",tbl_ledger[ロットID],"="),
_xlpm.未割当不良,SUMIFS(tbl_ledger[数量],tbl_ledger[localId],$B202,tbl_ledger[イベント種類],"不良発生",tbl_ledger[ロットID],"="),
_xlpm.搬入計-_xlpm.未割当発送-_xlpm.未割当倉庫戻し-_xlpm.未割当不良))</f>
        <v/>
      </c>
      <c r="O202" s="8" t="str">
        <f t="array" ref="O202">IF($A202="","",_xlfn.LET(
_xlpm.同品番,($B$2:$B$301=$B202),
_xlpm.週が前,($C$2:$C$301&lt;$C202),
_xlpm.同週で上行,($C$2:$C$301=$C202)*(ROW($C$2:$C$301)&lt;ROW()),
SUMPRODUCT(_xlpm.同品番*(_xlpm.週が前+_xlpm.同週で上行)*$M$2:$M$301)))</f>
        <v/>
      </c>
    </row>
    <row r="203" spans="1:15" ht="15" customHeight="1" x14ac:dyDescent="0.25">
      <c r="A203" s="4" t="str">
        <f>IFERROR(INDEX(tbl_plan[ロットID],ROW()-1),"")</f>
        <v/>
      </c>
      <c r="B203" s="4" t="str">
        <f>IF($A203="","",INDEX(tbl_plan[localId],ROW()-1))</f>
        <v/>
      </c>
      <c r="C203" s="11" t="str">
        <f>IF($A203="","",INDEX(tbl_plan[出荷週],ROW()-1))</f>
        <v/>
      </c>
      <c r="D203" s="4" t="str">
        <f>IF($A203="","",INDEX(tbl_plan[納期先],ROW()-1)&amp;"")</f>
        <v/>
      </c>
      <c r="E203" s="8" t="str">
        <f>IF($A203="","",INDEX(tbl_plan[必要数],ROW()-1))</f>
        <v/>
      </c>
      <c r="F203" s="8" t="str">
        <f t="shared" si="9"/>
        <v/>
      </c>
      <c r="G203" s="8" t="str">
        <f>IF($A203="","",SUMIFS(tbl_ledger[数量],tbl_ledger[ロットID],$A203,tbl_ledger[イベント種類],"発送"))</f>
        <v/>
      </c>
      <c r="H203" s="8" t="str">
        <f>IF($A203="","",_xlfn.LET(
_xlpm.割当,F203,
_xlpm.充当受入,SUMIFS(tbl_ledger[数量],tbl_ledger[充当先ロットID],$A203,tbl_ledger[イベント種類],"充当"),
_xlpm.充当放出,SUMIFS(tbl_ledger[数量],tbl_ledger[ロットID],$A203,tbl_ledger[イベント種類],"充当"),
_xlpm.発送済,G203,
_xlpm.倉庫戻し,SUMIFS(tbl_ledger[数量],tbl_ledger[ロットID],$A203,tbl_ledger[イベント種類],"倉庫戻し"),
_xlpm.余剰化,SUMIFS(tbl_ledger[数量],tbl_ledger[ロットID],$A203,tbl_ledger[イベント種類],"余剰化"),
_xlpm.不良,SUMIFS(tbl_ledger[数量],tbl_ledger[ロットID],$A203,tbl_ledger[イベント種類],"不良発生"),
_xlpm.割当+_xlpm.充当受入-_xlpm.充当放出-_xlpm.発送済-_xlpm.倉庫戻し-_xlpm.余剰化-_xlpm.不良))</f>
        <v/>
      </c>
      <c r="I203" s="8" t="str">
        <f>IF($A203="","",_xlfn.LET(
_xlpm.品番プール,N203,
_xlpm.割当計,SUMIF($B$2:$B$301,$B203,$F$2:$F$301),
_xlpm.余剰化受入,SUMIFS(tbl_ledger[数量],tbl_ledger[localId],$B203,tbl_ledger[イベント種類],"余剰化"),
_xlpm.充当払出,SUMIFS(tbl_ledger[数量],tbl_ledger[localId],$B203,tbl_ledger[イベント種類],"充当",tbl_ledger[ロットID],"="),
_xlpm.品番プール-_xlpm.割当計+_xlpm.余剰化受入-_xlpm.充当払出))</f>
        <v/>
      </c>
      <c r="J203" s="8" t="str">
        <f t="shared" si="10"/>
        <v/>
      </c>
      <c r="K203" s="8" t="str">
        <f t="shared" si="11"/>
        <v/>
      </c>
      <c r="L203" s="4" t="str">
        <f>IF($A203="","",IF(INDEX(tbl_plan[計画状態],ROW()-1)="キャンセル","キャンセル",IF(J203=0,"発送済",IF(K203&gt;0,"要搬出","OK"))))</f>
        <v/>
      </c>
      <c r="M203" s="8">
        <f t="array" ref="M203">_xlfn.LET(
_xlpm.計画状態,IFERROR(INDEX(tbl_plan[計画状態],ROW()-1)&amp;"",""),
_xlpm.必要数,IFERROR(N(INDEX(tbl_plan[必要数],ROW()-1)),0),
IF(_xlpm.計画状態="キャンセル",0,_xlpm.必要数))</f>
        <v>0</v>
      </c>
      <c r="N203" s="8" t="str">
        <f>IF($A203="","",_xlfn.LET(
_xlpm.搬入計,SUMIFS(tbl_ledger[数量],tbl_ledger[localId],$B203,tbl_ledger[イベント種類],"搬入"),
_xlpm.未割当発送,SUMIFS(tbl_ledger[数量],tbl_ledger[localId],$B203,tbl_ledger[イベント種類],"発送",tbl_ledger[ロットID],"="),
_xlpm.未割当倉庫戻し,SUMIFS(tbl_ledger[数量],tbl_ledger[localId],$B203,tbl_ledger[イベント種類],"倉庫戻し",tbl_ledger[ロットID],"="),
_xlpm.未割当不良,SUMIFS(tbl_ledger[数量],tbl_ledger[localId],$B203,tbl_ledger[イベント種類],"不良発生",tbl_ledger[ロットID],"="),
_xlpm.搬入計-_xlpm.未割当発送-_xlpm.未割当倉庫戻し-_xlpm.未割当不良))</f>
        <v/>
      </c>
      <c r="O203" s="8" t="str">
        <f t="array" ref="O203">IF($A203="","",_xlfn.LET(
_xlpm.同品番,($B$2:$B$301=$B203),
_xlpm.週が前,($C$2:$C$301&lt;$C203),
_xlpm.同週で上行,($C$2:$C$301=$C203)*(ROW($C$2:$C$301)&lt;ROW()),
SUMPRODUCT(_xlpm.同品番*(_xlpm.週が前+_xlpm.同週で上行)*$M$2:$M$301)))</f>
        <v/>
      </c>
    </row>
    <row r="204" spans="1:15" ht="15" customHeight="1" x14ac:dyDescent="0.25">
      <c r="A204" s="4" t="str">
        <f>IFERROR(INDEX(tbl_plan[ロットID],ROW()-1),"")</f>
        <v/>
      </c>
      <c r="B204" s="4" t="str">
        <f>IF($A204="","",INDEX(tbl_plan[localId],ROW()-1))</f>
        <v/>
      </c>
      <c r="C204" s="11" t="str">
        <f>IF($A204="","",INDEX(tbl_plan[出荷週],ROW()-1))</f>
        <v/>
      </c>
      <c r="D204" s="4" t="str">
        <f>IF($A204="","",INDEX(tbl_plan[納期先],ROW()-1)&amp;"")</f>
        <v/>
      </c>
      <c r="E204" s="8" t="str">
        <f>IF($A204="","",INDEX(tbl_plan[必要数],ROW()-1))</f>
        <v/>
      </c>
      <c r="F204" s="8" t="str">
        <f t="shared" si="9"/>
        <v/>
      </c>
      <c r="G204" s="8" t="str">
        <f>IF($A204="","",SUMIFS(tbl_ledger[数量],tbl_ledger[ロットID],$A204,tbl_ledger[イベント種類],"発送"))</f>
        <v/>
      </c>
      <c r="H204" s="8" t="str">
        <f>IF($A204="","",_xlfn.LET(
_xlpm.割当,F204,
_xlpm.充当受入,SUMIFS(tbl_ledger[数量],tbl_ledger[充当先ロットID],$A204,tbl_ledger[イベント種類],"充当"),
_xlpm.充当放出,SUMIFS(tbl_ledger[数量],tbl_ledger[ロットID],$A204,tbl_ledger[イベント種類],"充当"),
_xlpm.発送済,G204,
_xlpm.倉庫戻し,SUMIFS(tbl_ledger[数量],tbl_ledger[ロットID],$A204,tbl_ledger[イベント種類],"倉庫戻し"),
_xlpm.余剰化,SUMIFS(tbl_ledger[数量],tbl_ledger[ロットID],$A204,tbl_ledger[イベント種類],"余剰化"),
_xlpm.不良,SUMIFS(tbl_ledger[数量],tbl_ledger[ロットID],$A204,tbl_ledger[イベント種類],"不良発生"),
_xlpm.割当+_xlpm.充当受入-_xlpm.充当放出-_xlpm.発送済-_xlpm.倉庫戻し-_xlpm.余剰化-_xlpm.不良))</f>
        <v/>
      </c>
      <c r="I204" s="8" t="str">
        <f>IF($A204="","",_xlfn.LET(
_xlpm.品番プール,N204,
_xlpm.割当計,SUMIF($B$2:$B$301,$B204,$F$2:$F$301),
_xlpm.余剰化受入,SUMIFS(tbl_ledger[数量],tbl_ledger[localId],$B204,tbl_ledger[イベント種類],"余剰化"),
_xlpm.充当払出,SUMIFS(tbl_ledger[数量],tbl_ledger[localId],$B204,tbl_ledger[イベント種類],"充当",tbl_ledger[ロットID],"="),
_xlpm.品番プール-_xlpm.割当計+_xlpm.余剰化受入-_xlpm.充当払出))</f>
        <v/>
      </c>
      <c r="J204" s="8" t="str">
        <f t="shared" si="10"/>
        <v/>
      </c>
      <c r="K204" s="8" t="str">
        <f t="shared" si="11"/>
        <v/>
      </c>
      <c r="L204" s="4" t="str">
        <f>IF($A204="","",IF(INDEX(tbl_plan[計画状態],ROW()-1)="キャンセル","キャンセル",IF(J204=0,"発送済",IF(K204&gt;0,"要搬出","OK"))))</f>
        <v/>
      </c>
      <c r="M204" s="8">
        <f t="array" ref="M204">_xlfn.LET(
_xlpm.計画状態,IFERROR(INDEX(tbl_plan[計画状態],ROW()-1)&amp;"",""),
_xlpm.必要数,IFERROR(N(INDEX(tbl_plan[必要数],ROW()-1)),0),
IF(_xlpm.計画状態="キャンセル",0,_xlpm.必要数))</f>
        <v>0</v>
      </c>
      <c r="N204" s="8" t="str">
        <f>IF($A204="","",_xlfn.LET(
_xlpm.搬入計,SUMIFS(tbl_ledger[数量],tbl_ledger[localId],$B204,tbl_ledger[イベント種類],"搬入"),
_xlpm.未割当発送,SUMIFS(tbl_ledger[数量],tbl_ledger[localId],$B204,tbl_ledger[イベント種類],"発送",tbl_ledger[ロットID],"="),
_xlpm.未割当倉庫戻し,SUMIFS(tbl_ledger[数量],tbl_ledger[localId],$B204,tbl_ledger[イベント種類],"倉庫戻し",tbl_ledger[ロットID],"="),
_xlpm.未割当不良,SUMIFS(tbl_ledger[数量],tbl_ledger[localId],$B204,tbl_ledger[イベント種類],"不良発生",tbl_ledger[ロットID],"="),
_xlpm.搬入計-_xlpm.未割当発送-_xlpm.未割当倉庫戻し-_xlpm.未割当不良))</f>
        <v/>
      </c>
      <c r="O204" s="8" t="str">
        <f t="array" ref="O204">IF($A204="","",_xlfn.LET(
_xlpm.同品番,($B$2:$B$301=$B204),
_xlpm.週が前,($C$2:$C$301&lt;$C204),
_xlpm.同週で上行,($C$2:$C$301=$C204)*(ROW($C$2:$C$301)&lt;ROW()),
SUMPRODUCT(_xlpm.同品番*(_xlpm.週が前+_xlpm.同週で上行)*$M$2:$M$301)))</f>
        <v/>
      </c>
    </row>
    <row r="205" spans="1:15" ht="15" customHeight="1" x14ac:dyDescent="0.25">
      <c r="A205" s="4" t="str">
        <f>IFERROR(INDEX(tbl_plan[ロットID],ROW()-1),"")</f>
        <v/>
      </c>
      <c r="B205" s="4" t="str">
        <f>IF($A205="","",INDEX(tbl_plan[localId],ROW()-1))</f>
        <v/>
      </c>
      <c r="C205" s="11" t="str">
        <f>IF($A205="","",INDEX(tbl_plan[出荷週],ROW()-1))</f>
        <v/>
      </c>
      <c r="D205" s="4" t="str">
        <f>IF($A205="","",INDEX(tbl_plan[納期先],ROW()-1)&amp;"")</f>
        <v/>
      </c>
      <c r="E205" s="8" t="str">
        <f>IF($A205="","",INDEX(tbl_plan[必要数],ROW()-1))</f>
        <v/>
      </c>
      <c r="F205" s="8" t="str">
        <f t="shared" si="9"/>
        <v/>
      </c>
      <c r="G205" s="8" t="str">
        <f>IF($A205="","",SUMIFS(tbl_ledger[数量],tbl_ledger[ロットID],$A205,tbl_ledger[イベント種類],"発送"))</f>
        <v/>
      </c>
      <c r="H205" s="8" t="str">
        <f>IF($A205="","",_xlfn.LET(
_xlpm.割当,F205,
_xlpm.充当受入,SUMIFS(tbl_ledger[数量],tbl_ledger[充当先ロットID],$A205,tbl_ledger[イベント種類],"充当"),
_xlpm.充当放出,SUMIFS(tbl_ledger[数量],tbl_ledger[ロットID],$A205,tbl_ledger[イベント種類],"充当"),
_xlpm.発送済,G205,
_xlpm.倉庫戻し,SUMIFS(tbl_ledger[数量],tbl_ledger[ロットID],$A205,tbl_ledger[イベント種類],"倉庫戻し"),
_xlpm.余剰化,SUMIFS(tbl_ledger[数量],tbl_ledger[ロットID],$A205,tbl_ledger[イベント種類],"余剰化"),
_xlpm.不良,SUMIFS(tbl_ledger[数量],tbl_ledger[ロットID],$A205,tbl_ledger[イベント種類],"不良発生"),
_xlpm.割当+_xlpm.充当受入-_xlpm.充当放出-_xlpm.発送済-_xlpm.倉庫戻し-_xlpm.余剰化-_xlpm.不良))</f>
        <v/>
      </c>
      <c r="I205" s="8" t="str">
        <f>IF($A205="","",_xlfn.LET(
_xlpm.品番プール,N205,
_xlpm.割当計,SUMIF($B$2:$B$301,$B205,$F$2:$F$301),
_xlpm.余剰化受入,SUMIFS(tbl_ledger[数量],tbl_ledger[localId],$B205,tbl_ledger[イベント種類],"余剰化"),
_xlpm.充当払出,SUMIFS(tbl_ledger[数量],tbl_ledger[localId],$B205,tbl_ledger[イベント種類],"充当",tbl_ledger[ロットID],"="),
_xlpm.品番プール-_xlpm.割当計+_xlpm.余剰化受入-_xlpm.充当払出))</f>
        <v/>
      </c>
      <c r="J205" s="8" t="str">
        <f t="shared" si="10"/>
        <v/>
      </c>
      <c r="K205" s="8" t="str">
        <f t="shared" si="11"/>
        <v/>
      </c>
      <c r="L205" s="4" t="str">
        <f>IF($A205="","",IF(INDEX(tbl_plan[計画状態],ROW()-1)="キャンセル","キャンセル",IF(J205=0,"発送済",IF(K205&gt;0,"要搬出","OK"))))</f>
        <v/>
      </c>
      <c r="M205" s="8">
        <f t="array" ref="M205">_xlfn.LET(
_xlpm.計画状態,IFERROR(INDEX(tbl_plan[計画状態],ROW()-1)&amp;"",""),
_xlpm.必要数,IFERROR(N(INDEX(tbl_plan[必要数],ROW()-1)),0),
IF(_xlpm.計画状態="キャンセル",0,_xlpm.必要数))</f>
        <v>0</v>
      </c>
      <c r="N205" s="8" t="str">
        <f>IF($A205="","",_xlfn.LET(
_xlpm.搬入計,SUMIFS(tbl_ledger[数量],tbl_ledger[localId],$B205,tbl_ledger[イベント種類],"搬入"),
_xlpm.未割当発送,SUMIFS(tbl_ledger[数量],tbl_ledger[localId],$B205,tbl_ledger[イベント種類],"発送",tbl_ledger[ロットID],"="),
_xlpm.未割当倉庫戻し,SUMIFS(tbl_ledger[数量],tbl_ledger[localId],$B205,tbl_ledger[イベント種類],"倉庫戻し",tbl_ledger[ロットID],"="),
_xlpm.未割当不良,SUMIFS(tbl_ledger[数量],tbl_ledger[localId],$B205,tbl_ledger[イベント種類],"不良発生",tbl_ledger[ロットID],"="),
_xlpm.搬入計-_xlpm.未割当発送-_xlpm.未割当倉庫戻し-_xlpm.未割当不良))</f>
        <v/>
      </c>
      <c r="O205" s="8" t="str">
        <f t="array" ref="O205">IF($A205="","",_xlfn.LET(
_xlpm.同品番,($B$2:$B$301=$B205),
_xlpm.週が前,($C$2:$C$301&lt;$C205),
_xlpm.同週で上行,($C$2:$C$301=$C205)*(ROW($C$2:$C$301)&lt;ROW()),
SUMPRODUCT(_xlpm.同品番*(_xlpm.週が前+_xlpm.同週で上行)*$M$2:$M$301)))</f>
        <v/>
      </c>
    </row>
    <row r="206" spans="1:15" ht="15" customHeight="1" x14ac:dyDescent="0.25">
      <c r="A206" s="4" t="str">
        <f>IFERROR(INDEX(tbl_plan[ロットID],ROW()-1),"")</f>
        <v/>
      </c>
      <c r="B206" s="4" t="str">
        <f>IF($A206="","",INDEX(tbl_plan[localId],ROW()-1))</f>
        <v/>
      </c>
      <c r="C206" s="11" t="str">
        <f>IF($A206="","",INDEX(tbl_plan[出荷週],ROW()-1))</f>
        <v/>
      </c>
      <c r="D206" s="4" t="str">
        <f>IF($A206="","",INDEX(tbl_plan[納期先],ROW()-1)&amp;"")</f>
        <v/>
      </c>
      <c r="E206" s="8" t="str">
        <f>IF($A206="","",INDEX(tbl_plan[必要数],ROW()-1))</f>
        <v/>
      </c>
      <c r="F206" s="8" t="str">
        <f t="shared" si="9"/>
        <v/>
      </c>
      <c r="G206" s="8" t="str">
        <f>IF($A206="","",SUMIFS(tbl_ledger[数量],tbl_ledger[ロットID],$A206,tbl_ledger[イベント種類],"発送"))</f>
        <v/>
      </c>
      <c r="H206" s="8" t="str">
        <f>IF($A206="","",_xlfn.LET(
_xlpm.割当,F206,
_xlpm.充当受入,SUMIFS(tbl_ledger[数量],tbl_ledger[充当先ロットID],$A206,tbl_ledger[イベント種類],"充当"),
_xlpm.充当放出,SUMIFS(tbl_ledger[数量],tbl_ledger[ロットID],$A206,tbl_ledger[イベント種類],"充当"),
_xlpm.発送済,G206,
_xlpm.倉庫戻し,SUMIFS(tbl_ledger[数量],tbl_ledger[ロットID],$A206,tbl_ledger[イベント種類],"倉庫戻し"),
_xlpm.余剰化,SUMIFS(tbl_ledger[数量],tbl_ledger[ロットID],$A206,tbl_ledger[イベント種類],"余剰化"),
_xlpm.不良,SUMIFS(tbl_ledger[数量],tbl_ledger[ロットID],$A206,tbl_ledger[イベント種類],"不良発生"),
_xlpm.割当+_xlpm.充当受入-_xlpm.充当放出-_xlpm.発送済-_xlpm.倉庫戻し-_xlpm.余剰化-_xlpm.不良))</f>
        <v/>
      </c>
      <c r="I206" s="8" t="str">
        <f>IF($A206="","",_xlfn.LET(
_xlpm.品番プール,N206,
_xlpm.割当計,SUMIF($B$2:$B$301,$B206,$F$2:$F$301),
_xlpm.余剰化受入,SUMIFS(tbl_ledger[数量],tbl_ledger[localId],$B206,tbl_ledger[イベント種類],"余剰化"),
_xlpm.充当払出,SUMIFS(tbl_ledger[数量],tbl_ledger[localId],$B206,tbl_ledger[イベント種類],"充当",tbl_ledger[ロットID],"="),
_xlpm.品番プール-_xlpm.割当計+_xlpm.余剰化受入-_xlpm.充当払出))</f>
        <v/>
      </c>
      <c r="J206" s="8" t="str">
        <f t="shared" si="10"/>
        <v/>
      </c>
      <c r="K206" s="8" t="str">
        <f t="shared" si="11"/>
        <v/>
      </c>
      <c r="L206" s="4" t="str">
        <f>IF($A206="","",IF(INDEX(tbl_plan[計画状態],ROW()-1)="キャンセル","キャンセル",IF(J206=0,"発送済",IF(K206&gt;0,"要搬出","OK"))))</f>
        <v/>
      </c>
      <c r="M206" s="8">
        <f t="array" ref="M206">_xlfn.LET(
_xlpm.計画状態,IFERROR(INDEX(tbl_plan[計画状態],ROW()-1)&amp;"",""),
_xlpm.必要数,IFERROR(N(INDEX(tbl_plan[必要数],ROW()-1)),0),
IF(_xlpm.計画状態="キャンセル",0,_xlpm.必要数))</f>
        <v>0</v>
      </c>
      <c r="N206" s="8" t="str">
        <f>IF($A206="","",_xlfn.LET(
_xlpm.搬入計,SUMIFS(tbl_ledger[数量],tbl_ledger[localId],$B206,tbl_ledger[イベント種類],"搬入"),
_xlpm.未割当発送,SUMIFS(tbl_ledger[数量],tbl_ledger[localId],$B206,tbl_ledger[イベント種類],"発送",tbl_ledger[ロットID],"="),
_xlpm.未割当倉庫戻し,SUMIFS(tbl_ledger[数量],tbl_ledger[localId],$B206,tbl_ledger[イベント種類],"倉庫戻し",tbl_ledger[ロットID],"="),
_xlpm.未割当不良,SUMIFS(tbl_ledger[数量],tbl_ledger[localId],$B206,tbl_ledger[イベント種類],"不良発生",tbl_ledger[ロットID],"="),
_xlpm.搬入計-_xlpm.未割当発送-_xlpm.未割当倉庫戻し-_xlpm.未割当不良))</f>
        <v/>
      </c>
      <c r="O206" s="8" t="str">
        <f t="array" ref="O206">IF($A206="","",_xlfn.LET(
_xlpm.同品番,($B$2:$B$301=$B206),
_xlpm.週が前,($C$2:$C$301&lt;$C206),
_xlpm.同週で上行,($C$2:$C$301=$C206)*(ROW($C$2:$C$301)&lt;ROW()),
SUMPRODUCT(_xlpm.同品番*(_xlpm.週が前+_xlpm.同週で上行)*$M$2:$M$301)))</f>
        <v/>
      </c>
    </row>
    <row r="207" spans="1:15" ht="15" customHeight="1" x14ac:dyDescent="0.25">
      <c r="A207" s="4" t="str">
        <f>IFERROR(INDEX(tbl_plan[ロットID],ROW()-1),"")</f>
        <v/>
      </c>
      <c r="B207" s="4" t="str">
        <f>IF($A207="","",INDEX(tbl_plan[localId],ROW()-1))</f>
        <v/>
      </c>
      <c r="C207" s="11" t="str">
        <f>IF($A207="","",INDEX(tbl_plan[出荷週],ROW()-1))</f>
        <v/>
      </c>
      <c r="D207" s="4" t="str">
        <f>IF($A207="","",INDEX(tbl_plan[納期先],ROW()-1)&amp;"")</f>
        <v/>
      </c>
      <c r="E207" s="8" t="str">
        <f>IF($A207="","",INDEX(tbl_plan[必要数],ROW()-1))</f>
        <v/>
      </c>
      <c r="F207" s="8" t="str">
        <f t="shared" si="9"/>
        <v/>
      </c>
      <c r="G207" s="8" t="str">
        <f>IF($A207="","",SUMIFS(tbl_ledger[数量],tbl_ledger[ロットID],$A207,tbl_ledger[イベント種類],"発送"))</f>
        <v/>
      </c>
      <c r="H207" s="8" t="str">
        <f>IF($A207="","",_xlfn.LET(
_xlpm.割当,F207,
_xlpm.充当受入,SUMIFS(tbl_ledger[数量],tbl_ledger[充当先ロットID],$A207,tbl_ledger[イベント種類],"充当"),
_xlpm.充当放出,SUMIFS(tbl_ledger[数量],tbl_ledger[ロットID],$A207,tbl_ledger[イベント種類],"充当"),
_xlpm.発送済,G207,
_xlpm.倉庫戻し,SUMIFS(tbl_ledger[数量],tbl_ledger[ロットID],$A207,tbl_ledger[イベント種類],"倉庫戻し"),
_xlpm.余剰化,SUMIFS(tbl_ledger[数量],tbl_ledger[ロットID],$A207,tbl_ledger[イベント種類],"余剰化"),
_xlpm.不良,SUMIFS(tbl_ledger[数量],tbl_ledger[ロットID],$A207,tbl_ledger[イベント種類],"不良発生"),
_xlpm.割当+_xlpm.充当受入-_xlpm.充当放出-_xlpm.発送済-_xlpm.倉庫戻し-_xlpm.余剰化-_xlpm.不良))</f>
        <v/>
      </c>
      <c r="I207" s="8" t="str">
        <f>IF($A207="","",_xlfn.LET(
_xlpm.品番プール,N207,
_xlpm.割当計,SUMIF($B$2:$B$301,$B207,$F$2:$F$301),
_xlpm.余剰化受入,SUMIFS(tbl_ledger[数量],tbl_ledger[localId],$B207,tbl_ledger[イベント種類],"余剰化"),
_xlpm.充当払出,SUMIFS(tbl_ledger[数量],tbl_ledger[localId],$B207,tbl_ledger[イベント種類],"充当",tbl_ledger[ロットID],"="),
_xlpm.品番プール-_xlpm.割当計+_xlpm.余剰化受入-_xlpm.充当払出))</f>
        <v/>
      </c>
      <c r="J207" s="8" t="str">
        <f t="shared" si="10"/>
        <v/>
      </c>
      <c r="K207" s="8" t="str">
        <f t="shared" si="11"/>
        <v/>
      </c>
      <c r="L207" s="4" t="str">
        <f>IF($A207="","",IF(INDEX(tbl_plan[計画状態],ROW()-1)="キャンセル","キャンセル",IF(J207=0,"発送済",IF(K207&gt;0,"要搬出","OK"))))</f>
        <v/>
      </c>
      <c r="M207" s="8">
        <f t="array" ref="M207">_xlfn.LET(
_xlpm.計画状態,IFERROR(INDEX(tbl_plan[計画状態],ROW()-1)&amp;"",""),
_xlpm.必要数,IFERROR(N(INDEX(tbl_plan[必要数],ROW()-1)),0),
IF(_xlpm.計画状態="キャンセル",0,_xlpm.必要数))</f>
        <v>0</v>
      </c>
      <c r="N207" s="8" t="str">
        <f>IF($A207="","",_xlfn.LET(
_xlpm.搬入計,SUMIFS(tbl_ledger[数量],tbl_ledger[localId],$B207,tbl_ledger[イベント種類],"搬入"),
_xlpm.未割当発送,SUMIFS(tbl_ledger[数量],tbl_ledger[localId],$B207,tbl_ledger[イベント種類],"発送",tbl_ledger[ロットID],"="),
_xlpm.未割当倉庫戻し,SUMIFS(tbl_ledger[数量],tbl_ledger[localId],$B207,tbl_ledger[イベント種類],"倉庫戻し",tbl_ledger[ロットID],"="),
_xlpm.未割当不良,SUMIFS(tbl_ledger[数量],tbl_ledger[localId],$B207,tbl_ledger[イベント種類],"不良発生",tbl_ledger[ロットID],"="),
_xlpm.搬入計-_xlpm.未割当発送-_xlpm.未割当倉庫戻し-_xlpm.未割当不良))</f>
        <v/>
      </c>
      <c r="O207" s="8" t="str">
        <f t="array" ref="O207">IF($A207="","",_xlfn.LET(
_xlpm.同品番,($B$2:$B$301=$B207),
_xlpm.週が前,($C$2:$C$301&lt;$C207),
_xlpm.同週で上行,($C$2:$C$301=$C207)*(ROW($C$2:$C$301)&lt;ROW()),
SUMPRODUCT(_xlpm.同品番*(_xlpm.週が前+_xlpm.同週で上行)*$M$2:$M$301)))</f>
        <v/>
      </c>
    </row>
    <row r="208" spans="1:15" ht="15" customHeight="1" x14ac:dyDescent="0.25">
      <c r="A208" s="4" t="str">
        <f>IFERROR(INDEX(tbl_plan[ロットID],ROW()-1),"")</f>
        <v/>
      </c>
      <c r="B208" s="4" t="str">
        <f>IF($A208="","",INDEX(tbl_plan[localId],ROW()-1))</f>
        <v/>
      </c>
      <c r="C208" s="11" t="str">
        <f>IF($A208="","",INDEX(tbl_plan[出荷週],ROW()-1))</f>
        <v/>
      </c>
      <c r="D208" s="4" t="str">
        <f>IF($A208="","",INDEX(tbl_plan[納期先],ROW()-1)&amp;"")</f>
        <v/>
      </c>
      <c r="E208" s="8" t="str">
        <f>IF($A208="","",INDEX(tbl_plan[必要数],ROW()-1))</f>
        <v/>
      </c>
      <c r="F208" s="8" t="str">
        <f t="shared" si="9"/>
        <v/>
      </c>
      <c r="G208" s="8" t="str">
        <f>IF($A208="","",SUMIFS(tbl_ledger[数量],tbl_ledger[ロットID],$A208,tbl_ledger[イベント種類],"発送"))</f>
        <v/>
      </c>
      <c r="H208" s="8" t="str">
        <f>IF($A208="","",_xlfn.LET(
_xlpm.割当,F208,
_xlpm.充当受入,SUMIFS(tbl_ledger[数量],tbl_ledger[充当先ロットID],$A208,tbl_ledger[イベント種類],"充当"),
_xlpm.充当放出,SUMIFS(tbl_ledger[数量],tbl_ledger[ロットID],$A208,tbl_ledger[イベント種類],"充当"),
_xlpm.発送済,G208,
_xlpm.倉庫戻し,SUMIFS(tbl_ledger[数量],tbl_ledger[ロットID],$A208,tbl_ledger[イベント種類],"倉庫戻し"),
_xlpm.余剰化,SUMIFS(tbl_ledger[数量],tbl_ledger[ロットID],$A208,tbl_ledger[イベント種類],"余剰化"),
_xlpm.不良,SUMIFS(tbl_ledger[数量],tbl_ledger[ロットID],$A208,tbl_ledger[イベント種類],"不良発生"),
_xlpm.割当+_xlpm.充当受入-_xlpm.充当放出-_xlpm.発送済-_xlpm.倉庫戻し-_xlpm.余剰化-_xlpm.不良))</f>
        <v/>
      </c>
      <c r="I208" s="8" t="str">
        <f>IF($A208="","",_xlfn.LET(
_xlpm.品番プール,N208,
_xlpm.割当計,SUMIF($B$2:$B$301,$B208,$F$2:$F$301),
_xlpm.余剰化受入,SUMIFS(tbl_ledger[数量],tbl_ledger[localId],$B208,tbl_ledger[イベント種類],"余剰化"),
_xlpm.充当払出,SUMIFS(tbl_ledger[数量],tbl_ledger[localId],$B208,tbl_ledger[イベント種類],"充当",tbl_ledger[ロットID],"="),
_xlpm.品番プール-_xlpm.割当計+_xlpm.余剰化受入-_xlpm.充当払出))</f>
        <v/>
      </c>
      <c r="J208" s="8" t="str">
        <f t="shared" si="10"/>
        <v/>
      </c>
      <c r="K208" s="8" t="str">
        <f t="shared" si="11"/>
        <v/>
      </c>
      <c r="L208" s="4" t="str">
        <f>IF($A208="","",IF(INDEX(tbl_plan[計画状態],ROW()-1)="キャンセル","キャンセル",IF(J208=0,"発送済",IF(K208&gt;0,"要搬出","OK"))))</f>
        <v/>
      </c>
      <c r="M208" s="8">
        <f t="array" ref="M208">_xlfn.LET(
_xlpm.計画状態,IFERROR(INDEX(tbl_plan[計画状態],ROW()-1)&amp;"",""),
_xlpm.必要数,IFERROR(N(INDEX(tbl_plan[必要数],ROW()-1)),0),
IF(_xlpm.計画状態="キャンセル",0,_xlpm.必要数))</f>
        <v>0</v>
      </c>
      <c r="N208" s="8" t="str">
        <f>IF($A208="","",_xlfn.LET(
_xlpm.搬入計,SUMIFS(tbl_ledger[数量],tbl_ledger[localId],$B208,tbl_ledger[イベント種類],"搬入"),
_xlpm.未割当発送,SUMIFS(tbl_ledger[数量],tbl_ledger[localId],$B208,tbl_ledger[イベント種類],"発送",tbl_ledger[ロットID],"="),
_xlpm.未割当倉庫戻し,SUMIFS(tbl_ledger[数量],tbl_ledger[localId],$B208,tbl_ledger[イベント種類],"倉庫戻し",tbl_ledger[ロットID],"="),
_xlpm.未割当不良,SUMIFS(tbl_ledger[数量],tbl_ledger[localId],$B208,tbl_ledger[イベント種類],"不良発生",tbl_ledger[ロットID],"="),
_xlpm.搬入計-_xlpm.未割当発送-_xlpm.未割当倉庫戻し-_xlpm.未割当不良))</f>
        <v/>
      </c>
      <c r="O208" s="8" t="str">
        <f t="array" ref="O208">IF($A208="","",_xlfn.LET(
_xlpm.同品番,($B$2:$B$301=$B208),
_xlpm.週が前,($C$2:$C$301&lt;$C208),
_xlpm.同週で上行,($C$2:$C$301=$C208)*(ROW($C$2:$C$301)&lt;ROW()),
SUMPRODUCT(_xlpm.同品番*(_xlpm.週が前+_xlpm.同週で上行)*$M$2:$M$301)))</f>
        <v/>
      </c>
    </row>
    <row r="209" spans="1:15" ht="15" customHeight="1" x14ac:dyDescent="0.25">
      <c r="A209" s="4" t="str">
        <f>IFERROR(INDEX(tbl_plan[ロットID],ROW()-1),"")</f>
        <v/>
      </c>
      <c r="B209" s="4" t="str">
        <f>IF($A209="","",INDEX(tbl_plan[localId],ROW()-1))</f>
        <v/>
      </c>
      <c r="C209" s="11" t="str">
        <f>IF($A209="","",INDEX(tbl_plan[出荷週],ROW()-1))</f>
        <v/>
      </c>
      <c r="D209" s="4" t="str">
        <f>IF($A209="","",INDEX(tbl_plan[納期先],ROW()-1)&amp;"")</f>
        <v/>
      </c>
      <c r="E209" s="8" t="str">
        <f>IF($A209="","",INDEX(tbl_plan[必要数],ROW()-1))</f>
        <v/>
      </c>
      <c r="F209" s="8" t="str">
        <f t="shared" si="9"/>
        <v/>
      </c>
      <c r="G209" s="8" t="str">
        <f>IF($A209="","",SUMIFS(tbl_ledger[数量],tbl_ledger[ロットID],$A209,tbl_ledger[イベント種類],"発送"))</f>
        <v/>
      </c>
      <c r="H209" s="8" t="str">
        <f>IF($A209="","",_xlfn.LET(
_xlpm.割当,F209,
_xlpm.充当受入,SUMIFS(tbl_ledger[数量],tbl_ledger[充当先ロットID],$A209,tbl_ledger[イベント種類],"充当"),
_xlpm.充当放出,SUMIFS(tbl_ledger[数量],tbl_ledger[ロットID],$A209,tbl_ledger[イベント種類],"充当"),
_xlpm.発送済,G209,
_xlpm.倉庫戻し,SUMIFS(tbl_ledger[数量],tbl_ledger[ロットID],$A209,tbl_ledger[イベント種類],"倉庫戻し"),
_xlpm.余剰化,SUMIFS(tbl_ledger[数量],tbl_ledger[ロットID],$A209,tbl_ledger[イベント種類],"余剰化"),
_xlpm.不良,SUMIFS(tbl_ledger[数量],tbl_ledger[ロットID],$A209,tbl_ledger[イベント種類],"不良発生"),
_xlpm.割当+_xlpm.充当受入-_xlpm.充当放出-_xlpm.発送済-_xlpm.倉庫戻し-_xlpm.余剰化-_xlpm.不良))</f>
        <v/>
      </c>
      <c r="I209" s="8" t="str">
        <f>IF($A209="","",_xlfn.LET(
_xlpm.品番プール,N209,
_xlpm.割当計,SUMIF($B$2:$B$301,$B209,$F$2:$F$301),
_xlpm.余剰化受入,SUMIFS(tbl_ledger[数量],tbl_ledger[localId],$B209,tbl_ledger[イベント種類],"余剰化"),
_xlpm.充当払出,SUMIFS(tbl_ledger[数量],tbl_ledger[localId],$B209,tbl_ledger[イベント種類],"充当",tbl_ledger[ロットID],"="),
_xlpm.品番プール-_xlpm.割当計+_xlpm.余剰化受入-_xlpm.充当払出))</f>
        <v/>
      </c>
      <c r="J209" s="8" t="str">
        <f t="shared" si="10"/>
        <v/>
      </c>
      <c r="K209" s="8" t="str">
        <f t="shared" si="11"/>
        <v/>
      </c>
      <c r="L209" s="4" t="str">
        <f>IF($A209="","",IF(INDEX(tbl_plan[計画状態],ROW()-1)="キャンセル","キャンセル",IF(J209=0,"発送済",IF(K209&gt;0,"要搬出","OK"))))</f>
        <v/>
      </c>
      <c r="M209" s="8">
        <f t="array" ref="M209">_xlfn.LET(
_xlpm.計画状態,IFERROR(INDEX(tbl_plan[計画状態],ROW()-1)&amp;"",""),
_xlpm.必要数,IFERROR(N(INDEX(tbl_plan[必要数],ROW()-1)),0),
IF(_xlpm.計画状態="キャンセル",0,_xlpm.必要数))</f>
        <v>0</v>
      </c>
      <c r="N209" s="8" t="str">
        <f>IF($A209="","",_xlfn.LET(
_xlpm.搬入計,SUMIFS(tbl_ledger[数量],tbl_ledger[localId],$B209,tbl_ledger[イベント種類],"搬入"),
_xlpm.未割当発送,SUMIFS(tbl_ledger[数量],tbl_ledger[localId],$B209,tbl_ledger[イベント種類],"発送",tbl_ledger[ロットID],"="),
_xlpm.未割当倉庫戻し,SUMIFS(tbl_ledger[数量],tbl_ledger[localId],$B209,tbl_ledger[イベント種類],"倉庫戻し",tbl_ledger[ロットID],"="),
_xlpm.未割当不良,SUMIFS(tbl_ledger[数量],tbl_ledger[localId],$B209,tbl_ledger[イベント種類],"不良発生",tbl_ledger[ロットID],"="),
_xlpm.搬入計-_xlpm.未割当発送-_xlpm.未割当倉庫戻し-_xlpm.未割当不良))</f>
        <v/>
      </c>
      <c r="O209" s="8" t="str">
        <f t="array" ref="O209">IF($A209="","",_xlfn.LET(
_xlpm.同品番,($B$2:$B$301=$B209),
_xlpm.週が前,($C$2:$C$301&lt;$C209),
_xlpm.同週で上行,($C$2:$C$301=$C209)*(ROW($C$2:$C$301)&lt;ROW()),
SUMPRODUCT(_xlpm.同品番*(_xlpm.週が前+_xlpm.同週で上行)*$M$2:$M$301)))</f>
        <v/>
      </c>
    </row>
    <row r="210" spans="1:15" ht="15" customHeight="1" x14ac:dyDescent="0.25">
      <c r="A210" s="4" t="str">
        <f>IFERROR(INDEX(tbl_plan[ロットID],ROW()-1),"")</f>
        <v/>
      </c>
      <c r="B210" s="4" t="str">
        <f>IF($A210="","",INDEX(tbl_plan[localId],ROW()-1))</f>
        <v/>
      </c>
      <c r="C210" s="11" t="str">
        <f>IF($A210="","",INDEX(tbl_plan[出荷週],ROW()-1))</f>
        <v/>
      </c>
      <c r="D210" s="4" t="str">
        <f>IF($A210="","",INDEX(tbl_plan[納期先],ROW()-1)&amp;"")</f>
        <v/>
      </c>
      <c r="E210" s="8" t="str">
        <f>IF($A210="","",INDEX(tbl_plan[必要数],ROW()-1))</f>
        <v/>
      </c>
      <c r="F210" s="8" t="str">
        <f t="shared" si="9"/>
        <v/>
      </c>
      <c r="G210" s="8" t="str">
        <f>IF($A210="","",SUMIFS(tbl_ledger[数量],tbl_ledger[ロットID],$A210,tbl_ledger[イベント種類],"発送"))</f>
        <v/>
      </c>
      <c r="H210" s="8" t="str">
        <f>IF($A210="","",_xlfn.LET(
_xlpm.割当,F210,
_xlpm.充当受入,SUMIFS(tbl_ledger[数量],tbl_ledger[充当先ロットID],$A210,tbl_ledger[イベント種類],"充当"),
_xlpm.充当放出,SUMIFS(tbl_ledger[数量],tbl_ledger[ロットID],$A210,tbl_ledger[イベント種類],"充当"),
_xlpm.発送済,G210,
_xlpm.倉庫戻し,SUMIFS(tbl_ledger[数量],tbl_ledger[ロットID],$A210,tbl_ledger[イベント種類],"倉庫戻し"),
_xlpm.余剰化,SUMIFS(tbl_ledger[数量],tbl_ledger[ロットID],$A210,tbl_ledger[イベント種類],"余剰化"),
_xlpm.不良,SUMIFS(tbl_ledger[数量],tbl_ledger[ロットID],$A210,tbl_ledger[イベント種類],"不良発生"),
_xlpm.割当+_xlpm.充当受入-_xlpm.充当放出-_xlpm.発送済-_xlpm.倉庫戻し-_xlpm.余剰化-_xlpm.不良))</f>
        <v/>
      </c>
      <c r="I210" s="8" t="str">
        <f>IF($A210="","",_xlfn.LET(
_xlpm.品番プール,N210,
_xlpm.割当計,SUMIF($B$2:$B$301,$B210,$F$2:$F$301),
_xlpm.余剰化受入,SUMIFS(tbl_ledger[数量],tbl_ledger[localId],$B210,tbl_ledger[イベント種類],"余剰化"),
_xlpm.充当払出,SUMIFS(tbl_ledger[数量],tbl_ledger[localId],$B210,tbl_ledger[イベント種類],"充当",tbl_ledger[ロットID],"="),
_xlpm.品番プール-_xlpm.割当計+_xlpm.余剰化受入-_xlpm.充当払出))</f>
        <v/>
      </c>
      <c r="J210" s="8" t="str">
        <f t="shared" si="10"/>
        <v/>
      </c>
      <c r="K210" s="8" t="str">
        <f t="shared" si="11"/>
        <v/>
      </c>
      <c r="L210" s="4" t="str">
        <f>IF($A210="","",IF(INDEX(tbl_plan[計画状態],ROW()-1)="キャンセル","キャンセル",IF(J210=0,"発送済",IF(K210&gt;0,"要搬出","OK"))))</f>
        <v/>
      </c>
      <c r="M210" s="8">
        <f t="array" ref="M210">_xlfn.LET(
_xlpm.計画状態,IFERROR(INDEX(tbl_plan[計画状態],ROW()-1)&amp;"",""),
_xlpm.必要数,IFERROR(N(INDEX(tbl_plan[必要数],ROW()-1)),0),
IF(_xlpm.計画状態="キャンセル",0,_xlpm.必要数))</f>
        <v>0</v>
      </c>
      <c r="N210" s="8" t="str">
        <f>IF($A210="","",_xlfn.LET(
_xlpm.搬入計,SUMIFS(tbl_ledger[数量],tbl_ledger[localId],$B210,tbl_ledger[イベント種類],"搬入"),
_xlpm.未割当発送,SUMIFS(tbl_ledger[数量],tbl_ledger[localId],$B210,tbl_ledger[イベント種類],"発送",tbl_ledger[ロットID],"="),
_xlpm.未割当倉庫戻し,SUMIFS(tbl_ledger[数量],tbl_ledger[localId],$B210,tbl_ledger[イベント種類],"倉庫戻し",tbl_ledger[ロットID],"="),
_xlpm.未割当不良,SUMIFS(tbl_ledger[数量],tbl_ledger[localId],$B210,tbl_ledger[イベント種類],"不良発生",tbl_ledger[ロットID],"="),
_xlpm.搬入計-_xlpm.未割当発送-_xlpm.未割当倉庫戻し-_xlpm.未割当不良))</f>
        <v/>
      </c>
      <c r="O210" s="8" t="str">
        <f t="array" ref="O210">IF($A210="","",_xlfn.LET(
_xlpm.同品番,($B$2:$B$301=$B210),
_xlpm.週が前,($C$2:$C$301&lt;$C210),
_xlpm.同週で上行,($C$2:$C$301=$C210)*(ROW($C$2:$C$301)&lt;ROW()),
SUMPRODUCT(_xlpm.同品番*(_xlpm.週が前+_xlpm.同週で上行)*$M$2:$M$301)))</f>
        <v/>
      </c>
    </row>
    <row r="211" spans="1:15" ht="15" customHeight="1" x14ac:dyDescent="0.25">
      <c r="A211" s="4" t="str">
        <f>IFERROR(INDEX(tbl_plan[ロットID],ROW()-1),"")</f>
        <v/>
      </c>
      <c r="B211" s="4" t="str">
        <f>IF($A211="","",INDEX(tbl_plan[localId],ROW()-1))</f>
        <v/>
      </c>
      <c r="C211" s="11" t="str">
        <f>IF($A211="","",INDEX(tbl_plan[出荷週],ROW()-1))</f>
        <v/>
      </c>
      <c r="D211" s="4" t="str">
        <f>IF($A211="","",INDEX(tbl_plan[納期先],ROW()-1)&amp;"")</f>
        <v/>
      </c>
      <c r="E211" s="8" t="str">
        <f>IF($A211="","",INDEX(tbl_plan[必要数],ROW()-1))</f>
        <v/>
      </c>
      <c r="F211" s="8" t="str">
        <f t="shared" si="9"/>
        <v/>
      </c>
      <c r="G211" s="8" t="str">
        <f>IF($A211="","",SUMIFS(tbl_ledger[数量],tbl_ledger[ロットID],$A211,tbl_ledger[イベント種類],"発送"))</f>
        <v/>
      </c>
      <c r="H211" s="8" t="str">
        <f>IF($A211="","",_xlfn.LET(
_xlpm.割当,F211,
_xlpm.充当受入,SUMIFS(tbl_ledger[数量],tbl_ledger[充当先ロットID],$A211,tbl_ledger[イベント種類],"充当"),
_xlpm.充当放出,SUMIFS(tbl_ledger[数量],tbl_ledger[ロットID],$A211,tbl_ledger[イベント種類],"充当"),
_xlpm.発送済,G211,
_xlpm.倉庫戻し,SUMIFS(tbl_ledger[数量],tbl_ledger[ロットID],$A211,tbl_ledger[イベント種類],"倉庫戻し"),
_xlpm.余剰化,SUMIFS(tbl_ledger[数量],tbl_ledger[ロットID],$A211,tbl_ledger[イベント種類],"余剰化"),
_xlpm.不良,SUMIFS(tbl_ledger[数量],tbl_ledger[ロットID],$A211,tbl_ledger[イベント種類],"不良発生"),
_xlpm.割当+_xlpm.充当受入-_xlpm.充当放出-_xlpm.発送済-_xlpm.倉庫戻し-_xlpm.余剰化-_xlpm.不良))</f>
        <v/>
      </c>
      <c r="I211" s="8" t="str">
        <f>IF($A211="","",_xlfn.LET(
_xlpm.品番プール,N211,
_xlpm.割当計,SUMIF($B$2:$B$301,$B211,$F$2:$F$301),
_xlpm.余剰化受入,SUMIFS(tbl_ledger[数量],tbl_ledger[localId],$B211,tbl_ledger[イベント種類],"余剰化"),
_xlpm.充当払出,SUMIFS(tbl_ledger[数量],tbl_ledger[localId],$B211,tbl_ledger[イベント種類],"充当",tbl_ledger[ロットID],"="),
_xlpm.品番プール-_xlpm.割当計+_xlpm.余剰化受入-_xlpm.充当払出))</f>
        <v/>
      </c>
      <c r="J211" s="8" t="str">
        <f t="shared" si="10"/>
        <v/>
      </c>
      <c r="K211" s="8" t="str">
        <f t="shared" si="11"/>
        <v/>
      </c>
      <c r="L211" s="4" t="str">
        <f>IF($A211="","",IF(INDEX(tbl_plan[計画状態],ROW()-1)="キャンセル","キャンセル",IF(J211=0,"発送済",IF(K211&gt;0,"要搬出","OK"))))</f>
        <v/>
      </c>
      <c r="M211" s="8">
        <f t="array" ref="M211">_xlfn.LET(
_xlpm.計画状態,IFERROR(INDEX(tbl_plan[計画状態],ROW()-1)&amp;"",""),
_xlpm.必要数,IFERROR(N(INDEX(tbl_plan[必要数],ROW()-1)),0),
IF(_xlpm.計画状態="キャンセル",0,_xlpm.必要数))</f>
        <v>0</v>
      </c>
      <c r="N211" s="8" t="str">
        <f>IF($A211="","",_xlfn.LET(
_xlpm.搬入計,SUMIFS(tbl_ledger[数量],tbl_ledger[localId],$B211,tbl_ledger[イベント種類],"搬入"),
_xlpm.未割当発送,SUMIFS(tbl_ledger[数量],tbl_ledger[localId],$B211,tbl_ledger[イベント種類],"発送",tbl_ledger[ロットID],"="),
_xlpm.未割当倉庫戻し,SUMIFS(tbl_ledger[数量],tbl_ledger[localId],$B211,tbl_ledger[イベント種類],"倉庫戻し",tbl_ledger[ロットID],"="),
_xlpm.未割当不良,SUMIFS(tbl_ledger[数量],tbl_ledger[localId],$B211,tbl_ledger[イベント種類],"不良発生",tbl_ledger[ロットID],"="),
_xlpm.搬入計-_xlpm.未割当発送-_xlpm.未割当倉庫戻し-_xlpm.未割当不良))</f>
        <v/>
      </c>
      <c r="O211" s="8" t="str">
        <f t="array" ref="O211">IF($A211="","",_xlfn.LET(
_xlpm.同品番,($B$2:$B$301=$B211),
_xlpm.週が前,($C$2:$C$301&lt;$C211),
_xlpm.同週で上行,($C$2:$C$301=$C211)*(ROW($C$2:$C$301)&lt;ROW()),
SUMPRODUCT(_xlpm.同品番*(_xlpm.週が前+_xlpm.同週で上行)*$M$2:$M$301)))</f>
        <v/>
      </c>
    </row>
    <row r="212" spans="1:15" ht="15" customHeight="1" x14ac:dyDescent="0.25">
      <c r="A212" s="4" t="str">
        <f>IFERROR(INDEX(tbl_plan[ロットID],ROW()-1),"")</f>
        <v/>
      </c>
      <c r="B212" s="4" t="str">
        <f>IF($A212="","",INDEX(tbl_plan[localId],ROW()-1))</f>
        <v/>
      </c>
      <c r="C212" s="11" t="str">
        <f>IF($A212="","",INDEX(tbl_plan[出荷週],ROW()-1))</f>
        <v/>
      </c>
      <c r="D212" s="4" t="str">
        <f>IF($A212="","",INDEX(tbl_plan[納期先],ROW()-1)&amp;"")</f>
        <v/>
      </c>
      <c r="E212" s="8" t="str">
        <f>IF($A212="","",INDEX(tbl_plan[必要数],ROW()-1))</f>
        <v/>
      </c>
      <c r="F212" s="8" t="str">
        <f t="shared" si="9"/>
        <v/>
      </c>
      <c r="G212" s="8" t="str">
        <f>IF($A212="","",SUMIFS(tbl_ledger[数量],tbl_ledger[ロットID],$A212,tbl_ledger[イベント種類],"発送"))</f>
        <v/>
      </c>
      <c r="H212" s="8" t="str">
        <f>IF($A212="","",_xlfn.LET(
_xlpm.割当,F212,
_xlpm.充当受入,SUMIFS(tbl_ledger[数量],tbl_ledger[充当先ロットID],$A212,tbl_ledger[イベント種類],"充当"),
_xlpm.充当放出,SUMIFS(tbl_ledger[数量],tbl_ledger[ロットID],$A212,tbl_ledger[イベント種類],"充当"),
_xlpm.発送済,G212,
_xlpm.倉庫戻し,SUMIFS(tbl_ledger[数量],tbl_ledger[ロットID],$A212,tbl_ledger[イベント種類],"倉庫戻し"),
_xlpm.余剰化,SUMIFS(tbl_ledger[数量],tbl_ledger[ロットID],$A212,tbl_ledger[イベント種類],"余剰化"),
_xlpm.不良,SUMIFS(tbl_ledger[数量],tbl_ledger[ロットID],$A212,tbl_ledger[イベント種類],"不良発生"),
_xlpm.割当+_xlpm.充当受入-_xlpm.充当放出-_xlpm.発送済-_xlpm.倉庫戻し-_xlpm.余剰化-_xlpm.不良))</f>
        <v/>
      </c>
      <c r="I212" s="8" t="str">
        <f>IF($A212="","",_xlfn.LET(
_xlpm.品番プール,N212,
_xlpm.割当計,SUMIF($B$2:$B$301,$B212,$F$2:$F$301),
_xlpm.余剰化受入,SUMIFS(tbl_ledger[数量],tbl_ledger[localId],$B212,tbl_ledger[イベント種類],"余剰化"),
_xlpm.充当払出,SUMIFS(tbl_ledger[数量],tbl_ledger[localId],$B212,tbl_ledger[イベント種類],"充当",tbl_ledger[ロットID],"="),
_xlpm.品番プール-_xlpm.割当計+_xlpm.余剰化受入-_xlpm.充当払出))</f>
        <v/>
      </c>
      <c r="J212" s="8" t="str">
        <f t="shared" si="10"/>
        <v/>
      </c>
      <c r="K212" s="8" t="str">
        <f t="shared" si="11"/>
        <v/>
      </c>
      <c r="L212" s="4" t="str">
        <f>IF($A212="","",IF(INDEX(tbl_plan[計画状態],ROW()-1)="キャンセル","キャンセル",IF(J212=0,"発送済",IF(K212&gt;0,"要搬出","OK"))))</f>
        <v/>
      </c>
      <c r="M212" s="8">
        <f t="array" ref="M212">_xlfn.LET(
_xlpm.計画状態,IFERROR(INDEX(tbl_plan[計画状態],ROW()-1)&amp;"",""),
_xlpm.必要数,IFERROR(N(INDEX(tbl_plan[必要数],ROW()-1)),0),
IF(_xlpm.計画状態="キャンセル",0,_xlpm.必要数))</f>
        <v>0</v>
      </c>
      <c r="N212" s="8" t="str">
        <f>IF($A212="","",_xlfn.LET(
_xlpm.搬入計,SUMIFS(tbl_ledger[数量],tbl_ledger[localId],$B212,tbl_ledger[イベント種類],"搬入"),
_xlpm.未割当発送,SUMIFS(tbl_ledger[数量],tbl_ledger[localId],$B212,tbl_ledger[イベント種類],"発送",tbl_ledger[ロットID],"="),
_xlpm.未割当倉庫戻し,SUMIFS(tbl_ledger[数量],tbl_ledger[localId],$B212,tbl_ledger[イベント種類],"倉庫戻し",tbl_ledger[ロットID],"="),
_xlpm.未割当不良,SUMIFS(tbl_ledger[数量],tbl_ledger[localId],$B212,tbl_ledger[イベント種類],"不良発生",tbl_ledger[ロットID],"="),
_xlpm.搬入計-_xlpm.未割当発送-_xlpm.未割当倉庫戻し-_xlpm.未割当不良))</f>
        <v/>
      </c>
      <c r="O212" s="8" t="str">
        <f t="array" ref="O212">IF($A212="","",_xlfn.LET(
_xlpm.同品番,($B$2:$B$301=$B212),
_xlpm.週が前,($C$2:$C$301&lt;$C212),
_xlpm.同週で上行,($C$2:$C$301=$C212)*(ROW($C$2:$C$301)&lt;ROW()),
SUMPRODUCT(_xlpm.同品番*(_xlpm.週が前+_xlpm.同週で上行)*$M$2:$M$301)))</f>
        <v/>
      </c>
    </row>
    <row r="213" spans="1:15" ht="15" customHeight="1" x14ac:dyDescent="0.25">
      <c r="A213" s="4" t="str">
        <f>IFERROR(INDEX(tbl_plan[ロットID],ROW()-1),"")</f>
        <v/>
      </c>
      <c r="B213" s="4" t="str">
        <f>IF($A213="","",INDEX(tbl_plan[localId],ROW()-1))</f>
        <v/>
      </c>
      <c r="C213" s="11" t="str">
        <f>IF($A213="","",INDEX(tbl_plan[出荷週],ROW()-1))</f>
        <v/>
      </c>
      <c r="D213" s="4" t="str">
        <f>IF($A213="","",INDEX(tbl_plan[納期先],ROW()-1)&amp;"")</f>
        <v/>
      </c>
      <c r="E213" s="8" t="str">
        <f>IF($A213="","",INDEX(tbl_plan[必要数],ROW()-1))</f>
        <v/>
      </c>
      <c r="F213" s="8" t="str">
        <f t="shared" si="9"/>
        <v/>
      </c>
      <c r="G213" s="8" t="str">
        <f>IF($A213="","",SUMIFS(tbl_ledger[数量],tbl_ledger[ロットID],$A213,tbl_ledger[イベント種類],"発送"))</f>
        <v/>
      </c>
      <c r="H213" s="8" t="str">
        <f>IF($A213="","",_xlfn.LET(
_xlpm.割当,F213,
_xlpm.充当受入,SUMIFS(tbl_ledger[数量],tbl_ledger[充当先ロットID],$A213,tbl_ledger[イベント種類],"充当"),
_xlpm.充当放出,SUMIFS(tbl_ledger[数量],tbl_ledger[ロットID],$A213,tbl_ledger[イベント種類],"充当"),
_xlpm.発送済,G213,
_xlpm.倉庫戻し,SUMIFS(tbl_ledger[数量],tbl_ledger[ロットID],$A213,tbl_ledger[イベント種類],"倉庫戻し"),
_xlpm.余剰化,SUMIFS(tbl_ledger[数量],tbl_ledger[ロットID],$A213,tbl_ledger[イベント種類],"余剰化"),
_xlpm.不良,SUMIFS(tbl_ledger[数量],tbl_ledger[ロットID],$A213,tbl_ledger[イベント種類],"不良発生"),
_xlpm.割当+_xlpm.充当受入-_xlpm.充当放出-_xlpm.発送済-_xlpm.倉庫戻し-_xlpm.余剰化-_xlpm.不良))</f>
        <v/>
      </c>
      <c r="I213" s="8" t="str">
        <f>IF($A213="","",_xlfn.LET(
_xlpm.品番プール,N213,
_xlpm.割当計,SUMIF($B$2:$B$301,$B213,$F$2:$F$301),
_xlpm.余剰化受入,SUMIFS(tbl_ledger[数量],tbl_ledger[localId],$B213,tbl_ledger[イベント種類],"余剰化"),
_xlpm.充当払出,SUMIFS(tbl_ledger[数量],tbl_ledger[localId],$B213,tbl_ledger[イベント種類],"充当",tbl_ledger[ロットID],"="),
_xlpm.品番プール-_xlpm.割当計+_xlpm.余剰化受入-_xlpm.充当払出))</f>
        <v/>
      </c>
      <c r="J213" s="8" t="str">
        <f t="shared" si="10"/>
        <v/>
      </c>
      <c r="K213" s="8" t="str">
        <f t="shared" si="11"/>
        <v/>
      </c>
      <c r="L213" s="4" t="str">
        <f>IF($A213="","",IF(INDEX(tbl_plan[計画状態],ROW()-1)="キャンセル","キャンセル",IF(J213=0,"発送済",IF(K213&gt;0,"要搬出","OK"))))</f>
        <v/>
      </c>
      <c r="M213" s="8">
        <f t="array" ref="M213">_xlfn.LET(
_xlpm.計画状態,IFERROR(INDEX(tbl_plan[計画状態],ROW()-1)&amp;"",""),
_xlpm.必要数,IFERROR(N(INDEX(tbl_plan[必要数],ROW()-1)),0),
IF(_xlpm.計画状態="キャンセル",0,_xlpm.必要数))</f>
        <v>0</v>
      </c>
      <c r="N213" s="8" t="str">
        <f>IF($A213="","",_xlfn.LET(
_xlpm.搬入計,SUMIFS(tbl_ledger[数量],tbl_ledger[localId],$B213,tbl_ledger[イベント種類],"搬入"),
_xlpm.未割当発送,SUMIFS(tbl_ledger[数量],tbl_ledger[localId],$B213,tbl_ledger[イベント種類],"発送",tbl_ledger[ロットID],"="),
_xlpm.未割当倉庫戻し,SUMIFS(tbl_ledger[数量],tbl_ledger[localId],$B213,tbl_ledger[イベント種類],"倉庫戻し",tbl_ledger[ロットID],"="),
_xlpm.未割当不良,SUMIFS(tbl_ledger[数量],tbl_ledger[localId],$B213,tbl_ledger[イベント種類],"不良発生",tbl_ledger[ロットID],"="),
_xlpm.搬入計-_xlpm.未割当発送-_xlpm.未割当倉庫戻し-_xlpm.未割当不良))</f>
        <v/>
      </c>
      <c r="O213" s="8" t="str">
        <f t="array" ref="O213">IF($A213="","",_xlfn.LET(
_xlpm.同品番,($B$2:$B$301=$B213),
_xlpm.週が前,($C$2:$C$301&lt;$C213),
_xlpm.同週で上行,($C$2:$C$301=$C213)*(ROW($C$2:$C$301)&lt;ROW()),
SUMPRODUCT(_xlpm.同品番*(_xlpm.週が前+_xlpm.同週で上行)*$M$2:$M$301)))</f>
        <v/>
      </c>
    </row>
    <row r="214" spans="1:15" ht="15" customHeight="1" x14ac:dyDescent="0.25">
      <c r="A214" s="4" t="str">
        <f>IFERROR(INDEX(tbl_plan[ロットID],ROW()-1),"")</f>
        <v/>
      </c>
      <c r="B214" s="4" t="str">
        <f>IF($A214="","",INDEX(tbl_plan[localId],ROW()-1))</f>
        <v/>
      </c>
      <c r="C214" s="11" t="str">
        <f>IF($A214="","",INDEX(tbl_plan[出荷週],ROW()-1))</f>
        <v/>
      </c>
      <c r="D214" s="4" t="str">
        <f>IF($A214="","",INDEX(tbl_plan[納期先],ROW()-1)&amp;"")</f>
        <v/>
      </c>
      <c r="E214" s="8" t="str">
        <f>IF($A214="","",INDEX(tbl_plan[必要数],ROW()-1))</f>
        <v/>
      </c>
      <c r="F214" s="8" t="str">
        <f t="shared" si="9"/>
        <v/>
      </c>
      <c r="G214" s="8" t="str">
        <f>IF($A214="","",SUMIFS(tbl_ledger[数量],tbl_ledger[ロットID],$A214,tbl_ledger[イベント種類],"発送"))</f>
        <v/>
      </c>
      <c r="H214" s="8" t="str">
        <f>IF($A214="","",_xlfn.LET(
_xlpm.割当,F214,
_xlpm.充当受入,SUMIFS(tbl_ledger[数量],tbl_ledger[充当先ロットID],$A214,tbl_ledger[イベント種類],"充当"),
_xlpm.充当放出,SUMIFS(tbl_ledger[数量],tbl_ledger[ロットID],$A214,tbl_ledger[イベント種類],"充当"),
_xlpm.発送済,G214,
_xlpm.倉庫戻し,SUMIFS(tbl_ledger[数量],tbl_ledger[ロットID],$A214,tbl_ledger[イベント種類],"倉庫戻し"),
_xlpm.余剰化,SUMIFS(tbl_ledger[数量],tbl_ledger[ロットID],$A214,tbl_ledger[イベント種類],"余剰化"),
_xlpm.不良,SUMIFS(tbl_ledger[数量],tbl_ledger[ロットID],$A214,tbl_ledger[イベント種類],"不良発生"),
_xlpm.割当+_xlpm.充当受入-_xlpm.充当放出-_xlpm.発送済-_xlpm.倉庫戻し-_xlpm.余剰化-_xlpm.不良))</f>
        <v/>
      </c>
      <c r="I214" s="8" t="str">
        <f>IF($A214="","",_xlfn.LET(
_xlpm.品番プール,N214,
_xlpm.割当計,SUMIF($B$2:$B$301,$B214,$F$2:$F$301),
_xlpm.余剰化受入,SUMIFS(tbl_ledger[数量],tbl_ledger[localId],$B214,tbl_ledger[イベント種類],"余剰化"),
_xlpm.充当払出,SUMIFS(tbl_ledger[数量],tbl_ledger[localId],$B214,tbl_ledger[イベント種類],"充当",tbl_ledger[ロットID],"="),
_xlpm.品番プール-_xlpm.割当計+_xlpm.余剰化受入-_xlpm.充当払出))</f>
        <v/>
      </c>
      <c r="J214" s="8" t="str">
        <f t="shared" si="10"/>
        <v/>
      </c>
      <c r="K214" s="8" t="str">
        <f t="shared" si="11"/>
        <v/>
      </c>
      <c r="L214" s="4" t="str">
        <f>IF($A214="","",IF(INDEX(tbl_plan[計画状態],ROW()-1)="キャンセル","キャンセル",IF(J214=0,"発送済",IF(K214&gt;0,"要搬出","OK"))))</f>
        <v/>
      </c>
      <c r="M214" s="8">
        <f t="array" ref="M214">_xlfn.LET(
_xlpm.計画状態,IFERROR(INDEX(tbl_plan[計画状態],ROW()-1)&amp;"",""),
_xlpm.必要数,IFERROR(N(INDEX(tbl_plan[必要数],ROW()-1)),0),
IF(_xlpm.計画状態="キャンセル",0,_xlpm.必要数))</f>
        <v>0</v>
      </c>
      <c r="N214" s="8" t="str">
        <f>IF($A214="","",_xlfn.LET(
_xlpm.搬入計,SUMIFS(tbl_ledger[数量],tbl_ledger[localId],$B214,tbl_ledger[イベント種類],"搬入"),
_xlpm.未割当発送,SUMIFS(tbl_ledger[数量],tbl_ledger[localId],$B214,tbl_ledger[イベント種類],"発送",tbl_ledger[ロットID],"="),
_xlpm.未割当倉庫戻し,SUMIFS(tbl_ledger[数量],tbl_ledger[localId],$B214,tbl_ledger[イベント種類],"倉庫戻し",tbl_ledger[ロットID],"="),
_xlpm.未割当不良,SUMIFS(tbl_ledger[数量],tbl_ledger[localId],$B214,tbl_ledger[イベント種類],"不良発生",tbl_ledger[ロットID],"="),
_xlpm.搬入計-_xlpm.未割当発送-_xlpm.未割当倉庫戻し-_xlpm.未割当不良))</f>
        <v/>
      </c>
      <c r="O214" s="8" t="str">
        <f t="array" ref="O214">IF($A214="","",_xlfn.LET(
_xlpm.同品番,($B$2:$B$301=$B214),
_xlpm.週が前,($C$2:$C$301&lt;$C214),
_xlpm.同週で上行,($C$2:$C$301=$C214)*(ROW($C$2:$C$301)&lt;ROW()),
SUMPRODUCT(_xlpm.同品番*(_xlpm.週が前+_xlpm.同週で上行)*$M$2:$M$301)))</f>
        <v/>
      </c>
    </row>
    <row r="215" spans="1:15" ht="15" customHeight="1" x14ac:dyDescent="0.25">
      <c r="A215" s="4" t="str">
        <f>IFERROR(INDEX(tbl_plan[ロットID],ROW()-1),"")</f>
        <v/>
      </c>
      <c r="B215" s="4" t="str">
        <f>IF($A215="","",INDEX(tbl_plan[localId],ROW()-1))</f>
        <v/>
      </c>
      <c r="C215" s="11" t="str">
        <f>IF($A215="","",INDEX(tbl_plan[出荷週],ROW()-1))</f>
        <v/>
      </c>
      <c r="D215" s="4" t="str">
        <f>IF($A215="","",INDEX(tbl_plan[納期先],ROW()-1)&amp;"")</f>
        <v/>
      </c>
      <c r="E215" s="8" t="str">
        <f>IF($A215="","",INDEX(tbl_plan[必要数],ROW()-1))</f>
        <v/>
      </c>
      <c r="F215" s="8" t="str">
        <f t="shared" si="9"/>
        <v/>
      </c>
      <c r="G215" s="8" t="str">
        <f>IF($A215="","",SUMIFS(tbl_ledger[数量],tbl_ledger[ロットID],$A215,tbl_ledger[イベント種類],"発送"))</f>
        <v/>
      </c>
      <c r="H215" s="8" t="str">
        <f>IF($A215="","",_xlfn.LET(
_xlpm.割当,F215,
_xlpm.充当受入,SUMIFS(tbl_ledger[数量],tbl_ledger[充当先ロットID],$A215,tbl_ledger[イベント種類],"充当"),
_xlpm.充当放出,SUMIFS(tbl_ledger[数量],tbl_ledger[ロットID],$A215,tbl_ledger[イベント種類],"充当"),
_xlpm.発送済,G215,
_xlpm.倉庫戻し,SUMIFS(tbl_ledger[数量],tbl_ledger[ロットID],$A215,tbl_ledger[イベント種類],"倉庫戻し"),
_xlpm.余剰化,SUMIFS(tbl_ledger[数量],tbl_ledger[ロットID],$A215,tbl_ledger[イベント種類],"余剰化"),
_xlpm.不良,SUMIFS(tbl_ledger[数量],tbl_ledger[ロットID],$A215,tbl_ledger[イベント種類],"不良発生"),
_xlpm.割当+_xlpm.充当受入-_xlpm.充当放出-_xlpm.発送済-_xlpm.倉庫戻し-_xlpm.余剰化-_xlpm.不良))</f>
        <v/>
      </c>
      <c r="I215" s="8" t="str">
        <f>IF($A215="","",_xlfn.LET(
_xlpm.品番プール,N215,
_xlpm.割当計,SUMIF($B$2:$B$301,$B215,$F$2:$F$301),
_xlpm.余剰化受入,SUMIFS(tbl_ledger[数量],tbl_ledger[localId],$B215,tbl_ledger[イベント種類],"余剰化"),
_xlpm.充当払出,SUMIFS(tbl_ledger[数量],tbl_ledger[localId],$B215,tbl_ledger[イベント種類],"充当",tbl_ledger[ロットID],"="),
_xlpm.品番プール-_xlpm.割当計+_xlpm.余剰化受入-_xlpm.充当払出))</f>
        <v/>
      </c>
      <c r="J215" s="8" t="str">
        <f t="shared" si="10"/>
        <v/>
      </c>
      <c r="K215" s="8" t="str">
        <f t="shared" si="11"/>
        <v/>
      </c>
      <c r="L215" s="4" t="str">
        <f>IF($A215="","",IF(INDEX(tbl_plan[計画状態],ROW()-1)="キャンセル","キャンセル",IF(J215=0,"発送済",IF(K215&gt;0,"要搬出","OK"))))</f>
        <v/>
      </c>
      <c r="M215" s="8">
        <f t="array" ref="M215">_xlfn.LET(
_xlpm.計画状態,IFERROR(INDEX(tbl_plan[計画状態],ROW()-1)&amp;"",""),
_xlpm.必要数,IFERROR(N(INDEX(tbl_plan[必要数],ROW()-1)),0),
IF(_xlpm.計画状態="キャンセル",0,_xlpm.必要数))</f>
        <v>0</v>
      </c>
      <c r="N215" s="8" t="str">
        <f>IF($A215="","",_xlfn.LET(
_xlpm.搬入計,SUMIFS(tbl_ledger[数量],tbl_ledger[localId],$B215,tbl_ledger[イベント種類],"搬入"),
_xlpm.未割当発送,SUMIFS(tbl_ledger[数量],tbl_ledger[localId],$B215,tbl_ledger[イベント種類],"発送",tbl_ledger[ロットID],"="),
_xlpm.未割当倉庫戻し,SUMIFS(tbl_ledger[数量],tbl_ledger[localId],$B215,tbl_ledger[イベント種類],"倉庫戻し",tbl_ledger[ロットID],"="),
_xlpm.未割当不良,SUMIFS(tbl_ledger[数量],tbl_ledger[localId],$B215,tbl_ledger[イベント種類],"不良発生",tbl_ledger[ロットID],"="),
_xlpm.搬入計-_xlpm.未割当発送-_xlpm.未割当倉庫戻し-_xlpm.未割当不良))</f>
        <v/>
      </c>
      <c r="O215" s="8" t="str">
        <f t="array" ref="O215">IF($A215="","",_xlfn.LET(
_xlpm.同品番,($B$2:$B$301=$B215),
_xlpm.週が前,($C$2:$C$301&lt;$C215),
_xlpm.同週で上行,($C$2:$C$301=$C215)*(ROW($C$2:$C$301)&lt;ROW()),
SUMPRODUCT(_xlpm.同品番*(_xlpm.週が前+_xlpm.同週で上行)*$M$2:$M$301)))</f>
        <v/>
      </c>
    </row>
    <row r="216" spans="1:15" ht="15" customHeight="1" x14ac:dyDescent="0.25">
      <c r="A216" s="4" t="str">
        <f>IFERROR(INDEX(tbl_plan[ロットID],ROW()-1),"")</f>
        <v/>
      </c>
      <c r="B216" s="4" t="str">
        <f>IF($A216="","",INDEX(tbl_plan[localId],ROW()-1))</f>
        <v/>
      </c>
      <c r="C216" s="11" t="str">
        <f>IF($A216="","",INDEX(tbl_plan[出荷週],ROW()-1))</f>
        <v/>
      </c>
      <c r="D216" s="4" t="str">
        <f>IF($A216="","",INDEX(tbl_plan[納期先],ROW()-1)&amp;"")</f>
        <v/>
      </c>
      <c r="E216" s="8" t="str">
        <f>IF($A216="","",INDEX(tbl_plan[必要数],ROW()-1))</f>
        <v/>
      </c>
      <c r="F216" s="8" t="str">
        <f t="shared" si="9"/>
        <v/>
      </c>
      <c r="G216" s="8" t="str">
        <f>IF($A216="","",SUMIFS(tbl_ledger[数量],tbl_ledger[ロットID],$A216,tbl_ledger[イベント種類],"発送"))</f>
        <v/>
      </c>
      <c r="H216" s="8" t="str">
        <f>IF($A216="","",_xlfn.LET(
_xlpm.割当,F216,
_xlpm.充当受入,SUMIFS(tbl_ledger[数量],tbl_ledger[充当先ロットID],$A216,tbl_ledger[イベント種類],"充当"),
_xlpm.充当放出,SUMIFS(tbl_ledger[数量],tbl_ledger[ロットID],$A216,tbl_ledger[イベント種類],"充当"),
_xlpm.発送済,G216,
_xlpm.倉庫戻し,SUMIFS(tbl_ledger[数量],tbl_ledger[ロットID],$A216,tbl_ledger[イベント種類],"倉庫戻し"),
_xlpm.余剰化,SUMIFS(tbl_ledger[数量],tbl_ledger[ロットID],$A216,tbl_ledger[イベント種類],"余剰化"),
_xlpm.不良,SUMIFS(tbl_ledger[数量],tbl_ledger[ロットID],$A216,tbl_ledger[イベント種類],"不良発生"),
_xlpm.割当+_xlpm.充当受入-_xlpm.充当放出-_xlpm.発送済-_xlpm.倉庫戻し-_xlpm.余剰化-_xlpm.不良))</f>
        <v/>
      </c>
      <c r="I216" s="8" t="str">
        <f>IF($A216="","",_xlfn.LET(
_xlpm.品番プール,N216,
_xlpm.割当計,SUMIF($B$2:$B$301,$B216,$F$2:$F$301),
_xlpm.余剰化受入,SUMIFS(tbl_ledger[数量],tbl_ledger[localId],$B216,tbl_ledger[イベント種類],"余剰化"),
_xlpm.充当払出,SUMIFS(tbl_ledger[数量],tbl_ledger[localId],$B216,tbl_ledger[イベント種類],"充当",tbl_ledger[ロットID],"="),
_xlpm.品番プール-_xlpm.割当計+_xlpm.余剰化受入-_xlpm.充当払出))</f>
        <v/>
      </c>
      <c r="J216" s="8" t="str">
        <f t="shared" si="10"/>
        <v/>
      </c>
      <c r="K216" s="8" t="str">
        <f t="shared" si="11"/>
        <v/>
      </c>
      <c r="L216" s="4" t="str">
        <f>IF($A216="","",IF(INDEX(tbl_plan[計画状態],ROW()-1)="キャンセル","キャンセル",IF(J216=0,"発送済",IF(K216&gt;0,"要搬出","OK"))))</f>
        <v/>
      </c>
      <c r="M216" s="8">
        <f t="array" ref="M216">_xlfn.LET(
_xlpm.計画状態,IFERROR(INDEX(tbl_plan[計画状態],ROW()-1)&amp;"",""),
_xlpm.必要数,IFERROR(N(INDEX(tbl_plan[必要数],ROW()-1)),0),
IF(_xlpm.計画状態="キャンセル",0,_xlpm.必要数))</f>
        <v>0</v>
      </c>
      <c r="N216" s="8" t="str">
        <f>IF($A216="","",_xlfn.LET(
_xlpm.搬入計,SUMIFS(tbl_ledger[数量],tbl_ledger[localId],$B216,tbl_ledger[イベント種類],"搬入"),
_xlpm.未割当発送,SUMIFS(tbl_ledger[数量],tbl_ledger[localId],$B216,tbl_ledger[イベント種類],"発送",tbl_ledger[ロットID],"="),
_xlpm.未割当倉庫戻し,SUMIFS(tbl_ledger[数量],tbl_ledger[localId],$B216,tbl_ledger[イベント種類],"倉庫戻し",tbl_ledger[ロットID],"="),
_xlpm.未割当不良,SUMIFS(tbl_ledger[数量],tbl_ledger[localId],$B216,tbl_ledger[イベント種類],"不良発生",tbl_ledger[ロットID],"="),
_xlpm.搬入計-_xlpm.未割当発送-_xlpm.未割当倉庫戻し-_xlpm.未割当不良))</f>
        <v/>
      </c>
      <c r="O216" s="8" t="str">
        <f t="array" ref="O216">IF($A216="","",_xlfn.LET(
_xlpm.同品番,($B$2:$B$301=$B216),
_xlpm.週が前,($C$2:$C$301&lt;$C216),
_xlpm.同週で上行,($C$2:$C$301=$C216)*(ROW($C$2:$C$301)&lt;ROW()),
SUMPRODUCT(_xlpm.同品番*(_xlpm.週が前+_xlpm.同週で上行)*$M$2:$M$301)))</f>
        <v/>
      </c>
    </row>
    <row r="217" spans="1:15" ht="15" customHeight="1" x14ac:dyDescent="0.25">
      <c r="A217" s="4" t="str">
        <f>IFERROR(INDEX(tbl_plan[ロットID],ROW()-1),"")</f>
        <v/>
      </c>
      <c r="B217" s="4" t="str">
        <f>IF($A217="","",INDEX(tbl_plan[localId],ROW()-1))</f>
        <v/>
      </c>
      <c r="C217" s="11" t="str">
        <f>IF($A217="","",INDEX(tbl_plan[出荷週],ROW()-1))</f>
        <v/>
      </c>
      <c r="D217" s="4" t="str">
        <f>IF($A217="","",INDEX(tbl_plan[納期先],ROW()-1)&amp;"")</f>
        <v/>
      </c>
      <c r="E217" s="8" t="str">
        <f>IF($A217="","",INDEX(tbl_plan[必要数],ROW()-1))</f>
        <v/>
      </c>
      <c r="F217" s="8" t="str">
        <f t="shared" si="9"/>
        <v/>
      </c>
      <c r="G217" s="8" t="str">
        <f>IF($A217="","",SUMIFS(tbl_ledger[数量],tbl_ledger[ロットID],$A217,tbl_ledger[イベント種類],"発送"))</f>
        <v/>
      </c>
      <c r="H217" s="8" t="str">
        <f>IF($A217="","",_xlfn.LET(
_xlpm.割当,F217,
_xlpm.充当受入,SUMIFS(tbl_ledger[数量],tbl_ledger[充当先ロットID],$A217,tbl_ledger[イベント種類],"充当"),
_xlpm.充当放出,SUMIFS(tbl_ledger[数量],tbl_ledger[ロットID],$A217,tbl_ledger[イベント種類],"充当"),
_xlpm.発送済,G217,
_xlpm.倉庫戻し,SUMIFS(tbl_ledger[数量],tbl_ledger[ロットID],$A217,tbl_ledger[イベント種類],"倉庫戻し"),
_xlpm.余剰化,SUMIFS(tbl_ledger[数量],tbl_ledger[ロットID],$A217,tbl_ledger[イベント種類],"余剰化"),
_xlpm.不良,SUMIFS(tbl_ledger[数量],tbl_ledger[ロットID],$A217,tbl_ledger[イベント種類],"不良発生"),
_xlpm.割当+_xlpm.充当受入-_xlpm.充当放出-_xlpm.発送済-_xlpm.倉庫戻し-_xlpm.余剰化-_xlpm.不良))</f>
        <v/>
      </c>
      <c r="I217" s="8" t="str">
        <f>IF($A217="","",_xlfn.LET(
_xlpm.品番プール,N217,
_xlpm.割当計,SUMIF($B$2:$B$301,$B217,$F$2:$F$301),
_xlpm.余剰化受入,SUMIFS(tbl_ledger[数量],tbl_ledger[localId],$B217,tbl_ledger[イベント種類],"余剰化"),
_xlpm.充当払出,SUMIFS(tbl_ledger[数量],tbl_ledger[localId],$B217,tbl_ledger[イベント種類],"充当",tbl_ledger[ロットID],"="),
_xlpm.品番プール-_xlpm.割当計+_xlpm.余剰化受入-_xlpm.充当払出))</f>
        <v/>
      </c>
      <c r="J217" s="8" t="str">
        <f t="shared" si="10"/>
        <v/>
      </c>
      <c r="K217" s="8" t="str">
        <f t="shared" si="11"/>
        <v/>
      </c>
      <c r="L217" s="4" t="str">
        <f>IF($A217="","",IF(INDEX(tbl_plan[計画状態],ROW()-1)="キャンセル","キャンセル",IF(J217=0,"発送済",IF(K217&gt;0,"要搬出","OK"))))</f>
        <v/>
      </c>
      <c r="M217" s="8">
        <f t="array" ref="M217">_xlfn.LET(
_xlpm.計画状態,IFERROR(INDEX(tbl_plan[計画状態],ROW()-1)&amp;"",""),
_xlpm.必要数,IFERROR(N(INDEX(tbl_plan[必要数],ROW()-1)),0),
IF(_xlpm.計画状態="キャンセル",0,_xlpm.必要数))</f>
        <v>0</v>
      </c>
      <c r="N217" s="8" t="str">
        <f>IF($A217="","",_xlfn.LET(
_xlpm.搬入計,SUMIFS(tbl_ledger[数量],tbl_ledger[localId],$B217,tbl_ledger[イベント種類],"搬入"),
_xlpm.未割当発送,SUMIFS(tbl_ledger[数量],tbl_ledger[localId],$B217,tbl_ledger[イベント種類],"発送",tbl_ledger[ロットID],"="),
_xlpm.未割当倉庫戻し,SUMIFS(tbl_ledger[数量],tbl_ledger[localId],$B217,tbl_ledger[イベント種類],"倉庫戻し",tbl_ledger[ロットID],"="),
_xlpm.未割当不良,SUMIFS(tbl_ledger[数量],tbl_ledger[localId],$B217,tbl_ledger[イベント種類],"不良発生",tbl_ledger[ロットID],"="),
_xlpm.搬入計-_xlpm.未割当発送-_xlpm.未割当倉庫戻し-_xlpm.未割当不良))</f>
        <v/>
      </c>
      <c r="O217" s="8" t="str">
        <f t="array" ref="O217">IF($A217="","",_xlfn.LET(
_xlpm.同品番,($B$2:$B$301=$B217),
_xlpm.週が前,($C$2:$C$301&lt;$C217),
_xlpm.同週で上行,($C$2:$C$301=$C217)*(ROW($C$2:$C$301)&lt;ROW()),
SUMPRODUCT(_xlpm.同品番*(_xlpm.週が前+_xlpm.同週で上行)*$M$2:$M$301)))</f>
        <v/>
      </c>
    </row>
    <row r="218" spans="1:15" ht="15" customHeight="1" x14ac:dyDescent="0.25">
      <c r="A218" s="4" t="str">
        <f>IFERROR(INDEX(tbl_plan[ロットID],ROW()-1),"")</f>
        <v/>
      </c>
      <c r="B218" s="4" t="str">
        <f>IF($A218="","",INDEX(tbl_plan[localId],ROW()-1))</f>
        <v/>
      </c>
      <c r="C218" s="11" t="str">
        <f>IF($A218="","",INDEX(tbl_plan[出荷週],ROW()-1))</f>
        <v/>
      </c>
      <c r="D218" s="4" t="str">
        <f>IF($A218="","",INDEX(tbl_plan[納期先],ROW()-1)&amp;"")</f>
        <v/>
      </c>
      <c r="E218" s="8" t="str">
        <f>IF($A218="","",INDEX(tbl_plan[必要数],ROW()-1))</f>
        <v/>
      </c>
      <c r="F218" s="8" t="str">
        <f t="shared" si="9"/>
        <v/>
      </c>
      <c r="G218" s="8" t="str">
        <f>IF($A218="","",SUMIFS(tbl_ledger[数量],tbl_ledger[ロットID],$A218,tbl_ledger[イベント種類],"発送"))</f>
        <v/>
      </c>
      <c r="H218" s="8" t="str">
        <f>IF($A218="","",_xlfn.LET(
_xlpm.割当,F218,
_xlpm.充当受入,SUMIFS(tbl_ledger[数量],tbl_ledger[充当先ロットID],$A218,tbl_ledger[イベント種類],"充当"),
_xlpm.充当放出,SUMIFS(tbl_ledger[数量],tbl_ledger[ロットID],$A218,tbl_ledger[イベント種類],"充当"),
_xlpm.発送済,G218,
_xlpm.倉庫戻し,SUMIFS(tbl_ledger[数量],tbl_ledger[ロットID],$A218,tbl_ledger[イベント種類],"倉庫戻し"),
_xlpm.余剰化,SUMIFS(tbl_ledger[数量],tbl_ledger[ロットID],$A218,tbl_ledger[イベント種類],"余剰化"),
_xlpm.不良,SUMIFS(tbl_ledger[数量],tbl_ledger[ロットID],$A218,tbl_ledger[イベント種類],"不良発生"),
_xlpm.割当+_xlpm.充当受入-_xlpm.充当放出-_xlpm.発送済-_xlpm.倉庫戻し-_xlpm.余剰化-_xlpm.不良))</f>
        <v/>
      </c>
      <c r="I218" s="8" t="str">
        <f>IF($A218="","",_xlfn.LET(
_xlpm.品番プール,N218,
_xlpm.割当計,SUMIF($B$2:$B$301,$B218,$F$2:$F$301),
_xlpm.余剰化受入,SUMIFS(tbl_ledger[数量],tbl_ledger[localId],$B218,tbl_ledger[イベント種類],"余剰化"),
_xlpm.充当払出,SUMIFS(tbl_ledger[数量],tbl_ledger[localId],$B218,tbl_ledger[イベント種類],"充当",tbl_ledger[ロットID],"="),
_xlpm.品番プール-_xlpm.割当計+_xlpm.余剰化受入-_xlpm.充当払出))</f>
        <v/>
      </c>
      <c r="J218" s="8" t="str">
        <f t="shared" si="10"/>
        <v/>
      </c>
      <c r="K218" s="8" t="str">
        <f t="shared" si="11"/>
        <v/>
      </c>
      <c r="L218" s="4" t="str">
        <f>IF($A218="","",IF(INDEX(tbl_plan[計画状態],ROW()-1)="キャンセル","キャンセル",IF(J218=0,"発送済",IF(K218&gt;0,"要搬出","OK"))))</f>
        <v/>
      </c>
      <c r="M218" s="8">
        <f t="array" ref="M218">_xlfn.LET(
_xlpm.計画状態,IFERROR(INDEX(tbl_plan[計画状態],ROW()-1)&amp;"",""),
_xlpm.必要数,IFERROR(N(INDEX(tbl_plan[必要数],ROW()-1)),0),
IF(_xlpm.計画状態="キャンセル",0,_xlpm.必要数))</f>
        <v>0</v>
      </c>
      <c r="N218" s="8" t="str">
        <f>IF($A218="","",_xlfn.LET(
_xlpm.搬入計,SUMIFS(tbl_ledger[数量],tbl_ledger[localId],$B218,tbl_ledger[イベント種類],"搬入"),
_xlpm.未割当発送,SUMIFS(tbl_ledger[数量],tbl_ledger[localId],$B218,tbl_ledger[イベント種類],"発送",tbl_ledger[ロットID],"="),
_xlpm.未割当倉庫戻し,SUMIFS(tbl_ledger[数量],tbl_ledger[localId],$B218,tbl_ledger[イベント種類],"倉庫戻し",tbl_ledger[ロットID],"="),
_xlpm.未割当不良,SUMIFS(tbl_ledger[数量],tbl_ledger[localId],$B218,tbl_ledger[イベント種類],"不良発生",tbl_ledger[ロットID],"="),
_xlpm.搬入計-_xlpm.未割当発送-_xlpm.未割当倉庫戻し-_xlpm.未割当不良))</f>
        <v/>
      </c>
      <c r="O218" s="8" t="str">
        <f t="array" ref="O218">IF($A218="","",_xlfn.LET(
_xlpm.同品番,($B$2:$B$301=$B218),
_xlpm.週が前,($C$2:$C$301&lt;$C218),
_xlpm.同週で上行,($C$2:$C$301=$C218)*(ROW($C$2:$C$301)&lt;ROW()),
SUMPRODUCT(_xlpm.同品番*(_xlpm.週が前+_xlpm.同週で上行)*$M$2:$M$301)))</f>
        <v/>
      </c>
    </row>
    <row r="219" spans="1:15" ht="15" customHeight="1" x14ac:dyDescent="0.25">
      <c r="A219" s="4" t="str">
        <f>IFERROR(INDEX(tbl_plan[ロットID],ROW()-1),"")</f>
        <v/>
      </c>
      <c r="B219" s="4" t="str">
        <f>IF($A219="","",INDEX(tbl_plan[localId],ROW()-1))</f>
        <v/>
      </c>
      <c r="C219" s="11" t="str">
        <f>IF($A219="","",INDEX(tbl_plan[出荷週],ROW()-1))</f>
        <v/>
      </c>
      <c r="D219" s="4" t="str">
        <f>IF($A219="","",INDEX(tbl_plan[納期先],ROW()-1)&amp;"")</f>
        <v/>
      </c>
      <c r="E219" s="8" t="str">
        <f>IF($A219="","",INDEX(tbl_plan[必要数],ROW()-1))</f>
        <v/>
      </c>
      <c r="F219" s="8" t="str">
        <f t="shared" si="9"/>
        <v/>
      </c>
      <c r="G219" s="8" t="str">
        <f>IF($A219="","",SUMIFS(tbl_ledger[数量],tbl_ledger[ロットID],$A219,tbl_ledger[イベント種類],"発送"))</f>
        <v/>
      </c>
      <c r="H219" s="8" t="str">
        <f>IF($A219="","",_xlfn.LET(
_xlpm.割当,F219,
_xlpm.充当受入,SUMIFS(tbl_ledger[数量],tbl_ledger[充当先ロットID],$A219,tbl_ledger[イベント種類],"充当"),
_xlpm.充当放出,SUMIFS(tbl_ledger[数量],tbl_ledger[ロットID],$A219,tbl_ledger[イベント種類],"充当"),
_xlpm.発送済,G219,
_xlpm.倉庫戻し,SUMIFS(tbl_ledger[数量],tbl_ledger[ロットID],$A219,tbl_ledger[イベント種類],"倉庫戻し"),
_xlpm.余剰化,SUMIFS(tbl_ledger[数量],tbl_ledger[ロットID],$A219,tbl_ledger[イベント種類],"余剰化"),
_xlpm.不良,SUMIFS(tbl_ledger[数量],tbl_ledger[ロットID],$A219,tbl_ledger[イベント種類],"不良発生"),
_xlpm.割当+_xlpm.充当受入-_xlpm.充当放出-_xlpm.発送済-_xlpm.倉庫戻し-_xlpm.余剰化-_xlpm.不良))</f>
        <v/>
      </c>
      <c r="I219" s="8" t="str">
        <f>IF($A219="","",_xlfn.LET(
_xlpm.品番プール,N219,
_xlpm.割当計,SUMIF($B$2:$B$301,$B219,$F$2:$F$301),
_xlpm.余剰化受入,SUMIFS(tbl_ledger[数量],tbl_ledger[localId],$B219,tbl_ledger[イベント種類],"余剰化"),
_xlpm.充当払出,SUMIFS(tbl_ledger[数量],tbl_ledger[localId],$B219,tbl_ledger[イベント種類],"充当",tbl_ledger[ロットID],"="),
_xlpm.品番プール-_xlpm.割当計+_xlpm.余剰化受入-_xlpm.充当払出))</f>
        <v/>
      </c>
      <c r="J219" s="8" t="str">
        <f t="shared" si="10"/>
        <v/>
      </c>
      <c r="K219" s="8" t="str">
        <f t="shared" si="11"/>
        <v/>
      </c>
      <c r="L219" s="4" t="str">
        <f>IF($A219="","",IF(INDEX(tbl_plan[計画状態],ROW()-1)="キャンセル","キャンセル",IF(J219=0,"発送済",IF(K219&gt;0,"要搬出","OK"))))</f>
        <v/>
      </c>
      <c r="M219" s="8">
        <f t="array" ref="M219">_xlfn.LET(
_xlpm.計画状態,IFERROR(INDEX(tbl_plan[計画状態],ROW()-1)&amp;"",""),
_xlpm.必要数,IFERROR(N(INDEX(tbl_plan[必要数],ROW()-1)),0),
IF(_xlpm.計画状態="キャンセル",0,_xlpm.必要数))</f>
        <v>0</v>
      </c>
      <c r="N219" s="8" t="str">
        <f>IF($A219="","",_xlfn.LET(
_xlpm.搬入計,SUMIFS(tbl_ledger[数量],tbl_ledger[localId],$B219,tbl_ledger[イベント種類],"搬入"),
_xlpm.未割当発送,SUMIFS(tbl_ledger[数量],tbl_ledger[localId],$B219,tbl_ledger[イベント種類],"発送",tbl_ledger[ロットID],"="),
_xlpm.未割当倉庫戻し,SUMIFS(tbl_ledger[数量],tbl_ledger[localId],$B219,tbl_ledger[イベント種類],"倉庫戻し",tbl_ledger[ロットID],"="),
_xlpm.未割当不良,SUMIFS(tbl_ledger[数量],tbl_ledger[localId],$B219,tbl_ledger[イベント種類],"不良発生",tbl_ledger[ロットID],"="),
_xlpm.搬入計-_xlpm.未割当発送-_xlpm.未割当倉庫戻し-_xlpm.未割当不良))</f>
        <v/>
      </c>
      <c r="O219" s="8" t="str">
        <f t="array" ref="O219">IF($A219="","",_xlfn.LET(
_xlpm.同品番,($B$2:$B$301=$B219),
_xlpm.週が前,($C$2:$C$301&lt;$C219),
_xlpm.同週で上行,($C$2:$C$301=$C219)*(ROW($C$2:$C$301)&lt;ROW()),
SUMPRODUCT(_xlpm.同品番*(_xlpm.週が前+_xlpm.同週で上行)*$M$2:$M$301)))</f>
        <v/>
      </c>
    </row>
    <row r="220" spans="1:15" ht="15" customHeight="1" x14ac:dyDescent="0.25">
      <c r="A220" s="4" t="str">
        <f>IFERROR(INDEX(tbl_plan[ロットID],ROW()-1),"")</f>
        <v/>
      </c>
      <c r="B220" s="4" t="str">
        <f>IF($A220="","",INDEX(tbl_plan[localId],ROW()-1))</f>
        <v/>
      </c>
      <c r="C220" s="11" t="str">
        <f>IF($A220="","",INDEX(tbl_plan[出荷週],ROW()-1))</f>
        <v/>
      </c>
      <c r="D220" s="4" t="str">
        <f>IF($A220="","",INDEX(tbl_plan[納期先],ROW()-1)&amp;"")</f>
        <v/>
      </c>
      <c r="E220" s="8" t="str">
        <f>IF($A220="","",INDEX(tbl_plan[必要数],ROW()-1))</f>
        <v/>
      </c>
      <c r="F220" s="8" t="str">
        <f t="shared" si="9"/>
        <v/>
      </c>
      <c r="G220" s="8" t="str">
        <f>IF($A220="","",SUMIFS(tbl_ledger[数量],tbl_ledger[ロットID],$A220,tbl_ledger[イベント種類],"発送"))</f>
        <v/>
      </c>
      <c r="H220" s="8" t="str">
        <f>IF($A220="","",_xlfn.LET(
_xlpm.割当,F220,
_xlpm.充当受入,SUMIFS(tbl_ledger[数量],tbl_ledger[充当先ロットID],$A220,tbl_ledger[イベント種類],"充当"),
_xlpm.充当放出,SUMIFS(tbl_ledger[数量],tbl_ledger[ロットID],$A220,tbl_ledger[イベント種類],"充当"),
_xlpm.発送済,G220,
_xlpm.倉庫戻し,SUMIFS(tbl_ledger[数量],tbl_ledger[ロットID],$A220,tbl_ledger[イベント種類],"倉庫戻し"),
_xlpm.余剰化,SUMIFS(tbl_ledger[数量],tbl_ledger[ロットID],$A220,tbl_ledger[イベント種類],"余剰化"),
_xlpm.不良,SUMIFS(tbl_ledger[数量],tbl_ledger[ロットID],$A220,tbl_ledger[イベント種類],"不良発生"),
_xlpm.割当+_xlpm.充当受入-_xlpm.充当放出-_xlpm.発送済-_xlpm.倉庫戻し-_xlpm.余剰化-_xlpm.不良))</f>
        <v/>
      </c>
      <c r="I220" s="8" t="str">
        <f>IF($A220="","",_xlfn.LET(
_xlpm.品番プール,N220,
_xlpm.割当計,SUMIF($B$2:$B$301,$B220,$F$2:$F$301),
_xlpm.余剰化受入,SUMIFS(tbl_ledger[数量],tbl_ledger[localId],$B220,tbl_ledger[イベント種類],"余剰化"),
_xlpm.充当払出,SUMIFS(tbl_ledger[数量],tbl_ledger[localId],$B220,tbl_ledger[イベント種類],"充当",tbl_ledger[ロットID],"="),
_xlpm.品番プール-_xlpm.割当計+_xlpm.余剰化受入-_xlpm.充当払出))</f>
        <v/>
      </c>
      <c r="J220" s="8" t="str">
        <f t="shared" si="10"/>
        <v/>
      </c>
      <c r="K220" s="8" t="str">
        <f t="shared" si="11"/>
        <v/>
      </c>
      <c r="L220" s="4" t="str">
        <f>IF($A220="","",IF(INDEX(tbl_plan[計画状態],ROW()-1)="キャンセル","キャンセル",IF(J220=0,"発送済",IF(K220&gt;0,"要搬出","OK"))))</f>
        <v/>
      </c>
      <c r="M220" s="8">
        <f t="array" ref="M220">_xlfn.LET(
_xlpm.計画状態,IFERROR(INDEX(tbl_plan[計画状態],ROW()-1)&amp;"",""),
_xlpm.必要数,IFERROR(N(INDEX(tbl_plan[必要数],ROW()-1)),0),
IF(_xlpm.計画状態="キャンセル",0,_xlpm.必要数))</f>
        <v>0</v>
      </c>
      <c r="N220" s="8" t="str">
        <f>IF($A220="","",_xlfn.LET(
_xlpm.搬入計,SUMIFS(tbl_ledger[数量],tbl_ledger[localId],$B220,tbl_ledger[イベント種類],"搬入"),
_xlpm.未割当発送,SUMIFS(tbl_ledger[数量],tbl_ledger[localId],$B220,tbl_ledger[イベント種類],"発送",tbl_ledger[ロットID],"="),
_xlpm.未割当倉庫戻し,SUMIFS(tbl_ledger[数量],tbl_ledger[localId],$B220,tbl_ledger[イベント種類],"倉庫戻し",tbl_ledger[ロットID],"="),
_xlpm.未割当不良,SUMIFS(tbl_ledger[数量],tbl_ledger[localId],$B220,tbl_ledger[イベント種類],"不良発生",tbl_ledger[ロットID],"="),
_xlpm.搬入計-_xlpm.未割当発送-_xlpm.未割当倉庫戻し-_xlpm.未割当不良))</f>
        <v/>
      </c>
      <c r="O220" s="8" t="str">
        <f t="array" ref="O220">IF($A220="","",_xlfn.LET(
_xlpm.同品番,($B$2:$B$301=$B220),
_xlpm.週が前,($C$2:$C$301&lt;$C220),
_xlpm.同週で上行,($C$2:$C$301=$C220)*(ROW($C$2:$C$301)&lt;ROW()),
SUMPRODUCT(_xlpm.同品番*(_xlpm.週が前+_xlpm.同週で上行)*$M$2:$M$301)))</f>
        <v/>
      </c>
    </row>
    <row r="221" spans="1:15" ht="15" customHeight="1" x14ac:dyDescent="0.25">
      <c r="A221" s="4" t="str">
        <f>IFERROR(INDEX(tbl_plan[ロットID],ROW()-1),"")</f>
        <v/>
      </c>
      <c r="B221" s="4" t="str">
        <f>IF($A221="","",INDEX(tbl_plan[localId],ROW()-1))</f>
        <v/>
      </c>
      <c r="C221" s="11" t="str">
        <f>IF($A221="","",INDEX(tbl_plan[出荷週],ROW()-1))</f>
        <v/>
      </c>
      <c r="D221" s="4" t="str">
        <f>IF($A221="","",INDEX(tbl_plan[納期先],ROW()-1)&amp;"")</f>
        <v/>
      </c>
      <c r="E221" s="8" t="str">
        <f>IF($A221="","",INDEX(tbl_plan[必要数],ROW()-1))</f>
        <v/>
      </c>
      <c r="F221" s="8" t="str">
        <f t="shared" si="9"/>
        <v/>
      </c>
      <c r="G221" s="8" t="str">
        <f>IF($A221="","",SUMIFS(tbl_ledger[数量],tbl_ledger[ロットID],$A221,tbl_ledger[イベント種類],"発送"))</f>
        <v/>
      </c>
      <c r="H221" s="8" t="str">
        <f>IF($A221="","",_xlfn.LET(
_xlpm.割当,F221,
_xlpm.充当受入,SUMIFS(tbl_ledger[数量],tbl_ledger[充当先ロットID],$A221,tbl_ledger[イベント種類],"充当"),
_xlpm.充当放出,SUMIFS(tbl_ledger[数量],tbl_ledger[ロットID],$A221,tbl_ledger[イベント種類],"充当"),
_xlpm.発送済,G221,
_xlpm.倉庫戻し,SUMIFS(tbl_ledger[数量],tbl_ledger[ロットID],$A221,tbl_ledger[イベント種類],"倉庫戻し"),
_xlpm.余剰化,SUMIFS(tbl_ledger[数量],tbl_ledger[ロットID],$A221,tbl_ledger[イベント種類],"余剰化"),
_xlpm.不良,SUMIFS(tbl_ledger[数量],tbl_ledger[ロットID],$A221,tbl_ledger[イベント種類],"不良発生"),
_xlpm.割当+_xlpm.充当受入-_xlpm.充当放出-_xlpm.発送済-_xlpm.倉庫戻し-_xlpm.余剰化-_xlpm.不良))</f>
        <v/>
      </c>
      <c r="I221" s="8" t="str">
        <f>IF($A221="","",_xlfn.LET(
_xlpm.品番プール,N221,
_xlpm.割当計,SUMIF($B$2:$B$301,$B221,$F$2:$F$301),
_xlpm.余剰化受入,SUMIFS(tbl_ledger[数量],tbl_ledger[localId],$B221,tbl_ledger[イベント種類],"余剰化"),
_xlpm.充当払出,SUMIFS(tbl_ledger[数量],tbl_ledger[localId],$B221,tbl_ledger[イベント種類],"充当",tbl_ledger[ロットID],"="),
_xlpm.品番プール-_xlpm.割当計+_xlpm.余剰化受入-_xlpm.充当払出))</f>
        <v/>
      </c>
      <c r="J221" s="8" t="str">
        <f t="shared" si="10"/>
        <v/>
      </c>
      <c r="K221" s="8" t="str">
        <f t="shared" si="11"/>
        <v/>
      </c>
      <c r="L221" s="4" t="str">
        <f>IF($A221="","",IF(INDEX(tbl_plan[計画状態],ROW()-1)="キャンセル","キャンセル",IF(J221=0,"発送済",IF(K221&gt;0,"要搬出","OK"))))</f>
        <v/>
      </c>
      <c r="M221" s="8">
        <f t="array" ref="M221">_xlfn.LET(
_xlpm.計画状態,IFERROR(INDEX(tbl_plan[計画状態],ROW()-1)&amp;"",""),
_xlpm.必要数,IFERROR(N(INDEX(tbl_plan[必要数],ROW()-1)),0),
IF(_xlpm.計画状態="キャンセル",0,_xlpm.必要数))</f>
        <v>0</v>
      </c>
      <c r="N221" s="8" t="str">
        <f>IF($A221="","",_xlfn.LET(
_xlpm.搬入計,SUMIFS(tbl_ledger[数量],tbl_ledger[localId],$B221,tbl_ledger[イベント種類],"搬入"),
_xlpm.未割当発送,SUMIFS(tbl_ledger[数量],tbl_ledger[localId],$B221,tbl_ledger[イベント種類],"発送",tbl_ledger[ロットID],"="),
_xlpm.未割当倉庫戻し,SUMIFS(tbl_ledger[数量],tbl_ledger[localId],$B221,tbl_ledger[イベント種類],"倉庫戻し",tbl_ledger[ロットID],"="),
_xlpm.未割当不良,SUMIFS(tbl_ledger[数量],tbl_ledger[localId],$B221,tbl_ledger[イベント種類],"不良発生",tbl_ledger[ロットID],"="),
_xlpm.搬入計-_xlpm.未割当発送-_xlpm.未割当倉庫戻し-_xlpm.未割当不良))</f>
        <v/>
      </c>
      <c r="O221" s="8" t="str">
        <f t="array" ref="O221">IF($A221="","",_xlfn.LET(
_xlpm.同品番,($B$2:$B$301=$B221),
_xlpm.週が前,($C$2:$C$301&lt;$C221),
_xlpm.同週で上行,($C$2:$C$301=$C221)*(ROW($C$2:$C$301)&lt;ROW()),
SUMPRODUCT(_xlpm.同品番*(_xlpm.週が前+_xlpm.同週で上行)*$M$2:$M$301)))</f>
        <v/>
      </c>
    </row>
    <row r="222" spans="1:15" ht="15" customHeight="1" x14ac:dyDescent="0.25">
      <c r="A222" s="4" t="str">
        <f>IFERROR(INDEX(tbl_plan[ロットID],ROW()-1),"")</f>
        <v/>
      </c>
      <c r="B222" s="4" t="str">
        <f>IF($A222="","",INDEX(tbl_plan[localId],ROW()-1))</f>
        <v/>
      </c>
      <c r="C222" s="11" t="str">
        <f>IF($A222="","",INDEX(tbl_plan[出荷週],ROW()-1))</f>
        <v/>
      </c>
      <c r="D222" s="4" t="str">
        <f>IF($A222="","",INDEX(tbl_plan[納期先],ROW()-1)&amp;"")</f>
        <v/>
      </c>
      <c r="E222" s="8" t="str">
        <f>IF($A222="","",INDEX(tbl_plan[必要数],ROW()-1))</f>
        <v/>
      </c>
      <c r="F222" s="8" t="str">
        <f t="shared" si="9"/>
        <v/>
      </c>
      <c r="G222" s="8" t="str">
        <f>IF($A222="","",SUMIFS(tbl_ledger[数量],tbl_ledger[ロットID],$A222,tbl_ledger[イベント種類],"発送"))</f>
        <v/>
      </c>
      <c r="H222" s="8" t="str">
        <f>IF($A222="","",_xlfn.LET(
_xlpm.割当,F222,
_xlpm.充当受入,SUMIFS(tbl_ledger[数量],tbl_ledger[充当先ロットID],$A222,tbl_ledger[イベント種類],"充当"),
_xlpm.充当放出,SUMIFS(tbl_ledger[数量],tbl_ledger[ロットID],$A222,tbl_ledger[イベント種類],"充当"),
_xlpm.発送済,G222,
_xlpm.倉庫戻し,SUMIFS(tbl_ledger[数量],tbl_ledger[ロットID],$A222,tbl_ledger[イベント種類],"倉庫戻し"),
_xlpm.余剰化,SUMIFS(tbl_ledger[数量],tbl_ledger[ロットID],$A222,tbl_ledger[イベント種類],"余剰化"),
_xlpm.不良,SUMIFS(tbl_ledger[数量],tbl_ledger[ロットID],$A222,tbl_ledger[イベント種類],"不良発生"),
_xlpm.割当+_xlpm.充当受入-_xlpm.充当放出-_xlpm.発送済-_xlpm.倉庫戻し-_xlpm.余剰化-_xlpm.不良))</f>
        <v/>
      </c>
      <c r="I222" s="8" t="str">
        <f>IF($A222="","",_xlfn.LET(
_xlpm.品番プール,N222,
_xlpm.割当計,SUMIF($B$2:$B$301,$B222,$F$2:$F$301),
_xlpm.余剰化受入,SUMIFS(tbl_ledger[数量],tbl_ledger[localId],$B222,tbl_ledger[イベント種類],"余剰化"),
_xlpm.充当払出,SUMIFS(tbl_ledger[数量],tbl_ledger[localId],$B222,tbl_ledger[イベント種類],"充当",tbl_ledger[ロットID],"="),
_xlpm.品番プール-_xlpm.割当計+_xlpm.余剰化受入-_xlpm.充当払出))</f>
        <v/>
      </c>
      <c r="J222" s="8" t="str">
        <f t="shared" si="10"/>
        <v/>
      </c>
      <c r="K222" s="8" t="str">
        <f t="shared" si="11"/>
        <v/>
      </c>
      <c r="L222" s="4" t="str">
        <f>IF($A222="","",IF(INDEX(tbl_plan[計画状態],ROW()-1)="キャンセル","キャンセル",IF(J222=0,"発送済",IF(K222&gt;0,"要搬出","OK"))))</f>
        <v/>
      </c>
      <c r="M222" s="8">
        <f t="array" ref="M222">_xlfn.LET(
_xlpm.計画状態,IFERROR(INDEX(tbl_plan[計画状態],ROW()-1)&amp;"",""),
_xlpm.必要数,IFERROR(N(INDEX(tbl_plan[必要数],ROW()-1)),0),
IF(_xlpm.計画状態="キャンセル",0,_xlpm.必要数))</f>
        <v>0</v>
      </c>
      <c r="N222" s="8" t="str">
        <f>IF($A222="","",_xlfn.LET(
_xlpm.搬入計,SUMIFS(tbl_ledger[数量],tbl_ledger[localId],$B222,tbl_ledger[イベント種類],"搬入"),
_xlpm.未割当発送,SUMIFS(tbl_ledger[数量],tbl_ledger[localId],$B222,tbl_ledger[イベント種類],"発送",tbl_ledger[ロットID],"="),
_xlpm.未割当倉庫戻し,SUMIFS(tbl_ledger[数量],tbl_ledger[localId],$B222,tbl_ledger[イベント種類],"倉庫戻し",tbl_ledger[ロットID],"="),
_xlpm.未割当不良,SUMIFS(tbl_ledger[数量],tbl_ledger[localId],$B222,tbl_ledger[イベント種類],"不良発生",tbl_ledger[ロットID],"="),
_xlpm.搬入計-_xlpm.未割当発送-_xlpm.未割当倉庫戻し-_xlpm.未割当不良))</f>
        <v/>
      </c>
      <c r="O222" s="8" t="str">
        <f t="array" ref="O222">IF($A222="","",_xlfn.LET(
_xlpm.同品番,($B$2:$B$301=$B222),
_xlpm.週が前,($C$2:$C$301&lt;$C222),
_xlpm.同週で上行,($C$2:$C$301=$C222)*(ROW($C$2:$C$301)&lt;ROW()),
SUMPRODUCT(_xlpm.同品番*(_xlpm.週が前+_xlpm.同週で上行)*$M$2:$M$301)))</f>
        <v/>
      </c>
    </row>
    <row r="223" spans="1:15" ht="15" customHeight="1" x14ac:dyDescent="0.25">
      <c r="A223" s="4" t="str">
        <f>IFERROR(INDEX(tbl_plan[ロットID],ROW()-1),"")</f>
        <v/>
      </c>
      <c r="B223" s="4" t="str">
        <f>IF($A223="","",INDEX(tbl_plan[localId],ROW()-1))</f>
        <v/>
      </c>
      <c r="C223" s="11" t="str">
        <f>IF($A223="","",INDEX(tbl_plan[出荷週],ROW()-1))</f>
        <v/>
      </c>
      <c r="D223" s="4" t="str">
        <f>IF($A223="","",INDEX(tbl_plan[納期先],ROW()-1)&amp;"")</f>
        <v/>
      </c>
      <c r="E223" s="8" t="str">
        <f>IF($A223="","",INDEX(tbl_plan[必要数],ROW()-1))</f>
        <v/>
      </c>
      <c r="F223" s="8" t="str">
        <f t="shared" si="9"/>
        <v/>
      </c>
      <c r="G223" s="8" t="str">
        <f>IF($A223="","",SUMIFS(tbl_ledger[数量],tbl_ledger[ロットID],$A223,tbl_ledger[イベント種類],"発送"))</f>
        <v/>
      </c>
      <c r="H223" s="8" t="str">
        <f>IF($A223="","",_xlfn.LET(
_xlpm.割当,F223,
_xlpm.充当受入,SUMIFS(tbl_ledger[数量],tbl_ledger[充当先ロットID],$A223,tbl_ledger[イベント種類],"充当"),
_xlpm.充当放出,SUMIFS(tbl_ledger[数量],tbl_ledger[ロットID],$A223,tbl_ledger[イベント種類],"充当"),
_xlpm.発送済,G223,
_xlpm.倉庫戻し,SUMIFS(tbl_ledger[数量],tbl_ledger[ロットID],$A223,tbl_ledger[イベント種類],"倉庫戻し"),
_xlpm.余剰化,SUMIFS(tbl_ledger[数量],tbl_ledger[ロットID],$A223,tbl_ledger[イベント種類],"余剰化"),
_xlpm.不良,SUMIFS(tbl_ledger[数量],tbl_ledger[ロットID],$A223,tbl_ledger[イベント種類],"不良発生"),
_xlpm.割当+_xlpm.充当受入-_xlpm.充当放出-_xlpm.発送済-_xlpm.倉庫戻し-_xlpm.余剰化-_xlpm.不良))</f>
        <v/>
      </c>
      <c r="I223" s="8" t="str">
        <f>IF($A223="","",_xlfn.LET(
_xlpm.品番プール,N223,
_xlpm.割当計,SUMIF($B$2:$B$301,$B223,$F$2:$F$301),
_xlpm.余剰化受入,SUMIFS(tbl_ledger[数量],tbl_ledger[localId],$B223,tbl_ledger[イベント種類],"余剰化"),
_xlpm.充当払出,SUMIFS(tbl_ledger[数量],tbl_ledger[localId],$B223,tbl_ledger[イベント種類],"充当",tbl_ledger[ロットID],"="),
_xlpm.品番プール-_xlpm.割当計+_xlpm.余剰化受入-_xlpm.充当払出))</f>
        <v/>
      </c>
      <c r="J223" s="8" t="str">
        <f t="shared" si="10"/>
        <v/>
      </c>
      <c r="K223" s="8" t="str">
        <f t="shared" si="11"/>
        <v/>
      </c>
      <c r="L223" s="4" t="str">
        <f>IF($A223="","",IF(INDEX(tbl_plan[計画状態],ROW()-1)="キャンセル","キャンセル",IF(J223=0,"発送済",IF(K223&gt;0,"要搬出","OK"))))</f>
        <v/>
      </c>
      <c r="M223" s="8">
        <f t="array" ref="M223">_xlfn.LET(
_xlpm.計画状態,IFERROR(INDEX(tbl_plan[計画状態],ROW()-1)&amp;"",""),
_xlpm.必要数,IFERROR(N(INDEX(tbl_plan[必要数],ROW()-1)),0),
IF(_xlpm.計画状態="キャンセル",0,_xlpm.必要数))</f>
        <v>0</v>
      </c>
      <c r="N223" s="8" t="str">
        <f>IF($A223="","",_xlfn.LET(
_xlpm.搬入計,SUMIFS(tbl_ledger[数量],tbl_ledger[localId],$B223,tbl_ledger[イベント種類],"搬入"),
_xlpm.未割当発送,SUMIFS(tbl_ledger[数量],tbl_ledger[localId],$B223,tbl_ledger[イベント種類],"発送",tbl_ledger[ロットID],"="),
_xlpm.未割当倉庫戻し,SUMIFS(tbl_ledger[数量],tbl_ledger[localId],$B223,tbl_ledger[イベント種類],"倉庫戻し",tbl_ledger[ロットID],"="),
_xlpm.未割当不良,SUMIFS(tbl_ledger[数量],tbl_ledger[localId],$B223,tbl_ledger[イベント種類],"不良発生",tbl_ledger[ロットID],"="),
_xlpm.搬入計-_xlpm.未割当発送-_xlpm.未割当倉庫戻し-_xlpm.未割当不良))</f>
        <v/>
      </c>
      <c r="O223" s="8" t="str">
        <f t="array" ref="O223">IF($A223="","",_xlfn.LET(
_xlpm.同品番,($B$2:$B$301=$B223),
_xlpm.週が前,($C$2:$C$301&lt;$C223),
_xlpm.同週で上行,($C$2:$C$301=$C223)*(ROW($C$2:$C$301)&lt;ROW()),
SUMPRODUCT(_xlpm.同品番*(_xlpm.週が前+_xlpm.同週で上行)*$M$2:$M$301)))</f>
        <v/>
      </c>
    </row>
    <row r="224" spans="1:15" ht="15" customHeight="1" x14ac:dyDescent="0.25">
      <c r="A224" s="4" t="str">
        <f>IFERROR(INDEX(tbl_plan[ロットID],ROW()-1),"")</f>
        <v/>
      </c>
      <c r="B224" s="4" t="str">
        <f>IF($A224="","",INDEX(tbl_plan[localId],ROW()-1))</f>
        <v/>
      </c>
      <c r="C224" s="11" t="str">
        <f>IF($A224="","",INDEX(tbl_plan[出荷週],ROW()-1))</f>
        <v/>
      </c>
      <c r="D224" s="4" t="str">
        <f>IF($A224="","",INDEX(tbl_plan[納期先],ROW()-1)&amp;"")</f>
        <v/>
      </c>
      <c r="E224" s="8" t="str">
        <f>IF($A224="","",INDEX(tbl_plan[必要数],ROW()-1))</f>
        <v/>
      </c>
      <c r="F224" s="8" t="str">
        <f t="shared" si="9"/>
        <v/>
      </c>
      <c r="G224" s="8" t="str">
        <f>IF($A224="","",SUMIFS(tbl_ledger[数量],tbl_ledger[ロットID],$A224,tbl_ledger[イベント種類],"発送"))</f>
        <v/>
      </c>
      <c r="H224" s="8" t="str">
        <f>IF($A224="","",_xlfn.LET(
_xlpm.割当,F224,
_xlpm.充当受入,SUMIFS(tbl_ledger[数量],tbl_ledger[充当先ロットID],$A224,tbl_ledger[イベント種類],"充当"),
_xlpm.充当放出,SUMIFS(tbl_ledger[数量],tbl_ledger[ロットID],$A224,tbl_ledger[イベント種類],"充当"),
_xlpm.発送済,G224,
_xlpm.倉庫戻し,SUMIFS(tbl_ledger[数量],tbl_ledger[ロットID],$A224,tbl_ledger[イベント種類],"倉庫戻し"),
_xlpm.余剰化,SUMIFS(tbl_ledger[数量],tbl_ledger[ロットID],$A224,tbl_ledger[イベント種類],"余剰化"),
_xlpm.不良,SUMIFS(tbl_ledger[数量],tbl_ledger[ロットID],$A224,tbl_ledger[イベント種類],"不良発生"),
_xlpm.割当+_xlpm.充当受入-_xlpm.充当放出-_xlpm.発送済-_xlpm.倉庫戻し-_xlpm.余剰化-_xlpm.不良))</f>
        <v/>
      </c>
      <c r="I224" s="8" t="str">
        <f>IF($A224="","",_xlfn.LET(
_xlpm.品番プール,N224,
_xlpm.割当計,SUMIF($B$2:$B$301,$B224,$F$2:$F$301),
_xlpm.余剰化受入,SUMIFS(tbl_ledger[数量],tbl_ledger[localId],$B224,tbl_ledger[イベント種類],"余剰化"),
_xlpm.充当払出,SUMIFS(tbl_ledger[数量],tbl_ledger[localId],$B224,tbl_ledger[イベント種類],"充当",tbl_ledger[ロットID],"="),
_xlpm.品番プール-_xlpm.割当計+_xlpm.余剰化受入-_xlpm.充当払出))</f>
        <v/>
      </c>
      <c r="J224" s="8" t="str">
        <f t="shared" si="10"/>
        <v/>
      </c>
      <c r="K224" s="8" t="str">
        <f t="shared" si="11"/>
        <v/>
      </c>
      <c r="L224" s="4" t="str">
        <f>IF($A224="","",IF(INDEX(tbl_plan[計画状態],ROW()-1)="キャンセル","キャンセル",IF(J224=0,"発送済",IF(K224&gt;0,"要搬出","OK"))))</f>
        <v/>
      </c>
      <c r="M224" s="8">
        <f t="array" ref="M224">_xlfn.LET(
_xlpm.計画状態,IFERROR(INDEX(tbl_plan[計画状態],ROW()-1)&amp;"",""),
_xlpm.必要数,IFERROR(N(INDEX(tbl_plan[必要数],ROW()-1)),0),
IF(_xlpm.計画状態="キャンセル",0,_xlpm.必要数))</f>
        <v>0</v>
      </c>
      <c r="N224" s="8" t="str">
        <f>IF($A224="","",_xlfn.LET(
_xlpm.搬入計,SUMIFS(tbl_ledger[数量],tbl_ledger[localId],$B224,tbl_ledger[イベント種類],"搬入"),
_xlpm.未割当発送,SUMIFS(tbl_ledger[数量],tbl_ledger[localId],$B224,tbl_ledger[イベント種類],"発送",tbl_ledger[ロットID],"="),
_xlpm.未割当倉庫戻し,SUMIFS(tbl_ledger[数量],tbl_ledger[localId],$B224,tbl_ledger[イベント種類],"倉庫戻し",tbl_ledger[ロットID],"="),
_xlpm.未割当不良,SUMIFS(tbl_ledger[数量],tbl_ledger[localId],$B224,tbl_ledger[イベント種類],"不良発生",tbl_ledger[ロットID],"="),
_xlpm.搬入計-_xlpm.未割当発送-_xlpm.未割当倉庫戻し-_xlpm.未割当不良))</f>
        <v/>
      </c>
      <c r="O224" s="8" t="str">
        <f t="array" ref="O224">IF($A224="","",_xlfn.LET(
_xlpm.同品番,($B$2:$B$301=$B224),
_xlpm.週が前,($C$2:$C$301&lt;$C224),
_xlpm.同週で上行,($C$2:$C$301=$C224)*(ROW($C$2:$C$301)&lt;ROW()),
SUMPRODUCT(_xlpm.同品番*(_xlpm.週が前+_xlpm.同週で上行)*$M$2:$M$301)))</f>
        <v/>
      </c>
    </row>
    <row r="225" spans="1:15" ht="15" customHeight="1" x14ac:dyDescent="0.25">
      <c r="A225" s="4" t="str">
        <f>IFERROR(INDEX(tbl_plan[ロットID],ROW()-1),"")</f>
        <v/>
      </c>
      <c r="B225" s="4" t="str">
        <f>IF($A225="","",INDEX(tbl_plan[localId],ROW()-1))</f>
        <v/>
      </c>
      <c r="C225" s="11" t="str">
        <f>IF($A225="","",INDEX(tbl_plan[出荷週],ROW()-1))</f>
        <v/>
      </c>
      <c r="D225" s="4" t="str">
        <f>IF($A225="","",INDEX(tbl_plan[納期先],ROW()-1)&amp;"")</f>
        <v/>
      </c>
      <c r="E225" s="8" t="str">
        <f>IF($A225="","",INDEX(tbl_plan[必要数],ROW()-1))</f>
        <v/>
      </c>
      <c r="F225" s="8" t="str">
        <f t="shared" si="9"/>
        <v/>
      </c>
      <c r="G225" s="8" t="str">
        <f>IF($A225="","",SUMIFS(tbl_ledger[数量],tbl_ledger[ロットID],$A225,tbl_ledger[イベント種類],"発送"))</f>
        <v/>
      </c>
      <c r="H225" s="8" t="str">
        <f>IF($A225="","",_xlfn.LET(
_xlpm.割当,F225,
_xlpm.充当受入,SUMIFS(tbl_ledger[数量],tbl_ledger[充当先ロットID],$A225,tbl_ledger[イベント種類],"充当"),
_xlpm.充当放出,SUMIFS(tbl_ledger[数量],tbl_ledger[ロットID],$A225,tbl_ledger[イベント種類],"充当"),
_xlpm.発送済,G225,
_xlpm.倉庫戻し,SUMIFS(tbl_ledger[数量],tbl_ledger[ロットID],$A225,tbl_ledger[イベント種類],"倉庫戻し"),
_xlpm.余剰化,SUMIFS(tbl_ledger[数量],tbl_ledger[ロットID],$A225,tbl_ledger[イベント種類],"余剰化"),
_xlpm.不良,SUMIFS(tbl_ledger[数量],tbl_ledger[ロットID],$A225,tbl_ledger[イベント種類],"不良発生"),
_xlpm.割当+_xlpm.充当受入-_xlpm.充当放出-_xlpm.発送済-_xlpm.倉庫戻し-_xlpm.余剰化-_xlpm.不良))</f>
        <v/>
      </c>
      <c r="I225" s="8" t="str">
        <f>IF($A225="","",_xlfn.LET(
_xlpm.品番プール,N225,
_xlpm.割当計,SUMIF($B$2:$B$301,$B225,$F$2:$F$301),
_xlpm.余剰化受入,SUMIFS(tbl_ledger[数量],tbl_ledger[localId],$B225,tbl_ledger[イベント種類],"余剰化"),
_xlpm.充当払出,SUMIFS(tbl_ledger[数量],tbl_ledger[localId],$B225,tbl_ledger[イベント種類],"充当",tbl_ledger[ロットID],"="),
_xlpm.品番プール-_xlpm.割当計+_xlpm.余剰化受入-_xlpm.充当払出))</f>
        <v/>
      </c>
      <c r="J225" s="8" t="str">
        <f t="shared" si="10"/>
        <v/>
      </c>
      <c r="K225" s="8" t="str">
        <f t="shared" si="11"/>
        <v/>
      </c>
      <c r="L225" s="4" t="str">
        <f>IF($A225="","",IF(INDEX(tbl_plan[計画状態],ROW()-1)="キャンセル","キャンセル",IF(J225=0,"発送済",IF(K225&gt;0,"要搬出","OK"))))</f>
        <v/>
      </c>
      <c r="M225" s="8">
        <f t="array" ref="M225">_xlfn.LET(
_xlpm.計画状態,IFERROR(INDEX(tbl_plan[計画状態],ROW()-1)&amp;"",""),
_xlpm.必要数,IFERROR(N(INDEX(tbl_plan[必要数],ROW()-1)),0),
IF(_xlpm.計画状態="キャンセル",0,_xlpm.必要数))</f>
        <v>0</v>
      </c>
      <c r="N225" s="8" t="str">
        <f>IF($A225="","",_xlfn.LET(
_xlpm.搬入計,SUMIFS(tbl_ledger[数量],tbl_ledger[localId],$B225,tbl_ledger[イベント種類],"搬入"),
_xlpm.未割当発送,SUMIFS(tbl_ledger[数量],tbl_ledger[localId],$B225,tbl_ledger[イベント種類],"発送",tbl_ledger[ロットID],"="),
_xlpm.未割当倉庫戻し,SUMIFS(tbl_ledger[数量],tbl_ledger[localId],$B225,tbl_ledger[イベント種類],"倉庫戻し",tbl_ledger[ロットID],"="),
_xlpm.未割当不良,SUMIFS(tbl_ledger[数量],tbl_ledger[localId],$B225,tbl_ledger[イベント種類],"不良発生",tbl_ledger[ロットID],"="),
_xlpm.搬入計-_xlpm.未割当発送-_xlpm.未割当倉庫戻し-_xlpm.未割当不良))</f>
        <v/>
      </c>
      <c r="O225" s="8" t="str">
        <f t="array" ref="O225">IF($A225="","",_xlfn.LET(
_xlpm.同品番,($B$2:$B$301=$B225),
_xlpm.週が前,($C$2:$C$301&lt;$C225),
_xlpm.同週で上行,($C$2:$C$301=$C225)*(ROW($C$2:$C$301)&lt;ROW()),
SUMPRODUCT(_xlpm.同品番*(_xlpm.週が前+_xlpm.同週で上行)*$M$2:$M$301)))</f>
        <v/>
      </c>
    </row>
    <row r="226" spans="1:15" ht="15" customHeight="1" x14ac:dyDescent="0.25">
      <c r="A226" s="4" t="str">
        <f>IFERROR(INDEX(tbl_plan[ロットID],ROW()-1),"")</f>
        <v/>
      </c>
      <c r="B226" s="4" t="str">
        <f>IF($A226="","",INDEX(tbl_plan[localId],ROW()-1))</f>
        <v/>
      </c>
      <c r="C226" s="11" t="str">
        <f>IF($A226="","",INDEX(tbl_plan[出荷週],ROW()-1))</f>
        <v/>
      </c>
      <c r="D226" s="4" t="str">
        <f>IF($A226="","",INDEX(tbl_plan[納期先],ROW()-1)&amp;"")</f>
        <v/>
      </c>
      <c r="E226" s="8" t="str">
        <f>IF($A226="","",INDEX(tbl_plan[必要数],ROW()-1))</f>
        <v/>
      </c>
      <c r="F226" s="8" t="str">
        <f t="shared" si="9"/>
        <v/>
      </c>
      <c r="G226" s="8" t="str">
        <f>IF($A226="","",SUMIFS(tbl_ledger[数量],tbl_ledger[ロットID],$A226,tbl_ledger[イベント種類],"発送"))</f>
        <v/>
      </c>
      <c r="H226" s="8" t="str">
        <f>IF($A226="","",_xlfn.LET(
_xlpm.割当,F226,
_xlpm.充当受入,SUMIFS(tbl_ledger[数量],tbl_ledger[充当先ロットID],$A226,tbl_ledger[イベント種類],"充当"),
_xlpm.充当放出,SUMIFS(tbl_ledger[数量],tbl_ledger[ロットID],$A226,tbl_ledger[イベント種類],"充当"),
_xlpm.発送済,G226,
_xlpm.倉庫戻し,SUMIFS(tbl_ledger[数量],tbl_ledger[ロットID],$A226,tbl_ledger[イベント種類],"倉庫戻し"),
_xlpm.余剰化,SUMIFS(tbl_ledger[数量],tbl_ledger[ロットID],$A226,tbl_ledger[イベント種類],"余剰化"),
_xlpm.不良,SUMIFS(tbl_ledger[数量],tbl_ledger[ロットID],$A226,tbl_ledger[イベント種類],"不良発生"),
_xlpm.割当+_xlpm.充当受入-_xlpm.充当放出-_xlpm.発送済-_xlpm.倉庫戻し-_xlpm.余剰化-_xlpm.不良))</f>
        <v/>
      </c>
      <c r="I226" s="8" t="str">
        <f>IF($A226="","",_xlfn.LET(
_xlpm.品番プール,N226,
_xlpm.割当計,SUMIF($B$2:$B$301,$B226,$F$2:$F$301),
_xlpm.余剰化受入,SUMIFS(tbl_ledger[数量],tbl_ledger[localId],$B226,tbl_ledger[イベント種類],"余剰化"),
_xlpm.充当払出,SUMIFS(tbl_ledger[数量],tbl_ledger[localId],$B226,tbl_ledger[イベント種類],"充当",tbl_ledger[ロットID],"="),
_xlpm.品番プール-_xlpm.割当計+_xlpm.余剰化受入-_xlpm.充当払出))</f>
        <v/>
      </c>
      <c r="J226" s="8" t="str">
        <f t="shared" si="10"/>
        <v/>
      </c>
      <c r="K226" s="8" t="str">
        <f t="shared" si="11"/>
        <v/>
      </c>
      <c r="L226" s="4" t="str">
        <f>IF($A226="","",IF(INDEX(tbl_plan[計画状態],ROW()-1)="キャンセル","キャンセル",IF(J226=0,"発送済",IF(K226&gt;0,"要搬出","OK"))))</f>
        <v/>
      </c>
      <c r="M226" s="8">
        <f t="array" ref="M226">_xlfn.LET(
_xlpm.計画状態,IFERROR(INDEX(tbl_plan[計画状態],ROW()-1)&amp;"",""),
_xlpm.必要数,IFERROR(N(INDEX(tbl_plan[必要数],ROW()-1)),0),
IF(_xlpm.計画状態="キャンセル",0,_xlpm.必要数))</f>
        <v>0</v>
      </c>
      <c r="N226" s="8" t="str">
        <f>IF($A226="","",_xlfn.LET(
_xlpm.搬入計,SUMIFS(tbl_ledger[数量],tbl_ledger[localId],$B226,tbl_ledger[イベント種類],"搬入"),
_xlpm.未割当発送,SUMIFS(tbl_ledger[数量],tbl_ledger[localId],$B226,tbl_ledger[イベント種類],"発送",tbl_ledger[ロットID],"="),
_xlpm.未割当倉庫戻し,SUMIFS(tbl_ledger[数量],tbl_ledger[localId],$B226,tbl_ledger[イベント種類],"倉庫戻し",tbl_ledger[ロットID],"="),
_xlpm.未割当不良,SUMIFS(tbl_ledger[数量],tbl_ledger[localId],$B226,tbl_ledger[イベント種類],"不良発生",tbl_ledger[ロットID],"="),
_xlpm.搬入計-_xlpm.未割当発送-_xlpm.未割当倉庫戻し-_xlpm.未割当不良))</f>
        <v/>
      </c>
      <c r="O226" s="8" t="str">
        <f t="array" ref="O226">IF($A226="","",_xlfn.LET(
_xlpm.同品番,($B$2:$B$301=$B226),
_xlpm.週が前,($C$2:$C$301&lt;$C226),
_xlpm.同週で上行,($C$2:$C$301=$C226)*(ROW($C$2:$C$301)&lt;ROW()),
SUMPRODUCT(_xlpm.同品番*(_xlpm.週が前+_xlpm.同週で上行)*$M$2:$M$301)))</f>
        <v/>
      </c>
    </row>
    <row r="227" spans="1:15" ht="15" customHeight="1" x14ac:dyDescent="0.25">
      <c r="A227" s="4" t="str">
        <f>IFERROR(INDEX(tbl_plan[ロットID],ROW()-1),"")</f>
        <v/>
      </c>
      <c r="B227" s="4" t="str">
        <f>IF($A227="","",INDEX(tbl_plan[localId],ROW()-1))</f>
        <v/>
      </c>
      <c r="C227" s="11" t="str">
        <f>IF($A227="","",INDEX(tbl_plan[出荷週],ROW()-1))</f>
        <v/>
      </c>
      <c r="D227" s="4" t="str">
        <f>IF($A227="","",INDEX(tbl_plan[納期先],ROW()-1)&amp;"")</f>
        <v/>
      </c>
      <c r="E227" s="8" t="str">
        <f>IF($A227="","",INDEX(tbl_plan[必要数],ROW()-1))</f>
        <v/>
      </c>
      <c r="F227" s="8" t="str">
        <f t="shared" si="9"/>
        <v/>
      </c>
      <c r="G227" s="8" t="str">
        <f>IF($A227="","",SUMIFS(tbl_ledger[数量],tbl_ledger[ロットID],$A227,tbl_ledger[イベント種類],"発送"))</f>
        <v/>
      </c>
      <c r="H227" s="8" t="str">
        <f>IF($A227="","",_xlfn.LET(
_xlpm.割当,F227,
_xlpm.充当受入,SUMIFS(tbl_ledger[数量],tbl_ledger[充当先ロットID],$A227,tbl_ledger[イベント種類],"充当"),
_xlpm.充当放出,SUMIFS(tbl_ledger[数量],tbl_ledger[ロットID],$A227,tbl_ledger[イベント種類],"充当"),
_xlpm.発送済,G227,
_xlpm.倉庫戻し,SUMIFS(tbl_ledger[数量],tbl_ledger[ロットID],$A227,tbl_ledger[イベント種類],"倉庫戻し"),
_xlpm.余剰化,SUMIFS(tbl_ledger[数量],tbl_ledger[ロットID],$A227,tbl_ledger[イベント種類],"余剰化"),
_xlpm.不良,SUMIFS(tbl_ledger[数量],tbl_ledger[ロットID],$A227,tbl_ledger[イベント種類],"不良発生"),
_xlpm.割当+_xlpm.充当受入-_xlpm.充当放出-_xlpm.発送済-_xlpm.倉庫戻し-_xlpm.余剰化-_xlpm.不良))</f>
        <v/>
      </c>
      <c r="I227" s="8" t="str">
        <f>IF($A227="","",_xlfn.LET(
_xlpm.品番プール,N227,
_xlpm.割当計,SUMIF($B$2:$B$301,$B227,$F$2:$F$301),
_xlpm.余剰化受入,SUMIFS(tbl_ledger[数量],tbl_ledger[localId],$B227,tbl_ledger[イベント種類],"余剰化"),
_xlpm.充当払出,SUMIFS(tbl_ledger[数量],tbl_ledger[localId],$B227,tbl_ledger[イベント種類],"充当",tbl_ledger[ロットID],"="),
_xlpm.品番プール-_xlpm.割当計+_xlpm.余剰化受入-_xlpm.充当払出))</f>
        <v/>
      </c>
      <c r="J227" s="8" t="str">
        <f t="shared" si="10"/>
        <v/>
      </c>
      <c r="K227" s="8" t="str">
        <f t="shared" si="11"/>
        <v/>
      </c>
      <c r="L227" s="4" t="str">
        <f>IF($A227="","",IF(INDEX(tbl_plan[計画状態],ROW()-1)="キャンセル","キャンセル",IF(J227=0,"発送済",IF(K227&gt;0,"要搬出","OK"))))</f>
        <v/>
      </c>
      <c r="M227" s="8">
        <f t="array" ref="M227">_xlfn.LET(
_xlpm.計画状態,IFERROR(INDEX(tbl_plan[計画状態],ROW()-1)&amp;"",""),
_xlpm.必要数,IFERROR(N(INDEX(tbl_plan[必要数],ROW()-1)),0),
IF(_xlpm.計画状態="キャンセル",0,_xlpm.必要数))</f>
        <v>0</v>
      </c>
      <c r="N227" s="8" t="str">
        <f>IF($A227="","",_xlfn.LET(
_xlpm.搬入計,SUMIFS(tbl_ledger[数量],tbl_ledger[localId],$B227,tbl_ledger[イベント種類],"搬入"),
_xlpm.未割当発送,SUMIFS(tbl_ledger[数量],tbl_ledger[localId],$B227,tbl_ledger[イベント種類],"発送",tbl_ledger[ロットID],"="),
_xlpm.未割当倉庫戻し,SUMIFS(tbl_ledger[数量],tbl_ledger[localId],$B227,tbl_ledger[イベント種類],"倉庫戻し",tbl_ledger[ロットID],"="),
_xlpm.未割当不良,SUMIFS(tbl_ledger[数量],tbl_ledger[localId],$B227,tbl_ledger[イベント種類],"不良発生",tbl_ledger[ロットID],"="),
_xlpm.搬入計-_xlpm.未割当発送-_xlpm.未割当倉庫戻し-_xlpm.未割当不良))</f>
        <v/>
      </c>
      <c r="O227" s="8" t="str">
        <f t="array" ref="O227">IF($A227="","",_xlfn.LET(
_xlpm.同品番,($B$2:$B$301=$B227),
_xlpm.週が前,($C$2:$C$301&lt;$C227),
_xlpm.同週で上行,($C$2:$C$301=$C227)*(ROW($C$2:$C$301)&lt;ROW()),
SUMPRODUCT(_xlpm.同品番*(_xlpm.週が前+_xlpm.同週で上行)*$M$2:$M$301)))</f>
        <v/>
      </c>
    </row>
    <row r="228" spans="1:15" ht="15" customHeight="1" x14ac:dyDescent="0.25">
      <c r="A228" s="4" t="str">
        <f>IFERROR(INDEX(tbl_plan[ロットID],ROW()-1),"")</f>
        <v/>
      </c>
      <c r="B228" s="4" t="str">
        <f>IF($A228="","",INDEX(tbl_plan[localId],ROW()-1))</f>
        <v/>
      </c>
      <c r="C228" s="11" t="str">
        <f>IF($A228="","",INDEX(tbl_plan[出荷週],ROW()-1))</f>
        <v/>
      </c>
      <c r="D228" s="4" t="str">
        <f>IF($A228="","",INDEX(tbl_plan[納期先],ROW()-1)&amp;"")</f>
        <v/>
      </c>
      <c r="E228" s="8" t="str">
        <f>IF($A228="","",INDEX(tbl_plan[必要数],ROW()-1))</f>
        <v/>
      </c>
      <c r="F228" s="8" t="str">
        <f t="shared" si="9"/>
        <v/>
      </c>
      <c r="G228" s="8" t="str">
        <f>IF($A228="","",SUMIFS(tbl_ledger[数量],tbl_ledger[ロットID],$A228,tbl_ledger[イベント種類],"発送"))</f>
        <v/>
      </c>
      <c r="H228" s="8" t="str">
        <f>IF($A228="","",_xlfn.LET(
_xlpm.割当,F228,
_xlpm.充当受入,SUMIFS(tbl_ledger[数量],tbl_ledger[充当先ロットID],$A228,tbl_ledger[イベント種類],"充当"),
_xlpm.充当放出,SUMIFS(tbl_ledger[数量],tbl_ledger[ロットID],$A228,tbl_ledger[イベント種類],"充当"),
_xlpm.発送済,G228,
_xlpm.倉庫戻し,SUMIFS(tbl_ledger[数量],tbl_ledger[ロットID],$A228,tbl_ledger[イベント種類],"倉庫戻し"),
_xlpm.余剰化,SUMIFS(tbl_ledger[数量],tbl_ledger[ロットID],$A228,tbl_ledger[イベント種類],"余剰化"),
_xlpm.不良,SUMIFS(tbl_ledger[数量],tbl_ledger[ロットID],$A228,tbl_ledger[イベント種類],"不良発生"),
_xlpm.割当+_xlpm.充当受入-_xlpm.充当放出-_xlpm.発送済-_xlpm.倉庫戻し-_xlpm.余剰化-_xlpm.不良))</f>
        <v/>
      </c>
      <c r="I228" s="8" t="str">
        <f>IF($A228="","",_xlfn.LET(
_xlpm.品番プール,N228,
_xlpm.割当計,SUMIF($B$2:$B$301,$B228,$F$2:$F$301),
_xlpm.余剰化受入,SUMIFS(tbl_ledger[数量],tbl_ledger[localId],$B228,tbl_ledger[イベント種類],"余剰化"),
_xlpm.充当払出,SUMIFS(tbl_ledger[数量],tbl_ledger[localId],$B228,tbl_ledger[イベント種類],"充当",tbl_ledger[ロットID],"="),
_xlpm.品番プール-_xlpm.割当計+_xlpm.余剰化受入-_xlpm.充当払出))</f>
        <v/>
      </c>
      <c r="J228" s="8" t="str">
        <f t="shared" si="10"/>
        <v/>
      </c>
      <c r="K228" s="8" t="str">
        <f t="shared" si="11"/>
        <v/>
      </c>
      <c r="L228" s="4" t="str">
        <f>IF($A228="","",IF(INDEX(tbl_plan[計画状態],ROW()-1)="キャンセル","キャンセル",IF(J228=0,"発送済",IF(K228&gt;0,"要搬出","OK"))))</f>
        <v/>
      </c>
      <c r="M228" s="8">
        <f t="array" ref="M228">_xlfn.LET(
_xlpm.計画状態,IFERROR(INDEX(tbl_plan[計画状態],ROW()-1)&amp;"",""),
_xlpm.必要数,IFERROR(N(INDEX(tbl_plan[必要数],ROW()-1)),0),
IF(_xlpm.計画状態="キャンセル",0,_xlpm.必要数))</f>
        <v>0</v>
      </c>
      <c r="N228" s="8" t="str">
        <f>IF($A228="","",_xlfn.LET(
_xlpm.搬入計,SUMIFS(tbl_ledger[数量],tbl_ledger[localId],$B228,tbl_ledger[イベント種類],"搬入"),
_xlpm.未割当発送,SUMIFS(tbl_ledger[数量],tbl_ledger[localId],$B228,tbl_ledger[イベント種類],"発送",tbl_ledger[ロットID],"="),
_xlpm.未割当倉庫戻し,SUMIFS(tbl_ledger[数量],tbl_ledger[localId],$B228,tbl_ledger[イベント種類],"倉庫戻し",tbl_ledger[ロットID],"="),
_xlpm.未割当不良,SUMIFS(tbl_ledger[数量],tbl_ledger[localId],$B228,tbl_ledger[イベント種類],"不良発生",tbl_ledger[ロットID],"="),
_xlpm.搬入計-_xlpm.未割当発送-_xlpm.未割当倉庫戻し-_xlpm.未割当不良))</f>
        <v/>
      </c>
      <c r="O228" s="8" t="str">
        <f t="array" ref="O228">IF($A228="","",_xlfn.LET(
_xlpm.同品番,($B$2:$B$301=$B228),
_xlpm.週が前,($C$2:$C$301&lt;$C228),
_xlpm.同週で上行,($C$2:$C$301=$C228)*(ROW($C$2:$C$301)&lt;ROW()),
SUMPRODUCT(_xlpm.同品番*(_xlpm.週が前+_xlpm.同週で上行)*$M$2:$M$301)))</f>
        <v/>
      </c>
    </row>
    <row r="229" spans="1:15" ht="15" customHeight="1" x14ac:dyDescent="0.25">
      <c r="A229" s="4" t="str">
        <f>IFERROR(INDEX(tbl_plan[ロットID],ROW()-1),"")</f>
        <v/>
      </c>
      <c r="B229" s="4" t="str">
        <f>IF($A229="","",INDEX(tbl_plan[localId],ROW()-1))</f>
        <v/>
      </c>
      <c r="C229" s="11" t="str">
        <f>IF($A229="","",INDEX(tbl_plan[出荷週],ROW()-1))</f>
        <v/>
      </c>
      <c r="D229" s="4" t="str">
        <f>IF($A229="","",INDEX(tbl_plan[納期先],ROW()-1)&amp;"")</f>
        <v/>
      </c>
      <c r="E229" s="8" t="str">
        <f>IF($A229="","",INDEX(tbl_plan[必要数],ROW()-1))</f>
        <v/>
      </c>
      <c r="F229" s="8" t="str">
        <f t="shared" si="9"/>
        <v/>
      </c>
      <c r="G229" s="8" t="str">
        <f>IF($A229="","",SUMIFS(tbl_ledger[数量],tbl_ledger[ロットID],$A229,tbl_ledger[イベント種類],"発送"))</f>
        <v/>
      </c>
      <c r="H229" s="8" t="str">
        <f>IF($A229="","",_xlfn.LET(
_xlpm.割当,F229,
_xlpm.充当受入,SUMIFS(tbl_ledger[数量],tbl_ledger[充当先ロットID],$A229,tbl_ledger[イベント種類],"充当"),
_xlpm.充当放出,SUMIFS(tbl_ledger[数量],tbl_ledger[ロットID],$A229,tbl_ledger[イベント種類],"充当"),
_xlpm.発送済,G229,
_xlpm.倉庫戻し,SUMIFS(tbl_ledger[数量],tbl_ledger[ロットID],$A229,tbl_ledger[イベント種類],"倉庫戻し"),
_xlpm.余剰化,SUMIFS(tbl_ledger[数量],tbl_ledger[ロットID],$A229,tbl_ledger[イベント種類],"余剰化"),
_xlpm.不良,SUMIFS(tbl_ledger[数量],tbl_ledger[ロットID],$A229,tbl_ledger[イベント種類],"不良発生"),
_xlpm.割当+_xlpm.充当受入-_xlpm.充当放出-_xlpm.発送済-_xlpm.倉庫戻し-_xlpm.余剰化-_xlpm.不良))</f>
        <v/>
      </c>
      <c r="I229" s="8" t="str">
        <f>IF($A229="","",_xlfn.LET(
_xlpm.品番プール,N229,
_xlpm.割当計,SUMIF($B$2:$B$301,$B229,$F$2:$F$301),
_xlpm.余剰化受入,SUMIFS(tbl_ledger[数量],tbl_ledger[localId],$B229,tbl_ledger[イベント種類],"余剰化"),
_xlpm.充当払出,SUMIFS(tbl_ledger[数量],tbl_ledger[localId],$B229,tbl_ledger[イベント種類],"充当",tbl_ledger[ロットID],"="),
_xlpm.品番プール-_xlpm.割当計+_xlpm.余剰化受入-_xlpm.充当払出))</f>
        <v/>
      </c>
      <c r="J229" s="8" t="str">
        <f t="shared" si="10"/>
        <v/>
      </c>
      <c r="K229" s="8" t="str">
        <f t="shared" si="11"/>
        <v/>
      </c>
      <c r="L229" s="4" t="str">
        <f>IF($A229="","",IF(INDEX(tbl_plan[計画状態],ROW()-1)="キャンセル","キャンセル",IF(J229=0,"発送済",IF(K229&gt;0,"要搬出","OK"))))</f>
        <v/>
      </c>
      <c r="M229" s="8">
        <f t="array" ref="M229">_xlfn.LET(
_xlpm.計画状態,IFERROR(INDEX(tbl_plan[計画状態],ROW()-1)&amp;"",""),
_xlpm.必要数,IFERROR(N(INDEX(tbl_plan[必要数],ROW()-1)),0),
IF(_xlpm.計画状態="キャンセル",0,_xlpm.必要数))</f>
        <v>0</v>
      </c>
      <c r="N229" s="8" t="str">
        <f>IF($A229="","",_xlfn.LET(
_xlpm.搬入計,SUMIFS(tbl_ledger[数量],tbl_ledger[localId],$B229,tbl_ledger[イベント種類],"搬入"),
_xlpm.未割当発送,SUMIFS(tbl_ledger[数量],tbl_ledger[localId],$B229,tbl_ledger[イベント種類],"発送",tbl_ledger[ロットID],"="),
_xlpm.未割当倉庫戻し,SUMIFS(tbl_ledger[数量],tbl_ledger[localId],$B229,tbl_ledger[イベント種類],"倉庫戻し",tbl_ledger[ロットID],"="),
_xlpm.未割当不良,SUMIFS(tbl_ledger[数量],tbl_ledger[localId],$B229,tbl_ledger[イベント種類],"不良発生",tbl_ledger[ロットID],"="),
_xlpm.搬入計-_xlpm.未割当発送-_xlpm.未割当倉庫戻し-_xlpm.未割当不良))</f>
        <v/>
      </c>
      <c r="O229" s="8" t="str">
        <f t="array" ref="O229">IF($A229="","",_xlfn.LET(
_xlpm.同品番,($B$2:$B$301=$B229),
_xlpm.週が前,($C$2:$C$301&lt;$C229),
_xlpm.同週で上行,($C$2:$C$301=$C229)*(ROW($C$2:$C$301)&lt;ROW()),
SUMPRODUCT(_xlpm.同品番*(_xlpm.週が前+_xlpm.同週で上行)*$M$2:$M$301)))</f>
        <v/>
      </c>
    </row>
    <row r="230" spans="1:15" ht="15" customHeight="1" x14ac:dyDescent="0.25">
      <c r="A230" s="4" t="str">
        <f>IFERROR(INDEX(tbl_plan[ロットID],ROW()-1),"")</f>
        <v/>
      </c>
      <c r="B230" s="4" t="str">
        <f>IF($A230="","",INDEX(tbl_plan[localId],ROW()-1))</f>
        <v/>
      </c>
      <c r="C230" s="11" t="str">
        <f>IF($A230="","",INDEX(tbl_plan[出荷週],ROW()-1))</f>
        <v/>
      </c>
      <c r="D230" s="4" t="str">
        <f>IF($A230="","",INDEX(tbl_plan[納期先],ROW()-1)&amp;"")</f>
        <v/>
      </c>
      <c r="E230" s="8" t="str">
        <f>IF($A230="","",INDEX(tbl_plan[必要数],ROW()-1))</f>
        <v/>
      </c>
      <c r="F230" s="8" t="str">
        <f t="shared" si="9"/>
        <v/>
      </c>
      <c r="G230" s="8" t="str">
        <f>IF($A230="","",SUMIFS(tbl_ledger[数量],tbl_ledger[ロットID],$A230,tbl_ledger[イベント種類],"発送"))</f>
        <v/>
      </c>
      <c r="H230" s="8" t="str">
        <f>IF($A230="","",_xlfn.LET(
_xlpm.割当,F230,
_xlpm.充当受入,SUMIFS(tbl_ledger[数量],tbl_ledger[充当先ロットID],$A230,tbl_ledger[イベント種類],"充当"),
_xlpm.充当放出,SUMIFS(tbl_ledger[数量],tbl_ledger[ロットID],$A230,tbl_ledger[イベント種類],"充当"),
_xlpm.発送済,G230,
_xlpm.倉庫戻し,SUMIFS(tbl_ledger[数量],tbl_ledger[ロットID],$A230,tbl_ledger[イベント種類],"倉庫戻し"),
_xlpm.余剰化,SUMIFS(tbl_ledger[数量],tbl_ledger[ロットID],$A230,tbl_ledger[イベント種類],"余剰化"),
_xlpm.不良,SUMIFS(tbl_ledger[数量],tbl_ledger[ロットID],$A230,tbl_ledger[イベント種類],"不良発生"),
_xlpm.割当+_xlpm.充当受入-_xlpm.充当放出-_xlpm.発送済-_xlpm.倉庫戻し-_xlpm.余剰化-_xlpm.不良))</f>
        <v/>
      </c>
      <c r="I230" s="8" t="str">
        <f>IF($A230="","",_xlfn.LET(
_xlpm.品番プール,N230,
_xlpm.割当計,SUMIF($B$2:$B$301,$B230,$F$2:$F$301),
_xlpm.余剰化受入,SUMIFS(tbl_ledger[数量],tbl_ledger[localId],$B230,tbl_ledger[イベント種類],"余剰化"),
_xlpm.充当払出,SUMIFS(tbl_ledger[数量],tbl_ledger[localId],$B230,tbl_ledger[イベント種類],"充当",tbl_ledger[ロットID],"="),
_xlpm.品番プール-_xlpm.割当計+_xlpm.余剰化受入-_xlpm.充当払出))</f>
        <v/>
      </c>
      <c r="J230" s="8" t="str">
        <f t="shared" si="10"/>
        <v/>
      </c>
      <c r="K230" s="8" t="str">
        <f t="shared" si="11"/>
        <v/>
      </c>
      <c r="L230" s="4" t="str">
        <f>IF($A230="","",IF(INDEX(tbl_plan[計画状態],ROW()-1)="キャンセル","キャンセル",IF(J230=0,"発送済",IF(K230&gt;0,"要搬出","OK"))))</f>
        <v/>
      </c>
      <c r="M230" s="8">
        <f t="array" ref="M230">_xlfn.LET(
_xlpm.計画状態,IFERROR(INDEX(tbl_plan[計画状態],ROW()-1)&amp;"",""),
_xlpm.必要数,IFERROR(N(INDEX(tbl_plan[必要数],ROW()-1)),0),
IF(_xlpm.計画状態="キャンセル",0,_xlpm.必要数))</f>
        <v>0</v>
      </c>
      <c r="N230" s="8" t="str">
        <f>IF($A230="","",_xlfn.LET(
_xlpm.搬入計,SUMIFS(tbl_ledger[数量],tbl_ledger[localId],$B230,tbl_ledger[イベント種類],"搬入"),
_xlpm.未割当発送,SUMIFS(tbl_ledger[数量],tbl_ledger[localId],$B230,tbl_ledger[イベント種類],"発送",tbl_ledger[ロットID],"="),
_xlpm.未割当倉庫戻し,SUMIFS(tbl_ledger[数量],tbl_ledger[localId],$B230,tbl_ledger[イベント種類],"倉庫戻し",tbl_ledger[ロットID],"="),
_xlpm.未割当不良,SUMIFS(tbl_ledger[数量],tbl_ledger[localId],$B230,tbl_ledger[イベント種類],"不良発生",tbl_ledger[ロットID],"="),
_xlpm.搬入計-_xlpm.未割当発送-_xlpm.未割当倉庫戻し-_xlpm.未割当不良))</f>
        <v/>
      </c>
      <c r="O230" s="8" t="str">
        <f t="array" ref="O230">IF($A230="","",_xlfn.LET(
_xlpm.同品番,($B$2:$B$301=$B230),
_xlpm.週が前,($C$2:$C$301&lt;$C230),
_xlpm.同週で上行,($C$2:$C$301=$C230)*(ROW($C$2:$C$301)&lt;ROW()),
SUMPRODUCT(_xlpm.同品番*(_xlpm.週が前+_xlpm.同週で上行)*$M$2:$M$301)))</f>
        <v/>
      </c>
    </row>
    <row r="231" spans="1:15" ht="15" customHeight="1" x14ac:dyDescent="0.25">
      <c r="A231" s="4" t="str">
        <f>IFERROR(INDEX(tbl_plan[ロットID],ROW()-1),"")</f>
        <v/>
      </c>
      <c r="B231" s="4" t="str">
        <f>IF($A231="","",INDEX(tbl_plan[localId],ROW()-1))</f>
        <v/>
      </c>
      <c r="C231" s="11" t="str">
        <f>IF($A231="","",INDEX(tbl_plan[出荷週],ROW()-1))</f>
        <v/>
      </c>
      <c r="D231" s="4" t="str">
        <f>IF($A231="","",INDEX(tbl_plan[納期先],ROW()-1)&amp;"")</f>
        <v/>
      </c>
      <c r="E231" s="8" t="str">
        <f>IF($A231="","",INDEX(tbl_plan[必要数],ROW()-1))</f>
        <v/>
      </c>
      <c r="F231" s="8" t="str">
        <f t="shared" si="9"/>
        <v/>
      </c>
      <c r="G231" s="8" t="str">
        <f>IF($A231="","",SUMIFS(tbl_ledger[数量],tbl_ledger[ロットID],$A231,tbl_ledger[イベント種類],"発送"))</f>
        <v/>
      </c>
      <c r="H231" s="8" t="str">
        <f>IF($A231="","",_xlfn.LET(
_xlpm.割当,F231,
_xlpm.充当受入,SUMIFS(tbl_ledger[数量],tbl_ledger[充当先ロットID],$A231,tbl_ledger[イベント種類],"充当"),
_xlpm.充当放出,SUMIFS(tbl_ledger[数量],tbl_ledger[ロットID],$A231,tbl_ledger[イベント種類],"充当"),
_xlpm.発送済,G231,
_xlpm.倉庫戻し,SUMIFS(tbl_ledger[数量],tbl_ledger[ロットID],$A231,tbl_ledger[イベント種類],"倉庫戻し"),
_xlpm.余剰化,SUMIFS(tbl_ledger[数量],tbl_ledger[ロットID],$A231,tbl_ledger[イベント種類],"余剰化"),
_xlpm.不良,SUMIFS(tbl_ledger[数量],tbl_ledger[ロットID],$A231,tbl_ledger[イベント種類],"不良発生"),
_xlpm.割当+_xlpm.充当受入-_xlpm.充当放出-_xlpm.発送済-_xlpm.倉庫戻し-_xlpm.余剰化-_xlpm.不良))</f>
        <v/>
      </c>
      <c r="I231" s="8" t="str">
        <f>IF($A231="","",_xlfn.LET(
_xlpm.品番プール,N231,
_xlpm.割当計,SUMIF($B$2:$B$301,$B231,$F$2:$F$301),
_xlpm.余剰化受入,SUMIFS(tbl_ledger[数量],tbl_ledger[localId],$B231,tbl_ledger[イベント種類],"余剰化"),
_xlpm.充当払出,SUMIFS(tbl_ledger[数量],tbl_ledger[localId],$B231,tbl_ledger[イベント種類],"充当",tbl_ledger[ロットID],"="),
_xlpm.品番プール-_xlpm.割当計+_xlpm.余剰化受入-_xlpm.充当払出))</f>
        <v/>
      </c>
      <c r="J231" s="8" t="str">
        <f t="shared" si="10"/>
        <v/>
      </c>
      <c r="K231" s="8" t="str">
        <f t="shared" si="11"/>
        <v/>
      </c>
      <c r="L231" s="4" t="str">
        <f>IF($A231="","",IF(INDEX(tbl_plan[計画状態],ROW()-1)="キャンセル","キャンセル",IF(J231=0,"発送済",IF(K231&gt;0,"要搬出","OK"))))</f>
        <v/>
      </c>
      <c r="M231" s="8">
        <f t="array" ref="M231">_xlfn.LET(
_xlpm.計画状態,IFERROR(INDEX(tbl_plan[計画状態],ROW()-1)&amp;"",""),
_xlpm.必要数,IFERROR(N(INDEX(tbl_plan[必要数],ROW()-1)),0),
IF(_xlpm.計画状態="キャンセル",0,_xlpm.必要数))</f>
        <v>0</v>
      </c>
      <c r="N231" s="8" t="str">
        <f>IF($A231="","",_xlfn.LET(
_xlpm.搬入計,SUMIFS(tbl_ledger[数量],tbl_ledger[localId],$B231,tbl_ledger[イベント種類],"搬入"),
_xlpm.未割当発送,SUMIFS(tbl_ledger[数量],tbl_ledger[localId],$B231,tbl_ledger[イベント種類],"発送",tbl_ledger[ロットID],"="),
_xlpm.未割当倉庫戻し,SUMIFS(tbl_ledger[数量],tbl_ledger[localId],$B231,tbl_ledger[イベント種類],"倉庫戻し",tbl_ledger[ロットID],"="),
_xlpm.未割当不良,SUMIFS(tbl_ledger[数量],tbl_ledger[localId],$B231,tbl_ledger[イベント種類],"不良発生",tbl_ledger[ロットID],"="),
_xlpm.搬入計-_xlpm.未割当発送-_xlpm.未割当倉庫戻し-_xlpm.未割当不良))</f>
        <v/>
      </c>
      <c r="O231" s="8" t="str">
        <f t="array" ref="O231">IF($A231="","",_xlfn.LET(
_xlpm.同品番,($B$2:$B$301=$B231),
_xlpm.週が前,($C$2:$C$301&lt;$C231),
_xlpm.同週で上行,($C$2:$C$301=$C231)*(ROW($C$2:$C$301)&lt;ROW()),
SUMPRODUCT(_xlpm.同品番*(_xlpm.週が前+_xlpm.同週で上行)*$M$2:$M$301)))</f>
        <v/>
      </c>
    </row>
    <row r="232" spans="1:15" ht="15" customHeight="1" x14ac:dyDescent="0.25">
      <c r="A232" s="4" t="str">
        <f>IFERROR(INDEX(tbl_plan[ロットID],ROW()-1),"")</f>
        <v/>
      </c>
      <c r="B232" s="4" t="str">
        <f>IF($A232="","",INDEX(tbl_plan[localId],ROW()-1))</f>
        <v/>
      </c>
      <c r="C232" s="11" t="str">
        <f>IF($A232="","",INDEX(tbl_plan[出荷週],ROW()-1))</f>
        <v/>
      </c>
      <c r="D232" s="4" t="str">
        <f>IF($A232="","",INDEX(tbl_plan[納期先],ROW()-1)&amp;"")</f>
        <v/>
      </c>
      <c r="E232" s="8" t="str">
        <f>IF($A232="","",INDEX(tbl_plan[必要数],ROW()-1))</f>
        <v/>
      </c>
      <c r="F232" s="8" t="str">
        <f t="shared" si="9"/>
        <v/>
      </c>
      <c r="G232" s="8" t="str">
        <f>IF($A232="","",SUMIFS(tbl_ledger[数量],tbl_ledger[ロットID],$A232,tbl_ledger[イベント種類],"発送"))</f>
        <v/>
      </c>
      <c r="H232" s="8" t="str">
        <f>IF($A232="","",_xlfn.LET(
_xlpm.割当,F232,
_xlpm.充当受入,SUMIFS(tbl_ledger[数量],tbl_ledger[充当先ロットID],$A232,tbl_ledger[イベント種類],"充当"),
_xlpm.充当放出,SUMIFS(tbl_ledger[数量],tbl_ledger[ロットID],$A232,tbl_ledger[イベント種類],"充当"),
_xlpm.発送済,G232,
_xlpm.倉庫戻し,SUMIFS(tbl_ledger[数量],tbl_ledger[ロットID],$A232,tbl_ledger[イベント種類],"倉庫戻し"),
_xlpm.余剰化,SUMIFS(tbl_ledger[数量],tbl_ledger[ロットID],$A232,tbl_ledger[イベント種類],"余剰化"),
_xlpm.不良,SUMIFS(tbl_ledger[数量],tbl_ledger[ロットID],$A232,tbl_ledger[イベント種類],"不良発生"),
_xlpm.割当+_xlpm.充当受入-_xlpm.充当放出-_xlpm.発送済-_xlpm.倉庫戻し-_xlpm.余剰化-_xlpm.不良))</f>
        <v/>
      </c>
      <c r="I232" s="8" t="str">
        <f>IF($A232="","",_xlfn.LET(
_xlpm.品番プール,N232,
_xlpm.割当計,SUMIF($B$2:$B$301,$B232,$F$2:$F$301),
_xlpm.余剰化受入,SUMIFS(tbl_ledger[数量],tbl_ledger[localId],$B232,tbl_ledger[イベント種類],"余剰化"),
_xlpm.充当払出,SUMIFS(tbl_ledger[数量],tbl_ledger[localId],$B232,tbl_ledger[イベント種類],"充当",tbl_ledger[ロットID],"="),
_xlpm.品番プール-_xlpm.割当計+_xlpm.余剰化受入-_xlpm.充当払出))</f>
        <v/>
      </c>
      <c r="J232" s="8" t="str">
        <f t="shared" si="10"/>
        <v/>
      </c>
      <c r="K232" s="8" t="str">
        <f t="shared" si="11"/>
        <v/>
      </c>
      <c r="L232" s="4" t="str">
        <f>IF($A232="","",IF(INDEX(tbl_plan[計画状態],ROW()-1)="キャンセル","キャンセル",IF(J232=0,"発送済",IF(K232&gt;0,"要搬出","OK"))))</f>
        <v/>
      </c>
      <c r="M232" s="8">
        <f t="array" ref="M232">_xlfn.LET(
_xlpm.計画状態,IFERROR(INDEX(tbl_plan[計画状態],ROW()-1)&amp;"",""),
_xlpm.必要数,IFERROR(N(INDEX(tbl_plan[必要数],ROW()-1)),0),
IF(_xlpm.計画状態="キャンセル",0,_xlpm.必要数))</f>
        <v>0</v>
      </c>
      <c r="N232" s="8" t="str">
        <f>IF($A232="","",_xlfn.LET(
_xlpm.搬入計,SUMIFS(tbl_ledger[数量],tbl_ledger[localId],$B232,tbl_ledger[イベント種類],"搬入"),
_xlpm.未割当発送,SUMIFS(tbl_ledger[数量],tbl_ledger[localId],$B232,tbl_ledger[イベント種類],"発送",tbl_ledger[ロットID],"="),
_xlpm.未割当倉庫戻し,SUMIFS(tbl_ledger[数量],tbl_ledger[localId],$B232,tbl_ledger[イベント種類],"倉庫戻し",tbl_ledger[ロットID],"="),
_xlpm.未割当不良,SUMIFS(tbl_ledger[数量],tbl_ledger[localId],$B232,tbl_ledger[イベント種類],"不良発生",tbl_ledger[ロットID],"="),
_xlpm.搬入計-_xlpm.未割当発送-_xlpm.未割当倉庫戻し-_xlpm.未割当不良))</f>
        <v/>
      </c>
      <c r="O232" s="8" t="str">
        <f t="array" ref="O232">IF($A232="","",_xlfn.LET(
_xlpm.同品番,($B$2:$B$301=$B232),
_xlpm.週が前,($C$2:$C$301&lt;$C232),
_xlpm.同週で上行,($C$2:$C$301=$C232)*(ROW($C$2:$C$301)&lt;ROW()),
SUMPRODUCT(_xlpm.同品番*(_xlpm.週が前+_xlpm.同週で上行)*$M$2:$M$301)))</f>
        <v/>
      </c>
    </row>
    <row r="233" spans="1:15" ht="15" customHeight="1" x14ac:dyDescent="0.25">
      <c r="A233" s="4" t="str">
        <f>IFERROR(INDEX(tbl_plan[ロットID],ROW()-1),"")</f>
        <v/>
      </c>
      <c r="B233" s="4" t="str">
        <f>IF($A233="","",INDEX(tbl_plan[localId],ROW()-1))</f>
        <v/>
      </c>
      <c r="C233" s="11" t="str">
        <f>IF($A233="","",INDEX(tbl_plan[出荷週],ROW()-1))</f>
        <v/>
      </c>
      <c r="D233" s="4" t="str">
        <f>IF($A233="","",INDEX(tbl_plan[納期先],ROW()-1)&amp;"")</f>
        <v/>
      </c>
      <c r="E233" s="8" t="str">
        <f>IF($A233="","",INDEX(tbl_plan[必要数],ROW()-1))</f>
        <v/>
      </c>
      <c r="F233" s="8" t="str">
        <f t="shared" si="9"/>
        <v/>
      </c>
      <c r="G233" s="8" t="str">
        <f>IF($A233="","",SUMIFS(tbl_ledger[数量],tbl_ledger[ロットID],$A233,tbl_ledger[イベント種類],"発送"))</f>
        <v/>
      </c>
      <c r="H233" s="8" t="str">
        <f>IF($A233="","",_xlfn.LET(
_xlpm.割当,F233,
_xlpm.充当受入,SUMIFS(tbl_ledger[数量],tbl_ledger[充当先ロットID],$A233,tbl_ledger[イベント種類],"充当"),
_xlpm.充当放出,SUMIFS(tbl_ledger[数量],tbl_ledger[ロットID],$A233,tbl_ledger[イベント種類],"充当"),
_xlpm.発送済,G233,
_xlpm.倉庫戻し,SUMIFS(tbl_ledger[数量],tbl_ledger[ロットID],$A233,tbl_ledger[イベント種類],"倉庫戻し"),
_xlpm.余剰化,SUMIFS(tbl_ledger[数量],tbl_ledger[ロットID],$A233,tbl_ledger[イベント種類],"余剰化"),
_xlpm.不良,SUMIFS(tbl_ledger[数量],tbl_ledger[ロットID],$A233,tbl_ledger[イベント種類],"不良発生"),
_xlpm.割当+_xlpm.充当受入-_xlpm.充当放出-_xlpm.発送済-_xlpm.倉庫戻し-_xlpm.余剰化-_xlpm.不良))</f>
        <v/>
      </c>
      <c r="I233" s="8" t="str">
        <f>IF($A233="","",_xlfn.LET(
_xlpm.品番プール,N233,
_xlpm.割当計,SUMIF($B$2:$B$301,$B233,$F$2:$F$301),
_xlpm.余剰化受入,SUMIFS(tbl_ledger[数量],tbl_ledger[localId],$B233,tbl_ledger[イベント種類],"余剰化"),
_xlpm.充当払出,SUMIFS(tbl_ledger[数量],tbl_ledger[localId],$B233,tbl_ledger[イベント種類],"充当",tbl_ledger[ロットID],"="),
_xlpm.品番プール-_xlpm.割当計+_xlpm.余剰化受入-_xlpm.充当払出))</f>
        <v/>
      </c>
      <c r="J233" s="8" t="str">
        <f t="shared" si="10"/>
        <v/>
      </c>
      <c r="K233" s="8" t="str">
        <f t="shared" si="11"/>
        <v/>
      </c>
      <c r="L233" s="4" t="str">
        <f>IF($A233="","",IF(INDEX(tbl_plan[計画状態],ROW()-1)="キャンセル","キャンセル",IF(J233=0,"発送済",IF(K233&gt;0,"要搬出","OK"))))</f>
        <v/>
      </c>
      <c r="M233" s="8">
        <f t="array" ref="M233">_xlfn.LET(
_xlpm.計画状態,IFERROR(INDEX(tbl_plan[計画状態],ROW()-1)&amp;"",""),
_xlpm.必要数,IFERROR(N(INDEX(tbl_plan[必要数],ROW()-1)),0),
IF(_xlpm.計画状態="キャンセル",0,_xlpm.必要数))</f>
        <v>0</v>
      </c>
      <c r="N233" s="8" t="str">
        <f>IF($A233="","",_xlfn.LET(
_xlpm.搬入計,SUMIFS(tbl_ledger[数量],tbl_ledger[localId],$B233,tbl_ledger[イベント種類],"搬入"),
_xlpm.未割当発送,SUMIFS(tbl_ledger[数量],tbl_ledger[localId],$B233,tbl_ledger[イベント種類],"発送",tbl_ledger[ロットID],"="),
_xlpm.未割当倉庫戻し,SUMIFS(tbl_ledger[数量],tbl_ledger[localId],$B233,tbl_ledger[イベント種類],"倉庫戻し",tbl_ledger[ロットID],"="),
_xlpm.未割当不良,SUMIFS(tbl_ledger[数量],tbl_ledger[localId],$B233,tbl_ledger[イベント種類],"不良発生",tbl_ledger[ロットID],"="),
_xlpm.搬入計-_xlpm.未割当発送-_xlpm.未割当倉庫戻し-_xlpm.未割当不良))</f>
        <v/>
      </c>
      <c r="O233" s="8" t="str">
        <f t="array" ref="O233">IF($A233="","",_xlfn.LET(
_xlpm.同品番,($B$2:$B$301=$B233),
_xlpm.週が前,($C$2:$C$301&lt;$C233),
_xlpm.同週で上行,($C$2:$C$301=$C233)*(ROW($C$2:$C$301)&lt;ROW()),
SUMPRODUCT(_xlpm.同品番*(_xlpm.週が前+_xlpm.同週で上行)*$M$2:$M$301)))</f>
        <v/>
      </c>
    </row>
    <row r="234" spans="1:15" ht="15" customHeight="1" x14ac:dyDescent="0.25">
      <c r="A234" s="4" t="str">
        <f>IFERROR(INDEX(tbl_plan[ロットID],ROW()-1),"")</f>
        <v/>
      </c>
      <c r="B234" s="4" t="str">
        <f>IF($A234="","",INDEX(tbl_plan[localId],ROW()-1))</f>
        <v/>
      </c>
      <c r="C234" s="11" t="str">
        <f>IF($A234="","",INDEX(tbl_plan[出荷週],ROW()-1))</f>
        <v/>
      </c>
      <c r="D234" s="4" t="str">
        <f>IF($A234="","",INDEX(tbl_plan[納期先],ROW()-1)&amp;"")</f>
        <v/>
      </c>
      <c r="E234" s="8" t="str">
        <f>IF($A234="","",INDEX(tbl_plan[必要数],ROW()-1))</f>
        <v/>
      </c>
      <c r="F234" s="8" t="str">
        <f t="shared" si="9"/>
        <v/>
      </c>
      <c r="G234" s="8" t="str">
        <f>IF($A234="","",SUMIFS(tbl_ledger[数量],tbl_ledger[ロットID],$A234,tbl_ledger[イベント種類],"発送"))</f>
        <v/>
      </c>
      <c r="H234" s="8" t="str">
        <f>IF($A234="","",_xlfn.LET(
_xlpm.割当,F234,
_xlpm.充当受入,SUMIFS(tbl_ledger[数量],tbl_ledger[充当先ロットID],$A234,tbl_ledger[イベント種類],"充当"),
_xlpm.充当放出,SUMIFS(tbl_ledger[数量],tbl_ledger[ロットID],$A234,tbl_ledger[イベント種類],"充当"),
_xlpm.発送済,G234,
_xlpm.倉庫戻し,SUMIFS(tbl_ledger[数量],tbl_ledger[ロットID],$A234,tbl_ledger[イベント種類],"倉庫戻し"),
_xlpm.余剰化,SUMIFS(tbl_ledger[数量],tbl_ledger[ロットID],$A234,tbl_ledger[イベント種類],"余剰化"),
_xlpm.不良,SUMIFS(tbl_ledger[数量],tbl_ledger[ロットID],$A234,tbl_ledger[イベント種類],"不良発生"),
_xlpm.割当+_xlpm.充当受入-_xlpm.充当放出-_xlpm.発送済-_xlpm.倉庫戻し-_xlpm.余剰化-_xlpm.不良))</f>
        <v/>
      </c>
      <c r="I234" s="8" t="str">
        <f>IF($A234="","",_xlfn.LET(
_xlpm.品番プール,N234,
_xlpm.割当計,SUMIF($B$2:$B$301,$B234,$F$2:$F$301),
_xlpm.余剰化受入,SUMIFS(tbl_ledger[数量],tbl_ledger[localId],$B234,tbl_ledger[イベント種類],"余剰化"),
_xlpm.充当払出,SUMIFS(tbl_ledger[数量],tbl_ledger[localId],$B234,tbl_ledger[イベント種類],"充当",tbl_ledger[ロットID],"="),
_xlpm.品番プール-_xlpm.割当計+_xlpm.余剰化受入-_xlpm.充当払出))</f>
        <v/>
      </c>
      <c r="J234" s="8" t="str">
        <f t="shared" si="10"/>
        <v/>
      </c>
      <c r="K234" s="8" t="str">
        <f t="shared" si="11"/>
        <v/>
      </c>
      <c r="L234" s="4" t="str">
        <f>IF($A234="","",IF(INDEX(tbl_plan[計画状態],ROW()-1)="キャンセル","キャンセル",IF(J234=0,"発送済",IF(K234&gt;0,"要搬出","OK"))))</f>
        <v/>
      </c>
      <c r="M234" s="8">
        <f t="array" ref="M234">_xlfn.LET(
_xlpm.計画状態,IFERROR(INDEX(tbl_plan[計画状態],ROW()-1)&amp;"",""),
_xlpm.必要数,IFERROR(N(INDEX(tbl_plan[必要数],ROW()-1)),0),
IF(_xlpm.計画状態="キャンセル",0,_xlpm.必要数))</f>
        <v>0</v>
      </c>
      <c r="N234" s="8" t="str">
        <f>IF($A234="","",_xlfn.LET(
_xlpm.搬入計,SUMIFS(tbl_ledger[数量],tbl_ledger[localId],$B234,tbl_ledger[イベント種類],"搬入"),
_xlpm.未割当発送,SUMIFS(tbl_ledger[数量],tbl_ledger[localId],$B234,tbl_ledger[イベント種類],"発送",tbl_ledger[ロットID],"="),
_xlpm.未割当倉庫戻し,SUMIFS(tbl_ledger[数量],tbl_ledger[localId],$B234,tbl_ledger[イベント種類],"倉庫戻し",tbl_ledger[ロットID],"="),
_xlpm.未割当不良,SUMIFS(tbl_ledger[数量],tbl_ledger[localId],$B234,tbl_ledger[イベント種類],"不良発生",tbl_ledger[ロットID],"="),
_xlpm.搬入計-_xlpm.未割当発送-_xlpm.未割当倉庫戻し-_xlpm.未割当不良))</f>
        <v/>
      </c>
      <c r="O234" s="8" t="str">
        <f t="array" ref="O234">IF($A234="","",_xlfn.LET(
_xlpm.同品番,($B$2:$B$301=$B234),
_xlpm.週が前,($C$2:$C$301&lt;$C234),
_xlpm.同週で上行,($C$2:$C$301=$C234)*(ROW($C$2:$C$301)&lt;ROW()),
SUMPRODUCT(_xlpm.同品番*(_xlpm.週が前+_xlpm.同週で上行)*$M$2:$M$301)))</f>
        <v/>
      </c>
    </row>
    <row r="235" spans="1:15" ht="15" customHeight="1" x14ac:dyDescent="0.25">
      <c r="A235" s="4" t="str">
        <f>IFERROR(INDEX(tbl_plan[ロットID],ROW()-1),"")</f>
        <v/>
      </c>
      <c r="B235" s="4" t="str">
        <f>IF($A235="","",INDEX(tbl_plan[localId],ROW()-1))</f>
        <v/>
      </c>
      <c r="C235" s="11" t="str">
        <f>IF($A235="","",INDEX(tbl_plan[出荷週],ROW()-1))</f>
        <v/>
      </c>
      <c r="D235" s="4" t="str">
        <f>IF($A235="","",INDEX(tbl_plan[納期先],ROW()-1)&amp;"")</f>
        <v/>
      </c>
      <c r="E235" s="8" t="str">
        <f>IF($A235="","",INDEX(tbl_plan[必要数],ROW()-1))</f>
        <v/>
      </c>
      <c r="F235" s="8" t="str">
        <f t="shared" si="9"/>
        <v/>
      </c>
      <c r="G235" s="8" t="str">
        <f>IF($A235="","",SUMIFS(tbl_ledger[数量],tbl_ledger[ロットID],$A235,tbl_ledger[イベント種類],"発送"))</f>
        <v/>
      </c>
      <c r="H235" s="8" t="str">
        <f>IF($A235="","",_xlfn.LET(
_xlpm.割当,F235,
_xlpm.充当受入,SUMIFS(tbl_ledger[数量],tbl_ledger[充当先ロットID],$A235,tbl_ledger[イベント種類],"充当"),
_xlpm.充当放出,SUMIFS(tbl_ledger[数量],tbl_ledger[ロットID],$A235,tbl_ledger[イベント種類],"充当"),
_xlpm.発送済,G235,
_xlpm.倉庫戻し,SUMIFS(tbl_ledger[数量],tbl_ledger[ロットID],$A235,tbl_ledger[イベント種類],"倉庫戻し"),
_xlpm.余剰化,SUMIFS(tbl_ledger[数量],tbl_ledger[ロットID],$A235,tbl_ledger[イベント種類],"余剰化"),
_xlpm.不良,SUMIFS(tbl_ledger[数量],tbl_ledger[ロットID],$A235,tbl_ledger[イベント種類],"不良発生"),
_xlpm.割当+_xlpm.充当受入-_xlpm.充当放出-_xlpm.発送済-_xlpm.倉庫戻し-_xlpm.余剰化-_xlpm.不良))</f>
        <v/>
      </c>
      <c r="I235" s="8" t="str">
        <f>IF($A235="","",_xlfn.LET(
_xlpm.品番プール,N235,
_xlpm.割当計,SUMIF($B$2:$B$301,$B235,$F$2:$F$301),
_xlpm.余剰化受入,SUMIFS(tbl_ledger[数量],tbl_ledger[localId],$B235,tbl_ledger[イベント種類],"余剰化"),
_xlpm.充当払出,SUMIFS(tbl_ledger[数量],tbl_ledger[localId],$B235,tbl_ledger[イベント種類],"充当",tbl_ledger[ロットID],"="),
_xlpm.品番プール-_xlpm.割当計+_xlpm.余剰化受入-_xlpm.充当払出))</f>
        <v/>
      </c>
      <c r="J235" s="8" t="str">
        <f t="shared" si="10"/>
        <v/>
      </c>
      <c r="K235" s="8" t="str">
        <f t="shared" si="11"/>
        <v/>
      </c>
      <c r="L235" s="4" t="str">
        <f>IF($A235="","",IF(INDEX(tbl_plan[計画状態],ROW()-1)="キャンセル","キャンセル",IF(J235=0,"発送済",IF(K235&gt;0,"要搬出","OK"))))</f>
        <v/>
      </c>
      <c r="M235" s="8">
        <f t="array" ref="M235">_xlfn.LET(
_xlpm.計画状態,IFERROR(INDEX(tbl_plan[計画状態],ROW()-1)&amp;"",""),
_xlpm.必要数,IFERROR(N(INDEX(tbl_plan[必要数],ROW()-1)),0),
IF(_xlpm.計画状態="キャンセル",0,_xlpm.必要数))</f>
        <v>0</v>
      </c>
      <c r="N235" s="8" t="str">
        <f>IF($A235="","",_xlfn.LET(
_xlpm.搬入計,SUMIFS(tbl_ledger[数量],tbl_ledger[localId],$B235,tbl_ledger[イベント種類],"搬入"),
_xlpm.未割当発送,SUMIFS(tbl_ledger[数量],tbl_ledger[localId],$B235,tbl_ledger[イベント種類],"発送",tbl_ledger[ロットID],"="),
_xlpm.未割当倉庫戻し,SUMIFS(tbl_ledger[数量],tbl_ledger[localId],$B235,tbl_ledger[イベント種類],"倉庫戻し",tbl_ledger[ロットID],"="),
_xlpm.未割当不良,SUMIFS(tbl_ledger[数量],tbl_ledger[localId],$B235,tbl_ledger[イベント種類],"不良発生",tbl_ledger[ロットID],"="),
_xlpm.搬入計-_xlpm.未割当発送-_xlpm.未割当倉庫戻し-_xlpm.未割当不良))</f>
        <v/>
      </c>
      <c r="O235" s="8" t="str">
        <f t="array" ref="O235">IF($A235="","",_xlfn.LET(
_xlpm.同品番,($B$2:$B$301=$B235),
_xlpm.週が前,($C$2:$C$301&lt;$C235),
_xlpm.同週で上行,($C$2:$C$301=$C235)*(ROW($C$2:$C$301)&lt;ROW()),
SUMPRODUCT(_xlpm.同品番*(_xlpm.週が前+_xlpm.同週で上行)*$M$2:$M$301)))</f>
        <v/>
      </c>
    </row>
    <row r="236" spans="1:15" ht="15" customHeight="1" x14ac:dyDescent="0.25">
      <c r="A236" s="4" t="str">
        <f>IFERROR(INDEX(tbl_plan[ロットID],ROW()-1),"")</f>
        <v/>
      </c>
      <c r="B236" s="4" t="str">
        <f>IF($A236="","",INDEX(tbl_plan[localId],ROW()-1))</f>
        <v/>
      </c>
      <c r="C236" s="11" t="str">
        <f>IF($A236="","",INDEX(tbl_plan[出荷週],ROW()-1))</f>
        <v/>
      </c>
      <c r="D236" s="4" t="str">
        <f>IF($A236="","",INDEX(tbl_plan[納期先],ROW()-1)&amp;"")</f>
        <v/>
      </c>
      <c r="E236" s="8" t="str">
        <f>IF($A236="","",INDEX(tbl_plan[必要数],ROW()-1))</f>
        <v/>
      </c>
      <c r="F236" s="8" t="str">
        <f t="shared" si="9"/>
        <v/>
      </c>
      <c r="G236" s="8" t="str">
        <f>IF($A236="","",SUMIFS(tbl_ledger[数量],tbl_ledger[ロットID],$A236,tbl_ledger[イベント種類],"発送"))</f>
        <v/>
      </c>
      <c r="H236" s="8" t="str">
        <f>IF($A236="","",_xlfn.LET(
_xlpm.割当,F236,
_xlpm.充当受入,SUMIFS(tbl_ledger[数量],tbl_ledger[充当先ロットID],$A236,tbl_ledger[イベント種類],"充当"),
_xlpm.充当放出,SUMIFS(tbl_ledger[数量],tbl_ledger[ロットID],$A236,tbl_ledger[イベント種類],"充当"),
_xlpm.発送済,G236,
_xlpm.倉庫戻し,SUMIFS(tbl_ledger[数量],tbl_ledger[ロットID],$A236,tbl_ledger[イベント種類],"倉庫戻し"),
_xlpm.余剰化,SUMIFS(tbl_ledger[数量],tbl_ledger[ロットID],$A236,tbl_ledger[イベント種類],"余剰化"),
_xlpm.不良,SUMIFS(tbl_ledger[数量],tbl_ledger[ロットID],$A236,tbl_ledger[イベント種類],"不良発生"),
_xlpm.割当+_xlpm.充当受入-_xlpm.充当放出-_xlpm.発送済-_xlpm.倉庫戻し-_xlpm.余剰化-_xlpm.不良))</f>
        <v/>
      </c>
      <c r="I236" s="8" t="str">
        <f>IF($A236="","",_xlfn.LET(
_xlpm.品番プール,N236,
_xlpm.割当計,SUMIF($B$2:$B$301,$B236,$F$2:$F$301),
_xlpm.余剰化受入,SUMIFS(tbl_ledger[数量],tbl_ledger[localId],$B236,tbl_ledger[イベント種類],"余剰化"),
_xlpm.充当払出,SUMIFS(tbl_ledger[数量],tbl_ledger[localId],$B236,tbl_ledger[イベント種類],"充当",tbl_ledger[ロットID],"="),
_xlpm.品番プール-_xlpm.割当計+_xlpm.余剰化受入-_xlpm.充当払出))</f>
        <v/>
      </c>
      <c r="J236" s="8" t="str">
        <f t="shared" si="10"/>
        <v/>
      </c>
      <c r="K236" s="8" t="str">
        <f t="shared" si="11"/>
        <v/>
      </c>
      <c r="L236" s="4" t="str">
        <f>IF($A236="","",IF(INDEX(tbl_plan[計画状態],ROW()-1)="キャンセル","キャンセル",IF(J236=0,"発送済",IF(K236&gt;0,"要搬出","OK"))))</f>
        <v/>
      </c>
      <c r="M236" s="8">
        <f t="array" ref="M236">_xlfn.LET(
_xlpm.計画状態,IFERROR(INDEX(tbl_plan[計画状態],ROW()-1)&amp;"",""),
_xlpm.必要数,IFERROR(N(INDEX(tbl_plan[必要数],ROW()-1)),0),
IF(_xlpm.計画状態="キャンセル",0,_xlpm.必要数))</f>
        <v>0</v>
      </c>
      <c r="N236" s="8" t="str">
        <f>IF($A236="","",_xlfn.LET(
_xlpm.搬入計,SUMIFS(tbl_ledger[数量],tbl_ledger[localId],$B236,tbl_ledger[イベント種類],"搬入"),
_xlpm.未割当発送,SUMIFS(tbl_ledger[数量],tbl_ledger[localId],$B236,tbl_ledger[イベント種類],"発送",tbl_ledger[ロットID],"="),
_xlpm.未割当倉庫戻し,SUMIFS(tbl_ledger[数量],tbl_ledger[localId],$B236,tbl_ledger[イベント種類],"倉庫戻し",tbl_ledger[ロットID],"="),
_xlpm.未割当不良,SUMIFS(tbl_ledger[数量],tbl_ledger[localId],$B236,tbl_ledger[イベント種類],"不良発生",tbl_ledger[ロットID],"="),
_xlpm.搬入計-_xlpm.未割当発送-_xlpm.未割当倉庫戻し-_xlpm.未割当不良))</f>
        <v/>
      </c>
      <c r="O236" s="8" t="str">
        <f t="array" ref="O236">IF($A236="","",_xlfn.LET(
_xlpm.同品番,($B$2:$B$301=$B236),
_xlpm.週が前,($C$2:$C$301&lt;$C236),
_xlpm.同週で上行,($C$2:$C$301=$C236)*(ROW($C$2:$C$301)&lt;ROW()),
SUMPRODUCT(_xlpm.同品番*(_xlpm.週が前+_xlpm.同週で上行)*$M$2:$M$301)))</f>
        <v/>
      </c>
    </row>
    <row r="237" spans="1:15" ht="15" customHeight="1" x14ac:dyDescent="0.25">
      <c r="A237" s="4" t="str">
        <f>IFERROR(INDEX(tbl_plan[ロットID],ROW()-1),"")</f>
        <v/>
      </c>
      <c r="B237" s="4" t="str">
        <f>IF($A237="","",INDEX(tbl_plan[localId],ROW()-1))</f>
        <v/>
      </c>
      <c r="C237" s="11" t="str">
        <f>IF($A237="","",INDEX(tbl_plan[出荷週],ROW()-1))</f>
        <v/>
      </c>
      <c r="D237" s="4" t="str">
        <f>IF($A237="","",INDEX(tbl_plan[納期先],ROW()-1)&amp;"")</f>
        <v/>
      </c>
      <c r="E237" s="8" t="str">
        <f>IF($A237="","",INDEX(tbl_plan[必要数],ROW()-1))</f>
        <v/>
      </c>
      <c r="F237" s="8" t="str">
        <f t="shared" si="9"/>
        <v/>
      </c>
      <c r="G237" s="8" t="str">
        <f>IF($A237="","",SUMIFS(tbl_ledger[数量],tbl_ledger[ロットID],$A237,tbl_ledger[イベント種類],"発送"))</f>
        <v/>
      </c>
      <c r="H237" s="8" t="str">
        <f>IF($A237="","",_xlfn.LET(
_xlpm.割当,F237,
_xlpm.充当受入,SUMIFS(tbl_ledger[数量],tbl_ledger[充当先ロットID],$A237,tbl_ledger[イベント種類],"充当"),
_xlpm.充当放出,SUMIFS(tbl_ledger[数量],tbl_ledger[ロットID],$A237,tbl_ledger[イベント種類],"充当"),
_xlpm.発送済,G237,
_xlpm.倉庫戻し,SUMIFS(tbl_ledger[数量],tbl_ledger[ロットID],$A237,tbl_ledger[イベント種類],"倉庫戻し"),
_xlpm.余剰化,SUMIFS(tbl_ledger[数量],tbl_ledger[ロットID],$A237,tbl_ledger[イベント種類],"余剰化"),
_xlpm.不良,SUMIFS(tbl_ledger[数量],tbl_ledger[ロットID],$A237,tbl_ledger[イベント種類],"不良発生"),
_xlpm.割当+_xlpm.充当受入-_xlpm.充当放出-_xlpm.発送済-_xlpm.倉庫戻し-_xlpm.余剰化-_xlpm.不良))</f>
        <v/>
      </c>
      <c r="I237" s="8" t="str">
        <f>IF($A237="","",_xlfn.LET(
_xlpm.品番プール,N237,
_xlpm.割当計,SUMIF($B$2:$B$301,$B237,$F$2:$F$301),
_xlpm.余剰化受入,SUMIFS(tbl_ledger[数量],tbl_ledger[localId],$B237,tbl_ledger[イベント種類],"余剰化"),
_xlpm.充当払出,SUMIFS(tbl_ledger[数量],tbl_ledger[localId],$B237,tbl_ledger[イベント種類],"充当",tbl_ledger[ロットID],"="),
_xlpm.品番プール-_xlpm.割当計+_xlpm.余剰化受入-_xlpm.充当払出))</f>
        <v/>
      </c>
      <c r="J237" s="8" t="str">
        <f t="shared" si="10"/>
        <v/>
      </c>
      <c r="K237" s="8" t="str">
        <f t="shared" si="11"/>
        <v/>
      </c>
      <c r="L237" s="4" t="str">
        <f>IF($A237="","",IF(INDEX(tbl_plan[計画状態],ROW()-1)="キャンセル","キャンセル",IF(J237=0,"発送済",IF(K237&gt;0,"要搬出","OK"))))</f>
        <v/>
      </c>
      <c r="M237" s="8">
        <f t="array" ref="M237">_xlfn.LET(
_xlpm.計画状態,IFERROR(INDEX(tbl_plan[計画状態],ROW()-1)&amp;"",""),
_xlpm.必要数,IFERROR(N(INDEX(tbl_plan[必要数],ROW()-1)),0),
IF(_xlpm.計画状態="キャンセル",0,_xlpm.必要数))</f>
        <v>0</v>
      </c>
      <c r="N237" s="8" t="str">
        <f>IF($A237="","",_xlfn.LET(
_xlpm.搬入計,SUMIFS(tbl_ledger[数量],tbl_ledger[localId],$B237,tbl_ledger[イベント種類],"搬入"),
_xlpm.未割当発送,SUMIFS(tbl_ledger[数量],tbl_ledger[localId],$B237,tbl_ledger[イベント種類],"発送",tbl_ledger[ロットID],"="),
_xlpm.未割当倉庫戻し,SUMIFS(tbl_ledger[数量],tbl_ledger[localId],$B237,tbl_ledger[イベント種類],"倉庫戻し",tbl_ledger[ロットID],"="),
_xlpm.未割当不良,SUMIFS(tbl_ledger[数量],tbl_ledger[localId],$B237,tbl_ledger[イベント種類],"不良発生",tbl_ledger[ロットID],"="),
_xlpm.搬入計-_xlpm.未割当発送-_xlpm.未割当倉庫戻し-_xlpm.未割当不良))</f>
        <v/>
      </c>
      <c r="O237" s="8" t="str">
        <f t="array" ref="O237">IF($A237="","",_xlfn.LET(
_xlpm.同品番,($B$2:$B$301=$B237),
_xlpm.週が前,($C$2:$C$301&lt;$C237),
_xlpm.同週で上行,($C$2:$C$301=$C237)*(ROW($C$2:$C$301)&lt;ROW()),
SUMPRODUCT(_xlpm.同品番*(_xlpm.週が前+_xlpm.同週で上行)*$M$2:$M$301)))</f>
        <v/>
      </c>
    </row>
    <row r="238" spans="1:15" ht="15" customHeight="1" x14ac:dyDescent="0.25">
      <c r="A238" s="4" t="str">
        <f>IFERROR(INDEX(tbl_plan[ロットID],ROW()-1),"")</f>
        <v/>
      </c>
      <c r="B238" s="4" t="str">
        <f>IF($A238="","",INDEX(tbl_plan[localId],ROW()-1))</f>
        <v/>
      </c>
      <c r="C238" s="11" t="str">
        <f>IF($A238="","",INDEX(tbl_plan[出荷週],ROW()-1))</f>
        <v/>
      </c>
      <c r="D238" s="4" t="str">
        <f>IF($A238="","",INDEX(tbl_plan[納期先],ROW()-1)&amp;"")</f>
        <v/>
      </c>
      <c r="E238" s="8" t="str">
        <f>IF($A238="","",INDEX(tbl_plan[必要数],ROW()-1))</f>
        <v/>
      </c>
      <c r="F238" s="8" t="str">
        <f t="shared" si="9"/>
        <v/>
      </c>
      <c r="G238" s="8" t="str">
        <f>IF($A238="","",SUMIFS(tbl_ledger[数量],tbl_ledger[ロットID],$A238,tbl_ledger[イベント種類],"発送"))</f>
        <v/>
      </c>
      <c r="H238" s="8" t="str">
        <f>IF($A238="","",_xlfn.LET(
_xlpm.割当,F238,
_xlpm.充当受入,SUMIFS(tbl_ledger[数量],tbl_ledger[充当先ロットID],$A238,tbl_ledger[イベント種類],"充当"),
_xlpm.充当放出,SUMIFS(tbl_ledger[数量],tbl_ledger[ロットID],$A238,tbl_ledger[イベント種類],"充当"),
_xlpm.発送済,G238,
_xlpm.倉庫戻し,SUMIFS(tbl_ledger[数量],tbl_ledger[ロットID],$A238,tbl_ledger[イベント種類],"倉庫戻し"),
_xlpm.余剰化,SUMIFS(tbl_ledger[数量],tbl_ledger[ロットID],$A238,tbl_ledger[イベント種類],"余剰化"),
_xlpm.不良,SUMIFS(tbl_ledger[数量],tbl_ledger[ロットID],$A238,tbl_ledger[イベント種類],"不良発生"),
_xlpm.割当+_xlpm.充当受入-_xlpm.充当放出-_xlpm.発送済-_xlpm.倉庫戻し-_xlpm.余剰化-_xlpm.不良))</f>
        <v/>
      </c>
      <c r="I238" s="8" t="str">
        <f>IF($A238="","",_xlfn.LET(
_xlpm.品番プール,N238,
_xlpm.割当計,SUMIF($B$2:$B$301,$B238,$F$2:$F$301),
_xlpm.余剰化受入,SUMIFS(tbl_ledger[数量],tbl_ledger[localId],$B238,tbl_ledger[イベント種類],"余剰化"),
_xlpm.充当払出,SUMIFS(tbl_ledger[数量],tbl_ledger[localId],$B238,tbl_ledger[イベント種類],"充当",tbl_ledger[ロットID],"="),
_xlpm.品番プール-_xlpm.割当計+_xlpm.余剰化受入-_xlpm.充当払出))</f>
        <v/>
      </c>
      <c r="J238" s="8" t="str">
        <f t="shared" si="10"/>
        <v/>
      </c>
      <c r="K238" s="8" t="str">
        <f t="shared" si="11"/>
        <v/>
      </c>
      <c r="L238" s="4" t="str">
        <f>IF($A238="","",IF(INDEX(tbl_plan[計画状態],ROW()-1)="キャンセル","キャンセル",IF(J238=0,"発送済",IF(K238&gt;0,"要搬出","OK"))))</f>
        <v/>
      </c>
      <c r="M238" s="8">
        <f t="array" ref="M238">_xlfn.LET(
_xlpm.計画状態,IFERROR(INDEX(tbl_plan[計画状態],ROW()-1)&amp;"",""),
_xlpm.必要数,IFERROR(N(INDEX(tbl_plan[必要数],ROW()-1)),0),
IF(_xlpm.計画状態="キャンセル",0,_xlpm.必要数))</f>
        <v>0</v>
      </c>
      <c r="N238" s="8" t="str">
        <f>IF($A238="","",_xlfn.LET(
_xlpm.搬入計,SUMIFS(tbl_ledger[数量],tbl_ledger[localId],$B238,tbl_ledger[イベント種類],"搬入"),
_xlpm.未割当発送,SUMIFS(tbl_ledger[数量],tbl_ledger[localId],$B238,tbl_ledger[イベント種類],"発送",tbl_ledger[ロットID],"="),
_xlpm.未割当倉庫戻し,SUMIFS(tbl_ledger[数量],tbl_ledger[localId],$B238,tbl_ledger[イベント種類],"倉庫戻し",tbl_ledger[ロットID],"="),
_xlpm.未割当不良,SUMIFS(tbl_ledger[数量],tbl_ledger[localId],$B238,tbl_ledger[イベント種類],"不良発生",tbl_ledger[ロットID],"="),
_xlpm.搬入計-_xlpm.未割当発送-_xlpm.未割当倉庫戻し-_xlpm.未割当不良))</f>
        <v/>
      </c>
      <c r="O238" s="8" t="str">
        <f t="array" ref="O238">IF($A238="","",_xlfn.LET(
_xlpm.同品番,($B$2:$B$301=$B238),
_xlpm.週が前,($C$2:$C$301&lt;$C238),
_xlpm.同週で上行,($C$2:$C$301=$C238)*(ROW($C$2:$C$301)&lt;ROW()),
SUMPRODUCT(_xlpm.同品番*(_xlpm.週が前+_xlpm.同週で上行)*$M$2:$M$301)))</f>
        <v/>
      </c>
    </row>
    <row r="239" spans="1:15" ht="15" customHeight="1" x14ac:dyDescent="0.25">
      <c r="A239" s="4" t="str">
        <f>IFERROR(INDEX(tbl_plan[ロットID],ROW()-1),"")</f>
        <v/>
      </c>
      <c r="B239" s="4" t="str">
        <f>IF($A239="","",INDEX(tbl_plan[localId],ROW()-1))</f>
        <v/>
      </c>
      <c r="C239" s="11" t="str">
        <f>IF($A239="","",INDEX(tbl_plan[出荷週],ROW()-1))</f>
        <v/>
      </c>
      <c r="D239" s="4" t="str">
        <f>IF($A239="","",INDEX(tbl_plan[納期先],ROW()-1)&amp;"")</f>
        <v/>
      </c>
      <c r="E239" s="8" t="str">
        <f>IF($A239="","",INDEX(tbl_plan[必要数],ROW()-1))</f>
        <v/>
      </c>
      <c r="F239" s="8" t="str">
        <f t="shared" si="9"/>
        <v/>
      </c>
      <c r="G239" s="8" t="str">
        <f>IF($A239="","",SUMIFS(tbl_ledger[数量],tbl_ledger[ロットID],$A239,tbl_ledger[イベント種類],"発送"))</f>
        <v/>
      </c>
      <c r="H239" s="8" t="str">
        <f>IF($A239="","",_xlfn.LET(
_xlpm.割当,F239,
_xlpm.充当受入,SUMIFS(tbl_ledger[数量],tbl_ledger[充当先ロットID],$A239,tbl_ledger[イベント種類],"充当"),
_xlpm.充当放出,SUMIFS(tbl_ledger[数量],tbl_ledger[ロットID],$A239,tbl_ledger[イベント種類],"充当"),
_xlpm.発送済,G239,
_xlpm.倉庫戻し,SUMIFS(tbl_ledger[数量],tbl_ledger[ロットID],$A239,tbl_ledger[イベント種類],"倉庫戻し"),
_xlpm.余剰化,SUMIFS(tbl_ledger[数量],tbl_ledger[ロットID],$A239,tbl_ledger[イベント種類],"余剰化"),
_xlpm.不良,SUMIFS(tbl_ledger[数量],tbl_ledger[ロットID],$A239,tbl_ledger[イベント種類],"不良発生"),
_xlpm.割当+_xlpm.充当受入-_xlpm.充当放出-_xlpm.発送済-_xlpm.倉庫戻し-_xlpm.余剰化-_xlpm.不良))</f>
        <v/>
      </c>
      <c r="I239" s="8" t="str">
        <f>IF($A239="","",_xlfn.LET(
_xlpm.品番プール,N239,
_xlpm.割当計,SUMIF($B$2:$B$301,$B239,$F$2:$F$301),
_xlpm.余剰化受入,SUMIFS(tbl_ledger[数量],tbl_ledger[localId],$B239,tbl_ledger[イベント種類],"余剰化"),
_xlpm.充当払出,SUMIFS(tbl_ledger[数量],tbl_ledger[localId],$B239,tbl_ledger[イベント種類],"充当",tbl_ledger[ロットID],"="),
_xlpm.品番プール-_xlpm.割当計+_xlpm.余剰化受入-_xlpm.充当払出))</f>
        <v/>
      </c>
      <c r="J239" s="8" t="str">
        <f t="shared" si="10"/>
        <v/>
      </c>
      <c r="K239" s="8" t="str">
        <f t="shared" si="11"/>
        <v/>
      </c>
      <c r="L239" s="4" t="str">
        <f>IF($A239="","",IF(INDEX(tbl_plan[計画状態],ROW()-1)="キャンセル","キャンセル",IF(J239=0,"発送済",IF(K239&gt;0,"要搬出","OK"))))</f>
        <v/>
      </c>
      <c r="M239" s="8">
        <f t="array" ref="M239">_xlfn.LET(
_xlpm.計画状態,IFERROR(INDEX(tbl_plan[計画状態],ROW()-1)&amp;"",""),
_xlpm.必要数,IFERROR(N(INDEX(tbl_plan[必要数],ROW()-1)),0),
IF(_xlpm.計画状態="キャンセル",0,_xlpm.必要数))</f>
        <v>0</v>
      </c>
      <c r="N239" s="8" t="str">
        <f>IF($A239="","",_xlfn.LET(
_xlpm.搬入計,SUMIFS(tbl_ledger[数量],tbl_ledger[localId],$B239,tbl_ledger[イベント種類],"搬入"),
_xlpm.未割当発送,SUMIFS(tbl_ledger[数量],tbl_ledger[localId],$B239,tbl_ledger[イベント種類],"発送",tbl_ledger[ロットID],"="),
_xlpm.未割当倉庫戻し,SUMIFS(tbl_ledger[数量],tbl_ledger[localId],$B239,tbl_ledger[イベント種類],"倉庫戻し",tbl_ledger[ロットID],"="),
_xlpm.未割当不良,SUMIFS(tbl_ledger[数量],tbl_ledger[localId],$B239,tbl_ledger[イベント種類],"不良発生",tbl_ledger[ロットID],"="),
_xlpm.搬入計-_xlpm.未割当発送-_xlpm.未割当倉庫戻し-_xlpm.未割当不良))</f>
        <v/>
      </c>
      <c r="O239" s="8" t="str">
        <f t="array" ref="O239">IF($A239="","",_xlfn.LET(
_xlpm.同品番,($B$2:$B$301=$B239),
_xlpm.週が前,($C$2:$C$301&lt;$C239),
_xlpm.同週で上行,($C$2:$C$301=$C239)*(ROW($C$2:$C$301)&lt;ROW()),
SUMPRODUCT(_xlpm.同品番*(_xlpm.週が前+_xlpm.同週で上行)*$M$2:$M$301)))</f>
        <v/>
      </c>
    </row>
    <row r="240" spans="1:15" ht="15" customHeight="1" x14ac:dyDescent="0.25">
      <c r="A240" s="4" t="str">
        <f>IFERROR(INDEX(tbl_plan[ロットID],ROW()-1),"")</f>
        <v/>
      </c>
      <c r="B240" s="4" t="str">
        <f>IF($A240="","",INDEX(tbl_plan[localId],ROW()-1))</f>
        <v/>
      </c>
      <c r="C240" s="11" t="str">
        <f>IF($A240="","",INDEX(tbl_plan[出荷週],ROW()-1))</f>
        <v/>
      </c>
      <c r="D240" s="4" t="str">
        <f>IF($A240="","",INDEX(tbl_plan[納期先],ROW()-1)&amp;"")</f>
        <v/>
      </c>
      <c r="E240" s="8" t="str">
        <f>IF($A240="","",INDEX(tbl_plan[必要数],ROW()-1))</f>
        <v/>
      </c>
      <c r="F240" s="8" t="str">
        <f t="shared" si="9"/>
        <v/>
      </c>
      <c r="G240" s="8" t="str">
        <f>IF($A240="","",SUMIFS(tbl_ledger[数量],tbl_ledger[ロットID],$A240,tbl_ledger[イベント種類],"発送"))</f>
        <v/>
      </c>
      <c r="H240" s="8" t="str">
        <f>IF($A240="","",_xlfn.LET(
_xlpm.割当,F240,
_xlpm.充当受入,SUMIFS(tbl_ledger[数量],tbl_ledger[充当先ロットID],$A240,tbl_ledger[イベント種類],"充当"),
_xlpm.充当放出,SUMIFS(tbl_ledger[数量],tbl_ledger[ロットID],$A240,tbl_ledger[イベント種類],"充当"),
_xlpm.発送済,G240,
_xlpm.倉庫戻し,SUMIFS(tbl_ledger[数量],tbl_ledger[ロットID],$A240,tbl_ledger[イベント種類],"倉庫戻し"),
_xlpm.余剰化,SUMIFS(tbl_ledger[数量],tbl_ledger[ロットID],$A240,tbl_ledger[イベント種類],"余剰化"),
_xlpm.不良,SUMIFS(tbl_ledger[数量],tbl_ledger[ロットID],$A240,tbl_ledger[イベント種類],"不良発生"),
_xlpm.割当+_xlpm.充当受入-_xlpm.充当放出-_xlpm.発送済-_xlpm.倉庫戻し-_xlpm.余剰化-_xlpm.不良))</f>
        <v/>
      </c>
      <c r="I240" s="8" t="str">
        <f>IF($A240="","",_xlfn.LET(
_xlpm.品番プール,N240,
_xlpm.割当計,SUMIF($B$2:$B$301,$B240,$F$2:$F$301),
_xlpm.余剰化受入,SUMIFS(tbl_ledger[数量],tbl_ledger[localId],$B240,tbl_ledger[イベント種類],"余剰化"),
_xlpm.充当払出,SUMIFS(tbl_ledger[数量],tbl_ledger[localId],$B240,tbl_ledger[イベント種類],"充当",tbl_ledger[ロットID],"="),
_xlpm.品番プール-_xlpm.割当計+_xlpm.余剰化受入-_xlpm.充当払出))</f>
        <v/>
      </c>
      <c r="J240" s="8" t="str">
        <f t="shared" si="10"/>
        <v/>
      </c>
      <c r="K240" s="8" t="str">
        <f t="shared" si="11"/>
        <v/>
      </c>
      <c r="L240" s="4" t="str">
        <f>IF($A240="","",IF(INDEX(tbl_plan[計画状態],ROW()-1)="キャンセル","キャンセル",IF(J240=0,"発送済",IF(K240&gt;0,"要搬出","OK"))))</f>
        <v/>
      </c>
      <c r="M240" s="8">
        <f t="array" ref="M240">_xlfn.LET(
_xlpm.計画状態,IFERROR(INDEX(tbl_plan[計画状態],ROW()-1)&amp;"",""),
_xlpm.必要数,IFERROR(N(INDEX(tbl_plan[必要数],ROW()-1)),0),
IF(_xlpm.計画状態="キャンセル",0,_xlpm.必要数))</f>
        <v>0</v>
      </c>
      <c r="N240" s="8" t="str">
        <f>IF($A240="","",_xlfn.LET(
_xlpm.搬入計,SUMIFS(tbl_ledger[数量],tbl_ledger[localId],$B240,tbl_ledger[イベント種類],"搬入"),
_xlpm.未割当発送,SUMIFS(tbl_ledger[数量],tbl_ledger[localId],$B240,tbl_ledger[イベント種類],"発送",tbl_ledger[ロットID],"="),
_xlpm.未割当倉庫戻し,SUMIFS(tbl_ledger[数量],tbl_ledger[localId],$B240,tbl_ledger[イベント種類],"倉庫戻し",tbl_ledger[ロットID],"="),
_xlpm.未割当不良,SUMIFS(tbl_ledger[数量],tbl_ledger[localId],$B240,tbl_ledger[イベント種類],"不良発生",tbl_ledger[ロットID],"="),
_xlpm.搬入計-_xlpm.未割当発送-_xlpm.未割当倉庫戻し-_xlpm.未割当不良))</f>
        <v/>
      </c>
      <c r="O240" s="8" t="str">
        <f t="array" ref="O240">IF($A240="","",_xlfn.LET(
_xlpm.同品番,($B$2:$B$301=$B240),
_xlpm.週が前,($C$2:$C$301&lt;$C240),
_xlpm.同週で上行,($C$2:$C$301=$C240)*(ROW($C$2:$C$301)&lt;ROW()),
SUMPRODUCT(_xlpm.同品番*(_xlpm.週が前+_xlpm.同週で上行)*$M$2:$M$301)))</f>
        <v/>
      </c>
    </row>
    <row r="241" spans="1:15" ht="15" customHeight="1" x14ac:dyDescent="0.25">
      <c r="A241" s="4" t="str">
        <f>IFERROR(INDEX(tbl_plan[ロットID],ROW()-1),"")</f>
        <v/>
      </c>
      <c r="B241" s="4" t="str">
        <f>IF($A241="","",INDEX(tbl_plan[localId],ROW()-1))</f>
        <v/>
      </c>
      <c r="C241" s="11" t="str">
        <f>IF($A241="","",INDEX(tbl_plan[出荷週],ROW()-1))</f>
        <v/>
      </c>
      <c r="D241" s="4" t="str">
        <f>IF($A241="","",INDEX(tbl_plan[納期先],ROW()-1)&amp;"")</f>
        <v/>
      </c>
      <c r="E241" s="8" t="str">
        <f>IF($A241="","",INDEX(tbl_plan[必要数],ROW()-1))</f>
        <v/>
      </c>
      <c r="F241" s="8" t="str">
        <f t="shared" si="9"/>
        <v/>
      </c>
      <c r="G241" s="8" t="str">
        <f>IF($A241="","",SUMIFS(tbl_ledger[数量],tbl_ledger[ロットID],$A241,tbl_ledger[イベント種類],"発送"))</f>
        <v/>
      </c>
      <c r="H241" s="8" t="str">
        <f>IF($A241="","",_xlfn.LET(
_xlpm.割当,F241,
_xlpm.充当受入,SUMIFS(tbl_ledger[数量],tbl_ledger[充当先ロットID],$A241,tbl_ledger[イベント種類],"充当"),
_xlpm.充当放出,SUMIFS(tbl_ledger[数量],tbl_ledger[ロットID],$A241,tbl_ledger[イベント種類],"充当"),
_xlpm.発送済,G241,
_xlpm.倉庫戻し,SUMIFS(tbl_ledger[数量],tbl_ledger[ロットID],$A241,tbl_ledger[イベント種類],"倉庫戻し"),
_xlpm.余剰化,SUMIFS(tbl_ledger[数量],tbl_ledger[ロットID],$A241,tbl_ledger[イベント種類],"余剰化"),
_xlpm.不良,SUMIFS(tbl_ledger[数量],tbl_ledger[ロットID],$A241,tbl_ledger[イベント種類],"不良発生"),
_xlpm.割当+_xlpm.充当受入-_xlpm.充当放出-_xlpm.発送済-_xlpm.倉庫戻し-_xlpm.余剰化-_xlpm.不良))</f>
        <v/>
      </c>
      <c r="I241" s="8" t="str">
        <f>IF($A241="","",_xlfn.LET(
_xlpm.品番プール,N241,
_xlpm.割当計,SUMIF($B$2:$B$301,$B241,$F$2:$F$301),
_xlpm.余剰化受入,SUMIFS(tbl_ledger[数量],tbl_ledger[localId],$B241,tbl_ledger[イベント種類],"余剰化"),
_xlpm.充当払出,SUMIFS(tbl_ledger[数量],tbl_ledger[localId],$B241,tbl_ledger[イベント種類],"充当",tbl_ledger[ロットID],"="),
_xlpm.品番プール-_xlpm.割当計+_xlpm.余剰化受入-_xlpm.充当払出))</f>
        <v/>
      </c>
      <c r="J241" s="8" t="str">
        <f t="shared" si="10"/>
        <v/>
      </c>
      <c r="K241" s="8" t="str">
        <f t="shared" si="11"/>
        <v/>
      </c>
      <c r="L241" s="4" t="str">
        <f>IF($A241="","",IF(INDEX(tbl_plan[計画状態],ROW()-1)="キャンセル","キャンセル",IF(J241=0,"発送済",IF(K241&gt;0,"要搬出","OK"))))</f>
        <v/>
      </c>
      <c r="M241" s="8">
        <f t="array" ref="M241">_xlfn.LET(
_xlpm.計画状態,IFERROR(INDEX(tbl_plan[計画状態],ROW()-1)&amp;"",""),
_xlpm.必要数,IFERROR(N(INDEX(tbl_plan[必要数],ROW()-1)),0),
IF(_xlpm.計画状態="キャンセル",0,_xlpm.必要数))</f>
        <v>0</v>
      </c>
      <c r="N241" s="8" t="str">
        <f>IF($A241="","",_xlfn.LET(
_xlpm.搬入計,SUMIFS(tbl_ledger[数量],tbl_ledger[localId],$B241,tbl_ledger[イベント種類],"搬入"),
_xlpm.未割当発送,SUMIFS(tbl_ledger[数量],tbl_ledger[localId],$B241,tbl_ledger[イベント種類],"発送",tbl_ledger[ロットID],"="),
_xlpm.未割当倉庫戻し,SUMIFS(tbl_ledger[数量],tbl_ledger[localId],$B241,tbl_ledger[イベント種類],"倉庫戻し",tbl_ledger[ロットID],"="),
_xlpm.未割当不良,SUMIFS(tbl_ledger[数量],tbl_ledger[localId],$B241,tbl_ledger[イベント種類],"不良発生",tbl_ledger[ロットID],"="),
_xlpm.搬入計-_xlpm.未割当発送-_xlpm.未割当倉庫戻し-_xlpm.未割当不良))</f>
        <v/>
      </c>
      <c r="O241" s="8" t="str">
        <f t="array" ref="O241">IF($A241="","",_xlfn.LET(
_xlpm.同品番,($B$2:$B$301=$B241),
_xlpm.週が前,($C$2:$C$301&lt;$C241),
_xlpm.同週で上行,($C$2:$C$301=$C241)*(ROW($C$2:$C$301)&lt;ROW()),
SUMPRODUCT(_xlpm.同品番*(_xlpm.週が前+_xlpm.同週で上行)*$M$2:$M$301)))</f>
        <v/>
      </c>
    </row>
    <row r="242" spans="1:15" ht="15" customHeight="1" x14ac:dyDescent="0.25">
      <c r="A242" s="4" t="str">
        <f>IFERROR(INDEX(tbl_plan[ロットID],ROW()-1),"")</f>
        <v/>
      </c>
      <c r="B242" s="4" t="str">
        <f>IF($A242="","",INDEX(tbl_plan[localId],ROW()-1))</f>
        <v/>
      </c>
      <c r="C242" s="11" t="str">
        <f>IF($A242="","",INDEX(tbl_plan[出荷週],ROW()-1))</f>
        <v/>
      </c>
      <c r="D242" s="4" t="str">
        <f>IF($A242="","",INDEX(tbl_plan[納期先],ROW()-1)&amp;"")</f>
        <v/>
      </c>
      <c r="E242" s="8" t="str">
        <f>IF($A242="","",INDEX(tbl_plan[必要数],ROW()-1))</f>
        <v/>
      </c>
      <c r="F242" s="8" t="str">
        <f t="shared" si="9"/>
        <v/>
      </c>
      <c r="G242" s="8" t="str">
        <f>IF($A242="","",SUMIFS(tbl_ledger[数量],tbl_ledger[ロットID],$A242,tbl_ledger[イベント種類],"発送"))</f>
        <v/>
      </c>
      <c r="H242" s="8" t="str">
        <f>IF($A242="","",_xlfn.LET(
_xlpm.割当,F242,
_xlpm.充当受入,SUMIFS(tbl_ledger[数量],tbl_ledger[充当先ロットID],$A242,tbl_ledger[イベント種類],"充当"),
_xlpm.充当放出,SUMIFS(tbl_ledger[数量],tbl_ledger[ロットID],$A242,tbl_ledger[イベント種類],"充当"),
_xlpm.発送済,G242,
_xlpm.倉庫戻し,SUMIFS(tbl_ledger[数量],tbl_ledger[ロットID],$A242,tbl_ledger[イベント種類],"倉庫戻し"),
_xlpm.余剰化,SUMIFS(tbl_ledger[数量],tbl_ledger[ロットID],$A242,tbl_ledger[イベント種類],"余剰化"),
_xlpm.不良,SUMIFS(tbl_ledger[数量],tbl_ledger[ロットID],$A242,tbl_ledger[イベント種類],"不良発生"),
_xlpm.割当+_xlpm.充当受入-_xlpm.充当放出-_xlpm.発送済-_xlpm.倉庫戻し-_xlpm.余剰化-_xlpm.不良))</f>
        <v/>
      </c>
      <c r="I242" s="8" t="str">
        <f>IF($A242="","",_xlfn.LET(
_xlpm.品番プール,N242,
_xlpm.割当計,SUMIF($B$2:$B$301,$B242,$F$2:$F$301),
_xlpm.余剰化受入,SUMIFS(tbl_ledger[数量],tbl_ledger[localId],$B242,tbl_ledger[イベント種類],"余剰化"),
_xlpm.充当払出,SUMIFS(tbl_ledger[数量],tbl_ledger[localId],$B242,tbl_ledger[イベント種類],"充当",tbl_ledger[ロットID],"="),
_xlpm.品番プール-_xlpm.割当計+_xlpm.余剰化受入-_xlpm.充当払出))</f>
        <v/>
      </c>
      <c r="J242" s="8" t="str">
        <f t="shared" si="10"/>
        <v/>
      </c>
      <c r="K242" s="8" t="str">
        <f t="shared" si="11"/>
        <v/>
      </c>
      <c r="L242" s="4" t="str">
        <f>IF($A242="","",IF(INDEX(tbl_plan[計画状態],ROW()-1)="キャンセル","キャンセル",IF(J242=0,"発送済",IF(K242&gt;0,"要搬出","OK"))))</f>
        <v/>
      </c>
      <c r="M242" s="8">
        <f t="array" ref="M242">_xlfn.LET(
_xlpm.計画状態,IFERROR(INDEX(tbl_plan[計画状態],ROW()-1)&amp;"",""),
_xlpm.必要数,IFERROR(N(INDEX(tbl_plan[必要数],ROW()-1)),0),
IF(_xlpm.計画状態="キャンセル",0,_xlpm.必要数))</f>
        <v>0</v>
      </c>
      <c r="N242" s="8" t="str">
        <f>IF($A242="","",_xlfn.LET(
_xlpm.搬入計,SUMIFS(tbl_ledger[数量],tbl_ledger[localId],$B242,tbl_ledger[イベント種類],"搬入"),
_xlpm.未割当発送,SUMIFS(tbl_ledger[数量],tbl_ledger[localId],$B242,tbl_ledger[イベント種類],"発送",tbl_ledger[ロットID],"="),
_xlpm.未割当倉庫戻し,SUMIFS(tbl_ledger[数量],tbl_ledger[localId],$B242,tbl_ledger[イベント種類],"倉庫戻し",tbl_ledger[ロットID],"="),
_xlpm.未割当不良,SUMIFS(tbl_ledger[数量],tbl_ledger[localId],$B242,tbl_ledger[イベント種類],"不良発生",tbl_ledger[ロットID],"="),
_xlpm.搬入計-_xlpm.未割当発送-_xlpm.未割当倉庫戻し-_xlpm.未割当不良))</f>
        <v/>
      </c>
      <c r="O242" s="8" t="str">
        <f t="array" ref="O242">IF($A242="","",_xlfn.LET(
_xlpm.同品番,($B$2:$B$301=$B242),
_xlpm.週が前,($C$2:$C$301&lt;$C242),
_xlpm.同週で上行,($C$2:$C$301=$C242)*(ROW($C$2:$C$301)&lt;ROW()),
SUMPRODUCT(_xlpm.同品番*(_xlpm.週が前+_xlpm.同週で上行)*$M$2:$M$301)))</f>
        <v/>
      </c>
    </row>
    <row r="243" spans="1:15" ht="15" customHeight="1" x14ac:dyDescent="0.25">
      <c r="A243" s="4" t="str">
        <f>IFERROR(INDEX(tbl_plan[ロットID],ROW()-1),"")</f>
        <v/>
      </c>
      <c r="B243" s="4" t="str">
        <f>IF($A243="","",INDEX(tbl_plan[localId],ROW()-1))</f>
        <v/>
      </c>
      <c r="C243" s="11" t="str">
        <f>IF($A243="","",INDEX(tbl_plan[出荷週],ROW()-1))</f>
        <v/>
      </c>
      <c r="D243" s="4" t="str">
        <f>IF($A243="","",INDEX(tbl_plan[納期先],ROW()-1)&amp;"")</f>
        <v/>
      </c>
      <c r="E243" s="8" t="str">
        <f>IF($A243="","",INDEX(tbl_plan[必要数],ROW()-1))</f>
        <v/>
      </c>
      <c r="F243" s="8" t="str">
        <f t="shared" si="9"/>
        <v/>
      </c>
      <c r="G243" s="8" t="str">
        <f>IF($A243="","",SUMIFS(tbl_ledger[数量],tbl_ledger[ロットID],$A243,tbl_ledger[イベント種類],"発送"))</f>
        <v/>
      </c>
      <c r="H243" s="8" t="str">
        <f>IF($A243="","",_xlfn.LET(
_xlpm.割当,F243,
_xlpm.充当受入,SUMIFS(tbl_ledger[数量],tbl_ledger[充当先ロットID],$A243,tbl_ledger[イベント種類],"充当"),
_xlpm.充当放出,SUMIFS(tbl_ledger[数量],tbl_ledger[ロットID],$A243,tbl_ledger[イベント種類],"充当"),
_xlpm.発送済,G243,
_xlpm.倉庫戻し,SUMIFS(tbl_ledger[数量],tbl_ledger[ロットID],$A243,tbl_ledger[イベント種類],"倉庫戻し"),
_xlpm.余剰化,SUMIFS(tbl_ledger[数量],tbl_ledger[ロットID],$A243,tbl_ledger[イベント種類],"余剰化"),
_xlpm.不良,SUMIFS(tbl_ledger[数量],tbl_ledger[ロットID],$A243,tbl_ledger[イベント種類],"不良発生"),
_xlpm.割当+_xlpm.充当受入-_xlpm.充当放出-_xlpm.発送済-_xlpm.倉庫戻し-_xlpm.余剰化-_xlpm.不良))</f>
        <v/>
      </c>
      <c r="I243" s="8" t="str">
        <f>IF($A243="","",_xlfn.LET(
_xlpm.品番プール,N243,
_xlpm.割当計,SUMIF($B$2:$B$301,$B243,$F$2:$F$301),
_xlpm.余剰化受入,SUMIFS(tbl_ledger[数量],tbl_ledger[localId],$B243,tbl_ledger[イベント種類],"余剰化"),
_xlpm.充当払出,SUMIFS(tbl_ledger[数量],tbl_ledger[localId],$B243,tbl_ledger[イベント種類],"充当",tbl_ledger[ロットID],"="),
_xlpm.品番プール-_xlpm.割当計+_xlpm.余剰化受入-_xlpm.充当払出))</f>
        <v/>
      </c>
      <c r="J243" s="8" t="str">
        <f t="shared" si="10"/>
        <v/>
      </c>
      <c r="K243" s="8" t="str">
        <f t="shared" si="11"/>
        <v/>
      </c>
      <c r="L243" s="4" t="str">
        <f>IF($A243="","",IF(INDEX(tbl_plan[計画状態],ROW()-1)="キャンセル","キャンセル",IF(J243=0,"発送済",IF(K243&gt;0,"要搬出","OK"))))</f>
        <v/>
      </c>
      <c r="M243" s="8">
        <f t="array" ref="M243">_xlfn.LET(
_xlpm.計画状態,IFERROR(INDEX(tbl_plan[計画状態],ROW()-1)&amp;"",""),
_xlpm.必要数,IFERROR(N(INDEX(tbl_plan[必要数],ROW()-1)),0),
IF(_xlpm.計画状態="キャンセル",0,_xlpm.必要数))</f>
        <v>0</v>
      </c>
      <c r="N243" s="8" t="str">
        <f>IF($A243="","",_xlfn.LET(
_xlpm.搬入計,SUMIFS(tbl_ledger[数量],tbl_ledger[localId],$B243,tbl_ledger[イベント種類],"搬入"),
_xlpm.未割当発送,SUMIFS(tbl_ledger[数量],tbl_ledger[localId],$B243,tbl_ledger[イベント種類],"発送",tbl_ledger[ロットID],"="),
_xlpm.未割当倉庫戻し,SUMIFS(tbl_ledger[数量],tbl_ledger[localId],$B243,tbl_ledger[イベント種類],"倉庫戻し",tbl_ledger[ロットID],"="),
_xlpm.未割当不良,SUMIFS(tbl_ledger[数量],tbl_ledger[localId],$B243,tbl_ledger[イベント種類],"不良発生",tbl_ledger[ロットID],"="),
_xlpm.搬入計-_xlpm.未割当発送-_xlpm.未割当倉庫戻し-_xlpm.未割当不良))</f>
        <v/>
      </c>
      <c r="O243" s="8" t="str">
        <f t="array" ref="O243">IF($A243="","",_xlfn.LET(
_xlpm.同品番,($B$2:$B$301=$B243),
_xlpm.週が前,($C$2:$C$301&lt;$C243),
_xlpm.同週で上行,($C$2:$C$301=$C243)*(ROW($C$2:$C$301)&lt;ROW()),
SUMPRODUCT(_xlpm.同品番*(_xlpm.週が前+_xlpm.同週で上行)*$M$2:$M$301)))</f>
        <v/>
      </c>
    </row>
    <row r="244" spans="1:15" ht="15" customHeight="1" x14ac:dyDescent="0.25">
      <c r="A244" s="4" t="str">
        <f>IFERROR(INDEX(tbl_plan[ロットID],ROW()-1),"")</f>
        <v/>
      </c>
      <c r="B244" s="4" t="str">
        <f>IF($A244="","",INDEX(tbl_plan[localId],ROW()-1))</f>
        <v/>
      </c>
      <c r="C244" s="11" t="str">
        <f>IF($A244="","",INDEX(tbl_plan[出荷週],ROW()-1))</f>
        <v/>
      </c>
      <c r="D244" s="4" t="str">
        <f>IF($A244="","",INDEX(tbl_plan[納期先],ROW()-1)&amp;"")</f>
        <v/>
      </c>
      <c r="E244" s="8" t="str">
        <f>IF($A244="","",INDEX(tbl_plan[必要数],ROW()-1))</f>
        <v/>
      </c>
      <c r="F244" s="8" t="str">
        <f t="shared" si="9"/>
        <v/>
      </c>
      <c r="G244" s="8" t="str">
        <f>IF($A244="","",SUMIFS(tbl_ledger[数量],tbl_ledger[ロットID],$A244,tbl_ledger[イベント種類],"発送"))</f>
        <v/>
      </c>
      <c r="H244" s="8" t="str">
        <f>IF($A244="","",_xlfn.LET(
_xlpm.割当,F244,
_xlpm.充当受入,SUMIFS(tbl_ledger[数量],tbl_ledger[充当先ロットID],$A244,tbl_ledger[イベント種類],"充当"),
_xlpm.充当放出,SUMIFS(tbl_ledger[数量],tbl_ledger[ロットID],$A244,tbl_ledger[イベント種類],"充当"),
_xlpm.発送済,G244,
_xlpm.倉庫戻し,SUMIFS(tbl_ledger[数量],tbl_ledger[ロットID],$A244,tbl_ledger[イベント種類],"倉庫戻し"),
_xlpm.余剰化,SUMIFS(tbl_ledger[数量],tbl_ledger[ロットID],$A244,tbl_ledger[イベント種類],"余剰化"),
_xlpm.不良,SUMIFS(tbl_ledger[数量],tbl_ledger[ロットID],$A244,tbl_ledger[イベント種類],"不良発生"),
_xlpm.割当+_xlpm.充当受入-_xlpm.充当放出-_xlpm.発送済-_xlpm.倉庫戻し-_xlpm.余剰化-_xlpm.不良))</f>
        <v/>
      </c>
      <c r="I244" s="8" t="str">
        <f>IF($A244="","",_xlfn.LET(
_xlpm.品番プール,N244,
_xlpm.割当計,SUMIF($B$2:$B$301,$B244,$F$2:$F$301),
_xlpm.余剰化受入,SUMIFS(tbl_ledger[数量],tbl_ledger[localId],$B244,tbl_ledger[イベント種類],"余剰化"),
_xlpm.充当払出,SUMIFS(tbl_ledger[数量],tbl_ledger[localId],$B244,tbl_ledger[イベント種類],"充当",tbl_ledger[ロットID],"="),
_xlpm.品番プール-_xlpm.割当計+_xlpm.余剰化受入-_xlpm.充当払出))</f>
        <v/>
      </c>
      <c r="J244" s="8" t="str">
        <f t="shared" si="10"/>
        <v/>
      </c>
      <c r="K244" s="8" t="str">
        <f t="shared" si="11"/>
        <v/>
      </c>
      <c r="L244" s="4" t="str">
        <f>IF($A244="","",IF(INDEX(tbl_plan[計画状態],ROW()-1)="キャンセル","キャンセル",IF(J244=0,"発送済",IF(K244&gt;0,"要搬出","OK"))))</f>
        <v/>
      </c>
      <c r="M244" s="8">
        <f t="array" ref="M244">_xlfn.LET(
_xlpm.計画状態,IFERROR(INDEX(tbl_plan[計画状態],ROW()-1)&amp;"",""),
_xlpm.必要数,IFERROR(N(INDEX(tbl_plan[必要数],ROW()-1)),0),
IF(_xlpm.計画状態="キャンセル",0,_xlpm.必要数))</f>
        <v>0</v>
      </c>
      <c r="N244" s="8" t="str">
        <f>IF($A244="","",_xlfn.LET(
_xlpm.搬入計,SUMIFS(tbl_ledger[数量],tbl_ledger[localId],$B244,tbl_ledger[イベント種類],"搬入"),
_xlpm.未割当発送,SUMIFS(tbl_ledger[数量],tbl_ledger[localId],$B244,tbl_ledger[イベント種類],"発送",tbl_ledger[ロットID],"="),
_xlpm.未割当倉庫戻し,SUMIFS(tbl_ledger[数量],tbl_ledger[localId],$B244,tbl_ledger[イベント種類],"倉庫戻し",tbl_ledger[ロットID],"="),
_xlpm.未割当不良,SUMIFS(tbl_ledger[数量],tbl_ledger[localId],$B244,tbl_ledger[イベント種類],"不良発生",tbl_ledger[ロットID],"="),
_xlpm.搬入計-_xlpm.未割当発送-_xlpm.未割当倉庫戻し-_xlpm.未割当不良))</f>
        <v/>
      </c>
      <c r="O244" s="8" t="str">
        <f t="array" ref="O244">IF($A244="","",_xlfn.LET(
_xlpm.同品番,($B$2:$B$301=$B244),
_xlpm.週が前,($C$2:$C$301&lt;$C244),
_xlpm.同週で上行,($C$2:$C$301=$C244)*(ROW($C$2:$C$301)&lt;ROW()),
SUMPRODUCT(_xlpm.同品番*(_xlpm.週が前+_xlpm.同週で上行)*$M$2:$M$301)))</f>
        <v/>
      </c>
    </row>
    <row r="245" spans="1:15" ht="15" customHeight="1" x14ac:dyDescent="0.25">
      <c r="A245" s="4" t="str">
        <f>IFERROR(INDEX(tbl_plan[ロットID],ROW()-1),"")</f>
        <v/>
      </c>
      <c r="B245" s="4" t="str">
        <f>IF($A245="","",INDEX(tbl_plan[localId],ROW()-1))</f>
        <v/>
      </c>
      <c r="C245" s="11" t="str">
        <f>IF($A245="","",INDEX(tbl_plan[出荷週],ROW()-1))</f>
        <v/>
      </c>
      <c r="D245" s="4" t="str">
        <f>IF($A245="","",INDEX(tbl_plan[納期先],ROW()-1)&amp;"")</f>
        <v/>
      </c>
      <c r="E245" s="8" t="str">
        <f>IF($A245="","",INDEX(tbl_plan[必要数],ROW()-1))</f>
        <v/>
      </c>
      <c r="F245" s="8" t="str">
        <f t="shared" si="9"/>
        <v/>
      </c>
      <c r="G245" s="8" t="str">
        <f>IF($A245="","",SUMIFS(tbl_ledger[数量],tbl_ledger[ロットID],$A245,tbl_ledger[イベント種類],"発送"))</f>
        <v/>
      </c>
      <c r="H245" s="8" t="str">
        <f>IF($A245="","",_xlfn.LET(
_xlpm.割当,F245,
_xlpm.充当受入,SUMIFS(tbl_ledger[数量],tbl_ledger[充当先ロットID],$A245,tbl_ledger[イベント種類],"充当"),
_xlpm.充当放出,SUMIFS(tbl_ledger[数量],tbl_ledger[ロットID],$A245,tbl_ledger[イベント種類],"充当"),
_xlpm.発送済,G245,
_xlpm.倉庫戻し,SUMIFS(tbl_ledger[数量],tbl_ledger[ロットID],$A245,tbl_ledger[イベント種類],"倉庫戻し"),
_xlpm.余剰化,SUMIFS(tbl_ledger[数量],tbl_ledger[ロットID],$A245,tbl_ledger[イベント種類],"余剰化"),
_xlpm.不良,SUMIFS(tbl_ledger[数量],tbl_ledger[ロットID],$A245,tbl_ledger[イベント種類],"不良発生"),
_xlpm.割当+_xlpm.充当受入-_xlpm.充当放出-_xlpm.発送済-_xlpm.倉庫戻し-_xlpm.余剰化-_xlpm.不良))</f>
        <v/>
      </c>
      <c r="I245" s="8" t="str">
        <f>IF($A245="","",_xlfn.LET(
_xlpm.品番プール,N245,
_xlpm.割当計,SUMIF($B$2:$B$301,$B245,$F$2:$F$301),
_xlpm.余剰化受入,SUMIFS(tbl_ledger[数量],tbl_ledger[localId],$B245,tbl_ledger[イベント種類],"余剰化"),
_xlpm.充当払出,SUMIFS(tbl_ledger[数量],tbl_ledger[localId],$B245,tbl_ledger[イベント種類],"充当",tbl_ledger[ロットID],"="),
_xlpm.品番プール-_xlpm.割当計+_xlpm.余剰化受入-_xlpm.充当払出))</f>
        <v/>
      </c>
      <c r="J245" s="8" t="str">
        <f t="shared" si="10"/>
        <v/>
      </c>
      <c r="K245" s="8" t="str">
        <f t="shared" si="11"/>
        <v/>
      </c>
      <c r="L245" s="4" t="str">
        <f>IF($A245="","",IF(INDEX(tbl_plan[計画状態],ROW()-1)="キャンセル","キャンセル",IF(J245=0,"発送済",IF(K245&gt;0,"要搬出","OK"))))</f>
        <v/>
      </c>
      <c r="M245" s="8">
        <f t="array" ref="M245">_xlfn.LET(
_xlpm.計画状態,IFERROR(INDEX(tbl_plan[計画状態],ROW()-1)&amp;"",""),
_xlpm.必要数,IFERROR(N(INDEX(tbl_plan[必要数],ROW()-1)),0),
IF(_xlpm.計画状態="キャンセル",0,_xlpm.必要数))</f>
        <v>0</v>
      </c>
      <c r="N245" s="8" t="str">
        <f>IF($A245="","",_xlfn.LET(
_xlpm.搬入計,SUMIFS(tbl_ledger[数量],tbl_ledger[localId],$B245,tbl_ledger[イベント種類],"搬入"),
_xlpm.未割当発送,SUMIFS(tbl_ledger[数量],tbl_ledger[localId],$B245,tbl_ledger[イベント種類],"発送",tbl_ledger[ロットID],"="),
_xlpm.未割当倉庫戻し,SUMIFS(tbl_ledger[数量],tbl_ledger[localId],$B245,tbl_ledger[イベント種類],"倉庫戻し",tbl_ledger[ロットID],"="),
_xlpm.未割当不良,SUMIFS(tbl_ledger[数量],tbl_ledger[localId],$B245,tbl_ledger[イベント種類],"不良発生",tbl_ledger[ロットID],"="),
_xlpm.搬入計-_xlpm.未割当発送-_xlpm.未割当倉庫戻し-_xlpm.未割当不良))</f>
        <v/>
      </c>
      <c r="O245" s="8" t="str">
        <f t="array" ref="O245">IF($A245="","",_xlfn.LET(
_xlpm.同品番,($B$2:$B$301=$B245),
_xlpm.週が前,($C$2:$C$301&lt;$C245),
_xlpm.同週で上行,($C$2:$C$301=$C245)*(ROW($C$2:$C$301)&lt;ROW()),
SUMPRODUCT(_xlpm.同品番*(_xlpm.週が前+_xlpm.同週で上行)*$M$2:$M$301)))</f>
        <v/>
      </c>
    </row>
    <row r="246" spans="1:15" ht="15" customHeight="1" x14ac:dyDescent="0.25">
      <c r="A246" s="4" t="str">
        <f>IFERROR(INDEX(tbl_plan[ロットID],ROW()-1),"")</f>
        <v/>
      </c>
      <c r="B246" s="4" t="str">
        <f>IF($A246="","",INDEX(tbl_plan[localId],ROW()-1))</f>
        <v/>
      </c>
      <c r="C246" s="11" t="str">
        <f>IF($A246="","",INDEX(tbl_plan[出荷週],ROW()-1))</f>
        <v/>
      </c>
      <c r="D246" s="4" t="str">
        <f>IF($A246="","",INDEX(tbl_plan[納期先],ROW()-1)&amp;"")</f>
        <v/>
      </c>
      <c r="E246" s="8" t="str">
        <f>IF($A246="","",INDEX(tbl_plan[必要数],ROW()-1))</f>
        <v/>
      </c>
      <c r="F246" s="8" t="str">
        <f t="shared" si="9"/>
        <v/>
      </c>
      <c r="G246" s="8" t="str">
        <f>IF($A246="","",SUMIFS(tbl_ledger[数量],tbl_ledger[ロットID],$A246,tbl_ledger[イベント種類],"発送"))</f>
        <v/>
      </c>
      <c r="H246" s="8" t="str">
        <f>IF($A246="","",_xlfn.LET(
_xlpm.割当,F246,
_xlpm.充当受入,SUMIFS(tbl_ledger[数量],tbl_ledger[充当先ロットID],$A246,tbl_ledger[イベント種類],"充当"),
_xlpm.充当放出,SUMIFS(tbl_ledger[数量],tbl_ledger[ロットID],$A246,tbl_ledger[イベント種類],"充当"),
_xlpm.発送済,G246,
_xlpm.倉庫戻し,SUMIFS(tbl_ledger[数量],tbl_ledger[ロットID],$A246,tbl_ledger[イベント種類],"倉庫戻し"),
_xlpm.余剰化,SUMIFS(tbl_ledger[数量],tbl_ledger[ロットID],$A246,tbl_ledger[イベント種類],"余剰化"),
_xlpm.不良,SUMIFS(tbl_ledger[数量],tbl_ledger[ロットID],$A246,tbl_ledger[イベント種類],"不良発生"),
_xlpm.割当+_xlpm.充当受入-_xlpm.充当放出-_xlpm.発送済-_xlpm.倉庫戻し-_xlpm.余剰化-_xlpm.不良))</f>
        <v/>
      </c>
      <c r="I246" s="8" t="str">
        <f>IF($A246="","",_xlfn.LET(
_xlpm.品番プール,N246,
_xlpm.割当計,SUMIF($B$2:$B$301,$B246,$F$2:$F$301),
_xlpm.余剰化受入,SUMIFS(tbl_ledger[数量],tbl_ledger[localId],$B246,tbl_ledger[イベント種類],"余剰化"),
_xlpm.充当払出,SUMIFS(tbl_ledger[数量],tbl_ledger[localId],$B246,tbl_ledger[イベント種類],"充当",tbl_ledger[ロットID],"="),
_xlpm.品番プール-_xlpm.割当計+_xlpm.余剰化受入-_xlpm.充当払出))</f>
        <v/>
      </c>
      <c r="J246" s="8" t="str">
        <f t="shared" si="10"/>
        <v/>
      </c>
      <c r="K246" s="8" t="str">
        <f t="shared" si="11"/>
        <v/>
      </c>
      <c r="L246" s="4" t="str">
        <f>IF($A246="","",IF(INDEX(tbl_plan[計画状態],ROW()-1)="キャンセル","キャンセル",IF(J246=0,"発送済",IF(K246&gt;0,"要搬出","OK"))))</f>
        <v/>
      </c>
      <c r="M246" s="8">
        <f t="array" ref="M246">_xlfn.LET(
_xlpm.計画状態,IFERROR(INDEX(tbl_plan[計画状態],ROW()-1)&amp;"",""),
_xlpm.必要数,IFERROR(N(INDEX(tbl_plan[必要数],ROW()-1)),0),
IF(_xlpm.計画状態="キャンセル",0,_xlpm.必要数))</f>
        <v>0</v>
      </c>
      <c r="N246" s="8" t="str">
        <f>IF($A246="","",_xlfn.LET(
_xlpm.搬入計,SUMIFS(tbl_ledger[数量],tbl_ledger[localId],$B246,tbl_ledger[イベント種類],"搬入"),
_xlpm.未割当発送,SUMIFS(tbl_ledger[数量],tbl_ledger[localId],$B246,tbl_ledger[イベント種類],"発送",tbl_ledger[ロットID],"="),
_xlpm.未割当倉庫戻し,SUMIFS(tbl_ledger[数量],tbl_ledger[localId],$B246,tbl_ledger[イベント種類],"倉庫戻し",tbl_ledger[ロットID],"="),
_xlpm.未割当不良,SUMIFS(tbl_ledger[数量],tbl_ledger[localId],$B246,tbl_ledger[イベント種類],"不良発生",tbl_ledger[ロットID],"="),
_xlpm.搬入計-_xlpm.未割当発送-_xlpm.未割当倉庫戻し-_xlpm.未割当不良))</f>
        <v/>
      </c>
      <c r="O246" s="8" t="str">
        <f t="array" ref="O246">IF($A246="","",_xlfn.LET(
_xlpm.同品番,($B$2:$B$301=$B246),
_xlpm.週が前,($C$2:$C$301&lt;$C246),
_xlpm.同週で上行,($C$2:$C$301=$C246)*(ROW($C$2:$C$301)&lt;ROW()),
SUMPRODUCT(_xlpm.同品番*(_xlpm.週が前+_xlpm.同週で上行)*$M$2:$M$301)))</f>
        <v/>
      </c>
    </row>
    <row r="247" spans="1:15" ht="15" customHeight="1" x14ac:dyDescent="0.25">
      <c r="A247" s="4" t="str">
        <f>IFERROR(INDEX(tbl_plan[ロットID],ROW()-1),"")</f>
        <v/>
      </c>
      <c r="B247" s="4" t="str">
        <f>IF($A247="","",INDEX(tbl_plan[localId],ROW()-1))</f>
        <v/>
      </c>
      <c r="C247" s="11" t="str">
        <f>IF($A247="","",INDEX(tbl_plan[出荷週],ROW()-1))</f>
        <v/>
      </c>
      <c r="D247" s="4" t="str">
        <f>IF($A247="","",INDEX(tbl_plan[納期先],ROW()-1)&amp;"")</f>
        <v/>
      </c>
      <c r="E247" s="8" t="str">
        <f>IF($A247="","",INDEX(tbl_plan[必要数],ROW()-1))</f>
        <v/>
      </c>
      <c r="F247" s="8" t="str">
        <f t="shared" si="9"/>
        <v/>
      </c>
      <c r="G247" s="8" t="str">
        <f>IF($A247="","",SUMIFS(tbl_ledger[数量],tbl_ledger[ロットID],$A247,tbl_ledger[イベント種類],"発送"))</f>
        <v/>
      </c>
      <c r="H247" s="8" t="str">
        <f>IF($A247="","",_xlfn.LET(
_xlpm.割当,F247,
_xlpm.充当受入,SUMIFS(tbl_ledger[数量],tbl_ledger[充当先ロットID],$A247,tbl_ledger[イベント種類],"充当"),
_xlpm.充当放出,SUMIFS(tbl_ledger[数量],tbl_ledger[ロットID],$A247,tbl_ledger[イベント種類],"充当"),
_xlpm.発送済,G247,
_xlpm.倉庫戻し,SUMIFS(tbl_ledger[数量],tbl_ledger[ロットID],$A247,tbl_ledger[イベント種類],"倉庫戻し"),
_xlpm.余剰化,SUMIFS(tbl_ledger[数量],tbl_ledger[ロットID],$A247,tbl_ledger[イベント種類],"余剰化"),
_xlpm.不良,SUMIFS(tbl_ledger[数量],tbl_ledger[ロットID],$A247,tbl_ledger[イベント種類],"不良発生"),
_xlpm.割当+_xlpm.充当受入-_xlpm.充当放出-_xlpm.発送済-_xlpm.倉庫戻し-_xlpm.余剰化-_xlpm.不良))</f>
        <v/>
      </c>
      <c r="I247" s="8" t="str">
        <f>IF($A247="","",_xlfn.LET(
_xlpm.品番プール,N247,
_xlpm.割当計,SUMIF($B$2:$B$301,$B247,$F$2:$F$301),
_xlpm.余剰化受入,SUMIFS(tbl_ledger[数量],tbl_ledger[localId],$B247,tbl_ledger[イベント種類],"余剰化"),
_xlpm.充当払出,SUMIFS(tbl_ledger[数量],tbl_ledger[localId],$B247,tbl_ledger[イベント種類],"充当",tbl_ledger[ロットID],"="),
_xlpm.品番プール-_xlpm.割当計+_xlpm.余剰化受入-_xlpm.充当払出))</f>
        <v/>
      </c>
      <c r="J247" s="8" t="str">
        <f t="shared" si="10"/>
        <v/>
      </c>
      <c r="K247" s="8" t="str">
        <f t="shared" si="11"/>
        <v/>
      </c>
      <c r="L247" s="4" t="str">
        <f>IF($A247="","",IF(INDEX(tbl_plan[計画状態],ROW()-1)="キャンセル","キャンセル",IF(J247=0,"発送済",IF(K247&gt;0,"要搬出","OK"))))</f>
        <v/>
      </c>
      <c r="M247" s="8">
        <f t="array" ref="M247">_xlfn.LET(
_xlpm.計画状態,IFERROR(INDEX(tbl_plan[計画状態],ROW()-1)&amp;"",""),
_xlpm.必要数,IFERROR(N(INDEX(tbl_plan[必要数],ROW()-1)),0),
IF(_xlpm.計画状態="キャンセル",0,_xlpm.必要数))</f>
        <v>0</v>
      </c>
      <c r="N247" s="8" t="str">
        <f>IF($A247="","",_xlfn.LET(
_xlpm.搬入計,SUMIFS(tbl_ledger[数量],tbl_ledger[localId],$B247,tbl_ledger[イベント種類],"搬入"),
_xlpm.未割当発送,SUMIFS(tbl_ledger[数量],tbl_ledger[localId],$B247,tbl_ledger[イベント種類],"発送",tbl_ledger[ロットID],"="),
_xlpm.未割当倉庫戻し,SUMIFS(tbl_ledger[数量],tbl_ledger[localId],$B247,tbl_ledger[イベント種類],"倉庫戻し",tbl_ledger[ロットID],"="),
_xlpm.未割当不良,SUMIFS(tbl_ledger[数量],tbl_ledger[localId],$B247,tbl_ledger[イベント種類],"不良発生",tbl_ledger[ロットID],"="),
_xlpm.搬入計-_xlpm.未割当発送-_xlpm.未割当倉庫戻し-_xlpm.未割当不良))</f>
        <v/>
      </c>
      <c r="O247" s="8" t="str">
        <f t="array" ref="O247">IF($A247="","",_xlfn.LET(
_xlpm.同品番,($B$2:$B$301=$B247),
_xlpm.週が前,($C$2:$C$301&lt;$C247),
_xlpm.同週で上行,($C$2:$C$301=$C247)*(ROW($C$2:$C$301)&lt;ROW()),
SUMPRODUCT(_xlpm.同品番*(_xlpm.週が前+_xlpm.同週で上行)*$M$2:$M$301)))</f>
        <v/>
      </c>
    </row>
    <row r="248" spans="1:15" ht="15" customHeight="1" x14ac:dyDescent="0.25">
      <c r="A248" s="4" t="str">
        <f>IFERROR(INDEX(tbl_plan[ロットID],ROW()-1),"")</f>
        <v/>
      </c>
      <c r="B248" s="4" t="str">
        <f>IF($A248="","",INDEX(tbl_plan[localId],ROW()-1))</f>
        <v/>
      </c>
      <c r="C248" s="11" t="str">
        <f>IF($A248="","",INDEX(tbl_plan[出荷週],ROW()-1))</f>
        <v/>
      </c>
      <c r="D248" s="4" t="str">
        <f>IF($A248="","",INDEX(tbl_plan[納期先],ROW()-1)&amp;"")</f>
        <v/>
      </c>
      <c r="E248" s="8" t="str">
        <f>IF($A248="","",INDEX(tbl_plan[必要数],ROW()-1))</f>
        <v/>
      </c>
      <c r="F248" s="8" t="str">
        <f t="shared" si="9"/>
        <v/>
      </c>
      <c r="G248" s="8" t="str">
        <f>IF($A248="","",SUMIFS(tbl_ledger[数量],tbl_ledger[ロットID],$A248,tbl_ledger[イベント種類],"発送"))</f>
        <v/>
      </c>
      <c r="H248" s="8" t="str">
        <f>IF($A248="","",_xlfn.LET(
_xlpm.割当,F248,
_xlpm.充当受入,SUMIFS(tbl_ledger[数量],tbl_ledger[充当先ロットID],$A248,tbl_ledger[イベント種類],"充当"),
_xlpm.充当放出,SUMIFS(tbl_ledger[数量],tbl_ledger[ロットID],$A248,tbl_ledger[イベント種類],"充当"),
_xlpm.発送済,G248,
_xlpm.倉庫戻し,SUMIFS(tbl_ledger[数量],tbl_ledger[ロットID],$A248,tbl_ledger[イベント種類],"倉庫戻し"),
_xlpm.余剰化,SUMIFS(tbl_ledger[数量],tbl_ledger[ロットID],$A248,tbl_ledger[イベント種類],"余剰化"),
_xlpm.不良,SUMIFS(tbl_ledger[数量],tbl_ledger[ロットID],$A248,tbl_ledger[イベント種類],"不良発生"),
_xlpm.割当+_xlpm.充当受入-_xlpm.充当放出-_xlpm.発送済-_xlpm.倉庫戻し-_xlpm.余剰化-_xlpm.不良))</f>
        <v/>
      </c>
      <c r="I248" s="8" t="str">
        <f>IF($A248="","",_xlfn.LET(
_xlpm.品番プール,N248,
_xlpm.割当計,SUMIF($B$2:$B$301,$B248,$F$2:$F$301),
_xlpm.余剰化受入,SUMIFS(tbl_ledger[数量],tbl_ledger[localId],$B248,tbl_ledger[イベント種類],"余剰化"),
_xlpm.充当払出,SUMIFS(tbl_ledger[数量],tbl_ledger[localId],$B248,tbl_ledger[イベント種類],"充当",tbl_ledger[ロットID],"="),
_xlpm.品番プール-_xlpm.割当計+_xlpm.余剰化受入-_xlpm.充当払出))</f>
        <v/>
      </c>
      <c r="J248" s="8" t="str">
        <f t="shared" si="10"/>
        <v/>
      </c>
      <c r="K248" s="8" t="str">
        <f t="shared" si="11"/>
        <v/>
      </c>
      <c r="L248" s="4" t="str">
        <f>IF($A248="","",IF(INDEX(tbl_plan[計画状態],ROW()-1)="キャンセル","キャンセル",IF(J248=0,"発送済",IF(K248&gt;0,"要搬出","OK"))))</f>
        <v/>
      </c>
      <c r="M248" s="8">
        <f t="array" ref="M248">_xlfn.LET(
_xlpm.計画状態,IFERROR(INDEX(tbl_plan[計画状態],ROW()-1)&amp;"",""),
_xlpm.必要数,IFERROR(N(INDEX(tbl_plan[必要数],ROW()-1)),0),
IF(_xlpm.計画状態="キャンセル",0,_xlpm.必要数))</f>
        <v>0</v>
      </c>
      <c r="N248" s="8" t="str">
        <f>IF($A248="","",_xlfn.LET(
_xlpm.搬入計,SUMIFS(tbl_ledger[数量],tbl_ledger[localId],$B248,tbl_ledger[イベント種類],"搬入"),
_xlpm.未割当発送,SUMIFS(tbl_ledger[数量],tbl_ledger[localId],$B248,tbl_ledger[イベント種類],"発送",tbl_ledger[ロットID],"="),
_xlpm.未割当倉庫戻し,SUMIFS(tbl_ledger[数量],tbl_ledger[localId],$B248,tbl_ledger[イベント種類],"倉庫戻し",tbl_ledger[ロットID],"="),
_xlpm.未割当不良,SUMIFS(tbl_ledger[数量],tbl_ledger[localId],$B248,tbl_ledger[イベント種類],"不良発生",tbl_ledger[ロットID],"="),
_xlpm.搬入計-_xlpm.未割当発送-_xlpm.未割当倉庫戻し-_xlpm.未割当不良))</f>
        <v/>
      </c>
      <c r="O248" s="8" t="str">
        <f t="array" ref="O248">IF($A248="","",_xlfn.LET(
_xlpm.同品番,($B$2:$B$301=$B248),
_xlpm.週が前,($C$2:$C$301&lt;$C248),
_xlpm.同週で上行,($C$2:$C$301=$C248)*(ROW($C$2:$C$301)&lt;ROW()),
SUMPRODUCT(_xlpm.同品番*(_xlpm.週が前+_xlpm.同週で上行)*$M$2:$M$301)))</f>
        <v/>
      </c>
    </row>
    <row r="249" spans="1:15" ht="15" customHeight="1" x14ac:dyDescent="0.25">
      <c r="A249" s="4" t="str">
        <f>IFERROR(INDEX(tbl_plan[ロットID],ROW()-1),"")</f>
        <v/>
      </c>
      <c r="B249" s="4" t="str">
        <f>IF($A249="","",INDEX(tbl_plan[localId],ROW()-1))</f>
        <v/>
      </c>
      <c r="C249" s="11" t="str">
        <f>IF($A249="","",INDEX(tbl_plan[出荷週],ROW()-1))</f>
        <v/>
      </c>
      <c r="D249" s="4" t="str">
        <f>IF($A249="","",INDEX(tbl_plan[納期先],ROW()-1)&amp;"")</f>
        <v/>
      </c>
      <c r="E249" s="8" t="str">
        <f>IF($A249="","",INDEX(tbl_plan[必要数],ROW()-1))</f>
        <v/>
      </c>
      <c r="F249" s="8" t="str">
        <f t="shared" si="9"/>
        <v/>
      </c>
      <c r="G249" s="8" t="str">
        <f>IF($A249="","",SUMIFS(tbl_ledger[数量],tbl_ledger[ロットID],$A249,tbl_ledger[イベント種類],"発送"))</f>
        <v/>
      </c>
      <c r="H249" s="8" t="str">
        <f>IF($A249="","",_xlfn.LET(
_xlpm.割当,F249,
_xlpm.充当受入,SUMIFS(tbl_ledger[数量],tbl_ledger[充当先ロットID],$A249,tbl_ledger[イベント種類],"充当"),
_xlpm.充当放出,SUMIFS(tbl_ledger[数量],tbl_ledger[ロットID],$A249,tbl_ledger[イベント種類],"充当"),
_xlpm.発送済,G249,
_xlpm.倉庫戻し,SUMIFS(tbl_ledger[数量],tbl_ledger[ロットID],$A249,tbl_ledger[イベント種類],"倉庫戻し"),
_xlpm.余剰化,SUMIFS(tbl_ledger[数量],tbl_ledger[ロットID],$A249,tbl_ledger[イベント種類],"余剰化"),
_xlpm.不良,SUMIFS(tbl_ledger[数量],tbl_ledger[ロットID],$A249,tbl_ledger[イベント種類],"不良発生"),
_xlpm.割当+_xlpm.充当受入-_xlpm.充当放出-_xlpm.発送済-_xlpm.倉庫戻し-_xlpm.余剰化-_xlpm.不良))</f>
        <v/>
      </c>
      <c r="I249" s="8" t="str">
        <f>IF($A249="","",_xlfn.LET(
_xlpm.品番プール,N249,
_xlpm.割当計,SUMIF($B$2:$B$301,$B249,$F$2:$F$301),
_xlpm.余剰化受入,SUMIFS(tbl_ledger[数量],tbl_ledger[localId],$B249,tbl_ledger[イベント種類],"余剰化"),
_xlpm.充当払出,SUMIFS(tbl_ledger[数量],tbl_ledger[localId],$B249,tbl_ledger[イベント種類],"充当",tbl_ledger[ロットID],"="),
_xlpm.品番プール-_xlpm.割当計+_xlpm.余剰化受入-_xlpm.充当払出))</f>
        <v/>
      </c>
      <c r="J249" s="8" t="str">
        <f t="shared" si="10"/>
        <v/>
      </c>
      <c r="K249" s="8" t="str">
        <f t="shared" si="11"/>
        <v/>
      </c>
      <c r="L249" s="4" t="str">
        <f>IF($A249="","",IF(INDEX(tbl_plan[計画状態],ROW()-1)="キャンセル","キャンセル",IF(J249=0,"発送済",IF(K249&gt;0,"要搬出","OK"))))</f>
        <v/>
      </c>
      <c r="M249" s="8">
        <f t="array" ref="M249">_xlfn.LET(
_xlpm.計画状態,IFERROR(INDEX(tbl_plan[計画状態],ROW()-1)&amp;"",""),
_xlpm.必要数,IFERROR(N(INDEX(tbl_plan[必要数],ROW()-1)),0),
IF(_xlpm.計画状態="キャンセル",0,_xlpm.必要数))</f>
        <v>0</v>
      </c>
      <c r="N249" s="8" t="str">
        <f>IF($A249="","",_xlfn.LET(
_xlpm.搬入計,SUMIFS(tbl_ledger[数量],tbl_ledger[localId],$B249,tbl_ledger[イベント種類],"搬入"),
_xlpm.未割当発送,SUMIFS(tbl_ledger[数量],tbl_ledger[localId],$B249,tbl_ledger[イベント種類],"発送",tbl_ledger[ロットID],"="),
_xlpm.未割当倉庫戻し,SUMIFS(tbl_ledger[数量],tbl_ledger[localId],$B249,tbl_ledger[イベント種類],"倉庫戻し",tbl_ledger[ロットID],"="),
_xlpm.未割当不良,SUMIFS(tbl_ledger[数量],tbl_ledger[localId],$B249,tbl_ledger[イベント種類],"不良発生",tbl_ledger[ロットID],"="),
_xlpm.搬入計-_xlpm.未割当発送-_xlpm.未割当倉庫戻し-_xlpm.未割当不良))</f>
        <v/>
      </c>
      <c r="O249" s="8" t="str">
        <f t="array" ref="O249">IF($A249="","",_xlfn.LET(
_xlpm.同品番,($B$2:$B$301=$B249),
_xlpm.週が前,($C$2:$C$301&lt;$C249),
_xlpm.同週で上行,($C$2:$C$301=$C249)*(ROW($C$2:$C$301)&lt;ROW()),
SUMPRODUCT(_xlpm.同品番*(_xlpm.週が前+_xlpm.同週で上行)*$M$2:$M$301)))</f>
        <v/>
      </c>
    </row>
    <row r="250" spans="1:15" ht="15" customHeight="1" x14ac:dyDescent="0.25">
      <c r="A250" s="4" t="str">
        <f>IFERROR(INDEX(tbl_plan[ロットID],ROW()-1),"")</f>
        <v/>
      </c>
      <c r="B250" s="4" t="str">
        <f>IF($A250="","",INDEX(tbl_plan[localId],ROW()-1))</f>
        <v/>
      </c>
      <c r="C250" s="11" t="str">
        <f>IF($A250="","",INDEX(tbl_plan[出荷週],ROW()-1))</f>
        <v/>
      </c>
      <c r="D250" s="4" t="str">
        <f>IF($A250="","",INDEX(tbl_plan[納期先],ROW()-1)&amp;"")</f>
        <v/>
      </c>
      <c r="E250" s="8" t="str">
        <f>IF($A250="","",INDEX(tbl_plan[必要数],ROW()-1))</f>
        <v/>
      </c>
      <c r="F250" s="8" t="str">
        <f t="shared" si="9"/>
        <v/>
      </c>
      <c r="G250" s="8" t="str">
        <f>IF($A250="","",SUMIFS(tbl_ledger[数量],tbl_ledger[ロットID],$A250,tbl_ledger[イベント種類],"発送"))</f>
        <v/>
      </c>
      <c r="H250" s="8" t="str">
        <f>IF($A250="","",_xlfn.LET(
_xlpm.割当,F250,
_xlpm.充当受入,SUMIFS(tbl_ledger[数量],tbl_ledger[充当先ロットID],$A250,tbl_ledger[イベント種類],"充当"),
_xlpm.充当放出,SUMIFS(tbl_ledger[数量],tbl_ledger[ロットID],$A250,tbl_ledger[イベント種類],"充当"),
_xlpm.発送済,G250,
_xlpm.倉庫戻し,SUMIFS(tbl_ledger[数量],tbl_ledger[ロットID],$A250,tbl_ledger[イベント種類],"倉庫戻し"),
_xlpm.余剰化,SUMIFS(tbl_ledger[数量],tbl_ledger[ロットID],$A250,tbl_ledger[イベント種類],"余剰化"),
_xlpm.不良,SUMIFS(tbl_ledger[数量],tbl_ledger[ロットID],$A250,tbl_ledger[イベント種類],"不良発生"),
_xlpm.割当+_xlpm.充当受入-_xlpm.充当放出-_xlpm.発送済-_xlpm.倉庫戻し-_xlpm.余剰化-_xlpm.不良))</f>
        <v/>
      </c>
      <c r="I250" s="8" t="str">
        <f>IF($A250="","",_xlfn.LET(
_xlpm.品番プール,N250,
_xlpm.割当計,SUMIF($B$2:$B$301,$B250,$F$2:$F$301),
_xlpm.余剰化受入,SUMIFS(tbl_ledger[数量],tbl_ledger[localId],$B250,tbl_ledger[イベント種類],"余剰化"),
_xlpm.充当払出,SUMIFS(tbl_ledger[数量],tbl_ledger[localId],$B250,tbl_ledger[イベント種類],"充当",tbl_ledger[ロットID],"="),
_xlpm.品番プール-_xlpm.割当計+_xlpm.余剰化受入-_xlpm.充当払出))</f>
        <v/>
      </c>
      <c r="J250" s="8" t="str">
        <f t="shared" si="10"/>
        <v/>
      </c>
      <c r="K250" s="8" t="str">
        <f t="shared" si="11"/>
        <v/>
      </c>
      <c r="L250" s="4" t="str">
        <f>IF($A250="","",IF(INDEX(tbl_plan[計画状態],ROW()-1)="キャンセル","キャンセル",IF(J250=0,"発送済",IF(K250&gt;0,"要搬出","OK"))))</f>
        <v/>
      </c>
      <c r="M250" s="8">
        <f t="array" ref="M250">_xlfn.LET(
_xlpm.計画状態,IFERROR(INDEX(tbl_plan[計画状態],ROW()-1)&amp;"",""),
_xlpm.必要数,IFERROR(N(INDEX(tbl_plan[必要数],ROW()-1)),0),
IF(_xlpm.計画状態="キャンセル",0,_xlpm.必要数))</f>
        <v>0</v>
      </c>
      <c r="N250" s="8" t="str">
        <f>IF($A250="","",_xlfn.LET(
_xlpm.搬入計,SUMIFS(tbl_ledger[数量],tbl_ledger[localId],$B250,tbl_ledger[イベント種類],"搬入"),
_xlpm.未割当発送,SUMIFS(tbl_ledger[数量],tbl_ledger[localId],$B250,tbl_ledger[イベント種類],"発送",tbl_ledger[ロットID],"="),
_xlpm.未割当倉庫戻し,SUMIFS(tbl_ledger[数量],tbl_ledger[localId],$B250,tbl_ledger[イベント種類],"倉庫戻し",tbl_ledger[ロットID],"="),
_xlpm.未割当不良,SUMIFS(tbl_ledger[数量],tbl_ledger[localId],$B250,tbl_ledger[イベント種類],"不良発生",tbl_ledger[ロットID],"="),
_xlpm.搬入計-_xlpm.未割当発送-_xlpm.未割当倉庫戻し-_xlpm.未割当不良))</f>
        <v/>
      </c>
      <c r="O250" s="8" t="str">
        <f t="array" ref="O250">IF($A250="","",_xlfn.LET(
_xlpm.同品番,($B$2:$B$301=$B250),
_xlpm.週が前,($C$2:$C$301&lt;$C250),
_xlpm.同週で上行,($C$2:$C$301=$C250)*(ROW($C$2:$C$301)&lt;ROW()),
SUMPRODUCT(_xlpm.同品番*(_xlpm.週が前+_xlpm.同週で上行)*$M$2:$M$301)))</f>
        <v/>
      </c>
    </row>
    <row r="251" spans="1:15" ht="15" customHeight="1" x14ac:dyDescent="0.25">
      <c r="A251" s="4" t="str">
        <f>IFERROR(INDEX(tbl_plan[ロットID],ROW()-1),"")</f>
        <v/>
      </c>
      <c r="B251" s="4" t="str">
        <f>IF($A251="","",INDEX(tbl_plan[localId],ROW()-1))</f>
        <v/>
      </c>
      <c r="C251" s="11" t="str">
        <f>IF($A251="","",INDEX(tbl_plan[出荷週],ROW()-1))</f>
        <v/>
      </c>
      <c r="D251" s="4" t="str">
        <f>IF($A251="","",INDEX(tbl_plan[納期先],ROW()-1)&amp;"")</f>
        <v/>
      </c>
      <c r="E251" s="8" t="str">
        <f>IF($A251="","",INDEX(tbl_plan[必要数],ROW()-1))</f>
        <v/>
      </c>
      <c r="F251" s="8" t="str">
        <f t="shared" si="9"/>
        <v/>
      </c>
      <c r="G251" s="8" t="str">
        <f>IF($A251="","",SUMIFS(tbl_ledger[数量],tbl_ledger[ロットID],$A251,tbl_ledger[イベント種類],"発送"))</f>
        <v/>
      </c>
      <c r="H251" s="8" t="str">
        <f>IF($A251="","",_xlfn.LET(
_xlpm.割当,F251,
_xlpm.充当受入,SUMIFS(tbl_ledger[数量],tbl_ledger[充当先ロットID],$A251,tbl_ledger[イベント種類],"充当"),
_xlpm.充当放出,SUMIFS(tbl_ledger[数量],tbl_ledger[ロットID],$A251,tbl_ledger[イベント種類],"充当"),
_xlpm.発送済,G251,
_xlpm.倉庫戻し,SUMIFS(tbl_ledger[数量],tbl_ledger[ロットID],$A251,tbl_ledger[イベント種類],"倉庫戻し"),
_xlpm.余剰化,SUMIFS(tbl_ledger[数量],tbl_ledger[ロットID],$A251,tbl_ledger[イベント種類],"余剰化"),
_xlpm.不良,SUMIFS(tbl_ledger[数量],tbl_ledger[ロットID],$A251,tbl_ledger[イベント種類],"不良発生"),
_xlpm.割当+_xlpm.充当受入-_xlpm.充当放出-_xlpm.発送済-_xlpm.倉庫戻し-_xlpm.余剰化-_xlpm.不良))</f>
        <v/>
      </c>
      <c r="I251" s="8" t="str">
        <f>IF($A251="","",_xlfn.LET(
_xlpm.品番プール,N251,
_xlpm.割当計,SUMIF($B$2:$B$301,$B251,$F$2:$F$301),
_xlpm.余剰化受入,SUMIFS(tbl_ledger[数量],tbl_ledger[localId],$B251,tbl_ledger[イベント種類],"余剰化"),
_xlpm.充当払出,SUMIFS(tbl_ledger[数量],tbl_ledger[localId],$B251,tbl_ledger[イベント種類],"充当",tbl_ledger[ロットID],"="),
_xlpm.品番プール-_xlpm.割当計+_xlpm.余剰化受入-_xlpm.充当払出))</f>
        <v/>
      </c>
      <c r="J251" s="8" t="str">
        <f t="shared" si="10"/>
        <v/>
      </c>
      <c r="K251" s="8" t="str">
        <f t="shared" si="11"/>
        <v/>
      </c>
      <c r="L251" s="4" t="str">
        <f>IF($A251="","",IF(INDEX(tbl_plan[計画状態],ROW()-1)="キャンセル","キャンセル",IF(J251=0,"発送済",IF(K251&gt;0,"要搬出","OK"))))</f>
        <v/>
      </c>
      <c r="M251" s="8">
        <f t="array" ref="M251">_xlfn.LET(
_xlpm.計画状態,IFERROR(INDEX(tbl_plan[計画状態],ROW()-1)&amp;"",""),
_xlpm.必要数,IFERROR(N(INDEX(tbl_plan[必要数],ROW()-1)),0),
IF(_xlpm.計画状態="キャンセル",0,_xlpm.必要数))</f>
        <v>0</v>
      </c>
      <c r="N251" s="8" t="str">
        <f>IF($A251="","",_xlfn.LET(
_xlpm.搬入計,SUMIFS(tbl_ledger[数量],tbl_ledger[localId],$B251,tbl_ledger[イベント種類],"搬入"),
_xlpm.未割当発送,SUMIFS(tbl_ledger[数量],tbl_ledger[localId],$B251,tbl_ledger[イベント種類],"発送",tbl_ledger[ロットID],"="),
_xlpm.未割当倉庫戻し,SUMIFS(tbl_ledger[数量],tbl_ledger[localId],$B251,tbl_ledger[イベント種類],"倉庫戻し",tbl_ledger[ロットID],"="),
_xlpm.未割当不良,SUMIFS(tbl_ledger[数量],tbl_ledger[localId],$B251,tbl_ledger[イベント種類],"不良発生",tbl_ledger[ロットID],"="),
_xlpm.搬入計-_xlpm.未割当発送-_xlpm.未割当倉庫戻し-_xlpm.未割当不良))</f>
        <v/>
      </c>
      <c r="O251" s="8" t="str">
        <f t="array" ref="O251">IF($A251="","",_xlfn.LET(
_xlpm.同品番,($B$2:$B$301=$B251),
_xlpm.週が前,($C$2:$C$301&lt;$C251),
_xlpm.同週で上行,($C$2:$C$301=$C251)*(ROW($C$2:$C$301)&lt;ROW()),
SUMPRODUCT(_xlpm.同品番*(_xlpm.週が前+_xlpm.同週で上行)*$M$2:$M$301)))</f>
        <v/>
      </c>
    </row>
    <row r="252" spans="1:15" ht="15" customHeight="1" x14ac:dyDescent="0.25">
      <c r="A252" s="4" t="str">
        <f>IFERROR(INDEX(tbl_plan[ロットID],ROW()-1),"")</f>
        <v/>
      </c>
      <c r="B252" s="4" t="str">
        <f>IF($A252="","",INDEX(tbl_plan[localId],ROW()-1))</f>
        <v/>
      </c>
      <c r="C252" s="11" t="str">
        <f>IF($A252="","",INDEX(tbl_plan[出荷週],ROW()-1))</f>
        <v/>
      </c>
      <c r="D252" s="4" t="str">
        <f>IF($A252="","",INDEX(tbl_plan[納期先],ROW()-1)&amp;"")</f>
        <v/>
      </c>
      <c r="E252" s="8" t="str">
        <f>IF($A252="","",INDEX(tbl_plan[必要数],ROW()-1))</f>
        <v/>
      </c>
      <c r="F252" s="8" t="str">
        <f t="shared" si="9"/>
        <v/>
      </c>
      <c r="G252" s="8" t="str">
        <f>IF($A252="","",SUMIFS(tbl_ledger[数量],tbl_ledger[ロットID],$A252,tbl_ledger[イベント種類],"発送"))</f>
        <v/>
      </c>
      <c r="H252" s="8" t="str">
        <f>IF($A252="","",_xlfn.LET(
_xlpm.割当,F252,
_xlpm.充当受入,SUMIFS(tbl_ledger[数量],tbl_ledger[充当先ロットID],$A252,tbl_ledger[イベント種類],"充当"),
_xlpm.充当放出,SUMIFS(tbl_ledger[数量],tbl_ledger[ロットID],$A252,tbl_ledger[イベント種類],"充当"),
_xlpm.発送済,G252,
_xlpm.倉庫戻し,SUMIFS(tbl_ledger[数量],tbl_ledger[ロットID],$A252,tbl_ledger[イベント種類],"倉庫戻し"),
_xlpm.余剰化,SUMIFS(tbl_ledger[数量],tbl_ledger[ロットID],$A252,tbl_ledger[イベント種類],"余剰化"),
_xlpm.不良,SUMIFS(tbl_ledger[数量],tbl_ledger[ロットID],$A252,tbl_ledger[イベント種類],"不良発生"),
_xlpm.割当+_xlpm.充当受入-_xlpm.充当放出-_xlpm.発送済-_xlpm.倉庫戻し-_xlpm.余剰化-_xlpm.不良))</f>
        <v/>
      </c>
      <c r="I252" s="8" t="str">
        <f>IF($A252="","",_xlfn.LET(
_xlpm.品番プール,N252,
_xlpm.割当計,SUMIF($B$2:$B$301,$B252,$F$2:$F$301),
_xlpm.余剰化受入,SUMIFS(tbl_ledger[数量],tbl_ledger[localId],$B252,tbl_ledger[イベント種類],"余剰化"),
_xlpm.充当払出,SUMIFS(tbl_ledger[数量],tbl_ledger[localId],$B252,tbl_ledger[イベント種類],"充当",tbl_ledger[ロットID],"="),
_xlpm.品番プール-_xlpm.割当計+_xlpm.余剰化受入-_xlpm.充当払出))</f>
        <v/>
      </c>
      <c r="J252" s="8" t="str">
        <f t="shared" si="10"/>
        <v/>
      </c>
      <c r="K252" s="8" t="str">
        <f t="shared" si="11"/>
        <v/>
      </c>
      <c r="L252" s="4" t="str">
        <f>IF($A252="","",IF(INDEX(tbl_plan[計画状態],ROW()-1)="キャンセル","キャンセル",IF(J252=0,"発送済",IF(K252&gt;0,"要搬出","OK"))))</f>
        <v/>
      </c>
      <c r="M252" s="8">
        <f t="array" ref="M252">_xlfn.LET(
_xlpm.計画状態,IFERROR(INDEX(tbl_plan[計画状態],ROW()-1)&amp;"",""),
_xlpm.必要数,IFERROR(N(INDEX(tbl_plan[必要数],ROW()-1)),0),
IF(_xlpm.計画状態="キャンセル",0,_xlpm.必要数))</f>
        <v>0</v>
      </c>
      <c r="N252" s="8" t="str">
        <f>IF($A252="","",_xlfn.LET(
_xlpm.搬入計,SUMIFS(tbl_ledger[数量],tbl_ledger[localId],$B252,tbl_ledger[イベント種類],"搬入"),
_xlpm.未割当発送,SUMIFS(tbl_ledger[数量],tbl_ledger[localId],$B252,tbl_ledger[イベント種類],"発送",tbl_ledger[ロットID],"="),
_xlpm.未割当倉庫戻し,SUMIFS(tbl_ledger[数量],tbl_ledger[localId],$B252,tbl_ledger[イベント種類],"倉庫戻し",tbl_ledger[ロットID],"="),
_xlpm.未割当不良,SUMIFS(tbl_ledger[数量],tbl_ledger[localId],$B252,tbl_ledger[イベント種類],"不良発生",tbl_ledger[ロットID],"="),
_xlpm.搬入計-_xlpm.未割当発送-_xlpm.未割当倉庫戻し-_xlpm.未割当不良))</f>
        <v/>
      </c>
      <c r="O252" s="8" t="str">
        <f t="array" ref="O252">IF($A252="","",_xlfn.LET(
_xlpm.同品番,($B$2:$B$301=$B252),
_xlpm.週が前,($C$2:$C$301&lt;$C252),
_xlpm.同週で上行,($C$2:$C$301=$C252)*(ROW($C$2:$C$301)&lt;ROW()),
SUMPRODUCT(_xlpm.同品番*(_xlpm.週が前+_xlpm.同週で上行)*$M$2:$M$301)))</f>
        <v/>
      </c>
    </row>
    <row r="253" spans="1:15" ht="15" customHeight="1" x14ac:dyDescent="0.25">
      <c r="A253" s="4" t="str">
        <f>IFERROR(INDEX(tbl_plan[ロットID],ROW()-1),"")</f>
        <v/>
      </c>
      <c r="B253" s="4" t="str">
        <f>IF($A253="","",INDEX(tbl_plan[localId],ROW()-1))</f>
        <v/>
      </c>
      <c r="C253" s="11" t="str">
        <f>IF($A253="","",INDEX(tbl_plan[出荷週],ROW()-1))</f>
        <v/>
      </c>
      <c r="D253" s="4" t="str">
        <f>IF($A253="","",INDEX(tbl_plan[納期先],ROW()-1)&amp;"")</f>
        <v/>
      </c>
      <c r="E253" s="8" t="str">
        <f>IF($A253="","",INDEX(tbl_plan[必要数],ROW()-1))</f>
        <v/>
      </c>
      <c r="F253" s="8" t="str">
        <f t="shared" si="9"/>
        <v/>
      </c>
      <c r="G253" s="8" t="str">
        <f>IF($A253="","",SUMIFS(tbl_ledger[数量],tbl_ledger[ロットID],$A253,tbl_ledger[イベント種類],"発送"))</f>
        <v/>
      </c>
      <c r="H253" s="8" t="str">
        <f>IF($A253="","",_xlfn.LET(
_xlpm.割当,F253,
_xlpm.充当受入,SUMIFS(tbl_ledger[数量],tbl_ledger[充当先ロットID],$A253,tbl_ledger[イベント種類],"充当"),
_xlpm.充当放出,SUMIFS(tbl_ledger[数量],tbl_ledger[ロットID],$A253,tbl_ledger[イベント種類],"充当"),
_xlpm.発送済,G253,
_xlpm.倉庫戻し,SUMIFS(tbl_ledger[数量],tbl_ledger[ロットID],$A253,tbl_ledger[イベント種類],"倉庫戻し"),
_xlpm.余剰化,SUMIFS(tbl_ledger[数量],tbl_ledger[ロットID],$A253,tbl_ledger[イベント種類],"余剰化"),
_xlpm.不良,SUMIFS(tbl_ledger[数量],tbl_ledger[ロットID],$A253,tbl_ledger[イベント種類],"不良発生"),
_xlpm.割当+_xlpm.充当受入-_xlpm.充当放出-_xlpm.発送済-_xlpm.倉庫戻し-_xlpm.余剰化-_xlpm.不良))</f>
        <v/>
      </c>
      <c r="I253" s="8" t="str">
        <f>IF($A253="","",_xlfn.LET(
_xlpm.品番プール,N253,
_xlpm.割当計,SUMIF($B$2:$B$301,$B253,$F$2:$F$301),
_xlpm.余剰化受入,SUMIFS(tbl_ledger[数量],tbl_ledger[localId],$B253,tbl_ledger[イベント種類],"余剰化"),
_xlpm.充当払出,SUMIFS(tbl_ledger[数量],tbl_ledger[localId],$B253,tbl_ledger[イベント種類],"充当",tbl_ledger[ロットID],"="),
_xlpm.品番プール-_xlpm.割当計+_xlpm.余剰化受入-_xlpm.充当払出))</f>
        <v/>
      </c>
      <c r="J253" s="8" t="str">
        <f t="shared" si="10"/>
        <v/>
      </c>
      <c r="K253" s="8" t="str">
        <f t="shared" si="11"/>
        <v/>
      </c>
      <c r="L253" s="4" t="str">
        <f>IF($A253="","",IF(INDEX(tbl_plan[計画状態],ROW()-1)="キャンセル","キャンセル",IF(J253=0,"発送済",IF(K253&gt;0,"要搬出","OK"))))</f>
        <v/>
      </c>
      <c r="M253" s="8">
        <f t="array" ref="M253">_xlfn.LET(
_xlpm.計画状態,IFERROR(INDEX(tbl_plan[計画状態],ROW()-1)&amp;"",""),
_xlpm.必要数,IFERROR(N(INDEX(tbl_plan[必要数],ROW()-1)),0),
IF(_xlpm.計画状態="キャンセル",0,_xlpm.必要数))</f>
        <v>0</v>
      </c>
      <c r="N253" s="8" t="str">
        <f>IF($A253="","",_xlfn.LET(
_xlpm.搬入計,SUMIFS(tbl_ledger[数量],tbl_ledger[localId],$B253,tbl_ledger[イベント種類],"搬入"),
_xlpm.未割当発送,SUMIFS(tbl_ledger[数量],tbl_ledger[localId],$B253,tbl_ledger[イベント種類],"発送",tbl_ledger[ロットID],"="),
_xlpm.未割当倉庫戻し,SUMIFS(tbl_ledger[数量],tbl_ledger[localId],$B253,tbl_ledger[イベント種類],"倉庫戻し",tbl_ledger[ロットID],"="),
_xlpm.未割当不良,SUMIFS(tbl_ledger[数量],tbl_ledger[localId],$B253,tbl_ledger[イベント種類],"不良発生",tbl_ledger[ロットID],"="),
_xlpm.搬入計-_xlpm.未割当発送-_xlpm.未割当倉庫戻し-_xlpm.未割当不良))</f>
        <v/>
      </c>
      <c r="O253" s="8" t="str">
        <f t="array" ref="O253">IF($A253="","",_xlfn.LET(
_xlpm.同品番,($B$2:$B$301=$B253),
_xlpm.週が前,($C$2:$C$301&lt;$C253),
_xlpm.同週で上行,($C$2:$C$301=$C253)*(ROW($C$2:$C$301)&lt;ROW()),
SUMPRODUCT(_xlpm.同品番*(_xlpm.週が前+_xlpm.同週で上行)*$M$2:$M$301)))</f>
        <v/>
      </c>
    </row>
    <row r="254" spans="1:15" ht="15" customHeight="1" x14ac:dyDescent="0.25">
      <c r="A254" s="4" t="str">
        <f>IFERROR(INDEX(tbl_plan[ロットID],ROW()-1),"")</f>
        <v/>
      </c>
      <c r="B254" s="4" t="str">
        <f>IF($A254="","",INDEX(tbl_plan[localId],ROW()-1))</f>
        <v/>
      </c>
      <c r="C254" s="11" t="str">
        <f>IF($A254="","",INDEX(tbl_plan[出荷週],ROW()-1))</f>
        <v/>
      </c>
      <c r="D254" s="4" t="str">
        <f>IF($A254="","",INDEX(tbl_plan[納期先],ROW()-1)&amp;"")</f>
        <v/>
      </c>
      <c r="E254" s="8" t="str">
        <f>IF($A254="","",INDEX(tbl_plan[必要数],ROW()-1))</f>
        <v/>
      </c>
      <c r="F254" s="8" t="str">
        <f t="shared" si="9"/>
        <v/>
      </c>
      <c r="G254" s="8" t="str">
        <f>IF($A254="","",SUMIFS(tbl_ledger[数量],tbl_ledger[ロットID],$A254,tbl_ledger[イベント種類],"発送"))</f>
        <v/>
      </c>
      <c r="H254" s="8" t="str">
        <f>IF($A254="","",_xlfn.LET(
_xlpm.割当,F254,
_xlpm.充当受入,SUMIFS(tbl_ledger[数量],tbl_ledger[充当先ロットID],$A254,tbl_ledger[イベント種類],"充当"),
_xlpm.充当放出,SUMIFS(tbl_ledger[数量],tbl_ledger[ロットID],$A254,tbl_ledger[イベント種類],"充当"),
_xlpm.発送済,G254,
_xlpm.倉庫戻し,SUMIFS(tbl_ledger[数量],tbl_ledger[ロットID],$A254,tbl_ledger[イベント種類],"倉庫戻し"),
_xlpm.余剰化,SUMIFS(tbl_ledger[数量],tbl_ledger[ロットID],$A254,tbl_ledger[イベント種類],"余剰化"),
_xlpm.不良,SUMIFS(tbl_ledger[数量],tbl_ledger[ロットID],$A254,tbl_ledger[イベント種類],"不良発生"),
_xlpm.割当+_xlpm.充当受入-_xlpm.充当放出-_xlpm.発送済-_xlpm.倉庫戻し-_xlpm.余剰化-_xlpm.不良))</f>
        <v/>
      </c>
      <c r="I254" s="8" t="str">
        <f>IF($A254="","",_xlfn.LET(
_xlpm.品番プール,N254,
_xlpm.割当計,SUMIF($B$2:$B$301,$B254,$F$2:$F$301),
_xlpm.余剰化受入,SUMIFS(tbl_ledger[数量],tbl_ledger[localId],$B254,tbl_ledger[イベント種類],"余剰化"),
_xlpm.充当払出,SUMIFS(tbl_ledger[数量],tbl_ledger[localId],$B254,tbl_ledger[イベント種類],"充当",tbl_ledger[ロットID],"="),
_xlpm.品番プール-_xlpm.割当計+_xlpm.余剰化受入-_xlpm.充当払出))</f>
        <v/>
      </c>
      <c r="J254" s="8" t="str">
        <f t="shared" si="10"/>
        <v/>
      </c>
      <c r="K254" s="8" t="str">
        <f t="shared" si="11"/>
        <v/>
      </c>
      <c r="L254" s="4" t="str">
        <f>IF($A254="","",IF(INDEX(tbl_plan[計画状態],ROW()-1)="キャンセル","キャンセル",IF(J254=0,"発送済",IF(K254&gt;0,"要搬出","OK"))))</f>
        <v/>
      </c>
      <c r="M254" s="8">
        <f t="array" ref="M254">_xlfn.LET(
_xlpm.計画状態,IFERROR(INDEX(tbl_plan[計画状態],ROW()-1)&amp;"",""),
_xlpm.必要数,IFERROR(N(INDEX(tbl_plan[必要数],ROW()-1)),0),
IF(_xlpm.計画状態="キャンセル",0,_xlpm.必要数))</f>
        <v>0</v>
      </c>
      <c r="N254" s="8" t="str">
        <f>IF($A254="","",_xlfn.LET(
_xlpm.搬入計,SUMIFS(tbl_ledger[数量],tbl_ledger[localId],$B254,tbl_ledger[イベント種類],"搬入"),
_xlpm.未割当発送,SUMIFS(tbl_ledger[数量],tbl_ledger[localId],$B254,tbl_ledger[イベント種類],"発送",tbl_ledger[ロットID],"="),
_xlpm.未割当倉庫戻し,SUMIFS(tbl_ledger[数量],tbl_ledger[localId],$B254,tbl_ledger[イベント種類],"倉庫戻し",tbl_ledger[ロットID],"="),
_xlpm.未割当不良,SUMIFS(tbl_ledger[数量],tbl_ledger[localId],$B254,tbl_ledger[イベント種類],"不良発生",tbl_ledger[ロットID],"="),
_xlpm.搬入計-_xlpm.未割当発送-_xlpm.未割当倉庫戻し-_xlpm.未割当不良))</f>
        <v/>
      </c>
      <c r="O254" s="8" t="str">
        <f t="array" ref="O254">IF($A254="","",_xlfn.LET(
_xlpm.同品番,($B$2:$B$301=$B254),
_xlpm.週が前,($C$2:$C$301&lt;$C254),
_xlpm.同週で上行,($C$2:$C$301=$C254)*(ROW($C$2:$C$301)&lt;ROW()),
SUMPRODUCT(_xlpm.同品番*(_xlpm.週が前+_xlpm.同週で上行)*$M$2:$M$301)))</f>
        <v/>
      </c>
    </row>
    <row r="255" spans="1:15" ht="15" customHeight="1" x14ac:dyDescent="0.25">
      <c r="A255" s="4" t="str">
        <f>IFERROR(INDEX(tbl_plan[ロットID],ROW()-1),"")</f>
        <v/>
      </c>
      <c r="B255" s="4" t="str">
        <f>IF($A255="","",INDEX(tbl_plan[localId],ROW()-1))</f>
        <v/>
      </c>
      <c r="C255" s="11" t="str">
        <f>IF($A255="","",INDEX(tbl_plan[出荷週],ROW()-1))</f>
        <v/>
      </c>
      <c r="D255" s="4" t="str">
        <f>IF($A255="","",INDEX(tbl_plan[納期先],ROW()-1)&amp;"")</f>
        <v/>
      </c>
      <c r="E255" s="8" t="str">
        <f>IF($A255="","",INDEX(tbl_plan[必要数],ROW()-1))</f>
        <v/>
      </c>
      <c r="F255" s="8" t="str">
        <f t="shared" si="9"/>
        <v/>
      </c>
      <c r="G255" s="8" t="str">
        <f>IF($A255="","",SUMIFS(tbl_ledger[数量],tbl_ledger[ロットID],$A255,tbl_ledger[イベント種類],"発送"))</f>
        <v/>
      </c>
      <c r="H255" s="8" t="str">
        <f>IF($A255="","",_xlfn.LET(
_xlpm.割当,F255,
_xlpm.充当受入,SUMIFS(tbl_ledger[数量],tbl_ledger[充当先ロットID],$A255,tbl_ledger[イベント種類],"充当"),
_xlpm.充当放出,SUMIFS(tbl_ledger[数量],tbl_ledger[ロットID],$A255,tbl_ledger[イベント種類],"充当"),
_xlpm.発送済,G255,
_xlpm.倉庫戻し,SUMIFS(tbl_ledger[数量],tbl_ledger[ロットID],$A255,tbl_ledger[イベント種類],"倉庫戻し"),
_xlpm.余剰化,SUMIFS(tbl_ledger[数量],tbl_ledger[ロットID],$A255,tbl_ledger[イベント種類],"余剰化"),
_xlpm.不良,SUMIFS(tbl_ledger[数量],tbl_ledger[ロットID],$A255,tbl_ledger[イベント種類],"不良発生"),
_xlpm.割当+_xlpm.充当受入-_xlpm.充当放出-_xlpm.発送済-_xlpm.倉庫戻し-_xlpm.余剰化-_xlpm.不良))</f>
        <v/>
      </c>
      <c r="I255" s="8" t="str">
        <f>IF($A255="","",_xlfn.LET(
_xlpm.品番プール,N255,
_xlpm.割当計,SUMIF($B$2:$B$301,$B255,$F$2:$F$301),
_xlpm.余剰化受入,SUMIFS(tbl_ledger[数量],tbl_ledger[localId],$B255,tbl_ledger[イベント種類],"余剰化"),
_xlpm.充当払出,SUMIFS(tbl_ledger[数量],tbl_ledger[localId],$B255,tbl_ledger[イベント種類],"充当",tbl_ledger[ロットID],"="),
_xlpm.品番プール-_xlpm.割当計+_xlpm.余剰化受入-_xlpm.充当払出))</f>
        <v/>
      </c>
      <c r="J255" s="8" t="str">
        <f t="shared" si="10"/>
        <v/>
      </c>
      <c r="K255" s="8" t="str">
        <f t="shared" si="11"/>
        <v/>
      </c>
      <c r="L255" s="4" t="str">
        <f>IF($A255="","",IF(INDEX(tbl_plan[計画状態],ROW()-1)="キャンセル","キャンセル",IF(J255=0,"発送済",IF(K255&gt;0,"要搬出","OK"))))</f>
        <v/>
      </c>
      <c r="M255" s="8">
        <f t="array" ref="M255">_xlfn.LET(
_xlpm.計画状態,IFERROR(INDEX(tbl_plan[計画状態],ROW()-1)&amp;"",""),
_xlpm.必要数,IFERROR(N(INDEX(tbl_plan[必要数],ROW()-1)),0),
IF(_xlpm.計画状態="キャンセル",0,_xlpm.必要数))</f>
        <v>0</v>
      </c>
      <c r="N255" s="8" t="str">
        <f>IF($A255="","",_xlfn.LET(
_xlpm.搬入計,SUMIFS(tbl_ledger[数量],tbl_ledger[localId],$B255,tbl_ledger[イベント種類],"搬入"),
_xlpm.未割当発送,SUMIFS(tbl_ledger[数量],tbl_ledger[localId],$B255,tbl_ledger[イベント種類],"発送",tbl_ledger[ロットID],"="),
_xlpm.未割当倉庫戻し,SUMIFS(tbl_ledger[数量],tbl_ledger[localId],$B255,tbl_ledger[イベント種類],"倉庫戻し",tbl_ledger[ロットID],"="),
_xlpm.未割当不良,SUMIFS(tbl_ledger[数量],tbl_ledger[localId],$B255,tbl_ledger[イベント種類],"不良発生",tbl_ledger[ロットID],"="),
_xlpm.搬入計-_xlpm.未割当発送-_xlpm.未割当倉庫戻し-_xlpm.未割当不良))</f>
        <v/>
      </c>
      <c r="O255" s="8" t="str">
        <f t="array" ref="O255">IF($A255="","",_xlfn.LET(
_xlpm.同品番,($B$2:$B$301=$B255),
_xlpm.週が前,($C$2:$C$301&lt;$C255),
_xlpm.同週で上行,($C$2:$C$301=$C255)*(ROW($C$2:$C$301)&lt;ROW()),
SUMPRODUCT(_xlpm.同品番*(_xlpm.週が前+_xlpm.同週で上行)*$M$2:$M$301)))</f>
        <v/>
      </c>
    </row>
    <row r="256" spans="1:15" ht="15" customHeight="1" x14ac:dyDescent="0.25">
      <c r="A256" s="4" t="str">
        <f>IFERROR(INDEX(tbl_plan[ロットID],ROW()-1),"")</f>
        <v/>
      </c>
      <c r="B256" s="4" t="str">
        <f>IF($A256="","",INDEX(tbl_plan[localId],ROW()-1))</f>
        <v/>
      </c>
      <c r="C256" s="11" t="str">
        <f>IF($A256="","",INDEX(tbl_plan[出荷週],ROW()-1))</f>
        <v/>
      </c>
      <c r="D256" s="4" t="str">
        <f>IF($A256="","",INDEX(tbl_plan[納期先],ROW()-1)&amp;"")</f>
        <v/>
      </c>
      <c r="E256" s="8" t="str">
        <f>IF($A256="","",INDEX(tbl_plan[必要数],ROW()-1))</f>
        <v/>
      </c>
      <c r="F256" s="8" t="str">
        <f t="shared" si="9"/>
        <v/>
      </c>
      <c r="G256" s="8" t="str">
        <f>IF($A256="","",SUMIFS(tbl_ledger[数量],tbl_ledger[ロットID],$A256,tbl_ledger[イベント種類],"発送"))</f>
        <v/>
      </c>
      <c r="H256" s="8" t="str">
        <f>IF($A256="","",_xlfn.LET(
_xlpm.割当,F256,
_xlpm.充当受入,SUMIFS(tbl_ledger[数量],tbl_ledger[充当先ロットID],$A256,tbl_ledger[イベント種類],"充当"),
_xlpm.充当放出,SUMIFS(tbl_ledger[数量],tbl_ledger[ロットID],$A256,tbl_ledger[イベント種類],"充当"),
_xlpm.発送済,G256,
_xlpm.倉庫戻し,SUMIFS(tbl_ledger[数量],tbl_ledger[ロットID],$A256,tbl_ledger[イベント種類],"倉庫戻し"),
_xlpm.余剰化,SUMIFS(tbl_ledger[数量],tbl_ledger[ロットID],$A256,tbl_ledger[イベント種類],"余剰化"),
_xlpm.不良,SUMIFS(tbl_ledger[数量],tbl_ledger[ロットID],$A256,tbl_ledger[イベント種類],"不良発生"),
_xlpm.割当+_xlpm.充当受入-_xlpm.充当放出-_xlpm.発送済-_xlpm.倉庫戻し-_xlpm.余剰化-_xlpm.不良))</f>
        <v/>
      </c>
      <c r="I256" s="8" t="str">
        <f>IF($A256="","",_xlfn.LET(
_xlpm.品番プール,N256,
_xlpm.割当計,SUMIF($B$2:$B$301,$B256,$F$2:$F$301),
_xlpm.余剰化受入,SUMIFS(tbl_ledger[数量],tbl_ledger[localId],$B256,tbl_ledger[イベント種類],"余剰化"),
_xlpm.充当払出,SUMIFS(tbl_ledger[数量],tbl_ledger[localId],$B256,tbl_ledger[イベント種類],"充当",tbl_ledger[ロットID],"="),
_xlpm.品番プール-_xlpm.割当計+_xlpm.余剰化受入-_xlpm.充当払出))</f>
        <v/>
      </c>
      <c r="J256" s="8" t="str">
        <f t="shared" si="10"/>
        <v/>
      </c>
      <c r="K256" s="8" t="str">
        <f t="shared" si="11"/>
        <v/>
      </c>
      <c r="L256" s="4" t="str">
        <f>IF($A256="","",IF(INDEX(tbl_plan[計画状態],ROW()-1)="キャンセル","キャンセル",IF(J256=0,"発送済",IF(K256&gt;0,"要搬出","OK"))))</f>
        <v/>
      </c>
      <c r="M256" s="8">
        <f t="array" ref="M256">_xlfn.LET(
_xlpm.計画状態,IFERROR(INDEX(tbl_plan[計画状態],ROW()-1)&amp;"",""),
_xlpm.必要数,IFERROR(N(INDEX(tbl_plan[必要数],ROW()-1)),0),
IF(_xlpm.計画状態="キャンセル",0,_xlpm.必要数))</f>
        <v>0</v>
      </c>
      <c r="N256" s="8" t="str">
        <f>IF($A256="","",_xlfn.LET(
_xlpm.搬入計,SUMIFS(tbl_ledger[数量],tbl_ledger[localId],$B256,tbl_ledger[イベント種類],"搬入"),
_xlpm.未割当発送,SUMIFS(tbl_ledger[数量],tbl_ledger[localId],$B256,tbl_ledger[イベント種類],"発送",tbl_ledger[ロットID],"="),
_xlpm.未割当倉庫戻し,SUMIFS(tbl_ledger[数量],tbl_ledger[localId],$B256,tbl_ledger[イベント種類],"倉庫戻し",tbl_ledger[ロットID],"="),
_xlpm.未割当不良,SUMIFS(tbl_ledger[数量],tbl_ledger[localId],$B256,tbl_ledger[イベント種類],"不良発生",tbl_ledger[ロットID],"="),
_xlpm.搬入計-_xlpm.未割当発送-_xlpm.未割当倉庫戻し-_xlpm.未割当不良))</f>
        <v/>
      </c>
      <c r="O256" s="8" t="str">
        <f t="array" ref="O256">IF($A256="","",_xlfn.LET(
_xlpm.同品番,($B$2:$B$301=$B256),
_xlpm.週が前,($C$2:$C$301&lt;$C256),
_xlpm.同週で上行,($C$2:$C$301=$C256)*(ROW($C$2:$C$301)&lt;ROW()),
SUMPRODUCT(_xlpm.同品番*(_xlpm.週が前+_xlpm.同週で上行)*$M$2:$M$301)))</f>
        <v/>
      </c>
    </row>
    <row r="257" spans="1:15" ht="15" customHeight="1" x14ac:dyDescent="0.25">
      <c r="A257" s="4" t="str">
        <f>IFERROR(INDEX(tbl_plan[ロットID],ROW()-1),"")</f>
        <v/>
      </c>
      <c r="B257" s="4" t="str">
        <f>IF($A257="","",INDEX(tbl_plan[localId],ROW()-1))</f>
        <v/>
      </c>
      <c r="C257" s="11" t="str">
        <f>IF($A257="","",INDEX(tbl_plan[出荷週],ROW()-1))</f>
        <v/>
      </c>
      <c r="D257" s="4" t="str">
        <f>IF($A257="","",INDEX(tbl_plan[納期先],ROW()-1)&amp;"")</f>
        <v/>
      </c>
      <c r="E257" s="8" t="str">
        <f>IF($A257="","",INDEX(tbl_plan[必要数],ROW()-1))</f>
        <v/>
      </c>
      <c r="F257" s="8" t="str">
        <f t="shared" si="9"/>
        <v/>
      </c>
      <c r="G257" s="8" t="str">
        <f>IF($A257="","",SUMIFS(tbl_ledger[数量],tbl_ledger[ロットID],$A257,tbl_ledger[イベント種類],"発送"))</f>
        <v/>
      </c>
      <c r="H257" s="8" t="str">
        <f>IF($A257="","",_xlfn.LET(
_xlpm.割当,F257,
_xlpm.充当受入,SUMIFS(tbl_ledger[数量],tbl_ledger[充当先ロットID],$A257,tbl_ledger[イベント種類],"充当"),
_xlpm.充当放出,SUMIFS(tbl_ledger[数量],tbl_ledger[ロットID],$A257,tbl_ledger[イベント種類],"充当"),
_xlpm.発送済,G257,
_xlpm.倉庫戻し,SUMIFS(tbl_ledger[数量],tbl_ledger[ロットID],$A257,tbl_ledger[イベント種類],"倉庫戻し"),
_xlpm.余剰化,SUMIFS(tbl_ledger[数量],tbl_ledger[ロットID],$A257,tbl_ledger[イベント種類],"余剰化"),
_xlpm.不良,SUMIFS(tbl_ledger[数量],tbl_ledger[ロットID],$A257,tbl_ledger[イベント種類],"不良発生"),
_xlpm.割当+_xlpm.充当受入-_xlpm.充当放出-_xlpm.発送済-_xlpm.倉庫戻し-_xlpm.余剰化-_xlpm.不良))</f>
        <v/>
      </c>
      <c r="I257" s="8" t="str">
        <f>IF($A257="","",_xlfn.LET(
_xlpm.品番プール,N257,
_xlpm.割当計,SUMIF($B$2:$B$301,$B257,$F$2:$F$301),
_xlpm.余剰化受入,SUMIFS(tbl_ledger[数量],tbl_ledger[localId],$B257,tbl_ledger[イベント種類],"余剰化"),
_xlpm.充当払出,SUMIFS(tbl_ledger[数量],tbl_ledger[localId],$B257,tbl_ledger[イベント種類],"充当",tbl_ledger[ロットID],"="),
_xlpm.品番プール-_xlpm.割当計+_xlpm.余剰化受入-_xlpm.充当払出))</f>
        <v/>
      </c>
      <c r="J257" s="8" t="str">
        <f t="shared" si="10"/>
        <v/>
      </c>
      <c r="K257" s="8" t="str">
        <f t="shared" si="11"/>
        <v/>
      </c>
      <c r="L257" s="4" t="str">
        <f>IF($A257="","",IF(INDEX(tbl_plan[計画状態],ROW()-1)="キャンセル","キャンセル",IF(J257=0,"発送済",IF(K257&gt;0,"要搬出","OK"))))</f>
        <v/>
      </c>
      <c r="M257" s="8">
        <f t="array" ref="M257">_xlfn.LET(
_xlpm.計画状態,IFERROR(INDEX(tbl_plan[計画状態],ROW()-1)&amp;"",""),
_xlpm.必要数,IFERROR(N(INDEX(tbl_plan[必要数],ROW()-1)),0),
IF(_xlpm.計画状態="キャンセル",0,_xlpm.必要数))</f>
        <v>0</v>
      </c>
      <c r="N257" s="8" t="str">
        <f>IF($A257="","",_xlfn.LET(
_xlpm.搬入計,SUMIFS(tbl_ledger[数量],tbl_ledger[localId],$B257,tbl_ledger[イベント種類],"搬入"),
_xlpm.未割当発送,SUMIFS(tbl_ledger[数量],tbl_ledger[localId],$B257,tbl_ledger[イベント種類],"発送",tbl_ledger[ロットID],"="),
_xlpm.未割当倉庫戻し,SUMIFS(tbl_ledger[数量],tbl_ledger[localId],$B257,tbl_ledger[イベント種類],"倉庫戻し",tbl_ledger[ロットID],"="),
_xlpm.未割当不良,SUMIFS(tbl_ledger[数量],tbl_ledger[localId],$B257,tbl_ledger[イベント種類],"不良発生",tbl_ledger[ロットID],"="),
_xlpm.搬入計-_xlpm.未割当発送-_xlpm.未割当倉庫戻し-_xlpm.未割当不良))</f>
        <v/>
      </c>
      <c r="O257" s="8" t="str">
        <f t="array" ref="O257">IF($A257="","",_xlfn.LET(
_xlpm.同品番,($B$2:$B$301=$B257),
_xlpm.週が前,($C$2:$C$301&lt;$C257),
_xlpm.同週で上行,($C$2:$C$301=$C257)*(ROW($C$2:$C$301)&lt;ROW()),
SUMPRODUCT(_xlpm.同品番*(_xlpm.週が前+_xlpm.同週で上行)*$M$2:$M$301)))</f>
        <v/>
      </c>
    </row>
    <row r="258" spans="1:15" ht="15" customHeight="1" x14ac:dyDescent="0.25">
      <c r="A258" s="4" t="str">
        <f>IFERROR(INDEX(tbl_plan[ロットID],ROW()-1),"")</f>
        <v/>
      </c>
      <c r="B258" s="4" t="str">
        <f>IF($A258="","",INDEX(tbl_plan[localId],ROW()-1))</f>
        <v/>
      </c>
      <c r="C258" s="11" t="str">
        <f>IF($A258="","",INDEX(tbl_plan[出荷週],ROW()-1))</f>
        <v/>
      </c>
      <c r="D258" s="4" t="str">
        <f>IF($A258="","",INDEX(tbl_plan[納期先],ROW()-1)&amp;"")</f>
        <v/>
      </c>
      <c r="E258" s="8" t="str">
        <f>IF($A258="","",INDEX(tbl_plan[必要数],ROW()-1))</f>
        <v/>
      </c>
      <c r="F258" s="8" t="str">
        <f t="shared" ref="F258:F301" si="12">IF($A258="","",MIN(M258,MAX(0,N258-O258)))</f>
        <v/>
      </c>
      <c r="G258" s="8" t="str">
        <f>IF($A258="","",SUMIFS(tbl_ledger[数量],tbl_ledger[ロットID],$A258,tbl_ledger[イベント種類],"発送"))</f>
        <v/>
      </c>
      <c r="H258" s="8" t="str">
        <f>IF($A258="","",_xlfn.LET(
_xlpm.割当,F258,
_xlpm.充当受入,SUMIFS(tbl_ledger[数量],tbl_ledger[充当先ロットID],$A258,tbl_ledger[イベント種類],"充当"),
_xlpm.充当放出,SUMIFS(tbl_ledger[数量],tbl_ledger[ロットID],$A258,tbl_ledger[イベント種類],"充当"),
_xlpm.発送済,G258,
_xlpm.倉庫戻し,SUMIFS(tbl_ledger[数量],tbl_ledger[ロットID],$A258,tbl_ledger[イベント種類],"倉庫戻し"),
_xlpm.余剰化,SUMIFS(tbl_ledger[数量],tbl_ledger[ロットID],$A258,tbl_ledger[イベント種類],"余剰化"),
_xlpm.不良,SUMIFS(tbl_ledger[数量],tbl_ledger[ロットID],$A258,tbl_ledger[イベント種類],"不良発生"),
_xlpm.割当+_xlpm.充当受入-_xlpm.充当放出-_xlpm.発送済-_xlpm.倉庫戻し-_xlpm.余剰化-_xlpm.不良))</f>
        <v/>
      </c>
      <c r="I258" s="8" t="str">
        <f>IF($A258="","",_xlfn.LET(
_xlpm.品番プール,N258,
_xlpm.割当計,SUMIF($B$2:$B$301,$B258,$F$2:$F$301),
_xlpm.余剰化受入,SUMIFS(tbl_ledger[数量],tbl_ledger[localId],$B258,tbl_ledger[イベント種類],"余剰化"),
_xlpm.充当払出,SUMIFS(tbl_ledger[数量],tbl_ledger[localId],$B258,tbl_ledger[イベント種類],"充当",tbl_ledger[ロットID],"="),
_xlpm.品番プール-_xlpm.割当計+_xlpm.余剰化受入-_xlpm.充当払出))</f>
        <v/>
      </c>
      <c r="J258" s="8" t="str">
        <f t="shared" ref="J258:J301" si="13">IF($A258="","",MAX(0,M258-G258))</f>
        <v/>
      </c>
      <c r="K258" s="8" t="str">
        <f t="shared" ref="K258:K301" si="14">IF($A258="","",MAX(0,J258-H258-I258))</f>
        <v/>
      </c>
      <c r="L258" s="4" t="str">
        <f>IF($A258="","",IF(INDEX(tbl_plan[計画状態],ROW()-1)="キャンセル","キャンセル",IF(J258=0,"発送済",IF(K258&gt;0,"要搬出","OK"))))</f>
        <v/>
      </c>
      <c r="M258" s="8">
        <f t="array" ref="M258">_xlfn.LET(
_xlpm.計画状態,IFERROR(INDEX(tbl_plan[計画状態],ROW()-1)&amp;"",""),
_xlpm.必要数,IFERROR(N(INDEX(tbl_plan[必要数],ROW()-1)),0),
IF(_xlpm.計画状態="キャンセル",0,_xlpm.必要数))</f>
        <v>0</v>
      </c>
      <c r="N258" s="8" t="str">
        <f>IF($A258="","",_xlfn.LET(
_xlpm.搬入計,SUMIFS(tbl_ledger[数量],tbl_ledger[localId],$B258,tbl_ledger[イベント種類],"搬入"),
_xlpm.未割当発送,SUMIFS(tbl_ledger[数量],tbl_ledger[localId],$B258,tbl_ledger[イベント種類],"発送",tbl_ledger[ロットID],"="),
_xlpm.未割当倉庫戻し,SUMIFS(tbl_ledger[数量],tbl_ledger[localId],$B258,tbl_ledger[イベント種類],"倉庫戻し",tbl_ledger[ロットID],"="),
_xlpm.未割当不良,SUMIFS(tbl_ledger[数量],tbl_ledger[localId],$B258,tbl_ledger[イベント種類],"不良発生",tbl_ledger[ロットID],"="),
_xlpm.搬入計-_xlpm.未割当発送-_xlpm.未割当倉庫戻し-_xlpm.未割当不良))</f>
        <v/>
      </c>
      <c r="O258" s="8" t="str">
        <f t="array" ref="O258">IF($A258="","",_xlfn.LET(
_xlpm.同品番,($B$2:$B$301=$B258),
_xlpm.週が前,($C$2:$C$301&lt;$C258),
_xlpm.同週で上行,($C$2:$C$301=$C258)*(ROW($C$2:$C$301)&lt;ROW()),
SUMPRODUCT(_xlpm.同品番*(_xlpm.週が前+_xlpm.同週で上行)*$M$2:$M$301)))</f>
        <v/>
      </c>
    </row>
    <row r="259" spans="1:15" ht="15" customHeight="1" x14ac:dyDescent="0.25">
      <c r="A259" s="4" t="str">
        <f>IFERROR(INDEX(tbl_plan[ロットID],ROW()-1),"")</f>
        <v/>
      </c>
      <c r="B259" s="4" t="str">
        <f>IF($A259="","",INDEX(tbl_plan[localId],ROW()-1))</f>
        <v/>
      </c>
      <c r="C259" s="11" t="str">
        <f>IF($A259="","",INDEX(tbl_plan[出荷週],ROW()-1))</f>
        <v/>
      </c>
      <c r="D259" s="4" t="str">
        <f>IF($A259="","",INDEX(tbl_plan[納期先],ROW()-1)&amp;"")</f>
        <v/>
      </c>
      <c r="E259" s="8" t="str">
        <f>IF($A259="","",INDEX(tbl_plan[必要数],ROW()-1))</f>
        <v/>
      </c>
      <c r="F259" s="8" t="str">
        <f t="shared" si="12"/>
        <v/>
      </c>
      <c r="G259" s="8" t="str">
        <f>IF($A259="","",SUMIFS(tbl_ledger[数量],tbl_ledger[ロットID],$A259,tbl_ledger[イベント種類],"発送"))</f>
        <v/>
      </c>
      <c r="H259" s="8" t="str">
        <f>IF($A259="","",_xlfn.LET(
_xlpm.割当,F259,
_xlpm.充当受入,SUMIFS(tbl_ledger[数量],tbl_ledger[充当先ロットID],$A259,tbl_ledger[イベント種類],"充当"),
_xlpm.充当放出,SUMIFS(tbl_ledger[数量],tbl_ledger[ロットID],$A259,tbl_ledger[イベント種類],"充当"),
_xlpm.発送済,G259,
_xlpm.倉庫戻し,SUMIFS(tbl_ledger[数量],tbl_ledger[ロットID],$A259,tbl_ledger[イベント種類],"倉庫戻し"),
_xlpm.余剰化,SUMIFS(tbl_ledger[数量],tbl_ledger[ロットID],$A259,tbl_ledger[イベント種類],"余剰化"),
_xlpm.不良,SUMIFS(tbl_ledger[数量],tbl_ledger[ロットID],$A259,tbl_ledger[イベント種類],"不良発生"),
_xlpm.割当+_xlpm.充当受入-_xlpm.充当放出-_xlpm.発送済-_xlpm.倉庫戻し-_xlpm.余剰化-_xlpm.不良))</f>
        <v/>
      </c>
      <c r="I259" s="8" t="str">
        <f>IF($A259="","",_xlfn.LET(
_xlpm.品番プール,N259,
_xlpm.割当計,SUMIF($B$2:$B$301,$B259,$F$2:$F$301),
_xlpm.余剰化受入,SUMIFS(tbl_ledger[数量],tbl_ledger[localId],$B259,tbl_ledger[イベント種類],"余剰化"),
_xlpm.充当払出,SUMIFS(tbl_ledger[数量],tbl_ledger[localId],$B259,tbl_ledger[イベント種類],"充当",tbl_ledger[ロットID],"="),
_xlpm.品番プール-_xlpm.割当計+_xlpm.余剰化受入-_xlpm.充当払出))</f>
        <v/>
      </c>
      <c r="J259" s="8" t="str">
        <f t="shared" si="13"/>
        <v/>
      </c>
      <c r="K259" s="8" t="str">
        <f t="shared" si="14"/>
        <v/>
      </c>
      <c r="L259" s="4" t="str">
        <f>IF($A259="","",IF(INDEX(tbl_plan[計画状態],ROW()-1)="キャンセル","キャンセル",IF(J259=0,"発送済",IF(K259&gt;0,"要搬出","OK"))))</f>
        <v/>
      </c>
      <c r="M259" s="8">
        <f t="array" ref="M259">_xlfn.LET(
_xlpm.計画状態,IFERROR(INDEX(tbl_plan[計画状態],ROW()-1)&amp;"",""),
_xlpm.必要数,IFERROR(N(INDEX(tbl_plan[必要数],ROW()-1)),0),
IF(_xlpm.計画状態="キャンセル",0,_xlpm.必要数))</f>
        <v>0</v>
      </c>
      <c r="N259" s="8" t="str">
        <f>IF($A259="","",_xlfn.LET(
_xlpm.搬入計,SUMIFS(tbl_ledger[数量],tbl_ledger[localId],$B259,tbl_ledger[イベント種類],"搬入"),
_xlpm.未割当発送,SUMIFS(tbl_ledger[数量],tbl_ledger[localId],$B259,tbl_ledger[イベント種類],"発送",tbl_ledger[ロットID],"="),
_xlpm.未割当倉庫戻し,SUMIFS(tbl_ledger[数量],tbl_ledger[localId],$B259,tbl_ledger[イベント種類],"倉庫戻し",tbl_ledger[ロットID],"="),
_xlpm.未割当不良,SUMIFS(tbl_ledger[数量],tbl_ledger[localId],$B259,tbl_ledger[イベント種類],"不良発生",tbl_ledger[ロットID],"="),
_xlpm.搬入計-_xlpm.未割当発送-_xlpm.未割当倉庫戻し-_xlpm.未割当不良))</f>
        <v/>
      </c>
      <c r="O259" s="8" t="str">
        <f t="array" ref="O259">IF($A259="","",_xlfn.LET(
_xlpm.同品番,($B$2:$B$301=$B259),
_xlpm.週が前,($C$2:$C$301&lt;$C259),
_xlpm.同週で上行,($C$2:$C$301=$C259)*(ROW($C$2:$C$301)&lt;ROW()),
SUMPRODUCT(_xlpm.同品番*(_xlpm.週が前+_xlpm.同週で上行)*$M$2:$M$301)))</f>
        <v/>
      </c>
    </row>
    <row r="260" spans="1:15" ht="15" customHeight="1" x14ac:dyDescent="0.25">
      <c r="A260" s="4" t="str">
        <f>IFERROR(INDEX(tbl_plan[ロットID],ROW()-1),"")</f>
        <v/>
      </c>
      <c r="B260" s="4" t="str">
        <f>IF($A260="","",INDEX(tbl_plan[localId],ROW()-1))</f>
        <v/>
      </c>
      <c r="C260" s="11" t="str">
        <f>IF($A260="","",INDEX(tbl_plan[出荷週],ROW()-1))</f>
        <v/>
      </c>
      <c r="D260" s="4" t="str">
        <f>IF($A260="","",INDEX(tbl_plan[納期先],ROW()-1)&amp;"")</f>
        <v/>
      </c>
      <c r="E260" s="8" t="str">
        <f>IF($A260="","",INDEX(tbl_plan[必要数],ROW()-1))</f>
        <v/>
      </c>
      <c r="F260" s="8" t="str">
        <f t="shared" si="12"/>
        <v/>
      </c>
      <c r="G260" s="8" t="str">
        <f>IF($A260="","",SUMIFS(tbl_ledger[数量],tbl_ledger[ロットID],$A260,tbl_ledger[イベント種類],"発送"))</f>
        <v/>
      </c>
      <c r="H260" s="8" t="str">
        <f>IF($A260="","",_xlfn.LET(
_xlpm.割当,F260,
_xlpm.充当受入,SUMIFS(tbl_ledger[数量],tbl_ledger[充当先ロットID],$A260,tbl_ledger[イベント種類],"充当"),
_xlpm.充当放出,SUMIFS(tbl_ledger[数量],tbl_ledger[ロットID],$A260,tbl_ledger[イベント種類],"充当"),
_xlpm.発送済,G260,
_xlpm.倉庫戻し,SUMIFS(tbl_ledger[数量],tbl_ledger[ロットID],$A260,tbl_ledger[イベント種類],"倉庫戻し"),
_xlpm.余剰化,SUMIFS(tbl_ledger[数量],tbl_ledger[ロットID],$A260,tbl_ledger[イベント種類],"余剰化"),
_xlpm.不良,SUMIFS(tbl_ledger[数量],tbl_ledger[ロットID],$A260,tbl_ledger[イベント種類],"不良発生"),
_xlpm.割当+_xlpm.充当受入-_xlpm.充当放出-_xlpm.発送済-_xlpm.倉庫戻し-_xlpm.余剰化-_xlpm.不良))</f>
        <v/>
      </c>
      <c r="I260" s="8" t="str">
        <f>IF($A260="","",_xlfn.LET(
_xlpm.品番プール,N260,
_xlpm.割当計,SUMIF($B$2:$B$301,$B260,$F$2:$F$301),
_xlpm.余剰化受入,SUMIFS(tbl_ledger[数量],tbl_ledger[localId],$B260,tbl_ledger[イベント種類],"余剰化"),
_xlpm.充当払出,SUMIFS(tbl_ledger[数量],tbl_ledger[localId],$B260,tbl_ledger[イベント種類],"充当",tbl_ledger[ロットID],"="),
_xlpm.品番プール-_xlpm.割当計+_xlpm.余剰化受入-_xlpm.充当払出))</f>
        <v/>
      </c>
      <c r="J260" s="8" t="str">
        <f t="shared" si="13"/>
        <v/>
      </c>
      <c r="K260" s="8" t="str">
        <f t="shared" si="14"/>
        <v/>
      </c>
      <c r="L260" s="4" t="str">
        <f>IF($A260="","",IF(INDEX(tbl_plan[計画状態],ROW()-1)="キャンセル","キャンセル",IF(J260=0,"発送済",IF(K260&gt;0,"要搬出","OK"))))</f>
        <v/>
      </c>
      <c r="M260" s="8">
        <f t="array" ref="M260">_xlfn.LET(
_xlpm.計画状態,IFERROR(INDEX(tbl_plan[計画状態],ROW()-1)&amp;"",""),
_xlpm.必要数,IFERROR(N(INDEX(tbl_plan[必要数],ROW()-1)),0),
IF(_xlpm.計画状態="キャンセル",0,_xlpm.必要数))</f>
        <v>0</v>
      </c>
      <c r="N260" s="8" t="str">
        <f>IF($A260="","",_xlfn.LET(
_xlpm.搬入計,SUMIFS(tbl_ledger[数量],tbl_ledger[localId],$B260,tbl_ledger[イベント種類],"搬入"),
_xlpm.未割当発送,SUMIFS(tbl_ledger[数量],tbl_ledger[localId],$B260,tbl_ledger[イベント種類],"発送",tbl_ledger[ロットID],"="),
_xlpm.未割当倉庫戻し,SUMIFS(tbl_ledger[数量],tbl_ledger[localId],$B260,tbl_ledger[イベント種類],"倉庫戻し",tbl_ledger[ロットID],"="),
_xlpm.未割当不良,SUMIFS(tbl_ledger[数量],tbl_ledger[localId],$B260,tbl_ledger[イベント種類],"不良発生",tbl_ledger[ロットID],"="),
_xlpm.搬入計-_xlpm.未割当発送-_xlpm.未割当倉庫戻し-_xlpm.未割当不良))</f>
        <v/>
      </c>
      <c r="O260" s="8" t="str">
        <f t="array" ref="O260">IF($A260="","",_xlfn.LET(
_xlpm.同品番,($B$2:$B$301=$B260),
_xlpm.週が前,($C$2:$C$301&lt;$C260),
_xlpm.同週で上行,($C$2:$C$301=$C260)*(ROW($C$2:$C$301)&lt;ROW()),
SUMPRODUCT(_xlpm.同品番*(_xlpm.週が前+_xlpm.同週で上行)*$M$2:$M$301)))</f>
        <v/>
      </c>
    </row>
    <row r="261" spans="1:15" ht="15" customHeight="1" x14ac:dyDescent="0.25">
      <c r="A261" s="4" t="str">
        <f>IFERROR(INDEX(tbl_plan[ロットID],ROW()-1),"")</f>
        <v/>
      </c>
      <c r="B261" s="4" t="str">
        <f>IF($A261="","",INDEX(tbl_plan[localId],ROW()-1))</f>
        <v/>
      </c>
      <c r="C261" s="11" t="str">
        <f>IF($A261="","",INDEX(tbl_plan[出荷週],ROW()-1))</f>
        <v/>
      </c>
      <c r="D261" s="4" t="str">
        <f>IF($A261="","",INDEX(tbl_plan[納期先],ROW()-1)&amp;"")</f>
        <v/>
      </c>
      <c r="E261" s="8" t="str">
        <f>IF($A261="","",INDEX(tbl_plan[必要数],ROW()-1))</f>
        <v/>
      </c>
      <c r="F261" s="8" t="str">
        <f t="shared" si="12"/>
        <v/>
      </c>
      <c r="G261" s="8" t="str">
        <f>IF($A261="","",SUMIFS(tbl_ledger[数量],tbl_ledger[ロットID],$A261,tbl_ledger[イベント種類],"発送"))</f>
        <v/>
      </c>
      <c r="H261" s="8" t="str">
        <f>IF($A261="","",_xlfn.LET(
_xlpm.割当,F261,
_xlpm.充当受入,SUMIFS(tbl_ledger[数量],tbl_ledger[充当先ロットID],$A261,tbl_ledger[イベント種類],"充当"),
_xlpm.充当放出,SUMIFS(tbl_ledger[数量],tbl_ledger[ロットID],$A261,tbl_ledger[イベント種類],"充当"),
_xlpm.発送済,G261,
_xlpm.倉庫戻し,SUMIFS(tbl_ledger[数量],tbl_ledger[ロットID],$A261,tbl_ledger[イベント種類],"倉庫戻し"),
_xlpm.余剰化,SUMIFS(tbl_ledger[数量],tbl_ledger[ロットID],$A261,tbl_ledger[イベント種類],"余剰化"),
_xlpm.不良,SUMIFS(tbl_ledger[数量],tbl_ledger[ロットID],$A261,tbl_ledger[イベント種類],"不良発生"),
_xlpm.割当+_xlpm.充当受入-_xlpm.充当放出-_xlpm.発送済-_xlpm.倉庫戻し-_xlpm.余剰化-_xlpm.不良))</f>
        <v/>
      </c>
      <c r="I261" s="8" t="str">
        <f>IF($A261="","",_xlfn.LET(
_xlpm.品番プール,N261,
_xlpm.割当計,SUMIF($B$2:$B$301,$B261,$F$2:$F$301),
_xlpm.余剰化受入,SUMIFS(tbl_ledger[数量],tbl_ledger[localId],$B261,tbl_ledger[イベント種類],"余剰化"),
_xlpm.充当払出,SUMIFS(tbl_ledger[数量],tbl_ledger[localId],$B261,tbl_ledger[イベント種類],"充当",tbl_ledger[ロットID],"="),
_xlpm.品番プール-_xlpm.割当計+_xlpm.余剰化受入-_xlpm.充当払出))</f>
        <v/>
      </c>
      <c r="J261" s="8" t="str">
        <f t="shared" si="13"/>
        <v/>
      </c>
      <c r="K261" s="8" t="str">
        <f t="shared" si="14"/>
        <v/>
      </c>
      <c r="L261" s="4" t="str">
        <f>IF($A261="","",IF(INDEX(tbl_plan[計画状態],ROW()-1)="キャンセル","キャンセル",IF(J261=0,"発送済",IF(K261&gt;0,"要搬出","OK"))))</f>
        <v/>
      </c>
      <c r="M261" s="8">
        <f t="array" ref="M261">_xlfn.LET(
_xlpm.計画状態,IFERROR(INDEX(tbl_plan[計画状態],ROW()-1)&amp;"",""),
_xlpm.必要数,IFERROR(N(INDEX(tbl_plan[必要数],ROW()-1)),0),
IF(_xlpm.計画状態="キャンセル",0,_xlpm.必要数))</f>
        <v>0</v>
      </c>
      <c r="N261" s="8" t="str">
        <f>IF($A261="","",_xlfn.LET(
_xlpm.搬入計,SUMIFS(tbl_ledger[数量],tbl_ledger[localId],$B261,tbl_ledger[イベント種類],"搬入"),
_xlpm.未割当発送,SUMIFS(tbl_ledger[数量],tbl_ledger[localId],$B261,tbl_ledger[イベント種類],"発送",tbl_ledger[ロットID],"="),
_xlpm.未割当倉庫戻し,SUMIFS(tbl_ledger[数量],tbl_ledger[localId],$B261,tbl_ledger[イベント種類],"倉庫戻し",tbl_ledger[ロットID],"="),
_xlpm.未割当不良,SUMIFS(tbl_ledger[数量],tbl_ledger[localId],$B261,tbl_ledger[イベント種類],"不良発生",tbl_ledger[ロットID],"="),
_xlpm.搬入計-_xlpm.未割当発送-_xlpm.未割当倉庫戻し-_xlpm.未割当不良))</f>
        <v/>
      </c>
      <c r="O261" s="8" t="str">
        <f t="array" ref="O261">IF($A261="","",_xlfn.LET(
_xlpm.同品番,($B$2:$B$301=$B261),
_xlpm.週が前,($C$2:$C$301&lt;$C261),
_xlpm.同週で上行,($C$2:$C$301=$C261)*(ROW($C$2:$C$301)&lt;ROW()),
SUMPRODUCT(_xlpm.同品番*(_xlpm.週が前+_xlpm.同週で上行)*$M$2:$M$301)))</f>
        <v/>
      </c>
    </row>
    <row r="262" spans="1:15" ht="15" customHeight="1" x14ac:dyDescent="0.25">
      <c r="A262" s="4" t="str">
        <f>IFERROR(INDEX(tbl_plan[ロットID],ROW()-1),"")</f>
        <v/>
      </c>
      <c r="B262" s="4" t="str">
        <f>IF($A262="","",INDEX(tbl_plan[localId],ROW()-1))</f>
        <v/>
      </c>
      <c r="C262" s="11" t="str">
        <f>IF($A262="","",INDEX(tbl_plan[出荷週],ROW()-1))</f>
        <v/>
      </c>
      <c r="D262" s="4" t="str">
        <f>IF($A262="","",INDEX(tbl_plan[納期先],ROW()-1)&amp;"")</f>
        <v/>
      </c>
      <c r="E262" s="8" t="str">
        <f>IF($A262="","",INDEX(tbl_plan[必要数],ROW()-1))</f>
        <v/>
      </c>
      <c r="F262" s="8" t="str">
        <f t="shared" si="12"/>
        <v/>
      </c>
      <c r="G262" s="8" t="str">
        <f>IF($A262="","",SUMIFS(tbl_ledger[数量],tbl_ledger[ロットID],$A262,tbl_ledger[イベント種類],"発送"))</f>
        <v/>
      </c>
      <c r="H262" s="8" t="str">
        <f>IF($A262="","",_xlfn.LET(
_xlpm.割当,F262,
_xlpm.充当受入,SUMIFS(tbl_ledger[数量],tbl_ledger[充当先ロットID],$A262,tbl_ledger[イベント種類],"充当"),
_xlpm.充当放出,SUMIFS(tbl_ledger[数量],tbl_ledger[ロットID],$A262,tbl_ledger[イベント種類],"充当"),
_xlpm.発送済,G262,
_xlpm.倉庫戻し,SUMIFS(tbl_ledger[数量],tbl_ledger[ロットID],$A262,tbl_ledger[イベント種類],"倉庫戻し"),
_xlpm.余剰化,SUMIFS(tbl_ledger[数量],tbl_ledger[ロットID],$A262,tbl_ledger[イベント種類],"余剰化"),
_xlpm.不良,SUMIFS(tbl_ledger[数量],tbl_ledger[ロットID],$A262,tbl_ledger[イベント種類],"不良発生"),
_xlpm.割当+_xlpm.充当受入-_xlpm.充当放出-_xlpm.発送済-_xlpm.倉庫戻し-_xlpm.余剰化-_xlpm.不良))</f>
        <v/>
      </c>
      <c r="I262" s="8" t="str">
        <f>IF($A262="","",_xlfn.LET(
_xlpm.品番プール,N262,
_xlpm.割当計,SUMIF($B$2:$B$301,$B262,$F$2:$F$301),
_xlpm.余剰化受入,SUMIFS(tbl_ledger[数量],tbl_ledger[localId],$B262,tbl_ledger[イベント種類],"余剰化"),
_xlpm.充当払出,SUMIFS(tbl_ledger[数量],tbl_ledger[localId],$B262,tbl_ledger[イベント種類],"充当",tbl_ledger[ロットID],"="),
_xlpm.品番プール-_xlpm.割当計+_xlpm.余剰化受入-_xlpm.充当払出))</f>
        <v/>
      </c>
      <c r="J262" s="8" t="str">
        <f t="shared" si="13"/>
        <v/>
      </c>
      <c r="K262" s="8" t="str">
        <f t="shared" si="14"/>
        <v/>
      </c>
      <c r="L262" s="4" t="str">
        <f>IF($A262="","",IF(INDEX(tbl_plan[計画状態],ROW()-1)="キャンセル","キャンセル",IF(J262=0,"発送済",IF(K262&gt;0,"要搬出","OK"))))</f>
        <v/>
      </c>
      <c r="M262" s="8">
        <f t="array" ref="M262">_xlfn.LET(
_xlpm.計画状態,IFERROR(INDEX(tbl_plan[計画状態],ROW()-1)&amp;"",""),
_xlpm.必要数,IFERROR(N(INDEX(tbl_plan[必要数],ROW()-1)),0),
IF(_xlpm.計画状態="キャンセル",0,_xlpm.必要数))</f>
        <v>0</v>
      </c>
      <c r="N262" s="8" t="str">
        <f>IF($A262="","",_xlfn.LET(
_xlpm.搬入計,SUMIFS(tbl_ledger[数量],tbl_ledger[localId],$B262,tbl_ledger[イベント種類],"搬入"),
_xlpm.未割当発送,SUMIFS(tbl_ledger[数量],tbl_ledger[localId],$B262,tbl_ledger[イベント種類],"発送",tbl_ledger[ロットID],"="),
_xlpm.未割当倉庫戻し,SUMIFS(tbl_ledger[数量],tbl_ledger[localId],$B262,tbl_ledger[イベント種類],"倉庫戻し",tbl_ledger[ロットID],"="),
_xlpm.未割当不良,SUMIFS(tbl_ledger[数量],tbl_ledger[localId],$B262,tbl_ledger[イベント種類],"不良発生",tbl_ledger[ロットID],"="),
_xlpm.搬入計-_xlpm.未割当発送-_xlpm.未割当倉庫戻し-_xlpm.未割当不良))</f>
        <v/>
      </c>
      <c r="O262" s="8" t="str">
        <f t="array" ref="O262">IF($A262="","",_xlfn.LET(
_xlpm.同品番,($B$2:$B$301=$B262),
_xlpm.週が前,($C$2:$C$301&lt;$C262),
_xlpm.同週で上行,($C$2:$C$301=$C262)*(ROW($C$2:$C$301)&lt;ROW()),
SUMPRODUCT(_xlpm.同品番*(_xlpm.週が前+_xlpm.同週で上行)*$M$2:$M$301)))</f>
        <v/>
      </c>
    </row>
    <row r="263" spans="1:15" ht="15" customHeight="1" x14ac:dyDescent="0.25">
      <c r="A263" s="4" t="str">
        <f>IFERROR(INDEX(tbl_plan[ロットID],ROW()-1),"")</f>
        <v/>
      </c>
      <c r="B263" s="4" t="str">
        <f>IF($A263="","",INDEX(tbl_plan[localId],ROW()-1))</f>
        <v/>
      </c>
      <c r="C263" s="11" t="str">
        <f>IF($A263="","",INDEX(tbl_plan[出荷週],ROW()-1))</f>
        <v/>
      </c>
      <c r="D263" s="4" t="str">
        <f>IF($A263="","",INDEX(tbl_plan[納期先],ROW()-1)&amp;"")</f>
        <v/>
      </c>
      <c r="E263" s="8" t="str">
        <f>IF($A263="","",INDEX(tbl_plan[必要数],ROW()-1))</f>
        <v/>
      </c>
      <c r="F263" s="8" t="str">
        <f t="shared" si="12"/>
        <v/>
      </c>
      <c r="G263" s="8" t="str">
        <f>IF($A263="","",SUMIFS(tbl_ledger[数量],tbl_ledger[ロットID],$A263,tbl_ledger[イベント種類],"発送"))</f>
        <v/>
      </c>
      <c r="H263" s="8" t="str">
        <f>IF($A263="","",_xlfn.LET(
_xlpm.割当,F263,
_xlpm.充当受入,SUMIFS(tbl_ledger[数量],tbl_ledger[充当先ロットID],$A263,tbl_ledger[イベント種類],"充当"),
_xlpm.充当放出,SUMIFS(tbl_ledger[数量],tbl_ledger[ロットID],$A263,tbl_ledger[イベント種類],"充当"),
_xlpm.発送済,G263,
_xlpm.倉庫戻し,SUMIFS(tbl_ledger[数量],tbl_ledger[ロットID],$A263,tbl_ledger[イベント種類],"倉庫戻し"),
_xlpm.余剰化,SUMIFS(tbl_ledger[数量],tbl_ledger[ロットID],$A263,tbl_ledger[イベント種類],"余剰化"),
_xlpm.不良,SUMIFS(tbl_ledger[数量],tbl_ledger[ロットID],$A263,tbl_ledger[イベント種類],"不良発生"),
_xlpm.割当+_xlpm.充当受入-_xlpm.充当放出-_xlpm.発送済-_xlpm.倉庫戻し-_xlpm.余剰化-_xlpm.不良))</f>
        <v/>
      </c>
      <c r="I263" s="8" t="str">
        <f>IF($A263="","",_xlfn.LET(
_xlpm.品番プール,N263,
_xlpm.割当計,SUMIF($B$2:$B$301,$B263,$F$2:$F$301),
_xlpm.余剰化受入,SUMIFS(tbl_ledger[数量],tbl_ledger[localId],$B263,tbl_ledger[イベント種類],"余剰化"),
_xlpm.充当払出,SUMIFS(tbl_ledger[数量],tbl_ledger[localId],$B263,tbl_ledger[イベント種類],"充当",tbl_ledger[ロットID],"="),
_xlpm.品番プール-_xlpm.割当計+_xlpm.余剰化受入-_xlpm.充当払出))</f>
        <v/>
      </c>
      <c r="J263" s="8" t="str">
        <f t="shared" si="13"/>
        <v/>
      </c>
      <c r="K263" s="8" t="str">
        <f t="shared" si="14"/>
        <v/>
      </c>
      <c r="L263" s="4" t="str">
        <f>IF($A263="","",IF(INDEX(tbl_plan[計画状態],ROW()-1)="キャンセル","キャンセル",IF(J263=0,"発送済",IF(K263&gt;0,"要搬出","OK"))))</f>
        <v/>
      </c>
      <c r="M263" s="8">
        <f t="array" ref="M263">_xlfn.LET(
_xlpm.計画状態,IFERROR(INDEX(tbl_plan[計画状態],ROW()-1)&amp;"",""),
_xlpm.必要数,IFERROR(N(INDEX(tbl_plan[必要数],ROW()-1)),0),
IF(_xlpm.計画状態="キャンセル",0,_xlpm.必要数))</f>
        <v>0</v>
      </c>
      <c r="N263" s="8" t="str">
        <f>IF($A263="","",_xlfn.LET(
_xlpm.搬入計,SUMIFS(tbl_ledger[数量],tbl_ledger[localId],$B263,tbl_ledger[イベント種類],"搬入"),
_xlpm.未割当発送,SUMIFS(tbl_ledger[数量],tbl_ledger[localId],$B263,tbl_ledger[イベント種類],"発送",tbl_ledger[ロットID],"="),
_xlpm.未割当倉庫戻し,SUMIFS(tbl_ledger[数量],tbl_ledger[localId],$B263,tbl_ledger[イベント種類],"倉庫戻し",tbl_ledger[ロットID],"="),
_xlpm.未割当不良,SUMIFS(tbl_ledger[数量],tbl_ledger[localId],$B263,tbl_ledger[イベント種類],"不良発生",tbl_ledger[ロットID],"="),
_xlpm.搬入計-_xlpm.未割当発送-_xlpm.未割当倉庫戻し-_xlpm.未割当不良))</f>
        <v/>
      </c>
      <c r="O263" s="8" t="str">
        <f t="array" ref="O263">IF($A263="","",_xlfn.LET(
_xlpm.同品番,($B$2:$B$301=$B263),
_xlpm.週が前,($C$2:$C$301&lt;$C263),
_xlpm.同週で上行,($C$2:$C$301=$C263)*(ROW($C$2:$C$301)&lt;ROW()),
SUMPRODUCT(_xlpm.同品番*(_xlpm.週が前+_xlpm.同週で上行)*$M$2:$M$301)))</f>
        <v/>
      </c>
    </row>
    <row r="264" spans="1:15" ht="15" customHeight="1" x14ac:dyDescent="0.25">
      <c r="A264" s="4" t="str">
        <f>IFERROR(INDEX(tbl_plan[ロットID],ROW()-1),"")</f>
        <v/>
      </c>
      <c r="B264" s="4" t="str">
        <f>IF($A264="","",INDEX(tbl_plan[localId],ROW()-1))</f>
        <v/>
      </c>
      <c r="C264" s="11" t="str">
        <f>IF($A264="","",INDEX(tbl_plan[出荷週],ROW()-1))</f>
        <v/>
      </c>
      <c r="D264" s="4" t="str">
        <f>IF($A264="","",INDEX(tbl_plan[納期先],ROW()-1)&amp;"")</f>
        <v/>
      </c>
      <c r="E264" s="8" t="str">
        <f>IF($A264="","",INDEX(tbl_plan[必要数],ROW()-1))</f>
        <v/>
      </c>
      <c r="F264" s="8" t="str">
        <f t="shared" si="12"/>
        <v/>
      </c>
      <c r="G264" s="8" t="str">
        <f>IF($A264="","",SUMIFS(tbl_ledger[数量],tbl_ledger[ロットID],$A264,tbl_ledger[イベント種類],"発送"))</f>
        <v/>
      </c>
      <c r="H264" s="8" t="str">
        <f>IF($A264="","",_xlfn.LET(
_xlpm.割当,F264,
_xlpm.充当受入,SUMIFS(tbl_ledger[数量],tbl_ledger[充当先ロットID],$A264,tbl_ledger[イベント種類],"充当"),
_xlpm.充当放出,SUMIFS(tbl_ledger[数量],tbl_ledger[ロットID],$A264,tbl_ledger[イベント種類],"充当"),
_xlpm.発送済,G264,
_xlpm.倉庫戻し,SUMIFS(tbl_ledger[数量],tbl_ledger[ロットID],$A264,tbl_ledger[イベント種類],"倉庫戻し"),
_xlpm.余剰化,SUMIFS(tbl_ledger[数量],tbl_ledger[ロットID],$A264,tbl_ledger[イベント種類],"余剰化"),
_xlpm.不良,SUMIFS(tbl_ledger[数量],tbl_ledger[ロットID],$A264,tbl_ledger[イベント種類],"不良発生"),
_xlpm.割当+_xlpm.充当受入-_xlpm.充当放出-_xlpm.発送済-_xlpm.倉庫戻し-_xlpm.余剰化-_xlpm.不良))</f>
        <v/>
      </c>
      <c r="I264" s="8" t="str">
        <f>IF($A264="","",_xlfn.LET(
_xlpm.品番プール,N264,
_xlpm.割当計,SUMIF($B$2:$B$301,$B264,$F$2:$F$301),
_xlpm.余剰化受入,SUMIFS(tbl_ledger[数量],tbl_ledger[localId],$B264,tbl_ledger[イベント種類],"余剰化"),
_xlpm.充当払出,SUMIFS(tbl_ledger[数量],tbl_ledger[localId],$B264,tbl_ledger[イベント種類],"充当",tbl_ledger[ロットID],"="),
_xlpm.品番プール-_xlpm.割当計+_xlpm.余剰化受入-_xlpm.充当払出))</f>
        <v/>
      </c>
      <c r="J264" s="8" t="str">
        <f t="shared" si="13"/>
        <v/>
      </c>
      <c r="K264" s="8" t="str">
        <f t="shared" si="14"/>
        <v/>
      </c>
      <c r="L264" s="4" t="str">
        <f>IF($A264="","",IF(INDEX(tbl_plan[計画状態],ROW()-1)="キャンセル","キャンセル",IF(J264=0,"発送済",IF(K264&gt;0,"要搬出","OK"))))</f>
        <v/>
      </c>
      <c r="M264" s="8">
        <f t="array" ref="M264">_xlfn.LET(
_xlpm.計画状態,IFERROR(INDEX(tbl_plan[計画状態],ROW()-1)&amp;"",""),
_xlpm.必要数,IFERROR(N(INDEX(tbl_plan[必要数],ROW()-1)),0),
IF(_xlpm.計画状態="キャンセル",0,_xlpm.必要数))</f>
        <v>0</v>
      </c>
      <c r="N264" s="8" t="str">
        <f>IF($A264="","",_xlfn.LET(
_xlpm.搬入計,SUMIFS(tbl_ledger[数量],tbl_ledger[localId],$B264,tbl_ledger[イベント種類],"搬入"),
_xlpm.未割当発送,SUMIFS(tbl_ledger[数量],tbl_ledger[localId],$B264,tbl_ledger[イベント種類],"発送",tbl_ledger[ロットID],"="),
_xlpm.未割当倉庫戻し,SUMIFS(tbl_ledger[数量],tbl_ledger[localId],$B264,tbl_ledger[イベント種類],"倉庫戻し",tbl_ledger[ロットID],"="),
_xlpm.未割当不良,SUMIFS(tbl_ledger[数量],tbl_ledger[localId],$B264,tbl_ledger[イベント種類],"不良発生",tbl_ledger[ロットID],"="),
_xlpm.搬入計-_xlpm.未割当発送-_xlpm.未割当倉庫戻し-_xlpm.未割当不良))</f>
        <v/>
      </c>
      <c r="O264" s="8" t="str">
        <f t="array" ref="O264">IF($A264="","",_xlfn.LET(
_xlpm.同品番,($B$2:$B$301=$B264),
_xlpm.週が前,($C$2:$C$301&lt;$C264),
_xlpm.同週で上行,($C$2:$C$301=$C264)*(ROW($C$2:$C$301)&lt;ROW()),
SUMPRODUCT(_xlpm.同品番*(_xlpm.週が前+_xlpm.同週で上行)*$M$2:$M$301)))</f>
        <v/>
      </c>
    </row>
    <row r="265" spans="1:15" ht="15" customHeight="1" x14ac:dyDescent="0.25">
      <c r="A265" s="4" t="str">
        <f>IFERROR(INDEX(tbl_plan[ロットID],ROW()-1),"")</f>
        <v/>
      </c>
      <c r="B265" s="4" t="str">
        <f>IF($A265="","",INDEX(tbl_plan[localId],ROW()-1))</f>
        <v/>
      </c>
      <c r="C265" s="11" t="str">
        <f>IF($A265="","",INDEX(tbl_plan[出荷週],ROW()-1))</f>
        <v/>
      </c>
      <c r="D265" s="4" t="str">
        <f>IF($A265="","",INDEX(tbl_plan[納期先],ROW()-1)&amp;"")</f>
        <v/>
      </c>
      <c r="E265" s="8" t="str">
        <f>IF($A265="","",INDEX(tbl_plan[必要数],ROW()-1))</f>
        <v/>
      </c>
      <c r="F265" s="8" t="str">
        <f t="shared" si="12"/>
        <v/>
      </c>
      <c r="G265" s="8" t="str">
        <f>IF($A265="","",SUMIFS(tbl_ledger[数量],tbl_ledger[ロットID],$A265,tbl_ledger[イベント種類],"発送"))</f>
        <v/>
      </c>
      <c r="H265" s="8" t="str">
        <f>IF($A265="","",_xlfn.LET(
_xlpm.割当,F265,
_xlpm.充当受入,SUMIFS(tbl_ledger[数量],tbl_ledger[充当先ロットID],$A265,tbl_ledger[イベント種類],"充当"),
_xlpm.充当放出,SUMIFS(tbl_ledger[数量],tbl_ledger[ロットID],$A265,tbl_ledger[イベント種類],"充当"),
_xlpm.発送済,G265,
_xlpm.倉庫戻し,SUMIFS(tbl_ledger[数量],tbl_ledger[ロットID],$A265,tbl_ledger[イベント種類],"倉庫戻し"),
_xlpm.余剰化,SUMIFS(tbl_ledger[数量],tbl_ledger[ロットID],$A265,tbl_ledger[イベント種類],"余剰化"),
_xlpm.不良,SUMIFS(tbl_ledger[数量],tbl_ledger[ロットID],$A265,tbl_ledger[イベント種類],"不良発生"),
_xlpm.割当+_xlpm.充当受入-_xlpm.充当放出-_xlpm.発送済-_xlpm.倉庫戻し-_xlpm.余剰化-_xlpm.不良))</f>
        <v/>
      </c>
      <c r="I265" s="8" t="str">
        <f>IF($A265="","",_xlfn.LET(
_xlpm.品番プール,N265,
_xlpm.割当計,SUMIF($B$2:$B$301,$B265,$F$2:$F$301),
_xlpm.余剰化受入,SUMIFS(tbl_ledger[数量],tbl_ledger[localId],$B265,tbl_ledger[イベント種類],"余剰化"),
_xlpm.充当払出,SUMIFS(tbl_ledger[数量],tbl_ledger[localId],$B265,tbl_ledger[イベント種類],"充当",tbl_ledger[ロットID],"="),
_xlpm.品番プール-_xlpm.割当計+_xlpm.余剰化受入-_xlpm.充当払出))</f>
        <v/>
      </c>
      <c r="J265" s="8" t="str">
        <f t="shared" si="13"/>
        <v/>
      </c>
      <c r="K265" s="8" t="str">
        <f t="shared" si="14"/>
        <v/>
      </c>
      <c r="L265" s="4" t="str">
        <f>IF($A265="","",IF(INDEX(tbl_plan[計画状態],ROW()-1)="キャンセル","キャンセル",IF(J265=0,"発送済",IF(K265&gt;0,"要搬出","OK"))))</f>
        <v/>
      </c>
      <c r="M265" s="8">
        <f t="array" ref="M265">_xlfn.LET(
_xlpm.計画状態,IFERROR(INDEX(tbl_plan[計画状態],ROW()-1)&amp;"",""),
_xlpm.必要数,IFERROR(N(INDEX(tbl_plan[必要数],ROW()-1)),0),
IF(_xlpm.計画状態="キャンセル",0,_xlpm.必要数))</f>
        <v>0</v>
      </c>
      <c r="N265" s="8" t="str">
        <f>IF($A265="","",_xlfn.LET(
_xlpm.搬入計,SUMIFS(tbl_ledger[数量],tbl_ledger[localId],$B265,tbl_ledger[イベント種類],"搬入"),
_xlpm.未割当発送,SUMIFS(tbl_ledger[数量],tbl_ledger[localId],$B265,tbl_ledger[イベント種類],"発送",tbl_ledger[ロットID],"="),
_xlpm.未割当倉庫戻し,SUMIFS(tbl_ledger[数量],tbl_ledger[localId],$B265,tbl_ledger[イベント種類],"倉庫戻し",tbl_ledger[ロットID],"="),
_xlpm.未割当不良,SUMIFS(tbl_ledger[数量],tbl_ledger[localId],$B265,tbl_ledger[イベント種類],"不良発生",tbl_ledger[ロットID],"="),
_xlpm.搬入計-_xlpm.未割当発送-_xlpm.未割当倉庫戻し-_xlpm.未割当不良))</f>
        <v/>
      </c>
      <c r="O265" s="8" t="str">
        <f t="array" ref="O265">IF($A265="","",_xlfn.LET(
_xlpm.同品番,($B$2:$B$301=$B265),
_xlpm.週が前,($C$2:$C$301&lt;$C265),
_xlpm.同週で上行,($C$2:$C$301=$C265)*(ROW($C$2:$C$301)&lt;ROW()),
SUMPRODUCT(_xlpm.同品番*(_xlpm.週が前+_xlpm.同週で上行)*$M$2:$M$301)))</f>
        <v/>
      </c>
    </row>
    <row r="266" spans="1:15" ht="15" customHeight="1" x14ac:dyDescent="0.25">
      <c r="A266" s="4" t="str">
        <f>IFERROR(INDEX(tbl_plan[ロットID],ROW()-1),"")</f>
        <v/>
      </c>
      <c r="B266" s="4" t="str">
        <f>IF($A266="","",INDEX(tbl_plan[localId],ROW()-1))</f>
        <v/>
      </c>
      <c r="C266" s="11" t="str">
        <f>IF($A266="","",INDEX(tbl_plan[出荷週],ROW()-1))</f>
        <v/>
      </c>
      <c r="D266" s="4" t="str">
        <f>IF($A266="","",INDEX(tbl_plan[納期先],ROW()-1)&amp;"")</f>
        <v/>
      </c>
      <c r="E266" s="8" t="str">
        <f>IF($A266="","",INDEX(tbl_plan[必要数],ROW()-1))</f>
        <v/>
      </c>
      <c r="F266" s="8" t="str">
        <f t="shared" si="12"/>
        <v/>
      </c>
      <c r="G266" s="8" t="str">
        <f>IF($A266="","",SUMIFS(tbl_ledger[数量],tbl_ledger[ロットID],$A266,tbl_ledger[イベント種類],"発送"))</f>
        <v/>
      </c>
      <c r="H266" s="8" t="str">
        <f>IF($A266="","",_xlfn.LET(
_xlpm.割当,F266,
_xlpm.充当受入,SUMIFS(tbl_ledger[数量],tbl_ledger[充当先ロットID],$A266,tbl_ledger[イベント種類],"充当"),
_xlpm.充当放出,SUMIFS(tbl_ledger[数量],tbl_ledger[ロットID],$A266,tbl_ledger[イベント種類],"充当"),
_xlpm.発送済,G266,
_xlpm.倉庫戻し,SUMIFS(tbl_ledger[数量],tbl_ledger[ロットID],$A266,tbl_ledger[イベント種類],"倉庫戻し"),
_xlpm.余剰化,SUMIFS(tbl_ledger[数量],tbl_ledger[ロットID],$A266,tbl_ledger[イベント種類],"余剰化"),
_xlpm.不良,SUMIFS(tbl_ledger[数量],tbl_ledger[ロットID],$A266,tbl_ledger[イベント種類],"不良発生"),
_xlpm.割当+_xlpm.充当受入-_xlpm.充当放出-_xlpm.発送済-_xlpm.倉庫戻し-_xlpm.余剰化-_xlpm.不良))</f>
        <v/>
      </c>
      <c r="I266" s="8" t="str">
        <f>IF($A266="","",_xlfn.LET(
_xlpm.品番プール,N266,
_xlpm.割当計,SUMIF($B$2:$B$301,$B266,$F$2:$F$301),
_xlpm.余剰化受入,SUMIFS(tbl_ledger[数量],tbl_ledger[localId],$B266,tbl_ledger[イベント種類],"余剰化"),
_xlpm.充当払出,SUMIFS(tbl_ledger[数量],tbl_ledger[localId],$B266,tbl_ledger[イベント種類],"充当",tbl_ledger[ロットID],"="),
_xlpm.品番プール-_xlpm.割当計+_xlpm.余剰化受入-_xlpm.充当払出))</f>
        <v/>
      </c>
      <c r="J266" s="8" t="str">
        <f t="shared" si="13"/>
        <v/>
      </c>
      <c r="K266" s="8" t="str">
        <f t="shared" si="14"/>
        <v/>
      </c>
      <c r="L266" s="4" t="str">
        <f>IF($A266="","",IF(INDEX(tbl_plan[計画状態],ROW()-1)="キャンセル","キャンセル",IF(J266=0,"発送済",IF(K266&gt;0,"要搬出","OK"))))</f>
        <v/>
      </c>
      <c r="M266" s="8">
        <f t="array" ref="M266">_xlfn.LET(
_xlpm.計画状態,IFERROR(INDEX(tbl_plan[計画状態],ROW()-1)&amp;"",""),
_xlpm.必要数,IFERROR(N(INDEX(tbl_plan[必要数],ROW()-1)),0),
IF(_xlpm.計画状態="キャンセル",0,_xlpm.必要数))</f>
        <v>0</v>
      </c>
      <c r="N266" s="8" t="str">
        <f>IF($A266="","",_xlfn.LET(
_xlpm.搬入計,SUMIFS(tbl_ledger[数量],tbl_ledger[localId],$B266,tbl_ledger[イベント種類],"搬入"),
_xlpm.未割当発送,SUMIFS(tbl_ledger[数量],tbl_ledger[localId],$B266,tbl_ledger[イベント種類],"発送",tbl_ledger[ロットID],"="),
_xlpm.未割当倉庫戻し,SUMIFS(tbl_ledger[数量],tbl_ledger[localId],$B266,tbl_ledger[イベント種類],"倉庫戻し",tbl_ledger[ロットID],"="),
_xlpm.未割当不良,SUMIFS(tbl_ledger[数量],tbl_ledger[localId],$B266,tbl_ledger[イベント種類],"不良発生",tbl_ledger[ロットID],"="),
_xlpm.搬入計-_xlpm.未割当発送-_xlpm.未割当倉庫戻し-_xlpm.未割当不良))</f>
        <v/>
      </c>
      <c r="O266" s="8" t="str">
        <f t="array" ref="O266">IF($A266="","",_xlfn.LET(
_xlpm.同品番,($B$2:$B$301=$B266),
_xlpm.週が前,($C$2:$C$301&lt;$C266),
_xlpm.同週で上行,($C$2:$C$301=$C266)*(ROW($C$2:$C$301)&lt;ROW()),
SUMPRODUCT(_xlpm.同品番*(_xlpm.週が前+_xlpm.同週で上行)*$M$2:$M$301)))</f>
        <v/>
      </c>
    </row>
    <row r="267" spans="1:15" ht="15" customHeight="1" x14ac:dyDescent="0.25">
      <c r="A267" s="4" t="str">
        <f>IFERROR(INDEX(tbl_plan[ロットID],ROW()-1),"")</f>
        <v/>
      </c>
      <c r="B267" s="4" t="str">
        <f>IF($A267="","",INDEX(tbl_plan[localId],ROW()-1))</f>
        <v/>
      </c>
      <c r="C267" s="11" t="str">
        <f>IF($A267="","",INDEX(tbl_plan[出荷週],ROW()-1))</f>
        <v/>
      </c>
      <c r="D267" s="4" t="str">
        <f>IF($A267="","",INDEX(tbl_plan[納期先],ROW()-1)&amp;"")</f>
        <v/>
      </c>
      <c r="E267" s="8" t="str">
        <f>IF($A267="","",INDEX(tbl_plan[必要数],ROW()-1))</f>
        <v/>
      </c>
      <c r="F267" s="8" t="str">
        <f t="shared" si="12"/>
        <v/>
      </c>
      <c r="G267" s="8" t="str">
        <f>IF($A267="","",SUMIFS(tbl_ledger[数量],tbl_ledger[ロットID],$A267,tbl_ledger[イベント種類],"発送"))</f>
        <v/>
      </c>
      <c r="H267" s="8" t="str">
        <f>IF($A267="","",_xlfn.LET(
_xlpm.割当,F267,
_xlpm.充当受入,SUMIFS(tbl_ledger[数量],tbl_ledger[充当先ロットID],$A267,tbl_ledger[イベント種類],"充当"),
_xlpm.充当放出,SUMIFS(tbl_ledger[数量],tbl_ledger[ロットID],$A267,tbl_ledger[イベント種類],"充当"),
_xlpm.発送済,G267,
_xlpm.倉庫戻し,SUMIFS(tbl_ledger[数量],tbl_ledger[ロットID],$A267,tbl_ledger[イベント種類],"倉庫戻し"),
_xlpm.余剰化,SUMIFS(tbl_ledger[数量],tbl_ledger[ロットID],$A267,tbl_ledger[イベント種類],"余剰化"),
_xlpm.不良,SUMIFS(tbl_ledger[数量],tbl_ledger[ロットID],$A267,tbl_ledger[イベント種類],"不良発生"),
_xlpm.割当+_xlpm.充当受入-_xlpm.充当放出-_xlpm.発送済-_xlpm.倉庫戻し-_xlpm.余剰化-_xlpm.不良))</f>
        <v/>
      </c>
      <c r="I267" s="8" t="str">
        <f>IF($A267="","",_xlfn.LET(
_xlpm.品番プール,N267,
_xlpm.割当計,SUMIF($B$2:$B$301,$B267,$F$2:$F$301),
_xlpm.余剰化受入,SUMIFS(tbl_ledger[数量],tbl_ledger[localId],$B267,tbl_ledger[イベント種類],"余剰化"),
_xlpm.充当払出,SUMIFS(tbl_ledger[数量],tbl_ledger[localId],$B267,tbl_ledger[イベント種類],"充当",tbl_ledger[ロットID],"="),
_xlpm.品番プール-_xlpm.割当計+_xlpm.余剰化受入-_xlpm.充当払出))</f>
        <v/>
      </c>
      <c r="J267" s="8" t="str">
        <f t="shared" si="13"/>
        <v/>
      </c>
      <c r="K267" s="8" t="str">
        <f t="shared" si="14"/>
        <v/>
      </c>
      <c r="L267" s="4" t="str">
        <f>IF($A267="","",IF(INDEX(tbl_plan[計画状態],ROW()-1)="キャンセル","キャンセル",IF(J267=0,"発送済",IF(K267&gt;0,"要搬出","OK"))))</f>
        <v/>
      </c>
      <c r="M267" s="8">
        <f t="array" ref="M267">_xlfn.LET(
_xlpm.計画状態,IFERROR(INDEX(tbl_plan[計画状態],ROW()-1)&amp;"",""),
_xlpm.必要数,IFERROR(N(INDEX(tbl_plan[必要数],ROW()-1)),0),
IF(_xlpm.計画状態="キャンセル",0,_xlpm.必要数))</f>
        <v>0</v>
      </c>
      <c r="N267" s="8" t="str">
        <f>IF($A267="","",_xlfn.LET(
_xlpm.搬入計,SUMIFS(tbl_ledger[数量],tbl_ledger[localId],$B267,tbl_ledger[イベント種類],"搬入"),
_xlpm.未割当発送,SUMIFS(tbl_ledger[数量],tbl_ledger[localId],$B267,tbl_ledger[イベント種類],"発送",tbl_ledger[ロットID],"="),
_xlpm.未割当倉庫戻し,SUMIFS(tbl_ledger[数量],tbl_ledger[localId],$B267,tbl_ledger[イベント種類],"倉庫戻し",tbl_ledger[ロットID],"="),
_xlpm.未割当不良,SUMIFS(tbl_ledger[数量],tbl_ledger[localId],$B267,tbl_ledger[イベント種類],"不良発生",tbl_ledger[ロットID],"="),
_xlpm.搬入計-_xlpm.未割当発送-_xlpm.未割当倉庫戻し-_xlpm.未割当不良))</f>
        <v/>
      </c>
      <c r="O267" s="8" t="str">
        <f t="array" ref="O267">IF($A267="","",_xlfn.LET(
_xlpm.同品番,($B$2:$B$301=$B267),
_xlpm.週が前,($C$2:$C$301&lt;$C267),
_xlpm.同週で上行,($C$2:$C$301=$C267)*(ROW($C$2:$C$301)&lt;ROW()),
SUMPRODUCT(_xlpm.同品番*(_xlpm.週が前+_xlpm.同週で上行)*$M$2:$M$301)))</f>
        <v/>
      </c>
    </row>
    <row r="268" spans="1:15" ht="15" customHeight="1" x14ac:dyDescent="0.25">
      <c r="A268" s="4" t="str">
        <f>IFERROR(INDEX(tbl_plan[ロットID],ROW()-1),"")</f>
        <v/>
      </c>
      <c r="B268" s="4" t="str">
        <f>IF($A268="","",INDEX(tbl_plan[localId],ROW()-1))</f>
        <v/>
      </c>
      <c r="C268" s="11" t="str">
        <f>IF($A268="","",INDEX(tbl_plan[出荷週],ROW()-1))</f>
        <v/>
      </c>
      <c r="D268" s="4" t="str">
        <f>IF($A268="","",INDEX(tbl_plan[納期先],ROW()-1)&amp;"")</f>
        <v/>
      </c>
      <c r="E268" s="8" t="str">
        <f>IF($A268="","",INDEX(tbl_plan[必要数],ROW()-1))</f>
        <v/>
      </c>
      <c r="F268" s="8" t="str">
        <f t="shared" si="12"/>
        <v/>
      </c>
      <c r="G268" s="8" t="str">
        <f>IF($A268="","",SUMIFS(tbl_ledger[数量],tbl_ledger[ロットID],$A268,tbl_ledger[イベント種類],"発送"))</f>
        <v/>
      </c>
      <c r="H268" s="8" t="str">
        <f>IF($A268="","",_xlfn.LET(
_xlpm.割当,F268,
_xlpm.充当受入,SUMIFS(tbl_ledger[数量],tbl_ledger[充当先ロットID],$A268,tbl_ledger[イベント種類],"充当"),
_xlpm.充当放出,SUMIFS(tbl_ledger[数量],tbl_ledger[ロットID],$A268,tbl_ledger[イベント種類],"充当"),
_xlpm.発送済,G268,
_xlpm.倉庫戻し,SUMIFS(tbl_ledger[数量],tbl_ledger[ロットID],$A268,tbl_ledger[イベント種類],"倉庫戻し"),
_xlpm.余剰化,SUMIFS(tbl_ledger[数量],tbl_ledger[ロットID],$A268,tbl_ledger[イベント種類],"余剰化"),
_xlpm.不良,SUMIFS(tbl_ledger[数量],tbl_ledger[ロットID],$A268,tbl_ledger[イベント種類],"不良発生"),
_xlpm.割当+_xlpm.充当受入-_xlpm.充当放出-_xlpm.発送済-_xlpm.倉庫戻し-_xlpm.余剰化-_xlpm.不良))</f>
        <v/>
      </c>
      <c r="I268" s="8" t="str">
        <f>IF($A268="","",_xlfn.LET(
_xlpm.品番プール,N268,
_xlpm.割当計,SUMIF($B$2:$B$301,$B268,$F$2:$F$301),
_xlpm.余剰化受入,SUMIFS(tbl_ledger[数量],tbl_ledger[localId],$B268,tbl_ledger[イベント種類],"余剰化"),
_xlpm.充当払出,SUMIFS(tbl_ledger[数量],tbl_ledger[localId],$B268,tbl_ledger[イベント種類],"充当",tbl_ledger[ロットID],"="),
_xlpm.品番プール-_xlpm.割当計+_xlpm.余剰化受入-_xlpm.充当払出))</f>
        <v/>
      </c>
      <c r="J268" s="8" t="str">
        <f t="shared" si="13"/>
        <v/>
      </c>
      <c r="K268" s="8" t="str">
        <f t="shared" si="14"/>
        <v/>
      </c>
      <c r="L268" s="4" t="str">
        <f>IF($A268="","",IF(INDEX(tbl_plan[計画状態],ROW()-1)="キャンセル","キャンセル",IF(J268=0,"発送済",IF(K268&gt;0,"要搬出","OK"))))</f>
        <v/>
      </c>
      <c r="M268" s="8">
        <f t="array" ref="M268">_xlfn.LET(
_xlpm.計画状態,IFERROR(INDEX(tbl_plan[計画状態],ROW()-1)&amp;"",""),
_xlpm.必要数,IFERROR(N(INDEX(tbl_plan[必要数],ROW()-1)),0),
IF(_xlpm.計画状態="キャンセル",0,_xlpm.必要数))</f>
        <v>0</v>
      </c>
      <c r="N268" s="8" t="str">
        <f>IF($A268="","",_xlfn.LET(
_xlpm.搬入計,SUMIFS(tbl_ledger[数量],tbl_ledger[localId],$B268,tbl_ledger[イベント種類],"搬入"),
_xlpm.未割当発送,SUMIFS(tbl_ledger[数量],tbl_ledger[localId],$B268,tbl_ledger[イベント種類],"発送",tbl_ledger[ロットID],"="),
_xlpm.未割当倉庫戻し,SUMIFS(tbl_ledger[数量],tbl_ledger[localId],$B268,tbl_ledger[イベント種類],"倉庫戻し",tbl_ledger[ロットID],"="),
_xlpm.未割当不良,SUMIFS(tbl_ledger[数量],tbl_ledger[localId],$B268,tbl_ledger[イベント種類],"不良発生",tbl_ledger[ロットID],"="),
_xlpm.搬入計-_xlpm.未割当発送-_xlpm.未割当倉庫戻し-_xlpm.未割当不良))</f>
        <v/>
      </c>
      <c r="O268" s="8" t="str">
        <f t="array" ref="O268">IF($A268="","",_xlfn.LET(
_xlpm.同品番,($B$2:$B$301=$B268),
_xlpm.週が前,($C$2:$C$301&lt;$C268),
_xlpm.同週で上行,($C$2:$C$301=$C268)*(ROW($C$2:$C$301)&lt;ROW()),
SUMPRODUCT(_xlpm.同品番*(_xlpm.週が前+_xlpm.同週で上行)*$M$2:$M$301)))</f>
        <v/>
      </c>
    </row>
    <row r="269" spans="1:15" ht="15" customHeight="1" x14ac:dyDescent="0.25">
      <c r="A269" s="4" t="str">
        <f>IFERROR(INDEX(tbl_plan[ロットID],ROW()-1),"")</f>
        <v/>
      </c>
      <c r="B269" s="4" t="str">
        <f>IF($A269="","",INDEX(tbl_plan[localId],ROW()-1))</f>
        <v/>
      </c>
      <c r="C269" s="11" t="str">
        <f>IF($A269="","",INDEX(tbl_plan[出荷週],ROW()-1))</f>
        <v/>
      </c>
      <c r="D269" s="4" t="str">
        <f>IF($A269="","",INDEX(tbl_plan[納期先],ROW()-1)&amp;"")</f>
        <v/>
      </c>
      <c r="E269" s="8" t="str">
        <f>IF($A269="","",INDEX(tbl_plan[必要数],ROW()-1))</f>
        <v/>
      </c>
      <c r="F269" s="8" t="str">
        <f t="shared" si="12"/>
        <v/>
      </c>
      <c r="G269" s="8" t="str">
        <f>IF($A269="","",SUMIFS(tbl_ledger[数量],tbl_ledger[ロットID],$A269,tbl_ledger[イベント種類],"発送"))</f>
        <v/>
      </c>
      <c r="H269" s="8" t="str">
        <f>IF($A269="","",_xlfn.LET(
_xlpm.割当,F269,
_xlpm.充当受入,SUMIFS(tbl_ledger[数量],tbl_ledger[充当先ロットID],$A269,tbl_ledger[イベント種類],"充当"),
_xlpm.充当放出,SUMIFS(tbl_ledger[数量],tbl_ledger[ロットID],$A269,tbl_ledger[イベント種類],"充当"),
_xlpm.発送済,G269,
_xlpm.倉庫戻し,SUMIFS(tbl_ledger[数量],tbl_ledger[ロットID],$A269,tbl_ledger[イベント種類],"倉庫戻し"),
_xlpm.余剰化,SUMIFS(tbl_ledger[数量],tbl_ledger[ロットID],$A269,tbl_ledger[イベント種類],"余剰化"),
_xlpm.不良,SUMIFS(tbl_ledger[数量],tbl_ledger[ロットID],$A269,tbl_ledger[イベント種類],"不良発生"),
_xlpm.割当+_xlpm.充当受入-_xlpm.充当放出-_xlpm.発送済-_xlpm.倉庫戻し-_xlpm.余剰化-_xlpm.不良))</f>
        <v/>
      </c>
      <c r="I269" s="8" t="str">
        <f>IF($A269="","",_xlfn.LET(
_xlpm.品番プール,N269,
_xlpm.割当計,SUMIF($B$2:$B$301,$B269,$F$2:$F$301),
_xlpm.余剰化受入,SUMIFS(tbl_ledger[数量],tbl_ledger[localId],$B269,tbl_ledger[イベント種類],"余剰化"),
_xlpm.充当払出,SUMIFS(tbl_ledger[数量],tbl_ledger[localId],$B269,tbl_ledger[イベント種類],"充当",tbl_ledger[ロットID],"="),
_xlpm.品番プール-_xlpm.割当計+_xlpm.余剰化受入-_xlpm.充当払出))</f>
        <v/>
      </c>
      <c r="J269" s="8" t="str">
        <f t="shared" si="13"/>
        <v/>
      </c>
      <c r="K269" s="8" t="str">
        <f t="shared" si="14"/>
        <v/>
      </c>
      <c r="L269" s="4" t="str">
        <f>IF($A269="","",IF(INDEX(tbl_plan[計画状態],ROW()-1)="キャンセル","キャンセル",IF(J269=0,"発送済",IF(K269&gt;0,"要搬出","OK"))))</f>
        <v/>
      </c>
      <c r="M269" s="8">
        <f t="array" ref="M269">_xlfn.LET(
_xlpm.計画状態,IFERROR(INDEX(tbl_plan[計画状態],ROW()-1)&amp;"",""),
_xlpm.必要数,IFERROR(N(INDEX(tbl_plan[必要数],ROW()-1)),0),
IF(_xlpm.計画状態="キャンセル",0,_xlpm.必要数))</f>
        <v>0</v>
      </c>
      <c r="N269" s="8" t="str">
        <f>IF($A269="","",_xlfn.LET(
_xlpm.搬入計,SUMIFS(tbl_ledger[数量],tbl_ledger[localId],$B269,tbl_ledger[イベント種類],"搬入"),
_xlpm.未割当発送,SUMIFS(tbl_ledger[数量],tbl_ledger[localId],$B269,tbl_ledger[イベント種類],"発送",tbl_ledger[ロットID],"="),
_xlpm.未割当倉庫戻し,SUMIFS(tbl_ledger[数量],tbl_ledger[localId],$B269,tbl_ledger[イベント種類],"倉庫戻し",tbl_ledger[ロットID],"="),
_xlpm.未割当不良,SUMIFS(tbl_ledger[数量],tbl_ledger[localId],$B269,tbl_ledger[イベント種類],"不良発生",tbl_ledger[ロットID],"="),
_xlpm.搬入計-_xlpm.未割当発送-_xlpm.未割当倉庫戻し-_xlpm.未割当不良))</f>
        <v/>
      </c>
      <c r="O269" s="8" t="str">
        <f t="array" ref="O269">IF($A269="","",_xlfn.LET(
_xlpm.同品番,($B$2:$B$301=$B269),
_xlpm.週が前,($C$2:$C$301&lt;$C269),
_xlpm.同週で上行,($C$2:$C$301=$C269)*(ROW($C$2:$C$301)&lt;ROW()),
SUMPRODUCT(_xlpm.同品番*(_xlpm.週が前+_xlpm.同週で上行)*$M$2:$M$301)))</f>
        <v/>
      </c>
    </row>
    <row r="270" spans="1:15" ht="15" customHeight="1" x14ac:dyDescent="0.25">
      <c r="A270" s="4" t="str">
        <f>IFERROR(INDEX(tbl_plan[ロットID],ROW()-1),"")</f>
        <v/>
      </c>
      <c r="B270" s="4" t="str">
        <f>IF($A270="","",INDEX(tbl_plan[localId],ROW()-1))</f>
        <v/>
      </c>
      <c r="C270" s="11" t="str">
        <f>IF($A270="","",INDEX(tbl_plan[出荷週],ROW()-1))</f>
        <v/>
      </c>
      <c r="D270" s="4" t="str">
        <f>IF($A270="","",INDEX(tbl_plan[納期先],ROW()-1)&amp;"")</f>
        <v/>
      </c>
      <c r="E270" s="8" t="str">
        <f>IF($A270="","",INDEX(tbl_plan[必要数],ROW()-1))</f>
        <v/>
      </c>
      <c r="F270" s="8" t="str">
        <f t="shared" si="12"/>
        <v/>
      </c>
      <c r="G270" s="8" t="str">
        <f>IF($A270="","",SUMIFS(tbl_ledger[数量],tbl_ledger[ロットID],$A270,tbl_ledger[イベント種類],"発送"))</f>
        <v/>
      </c>
      <c r="H270" s="8" t="str">
        <f>IF($A270="","",_xlfn.LET(
_xlpm.割当,F270,
_xlpm.充当受入,SUMIFS(tbl_ledger[数量],tbl_ledger[充当先ロットID],$A270,tbl_ledger[イベント種類],"充当"),
_xlpm.充当放出,SUMIFS(tbl_ledger[数量],tbl_ledger[ロットID],$A270,tbl_ledger[イベント種類],"充当"),
_xlpm.発送済,G270,
_xlpm.倉庫戻し,SUMIFS(tbl_ledger[数量],tbl_ledger[ロットID],$A270,tbl_ledger[イベント種類],"倉庫戻し"),
_xlpm.余剰化,SUMIFS(tbl_ledger[数量],tbl_ledger[ロットID],$A270,tbl_ledger[イベント種類],"余剰化"),
_xlpm.不良,SUMIFS(tbl_ledger[数量],tbl_ledger[ロットID],$A270,tbl_ledger[イベント種類],"不良発生"),
_xlpm.割当+_xlpm.充当受入-_xlpm.充当放出-_xlpm.発送済-_xlpm.倉庫戻し-_xlpm.余剰化-_xlpm.不良))</f>
        <v/>
      </c>
      <c r="I270" s="8" t="str">
        <f>IF($A270="","",_xlfn.LET(
_xlpm.品番プール,N270,
_xlpm.割当計,SUMIF($B$2:$B$301,$B270,$F$2:$F$301),
_xlpm.余剰化受入,SUMIFS(tbl_ledger[数量],tbl_ledger[localId],$B270,tbl_ledger[イベント種類],"余剰化"),
_xlpm.充当払出,SUMIFS(tbl_ledger[数量],tbl_ledger[localId],$B270,tbl_ledger[イベント種類],"充当",tbl_ledger[ロットID],"="),
_xlpm.品番プール-_xlpm.割当計+_xlpm.余剰化受入-_xlpm.充当払出))</f>
        <v/>
      </c>
      <c r="J270" s="8" t="str">
        <f t="shared" si="13"/>
        <v/>
      </c>
      <c r="K270" s="8" t="str">
        <f t="shared" si="14"/>
        <v/>
      </c>
      <c r="L270" s="4" t="str">
        <f>IF($A270="","",IF(INDEX(tbl_plan[計画状態],ROW()-1)="キャンセル","キャンセル",IF(J270=0,"発送済",IF(K270&gt;0,"要搬出","OK"))))</f>
        <v/>
      </c>
      <c r="M270" s="8">
        <f t="array" ref="M270">_xlfn.LET(
_xlpm.計画状態,IFERROR(INDEX(tbl_plan[計画状態],ROW()-1)&amp;"",""),
_xlpm.必要数,IFERROR(N(INDEX(tbl_plan[必要数],ROW()-1)),0),
IF(_xlpm.計画状態="キャンセル",0,_xlpm.必要数))</f>
        <v>0</v>
      </c>
      <c r="N270" s="8" t="str">
        <f>IF($A270="","",_xlfn.LET(
_xlpm.搬入計,SUMIFS(tbl_ledger[数量],tbl_ledger[localId],$B270,tbl_ledger[イベント種類],"搬入"),
_xlpm.未割当発送,SUMIFS(tbl_ledger[数量],tbl_ledger[localId],$B270,tbl_ledger[イベント種類],"発送",tbl_ledger[ロットID],"="),
_xlpm.未割当倉庫戻し,SUMIFS(tbl_ledger[数量],tbl_ledger[localId],$B270,tbl_ledger[イベント種類],"倉庫戻し",tbl_ledger[ロットID],"="),
_xlpm.未割当不良,SUMIFS(tbl_ledger[数量],tbl_ledger[localId],$B270,tbl_ledger[イベント種類],"不良発生",tbl_ledger[ロットID],"="),
_xlpm.搬入計-_xlpm.未割当発送-_xlpm.未割当倉庫戻し-_xlpm.未割当不良))</f>
        <v/>
      </c>
      <c r="O270" s="8" t="str">
        <f t="array" ref="O270">IF($A270="","",_xlfn.LET(
_xlpm.同品番,($B$2:$B$301=$B270),
_xlpm.週が前,($C$2:$C$301&lt;$C270),
_xlpm.同週で上行,($C$2:$C$301=$C270)*(ROW($C$2:$C$301)&lt;ROW()),
SUMPRODUCT(_xlpm.同品番*(_xlpm.週が前+_xlpm.同週で上行)*$M$2:$M$301)))</f>
        <v/>
      </c>
    </row>
    <row r="271" spans="1:15" ht="15" customHeight="1" x14ac:dyDescent="0.25">
      <c r="A271" s="4" t="str">
        <f>IFERROR(INDEX(tbl_plan[ロットID],ROW()-1),"")</f>
        <v/>
      </c>
      <c r="B271" s="4" t="str">
        <f>IF($A271="","",INDEX(tbl_plan[localId],ROW()-1))</f>
        <v/>
      </c>
      <c r="C271" s="11" t="str">
        <f>IF($A271="","",INDEX(tbl_plan[出荷週],ROW()-1))</f>
        <v/>
      </c>
      <c r="D271" s="4" t="str">
        <f>IF($A271="","",INDEX(tbl_plan[納期先],ROW()-1)&amp;"")</f>
        <v/>
      </c>
      <c r="E271" s="8" t="str">
        <f>IF($A271="","",INDEX(tbl_plan[必要数],ROW()-1))</f>
        <v/>
      </c>
      <c r="F271" s="8" t="str">
        <f t="shared" si="12"/>
        <v/>
      </c>
      <c r="G271" s="8" t="str">
        <f>IF($A271="","",SUMIFS(tbl_ledger[数量],tbl_ledger[ロットID],$A271,tbl_ledger[イベント種類],"発送"))</f>
        <v/>
      </c>
      <c r="H271" s="8" t="str">
        <f>IF($A271="","",_xlfn.LET(
_xlpm.割当,F271,
_xlpm.充当受入,SUMIFS(tbl_ledger[数量],tbl_ledger[充当先ロットID],$A271,tbl_ledger[イベント種類],"充当"),
_xlpm.充当放出,SUMIFS(tbl_ledger[数量],tbl_ledger[ロットID],$A271,tbl_ledger[イベント種類],"充当"),
_xlpm.発送済,G271,
_xlpm.倉庫戻し,SUMIFS(tbl_ledger[数量],tbl_ledger[ロットID],$A271,tbl_ledger[イベント種類],"倉庫戻し"),
_xlpm.余剰化,SUMIFS(tbl_ledger[数量],tbl_ledger[ロットID],$A271,tbl_ledger[イベント種類],"余剰化"),
_xlpm.不良,SUMIFS(tbl_ledger[数量],tbl_ledger[ロットID],$A271,tbl_ledger[イベント種類],"不良発生"),
_xlpm.割当+_xlpm.充当受入-_xlpm.充当放出-_xlpm.発送済-_xlpm.倉庫戻し-_xlpm.余剰化-_xlpm.不良))</f>
        <v/>
      </c>
      <c r="I271" s="8" t="str">
        <f>IF($A271="","",_xlfn.LET(
_xlpm.品番プール,N271,
_xlpm.割当計,SUMIF($B$2:$B$301,$B271,$F$2:$F$301),
_xlpm.余剰化受入,SUMIFS(tbl_ledger[数量],tbl_ledger[localId],$B271,tbl_ledger[イベント種類],"余剰化"),
_xlpm.充当払出,SUMIFS(tbl_ledger[数量],tbl_ledger[localId],$B271,tbl_ledger[イベント種類],"充当",tbl_ledger[ロットID],"="),
_xlpm.品番プール-_xlpm.割当計+_xlpm.余剰化受入-_xlpm.充当払出))</f>
        <v/>
      </c>
      <c r="J271" s="8" t="str">
        <f t="shared" si="13"/>
        <v/>
      </c>
      <c r="K271" s="8" t="str">
        <f t="shared" si="14"/>
        <v/>
      </c>
      <c r="L271" s="4" t="str">
        <f>IF($A271="","",IF(INDEX(tbl_plan[計画状態],ROW()-1)="キャンセル","キャンセル",IF(J271=0,"発送済",IF(K271&gt;0,"要搬出","OK"))))</f>
        <v/>
      </c>
      <c r="M271" s="8">
        <f t="array" ref="M271">_xlfn.LET(
_xlpm.計画状態,IFERROR(INDEX(tbl_plan[計画状態],ROW()-1)&amp;"",""),
_xlpm.必要数,IFERROR(N(INDEX(tbl_plan[必要数],ROW()-1)),0),
IF(_xlpm.計画状態="キャンセル",0,_xlpm.必要数))</f>
        <v>0</v>
      </c>
      <c r="N271" s="8" t="str">
        <f>IF($A271="","",_xlfn.LET(
_xlpm.搬入計,SUMIFS(tbl_ledger[数量],tbl_ledger[localId],$B271,tbl_ledger[イベント種類],"搬入"),
_xlpm.未割当発送,SUMIFS(tbl_ledger[数量],tbl_ledger[localId],$B271,tbl_ledger[イベント種類],"発送",tbl_ledger[ロットID],"="),
_xlpm.未割当倉庫戻し,SUMIFS(tbl_ledger[数量],tbl_ledger[localId],$B271,tbl_ledger[イベント種類],"倉庫戻し",tbl_ledger[ロットID],"="),
_xlpm.未割当不良,SUMIFS(tbl_ledger[数量],tbl_ledger[localId],$B271,tbl_ledger[イベント種類],"不良発生",tbl_ledger[ロットID],"="),
_xlpm.搬入計-_xlpm.未割当発送-_xlpm.未割当倉庫戻し-_xlpm.未割当不良))</f>
        <v/>
      </c>
      <c r="O271" s="8" t="str">
        <f t="array" ref="O271">IF($A271="","",_xlfn.LET(
_xlpm.同品番,($B$2:$B$301=$B271),
_xlpm.週が前,($C$2:$C$301&lt;$C271),
_xlpm.同週で上行,($C$2:$C$301=$C271)*(ROW($C$2:$C$301)&lt;ROW()),
SUMPRODUCT(_xlpm.同品番*(_xlpm.週が前+_xlpm.同週で上行)*$M$2:$M$301)))</f>
        <v/>
      </c>
    </row>
    <row r="272" spans="1:15" ht="15" customHeight="1" x14ac:dyDescent="0.25">
      <c r="A272" s="4" t="str">
        <f>IFERROR(INDEX(tbl_plan[ロットID],ROW()-1),"")</f>
        <v/>
      </c>
      <c r="B272" s="4" t="str">
        <f>IF($A272="","",INDEX(tbl_plan[localId],ROW()-1))</f>
        <v/>
      </c>
      <c r="C272" s="11" t="str">
        <f>IF($A272="","",INDEX(tbl_plan[出荷週],ROW()-1))</f>
        <v/>
      </c>
      <c r="D272" s="4" t="str">
        <f>IF($A272="","",INDEX(tbl_plan[納期先],ROW()-1)&amp;"")</f>
        <v/>
      </c>
      <c r="E272" s="8" t="str">
        <f>IF($A272="","",INDEX(tbl_plan[必要数],ROW()-1))</f>
        <v/>
      </c>
      <c r="F272" s="8" t="str">
        <f t="shared" si="12"/>
        <v/>
      </c>
      <c r="G272" s="8" t="str">
        <f>IF($A272="","",SUMIFS(tbl_ledger[数量],tbl_ledger[ロットID],$A272,tbl_ledger[イベント種類],"発送"))</f>
        <v/>
      </c>
      <c r="H272" s="8" t="str">
        <f>IF($A272="","",_xlfn.LET(
_xlpm.割当,F272,
_xlpm.充当受入,SUMIFS(tbl_ledger[数量],tbl_ledger[充当先ロットID],$A272,tbl_ledger[イベント種類],"充当"),
_xlpm.充当放出,SUMIFS(tbl_ledger[数量],tbl_ledger[ロットID],$A272,tbl_ledger[イベント種類],"充当"),
_xlpm.発送済,G272,
_xlpm.倉庫戻し,SUMIFS(tbl_ledger[数量],tbl_ledger[ロットID],$A272,tbl_ledger[イベント種類],"倉庫戻し"),
_xlpm.余剰化,SUMIFS(tbl_ledger[数量],tbl_ledger[ロットID],$A272,tbl_ledger[イベント種類],"余剰化"),
_xlpm.不良,SUMIFS(tbl_ledger[数量],tbl_ledger[ロットID],$A272,tbl_ledger[イベント種類],"不良発生"),
_xlpm.割当+_xlpm.充当受入-_xlpm.充当放出-_xlpm.発送済-_xlpm.倉庫戻し-_xlpm.余剰化-_xlpm.不良))</f>
        <v/>
      </c>
      <c r="I272" s="8" t="str">
        <f>IF($A272="","",_xlfn.LET(
_xlpm.品番プール,N272,
_xlpm.割当計,SUMIF($B$2:$B$301,$B272,$F$2:$F$301),
_xlpm.余剰化受入,SUMIFS(tbl_ledger[数量],tbl_ledger[localId],$B272,tbl_ledger[イベント種類],"余剰化"),
_xlpm.充当払出,SUMIFS(tbl_ledger[数量],tbl_ledger[localId],$B272,tbl_ledger[イベント種類],"充当",tbl_ledger[ロットID],"="),
_xlpm.品番プール-_xlpm.割当計+_xlpm.余剰化受入-_xlpm.充当払出))</f>
        <v/>
      </c>
      <c r="J272" s="8" t="str">
        <f t="shared" si="13"/>
        <v/>
      </c>
      <c r="K272" s="8" t="str">
        <f t="shared" si="14"/>
        <v/>
      </c>
      <c r="L272" s="4" t="str">
        <f>IF($A272="","",IF(INDEX(tbl_plan[計画状態],ROW()-1)="キャンセル","キャンセル",IF(J272=0,"発送済",IF(K272&gt;0,"要搬出","OK"))))</f>
        <v/>
      </c>
      <c r="M272" s="8">
        <f t="array" ref="M272">_xlfn.LET(
_xlpm.計画状態,IFERROR(INDEX(tbl_plan[計画状態],ROW()-1)&amp;"",""),
_xlpm.必要数,IFERROR(N(INDEX(tbl_plan[必要数],ROW()-1)),0),
IF(_xlpm.計画状態="キャンセル",0,_xlpm.必要数))</f>
        <v>0</v>
      </c>
      <c r="N272" s="8" t="str">
        <f>IF($A272="","",_xlfn.LET(
_xlpm.搬入計,SUMIFS(tbl_ledger[数量],tbl_ledger[localId],$B272,tbl_ledger[イベント種類],"搬入"),
_xlpm.未割当発送,SUMIFS(tbl_ledger[数量],tbl_ledger[localId],$B272,tbl_ledger[イベント種類],"発送",tbl_ledger[ロットID],"="),
_xlpm.未割当倉庫戻し,SUMIFS(tbl_ledger[数量],tbl_ledger[localId],$B272,tbl_ledger[イベント種類],"倉庫戻し",tbl_ledger[ロットID],"="),
_xlpm.未割当不良,SUMIFS(tbl_ledger[数量],tbl_ledger[localId],$B272,tbl_ledger[イベント種類],"不良発生",tbl_ledger[ロットID],"="),
_xlpm.搬入計-_xlpm.未割当発送-_xlpm.未割当倉庫戻し-_xlpm.未割当不良))</f>
        <v/>
      </c>
      <c r="O272" s="8" t="str">
        <f t="array" ref="O272">IF($A272="","",_xlfn.LET(
_xlpm.同品番,($B$2:$B$301=$B272),
_xlpm.週が前,($C$2:$C$301&lt;$C272),
_xlpm.同週で上行,($C$2:$C$301=$C272)*(ROW($C$2:$C$301)&lt;ROW()),
SUMPRODUCT(_xlpm.同品番*(_xlpm.週が前+_xlpm.同週で上行)*$M$2:$M$301)))</f>
        <v/>
      </c>
    </row>
    <row r="273" spans="1:15" ht="15" customHeight="1" x14ac:dyDescent="0.25">
      <c r="A273" s="4" t="str">
        <f>IFERROR(INDEX(tbl_plan[ロットID],ROW()-1),"")</f>
        <v/>
      </c>
      <c r="B273" s="4" t="str">
        <f>IF($A273="","",INDEX(tbl_plan[localId],ROW()-1))</f>
        <v/>
      </c>
      <c r="C273" s="11" t="str">
        <f>IF($A273="","",INDEX(tbl_plan[出荷週],ROW()-1))</f>
        <v/>
      </c>
      <c r="D273" s="4" t="str">
        <f>IF($A273="","",INDEX(tbl_plan[納期先],ROW()-1)&amp;"")</f>
        <v/>
      </c>
      <c r="E273" s="8" t="str">
        <f>IF($A273="","",INDEX(tbl_plan[必要数],ROW()-1))</f>
        <v/>
      </c>
      <c r="F273" s="8" t="str">
        <f t="shared" si="12"/>
        <v/>
      </c>
      <c r="G273" s="8" t="str">
        <f>IF($A273="","",SUMIFS(tbl_ledger[数量],tbl_ledger[ロットID],$A273,tbl_ledger[イベント種類],"発送"))</f>
        <v/>
      </c>
      <c r="H273" s="8" t="str">
        <f>IF($A273="","",_xlfn.LET(
_xlpm.割当,F273,
_xlpm.充当受入,SUMIFS(tbl_ledger[数量],tbl_ledger[充当先ロットID],$A273,tbl_ledger[イベント種類],"充当"),
_xlpm.充当放出,SUMIFS(tbl_ledger[数量],tbl_ledger[ロットID],$A273,tbl_ledger[イベント種類],"充当"),
_xlpm.発送済,G273,
_xlpm.倉庫戻し,SUMIFS(tbl_ledger[数量],tbl_ledger[ロットID],$A273,tbl_ledger[イベント種類],"倉庫戻し"),
_xlpm.余剰化,SUMIFS(tbl_ledger[数量],tbl_ledger[ロットID],$A273,tbl_ledger[イベント種類],"余剰化"),
_xlpm.不良,SUMIFS(tbl_ledger[数量],tbl_ledger[ロットID],$A273,tbl_ledger[イベント種類],"不良発生"),
_xlpm.割当+_xlpm.充当受入-_xlpm.充当放出-_xlpm.発送済-_xlpm.倉庫戻し-_xlpm.余剰化-_xlpm.不良))</f>
        <v/>
      </c>
      <c r="I273" s="8" t="str">
        <f>IF($A273="","",_xlfn.LET(
_xlpm.品番プール,N273,
_xlpm.割当計,SUMIF($B$2:$B$301,$B273,$F$2:$F$301),
_xlpm.余剰化受入,SUMIFS(tbl_ledger[数量],tbl_ledger[localId],$B273,tbl_ledger[イベント種類],"余剰化"),
_xlpm.充当払出,SUMIFS(tbl_ledger[数量],tbl_ledger[localId],$B273,tbl_ledger[イベント種類],"充当",tbl_ledger[ロットID],"="),
_xlpm.品番プール-_xlpm.割当計+_xlpm.余剰化受入-_xlpm.充当払出))</f>
        <v/>
      </c>
      <c r="J273" s="8" t="str">
        <f t="shared" si="13"/>
        <v/>
      </c>
      <c r="K273" s="8" t="str">
        <f t="shared" si="14"/>
        <v/>
      </c>
      <c r="L273" s="4" t="str">
        <f>IF($A273="","",IF(INDEX(tbl_plan[計画状態],ROW()-1)="キャンセル","キャンセル",IF(J273=0,"発送済",IF(K273&gt;0,"要搬出","OK"))))</f>
        <v/>
      </c>
      <c r="M273" s="8">
        <f t="array" ref="M273">_xlfn.LET(
_xlpm.計画状態,IFERROR(INDEX(tbl_plan[計画状態],ROW()-1)&amp;"",""),
_xlpm.必要数,IFERROR(N(INDEX(tbl_plan[必要数],ROW()-1)),0),
IF(_xlpm.計画状態="キャンセル",0,_xlpm.必要数))</f>
        <v>0</v>
      </c>
      <c r="N273" s="8" t="str">
        <f>IF($A273="","",_xlfn.LET(
_xlpm.搬入計,SUMIFS(tbl_ledger[数量],tbl_ledger[localId],$B273,tbl_ledger[イベント種類],"搬入"),
_xlpm.未割当発送,SUMIFS(tbl_ledger[数量],tbl_ledger[localId],$B273,tbl_ledger[イベント種類],"発送",tbl_ledger[ロットID],"="),
_xlpm.未割当倉庫戻し,SUMIFS(tbl_ledger[数量],tbl_ledger[localId],$B273,tbl_ledger[イベント種類],"倉庫戻し",tbl_ledger[ロットID],"="),
_xlpm.未割当不良,SUMIFS(tbl_ledger[数量],tbl_ledger[localId],$B273,tbl_ledger[イベント種類],"不良発生",tbl_ledger[ロットID],"="),
_xlpm.搬入計-_xlpm.未割当発送-_xlpm.未割当倉庫戻し-_xlpm.未割当不良))</f>
        <v/>
      </c>
      <c r="O273" s="8" t="str">
        <f t="array" ref="O273">IF($A273="","",_xlfn.LET(
_xlpm.同品番,($B$2:$B$301=$B273),
_xlpm.週が前,($C$2:$C$301&lt;$C273),
_xlpm.同週で上行,($C$2:$C$301=$C273)*(ROW($C$2:$C$301)&lt;ROW()),
SUMPRODUCT(_xlpm.同品番*(_xlpm.週が前+_xlpm.同週で上行)*$M$2:$M$301)))</f>
        <v/>
      </c>
    </row>
    <row r="274" spans="1:15" ht="15" customHeight="1" x14ac:dyDescent="0.25">
      <c r="A274" s="4" t="str">
        <f>IFERROR(INDEX(tbl_plan[ロットID],ROW()-1),"")</f>
        <v/>
      </c>
      <c r="B274" s="4" t="str">
        <f>IF($A274="","",INDEX(tbl_plan[localId],ROW()-1))</f>
        <v/>
      </c>
      <c r="C274" s="11" t="str">
        <f>IF($A274="","",INDEX(tbl_plan[出荷週],ROW()-1))</f>
        <v/>
      </c>
      <c r="D274" s="4" t="str">
        <f>IF($A274="","",INDEX(tbl_plan[納期先],ROW()-1)&amp;"")</f>
        <v/>
      </c>
      <c r="E274" s="8" t="str">
        <f>IF($A274="","",INDEX(tbl_plan[必要数],ROW()-1))</f>
        <v/>
      </c>
      <c r="F274" s="8" t="str">
        <f t="shared" si="12"/>
        <v/>
      </c>
      <c r="G274" s="8" t="str">
        <f>IF($A274="","",SUMIFS(tbl_ledger[数量],tbl_ledger[ロットID],$A274,tbl_ledger[イベント種類],"発送"))</f>
        <v/>
      </c>
      <c r="H274" s="8" t="str">
        <f>IF($A274="","",_xlfn.LET(
_xlpm.割当,F274,
_xlpm.充当受入,SUMIFS(tbl_ledger[数量],tbl_ledger[充当先ロットID],$A274,tbl_ledger[イベント種類],"充当"),
_xlpm.充当放出,SUMIFS(tbl_ledger[数量],tbl_ledger[ロットID],$A274,tbl_ledger[イベント種類],"充当"),
_xlpm.発送済,G274,
_xlpm.倉庫戻し,SUMIFS(tbl_ledger[数量],tbl_ledger[ロットID],$A274,tbl_ledger[イベント種類],"倉庫戻し"),
_xlpm.余剰化,SUMIFS(tbl_ledger[数量],tbl_ledger[ロットID],$A274,tbl_ledger[イベント種類],"余剰化"),
_xlpm.不良,SUMIFS(tbl_ledger[数量],tbl_ledger[ロットID],$A274,tbl_ledger[イベント種類],"不良発生"),
_xlpm.割当+_xlpm.充当受入-_xlpm.充当放出-_xlpm.発送済-_xlpm.倉庫戻し-_xlpm.余剰化-_xlpm.不良))</f>
        <v/>
      </c>
      <c r="I274" s="8" t="str">
        <f>IF($A274="","",_xlfn.LET(
_xlpm.品番プール,N274,
_xlpm.割当計,SUMIF($B$2:$B$301,$B274,$F$2:$F$301),
_xlpm.余剰化受入,SUMIFS(tbl_ledger[数量],tbl_ledger[localId],$B274,tbl_ledger[イベント種類],"余剰化"),
_xlpm.充当払出,SUMIFS(tbl_ledger[数量],tbl_ledger[localId],$B274,tbl_ledger[イベント種類],"充当",tbl_ledger[ロットID],"="),
_xlpm.品番プール-_xlpm.割当計+_xlpm.余剰化受入-_xlpm.充当払出))</f>
        <v/>
      </c>
      <c r="J274" s="8" t="str">
        <f t="shared" si="13"/>
        <v/>
      </c>
      <c r="K274" s="8" t="str">
        <f t="shared" si="14"/>
        <v/>
      </c>
      <c r="L274" s="4" t="str">
        <f>IF($A274="","",IF(INDEX(tbl_plan[計画状態],ROW()-1)="キャンセル","キャンセル",IF(J274=0,"発送済",IF(K274&gt;0,"要搬出","OK"))))</f>
        <v/>
      </c>
      <c r="M274" s="8">
        <f t="array" ref="M274">_xlfn.LET(
_xlpm.計画状態,IFERROR(INDEX(tbl_plan[計画状態],ROW()-1)&amp;"",""),
_xlpm.必要数,IFERROR(N(INDEX(tbl_plan[必要数],ROW()-1)),0),
IF(_xlpm.計画状態="キャンセル",0,_xlpm.必要数))</f>
        <v>0</v>
      </c>
      <c r="N274" s="8" t="str">
        <f>IF($A274="","",_xlfn.LET(
_xlpm.搬入計,SUMIFS(tbl_ledger[数量],tbl_ledger[localId],$B274,tbl_ledger[イベント種類],"搬入"),
_xlpm.未割当発送,SUMIFS(tbl_ledger[数量],tbl_ledger[localId],$B274,tbl_ledger[イベント種類],"発送",tbl_ledger[ロットID],"="),
_xlpm.未割当倉庫戻し,SUMIFS(tbl_ledger[数量],tbl_ledger[localId],$B274,tbl_ledger[イベント種類],"倉庫戻し",tbl_ledger[ロットID],"="),
_xlpm.未割当不良,SUMIFS(tbl_ledger[数量],tbl_ledger[localId],$B274,tbl_ledger[イベント種類],"不良発生",tbl_ledger[ロットID],"="),
_xlpm.搬入計-_xlpm.未割当発送-_xlpm.未割当倉庫戻し-_xlpm.未割当不良))</f>
        <v/>
      </c>
      <c r="O274" s="8" t="str">
        <f t="array" ref="O274">IF($A274="","",_xlfn.LET(
_xlpm.同品番,($B$2:$B$301=$B274),
_xlpm.週が前,($C$2:$C$301&lt;$C274),
_xlpm.同週で上行,($C$2:$C$301=$C274)*(ROW($C$2:$C$301)&lt;ROW()),
SUMPRODUCT(_xlpm.同品番*(_xlpm.週が前+_xlpm.同週で上行)*$M$2:$M$301)))</f>
        <v/>
      </c>
    </row>
    <row r="275" spans="1:15" ht="15" customHeight="1" x14ac:dyDescent="0.25">
      <c r="A275" s="4" t="str">
        <f>IFERROR(INDEX(tbl_plan[ロットID],ROW()-1),"")</f>
        <v/>
      </c>
      <c r="B275" s="4" t="str">
        <f>IF($A275="","",INDEX(tbl_plan[localId],ROW()-1))</f>
        <v/>
      </c>
      <c r="C275" s="11" t="str">
        <f>IF($A275="","",INDEX(tbl_plan[出荷週],ROW()-1))</f>
        <v/>
      </c>
      <c r="D275" s="4" t="str">
        <f>IF($A275="","",INDEX(tbl_plan[納期先],ROW()-1)&amp;"")</f>
        <v/>
      </c>
      <c r="E275" s="8" t="str">
        <f>IF($A275="","",INDEX(tbl_plan[必要数],ROW()-1))</f>
        <v/>
      </c>
      <c r="F275" s="8" t="str">
        <f t="shared" si="12"/>
        <v/>
      </c>
      <c r="G275" s="8" t="str">
        <f>IF($A275="","",SUMIFS(tbl_ledger[数量],tbl_ledger[ロットID],$A275,tbl_ledger[イベント種類],"発送"))</f>
        <v/>
      </c>
      <c r="H275" s="8" t="str">
        <f>IF($A275="","",_xlfn.LET(
_xlpm.割当,F275,
_xlpm.充当受入,SUMIFS(tbl_ledger[数量],tbl_ledger[充当先ロットID],$A275,tbl_ledger[イベント種類],"充当"),
_xlpm.充当放出,SUMIFS(tbl_ledger[数量],tbl_ledger[ロットID],$A275,tbl_ledger[イベント種類],"充当"),
_xlpm.発送済,G275,
_xlpm.倉庫戻し,SUMIFS(tbl_ledger[数量],tbl_ledger[ロットID],$A275,tbl_ledger[イベント種類],"倉庫戻し"),
_xlpm.余剰化,SUMIFS(tbl_ledger[数量],tbl_ledger[ロットID],$A275,tbl_ledger[イベント種類],"余剰化"),
_xlpm.不良,SUMIFS(tbl_ledger[数量],tbl_ledger[ロットID],$A275,tbl_ledger[イベント種類],"不良発生"),
_xlpm.割当+_xlpm.充当受入-_xlpm.充当放出-_xlpm.発送済-_xlpm.倉庫戻し-_xlpm.余剰化-_xlpm.不良))</f>
        <v/>
      </c>
      <c r="I275" s="8" t="str">
        <f>IF($A275="","",_xlfn.LET(
_xlpm.品番プール,N275,
_xlpm.割当計,SUMIF($B$2:$B$301,$B275,$F$2:$F$301),
_xlpm.余剰化受入,SUMIFS(tbl_ledger[数量],tbl_ledger[localId],$B275,tbl_ledger[イベント種類],"余剰化"),
_xlpm.充当払出,SUMIFS(tbl_ledger[数量],tbl_ledger[localId],$B275,tbl_ledger[イベント種類],"充当",tbl_ledger[ロットID],"="),
_xlpm.品番プール-_xlpm.割当計+_xlpm.余剰化受入-_xlpm.充当払出))</f>
        <v/>
      </c>
      <c r="J275" s="8" t="str">
        <f t="shared" si="13"/>
        <v/>
      </c>
      <c r="K275" s="8" t="str">
        <f t="shared" si="14"/>
        <v/>
      </c>
      <c r="L275" s="4" t="str">
        <f>IF($A275="","",IF(INDEX(tbl_plan[計画状態],ROW()-1)="キャンセル","キャンセル",IF(J275=0,"発送済",IF(K275&gt;0,"要搬出","OK"))))</f>
        <v/>
      </c>
      <c r="M275" s="8">
        <f t="array" ref="M275">_xlfn.LET(
_xlpm.計画状態,IFERROR(INDEX(tbl_plan[計画状態],ROW()-1)&amp;"",""),
_xlpm.必要数,IFERROR(N(INDEX(tbl_plan[必要数],ROW()-1)),0),
IF(_xlpm.計画状態="キャンセル",0,_xlpm.必要数))</f>
        <v>0</v>
      </c>
      <c r="N275" s="8" t="str">
        <f>IF($A275="","",_xlfn.LET(
_xlpm.搬入計,SUMIFS(tbl_ledger[数量],tbl_ledger[localId],$B275,tbl_ledger[イベント種類],"搬入"),
_xlpm.未割当発送,SUMIFS(tbl_ledger[数量],tbl_ledger[localId],$B275,tbl_ledger[イベント種類],"発送",tbl_ledger[ロットID],"="),
_xlpm.未割当倉庫戻し,SUMIFS(tbl_ledger[数量],tbl_ledger[localId],$B275,tbl_ledger[イベント種類],"倉庫戻し",tbl_ledger[ロットID],"="),
_xlpm.未割当不良,SUMIFS(tbl_ledger[数量],tbl_ledger[localId],$B275,tbl_ledger[イベント種類],"不良発生",tbl_ledger[ロットID],"="),
_xlpm.搬入計-_xlpm.未割当発送-_xlpm.未割当倉庫戻し-_xlpm.未割当不良))</f>
        <v/>
      </c>
      <c r="O275" s="8" t="str">
        <f t="array" ref="O275">IF($A275="","",_xlfn.LET(
_xlpm.同品番,($B$2:$B$301=$B275),
_xlpm.週が前,($C$2:$C$301&lt;$C275),
_xlpm.同週で上行,($C$2:$C$301=$C275)*(ROW($C$2:$C$301)&lt;ROW()),
SUMPRODUCT(_xlpm.同品番*(_xlpm.週が前+_xlpm.同週で上行)*$M$2:$M$301)))</f>
        <v/>
      </c>
    </row>
    <row r="276" spans="1:15" ht="15" customHeight="1" x14ac:dyDescent="0.25">
      <c r="A276" s="4" t="str">
        <f>IFERROR(INDEX(tbl_plan[ロットID],ROW()-1),"")</f>
        <v/>
      </c>
      <c r="B276" s="4" t="str">
        <f>IF($A276="","",INDEX(tbl_plan[localId],ROW()-1))</f>
        <v/>
      </c>
      <c r="C276" s="11" t="str">
        <f>IF($A276="","",INDEX(tbl_plan[出荷週],ROW()-1))</f>
        <v/>
      </c>
      <c r="D276" s="4" t="str">
        <f>IF($A276="","",INDEX(tbl_plan[納期先],ROW()-1)&amp;"")</f>
        <v/>
      </c>
      <c r="E276" s="8" t="str">
        <f>IF($A276="","",INDEX(tbl_plan[必要数],ROW()-1))</f>
        <v/>
      </c>
      <c r="F276" s="8" t="str">
        <f t="shared" si="12"/>
        <v/>
      </c>
      <c r="G276" s="8" t="str">
        <f>IF($A276="","",SUMIFS(tbl_ledger[数量],tbl_ledger[ロットID],$A276,tbl_ledger[イベント種類],"発送"))</f>
        <v/>
      </c>
      <c r="H276" s="8" t="str">
        <f>IF($A276="","",_xlfn.LET(
_xlpm.割当,F276,
_xlpm.充当受入,SUMIFS(tbl_ledger[数量],tbl_ledger[充当先ロットID],$A276,tbl_ledger[イベント種類],"充当"),
_xlpm.充当放出,SUMIFS(tbl_ledger[数量],tbl_ledger[ロットID],$A276,tbl_ledger[イベント種類],"充当"),
_xlpm.発送済,G276,
_xlpm.倉庫戻し,SUMIFS(tbl_ledger[数量],tbl_ledger[ロットID],$A276,tbl_ledger[イベント種類],"倉庫戻し"),
_xlpm.余剰化,SUMIFS(tbl_ledger[数量],tbl_ledger[ロットID],$A276,tbl_ledger[イベント種類],"余剰化"),
_xlpm.不良,SUMIFS(tbl_ledger[数量],tbl_ledger[ロットID],$A276,tbl_ledger[イベント種類],"不良発生"),
_xlpm.割当+_xlpm.充当受入-_xlpm.充当放出-_xlpm.発送済-_xlpm.倉庫戻し-_xlpm.余剰化-_xlpm.不良))</f>
        <v/>
      </c>
      <c r="I276" s="8" t="str">
        <f>IF($A276="","",_xlfn.LET(
_xlpm.品番プール,N276,
_xlpm.割当計,SUMIF($B$2:$B$301,$B276,$F$2:$F$301),
_xlpm.余剰化受入,SUMIFS(tbl_ledger[数量],tbl_ledger[localId],$B276,tbl_ledger[イベント種類],"余剰化"),
_xlpm.充当払出,SUMIFS(tbl_ledger[数量],tbl_ledger[localId],$B276,tbl_ledger[イベント種類],"充当",tbl_ledger[ロットID],"="),
_xlpm.品番プール-_xlpm.割当計+_xlpm.余剰化受入-_xlpm.充当払出))</f>
        <v/>
      </c>
      <c r="J276" s="8" t="str">
        <f t="shared" si="13"/>
        <v/>
      </c>
      <c r="K276" s="8" t="str">
        <f t="shared" si="14"/>
        <v/>
      </c>
      <c r="L276" s="4" t="str">
        <f>IF($A276="","",IF(INDEX(tbl_plan[計画状態],ROW()-1)="キャンセル","キャンセル",IF(J276=0,"発送済",IF(K276&gt;0,"要搬出","OK"))))</f>
        <v/>
      </c>
      <c r="M276" s="8">
        <f t="array" ref="M276">_xlfn.LET(
_xlpm.計画状態,IFERROR(INDEX(tbl_plan[計画状態],ROW()-1)&amp;"",""),
_xlpm.必要数,IFERROR(N(INDEX(tbl_plan[必要数],ROW()-1)),0),
IF(_xlpm.計画状態="キャンセル",0,_xlpm.必要数))</f>
        <v>0</v>
      </c>
      <c r="N276" s="8" t="str">
        <f>IF($A276="","",_xlfn.LET(
_xlpm.搬入計,SUMIFS(tbl_ledger[数量],tbl_ledger[localId],$B276,tbl_ledger[イベント種類],"搬入"),
_xlpm.未割当発送,SUMIFS(tbl_ledger[数量],tbl_ledger[localId],$B276,tbl_ledger[イベント種類],"発送",tbl_ledger[ロットID],"="),
_xlpm.未割当倉庫戻し,SUMIFS(tbl_ledger[数量],tbl_ledger[localId],$B276,tbl_ledger[イベント種類],"倉庫戻し",tbl_ledger[ロットID],"="),
_xlpm.未割当不良,SUMIFS(tbl_ledger[数量],tbl_ledger[localId],$B276,tbl_ledger[イベント種類],"不良発生",tbl_ledger[ロットID],"="),
_xlpm.搬入計-_xlpm.未割当発送-_xlpm.未割当倉庫戻し-_xlpm.未割当不良))</f>
        <v/>
      </c>
      <c r="O276" s="8" t="str">
        <f t="array" ref="O276">IF($A276="","",_xlfn.LET(
_xlpm.同品番,($B$2:$B$301=$B276),
_xlpm.週が前,($C$2:$C$301&lt;$C276),
_xlpm.同週で上行,($C$2:$C$301=$C276)*(ROW($C$2:$C$301)&lt;ROW()),
SUMPRODUCT(_xlpm.同品番*(_xlpm.週が前+_xlpm.同週で上行)*$M$2:$M$301)))</f>
        <v/>
      </c>
    </row>
    <row r="277" spans="1:15" ht="15" customHeight="1" x14ac:dyDescent="0.25">
      <c r="A277" s="4" t="str">
        <f>IFERROR(INDEX(tbl_plan[ロットID],ROW()-1),"")</f>
        <v/>
      </c>
      <c r="B277" s="4" t="str">
        <f>IF($A277="","",INDEX(tbl_plan[localId],ROW()-1))</f>
        <v/>
      </c>
      <c r="C277" s="11" t="str">
        <f>IF($A277="","",INDEX(tbl_plan[出荷週],ROW()-1))</f>
        <v/>
      </c>
      <c r="D277" s="4" t="str">
        <f>IF($A277="","",INDEX(tbl_plan[納期先],ROW()-1)&amp;"")</f>
        <v/>
      </c>
      <c r="E277" s="8" t="str">
        <f>IF($A277="","",INDEX(tbl_plan[必要数],ROW()-1))</f>
        <v/>
      </c>
      <c r="F277" s="8" t="str">
        <f t="shared" si="12"/>
        <v/>
      </c>
      <c r="G277" s="8" t="str">
        <f>IF($A277="","",SUMIFS(tbl_ledger[数量],tbl_ledger[ロットID],$A277,tbl_ledger[イベント種類],"発送"))</f>
        <v/>
      </c>
      <c r="H277" s="8" t="str">
        <f>IF($A277="","",_xlfn.LET(
_xlpm.割当,F277,
_xlpm.充当受入,SUMIFS(tbl_ledger[数量],tbl_ledger[充当先ロットID],$A277,tbl_ledger[イベント種類],"充当"),
_xlpm.充当放出,SUMIFS(tbl_ledger[数量],tbl_ledger[ロットID],$A277,tbl_ledger[イベント種類],"充当"),
_xlpm.発送済,G277,
_xlpm.倉庫戻し,SUMIFS(tbl_ledger[数量],tbl_ledger[ロットID],$A277,tbl_ledger[イベント種類],"倉庫戻し"),
_xlpm.余剰化,SUMIFS(tbl_ledger[数量],tbl_ledger[ロットID],$A277,tbl_ledger[イベント種類],"余剰化"),
_xlpm.不良,SUMIFS(tbl_ledger[数量],tbl_ledger[ロットID],$A277,tbl_ledger[イベント種類],"不良発生"),
_xlpm.割当+_xlpm.充当受入-_xlpm.充当放出-_xlpm.発送済-_xlpm.倉庫戻し-_xlpm.余剰化-_xlpm.不良))</f>
        <v/>
      </c>
      <c r="I277" s="8" t="str">
        <f>IF($A277="","",_xlfn.LET(
_xlpm.品番プール,N277,
_xlpm.割当計,SUMIF($B$2:$B$301,$B277,$F$2:$F$301),
_xlpm.余剰化受入,SUMIFS(tbl_ledger[数量],tbl_ledger[localId],$B277,tbl_ledger[イベント種類],"余剰化"),
_xlpm.充当払出,SUMIFS(tbl_ledger[数量],tbl_ledger[localId],$B277,tbl_ledger[イベント種類],"充当",tbl_ledger[ロットID],"="),
_xlpm.品番プール-_xlpm.割当計+_xlpm.余剰化受入-_xlpm.充当払出))</f>
        <v/>
      </c>
      <c r="J277" s="8" t="str">
        <f t="shared" si="13"/>
        <v/>
      </c>
      <c r="K277" s="8" t="str">
        <f t="shared" si="14"/>
        <v/>
      </c>
      <c r="L277" s="4" t="str">
        <f>IF($A277="","",IF(INDEX(tbl_plan[計画状態],ROW()-1)="キャンセル","キャンセル",IF(J277=0,"発送済",IF(K277&gt;0,"要搬出","OK"))))</f>
        <v/>
      </c>
      <c r="M277" s="8">
        <f t="array" ref="M277">_xlfn.LET(
_xlpm.計画状態,IFERROR(INDEX(tbl_plan[計画状態],ROW()-1)&amp;"",""),
_xlpm.必要数,IFERROR(N(INDEX(tbl_plan[必要数],ROW()-1)),0),
IF(_xlpm.計画状態="キャンセル",0,_xlpm.必要数))</f>
        <v>0</v>
      </c>
      <c r="N277" s="8" t="str">
        <f>IF($A277="","",_xlfn.LET(
_xlpm.搬入計,SUMIFS(tbl_ledger[数量],tbl_ledger[localId],$B277,tbl_ledger[イベント種類],"搬入"),
_xlpm.未割当発送,SUMIFS(tbl_ledger[数量],tbl_ledger[localId],$B277,tbl_ledger[イベント種類],"発送",tbl_ledger[ロットID],"="),
_xlpm.未割当倉庫戻し,SUMIFS(tbl_ledger[数量],tbl_ledger[localId],$B277,tbl_ledger[イベント種類],"倉庫戻し",tbl_ledger[ロットID],"="),
_xlpm.未割当不良,SUMIFS(tbl_ledger[数量],tbl_ledger[localId],$B277,tbl_ledger[イベント種類],"不良発生",tbl_ledger[ロットID],"="),
_xlpm.搬入計-_xlpm.未割当発送-_xlpm.未割当倉庫戻し-_xlpm.未割当不良))</f>
        <v/>
      </c>
      <c r="O277" s="8" t="str">
        <f t="array" ref="O277">IF($A277="","",_xlfn.LET(
_xlpm.同品番,($B$2:$B$301=$B277),
_xlpm.週が前,($C$2:$C$301&lt;$C277),
_xlpm.同週で上行,($C$2:$C$301=$C277)*(ROW($C$2:$C$301)&lt;ROW()),
SUMPRODUCT(_xlpm.同品番*(_xlpm.週が前+_xlpm.同週で上行)*$M$2:$M$301)))</f>
        <v/>
      </c>
    </row>
    <row r="278" spans="1:15" ht="15" customHeight="1" x14ac:dyDescent="0.25">
      <c r="A278" s="4" t="str">
        <f>IFERROR(INDEX(tbl_plan[ロットID],ROW()-1),"")</f>
        <v/>
      </c>
      <c r="B278" s="4" t="str">
        <f>IF($A278="","",INDEX(tbl_plan[localId],ROW()-1))</f>
        <v/>
      </c>
      <c r="C278" s="11" t="str">
        <f>IF($A278="","",INDEX(tbl_plan[出荷週],ROW()-1))</f>
        <v/>
      </c>
      <c r="D278" s="4" t="str">
        <f>IF($A278="","",INDEX(tbl_plan[納期先],ROW()-1)&amp;"")</f>
        <v/>
      </c>
      <c r="E278" s="8" t="str">
        <f>IF($A278="","",INDEX(tbl_plan[必要数],ROW()-1))</f>
        <v/>
      </c>
      <c r="F278" s="8" t="str">
        <f t="shared" si="12"/>
        <v/>
      </c>
      <c r="G278" s="8" t="str">
        <f>IF($A278="","",SUMIFS(tbl_ledger[数量],tbl_ledger[ロットID],$A278,tbl_ledger[イベント種類],"発送"))</f>
        <v/>
      </c>
      <c r="H278" s="8" t="str">
        <f>IF($A278="","",_xlfn.LET(
_xlpm.割当,F278,
_xlpm.充当受入,SUMIFS(tbl_ledger[数量],tbl_ledger[充当先ロットID],$A278,tbl_ledger[イベント種類],"充当"),
_xlpm.充当放出,SUMIFS(tbl_ledger[数量],tbl_ledger[ロットID],$A278,tbl_ledger[イベント種類],"充当"),
_xlpm.発送済,G278,
_xlpm.倉庫戻し,SUMIFS(tbl_ledger[数量],tbl_ledger[ロットID],$A278,tbl_ledger[イベント種類],"倉庫戻し"),
_xlpm.余剰化,SUMIFS(tbl_ledger[数量],tbl_ledger[ロットID],$A278,tbl_ledger[イベント種類],"余剰化"),
_xlpm.不良,SUMIFS(tbl_ledger[数量],tbl_ledger[ロットID],$A278,tbl_ledger[イベント種類],"不良発生"),
_xlpm.割当+_xlpm.充当受入-_xlpm.充当放出-_xlpm.発送済-_xlpm.倉庫戻し-_xlpm.余剰化-_xlpm.不良))</f>
        <v/>
      </c>
      <c r="I278" s="8" t="str">
        <f>IF($A278="","",_xlfn.LET(
_xlpm.品番プール,N278,
_xlpm.割当計,SUMIF($B$2:$B$301,$B278,$F$2:$F$301),
_xlpm.余剰化受入,SUMIFS(tbl_ledger[数量],tbl_ledger[localId],$B278,tbl_ledger[イベント種類],"余剰化"),
_xlpm.充当払出,SUMIFS(tbl_ledger[数量],tbl_ledger[localId],$B278,tbl_ledger[イベント種類],"充当",tbl_ledger[ロットID],"="),
_xlpm.品番プール-_xlpm.割当計+_xlpm.余剰化受入-_xlpm.充当払出))</f>
        <v/>
      </c>
      <c r="J278" s="8" t="str">
        <f t="shared" si="13"/>
        <v/>
      </c>
      <c r="K278" s="8" t="str">
        <f t="shared" si="14"/>
        <v/>
      </c>
      <c r="L278" s="4" t="str">
        <f>IF($A278="","",IF(INDEX(tbl_plan[計画状態],ROW()-1)="キャンセル","キャンセル",IF(J278=0,"発送済",IF(K278&gt;0,"要搬出","OK"))))</f>
        <v/>
      </c>
      <c r="M278" s="8">
        <f t="array" ref="M278">_xlfn.LET(
_xlpm.計画状態,IFERROR(INDEX(tbl_plan[計画状態],ROW()-1)&amp;"",""),
_xlpm.必要数,IFERROR(N(INDEX(tbl_plan[必要数],ROW()-1)),0),
IF(_xlpm.計画状態="キャンセル",0,_xlpm.必要数))</f>
        <v>0</v>
      </c>
      <c r="N278" s="8" t="str">
        <f>IF($A278="","",_xlfn.LET(
_xlpm.搬入計,SUMIFS(tbl_ledger[数量],tbl_ledger[localId],$B278,tbl_ledger[イベント種類],"搬入"),
_xlpm.未割当発送,SUMIFS(tbl_ledger[数量],tbl_ledger[localId],$B278,tbl_ledger[イベント種類],"発送",tbl_ledger[ロットID],"="),
_xlpm.未割当倉庫戻し,SUMIFS(tbl_ledger[数量],tbl_ledger[localId],$B278,tbl_ledger[イベント種類],"倉庫戻し",tbl_ledger[ロットID],"="),
_xlpm.未割当不良,SUMIFS(tbl_ledger[数量],tbl_ledger[localId],$B278,tbl_ledger[イベント種類],"不良発生",tbl_ledger[ロットID],"="),
_xlpm.搬入計-_xlpm.未割当発送-_xlpm.未割当倉庫戻し-_xlpm.未割当不良))</f>
        <v/>
      </c>
      <c r="O278" s="8" t="str">
        <f t="array" ref="O278">IF($A278="","",_xlfn.LET(
_xlpm.同品番,($B$2:$B$301=$B278),
_xlpm.週が前,($C$2:$C$301&lt;$C278),
_xlpm.同週で上行,($C$2:$C$301=$C278)*(ROW($C$2:$C$301)&lt;ROW()),
SUMPRODUCT(_xlpm.同品番*(_xlpm.週が前+_xlpm.同週で上行)*$M$2:$M$301)))</f>
        <v/>
      </c>
    </row>
    <row r="279" spans="1:15" ht="15" customHeight="1" x14ac:dyDescent="0.25">
      <c r="A279" s="4" t="str">
        <f>IFERROR(INDEX(tbl_plan[ロットID],ROW()-1),"")</f>
        <v/>
      </c>
      <c r="B279" s="4" t="str">
        <f>IF($A279="","",INDEX(tbl_plan[localId],ROW()-1))</f>
        <v/>
      </c>
      <c r="C279" s="11" t="str">
        <f>IF($A279="","",INDEX(tbl_plan[出荷週],ROW()-1))</f>
        <v/>
      </c>
      <c r="D279" s="4" t="str">
        <f>IF($A279="","",INDEX(tbl_plan[納期先],ROW()-1)&amp;"")</f>
        <v/>
      </c>
      <c r="E279" s="8" t="str">
        <f>IF($A279="","",INDEX(tbl_plan[必要数],ROW()-1))</f>
        <v/>
      </c>
      <c r="F279" s="8" t="str">
        <f t="shared" si="12"/>
        <v/>
      </c>
      <c r="G279" s="8" t="str">
        <f>IF($A279="","",SUMIFS(tbl_ledger[数量],tbl_ledger[ロットID],$A279,tbl_ledger[イベント種類],"発送"))</f>
        <v/>
      </c>
      <c r="H279" s="8" t="str">
        <f>IF($A279="","",_xlfn.LET(
_xlpm.割当,F279,
_xlpm.充当受入,SUMIFS(tbl_ledger[数量],tbl_ledger[充当先ロットID],$A279,tbl_ledger[イベント種類],"充当"),
_xlpm.充当放出,SUMIFS(tbl_ledger[数量],tbl_ledger[ロットID],$A279,tbl_ledger[イベント種類],"充当"),
_xlpm.発送済,G279,
_xlpm.倉庫戻し,SUMIFS(tbl_ledger[数量],tbl_ledger[ロットID],$A279,tbl_ledger[イベント種類],"倉庫戻し"),
_xlpm.余剰化,SUMIFS(tbl_ledger[数量],tbl_ledger[ロットID],$A279,tbl_ledger[イベント種類],"余剰化"),
_xlpm.不良,SUMIFS(tbl_ledger[数量],tbl_ledger[ロットID],$A279,tbl_ledger[イベント種類],"不良発生"),
_xlpm.割当+_xlpm.充当受入-_xlpm.充当放出-_xlpm.発送済-_xlpm.倉庫戻し-_xlpm.余剰化-_xlpm.不良))</f>
        <v/>
      </c>
      <c r="I279" s="8" t="str">
        <f>IF($A279="","",_xlfn.LET(
_xlpm.品番プール,N279,
_xlpm.割当計,SUMIF($B$2:$B$301,$B279,$F$2:$F$301),
_xlpm.余剰化受入,SUMIFS(tbl_ledger[数量],tbl_ledger[localId],$B279,tbl_ledger[イベント種類],"余剰化"),
_xlpm.充当払出,SUMIFS(tbl_ledger[数量],tbl_ledger[localId],$B279,tbl_ledger[イベント種類],"充当",tbl_ledger[ロットID],"="),
_xlpm.品番プール-_xlpm.割当計+_xlpm.余剰化受入-_xlpm.充当払出))</f>
        <v/>
      </c>
      <c r="J279" s="8" t="str">
        <f t="shared" si="13"/>
        <v/>
      </c>
      <c r="K279" s="8" t="str">
        <f t="shared" si="14"/>
        <v/>
      </c>
      <c r="L279" s="4" t="str">
        <f>IF($A279="","",IF(INDEX(tbl_plan[計画状態],ROW()-1)="キャンセル","キャンセル",IF(J279=0,"発送済",IF(K279&gt;0,"要搬出","OK"))))</f>
        <v/>
      </c>
      <c r="M279" s="8">
        <f t="array" ref="M279">_xlfn.LET(
_xlpm.計画状態,IFERROR(INDEX(tbl_plan[計画状態],ROW()-1)&amp;"",""),
_xlpm.必要数,IFERROR(N(INDEX(tbl_plan[必要数],ROW()-1)),0),
IF(_xlpm.計画状態="キャンセル",0,_xlpm.必要数))</f>
        <v>0</v>
      </c>
      <c r="N279" s="8" t="str">
        <f>IF($A279="","",_xlfn.LET(
_xlpm.搬入計,SUMIFS(tbl_ledger[数量],tbl_ledger[localId],$B279,tbl_ledger[イベント種類],"搬入"),
_xlpm.未割当発送,SUMIFS(tbl_ledger[数量],tbl_ledger[localId],$B279,tbl_ledger[イベント種類],"発送",tbl_ledger[ロットID],"="),
_xlpm.未割当倉庫戻し,SUMIFS(tbl_ledger[数量],tbl_ledger[localId],$B279,tbl_ledger[イベント種類],"倉庫戻し",tbl_ledger[ロットID],"="),
_xlpm.未割当不良,SUMIFS(tbl_ledger[数量],tbl_ledger[localId],$B279,tbl_ledger[イベント種類],"不良発生",tbl_ledger[ロットID],"="),
_xlpm.搬入計-_xlpm.未割当発送-_xlpm.未割当倉庫戻し-_xlpm.未割当不良))</f>
        <v/>
      </c>
      <c r="O279" s="8" t="str">
        <f t="array" ref="O279">IF($A279="","",_xlfn.LET(
_xlpm.同品番,($B$2:$B$301=$B279),
_xlpm.週が前,($C$2:$C$301&lt;$C279),
_xlpm.同週で上行,($C$2:$C$301=$C279)*(ROW($C$2:$C$301)&lt;ROW()),
SUMPRODUCT(_xlpm.同品番*(_xlpm.週が前+_xlpm.同週で上行)*$M$2:$M$301)))</f>
        <v/>
      </c>
    </row>
    <row r="280" spans="1:15" ht="15" customHeight="1" x14ac:dyDescent="0.25">
      <c r="A280" s="4" t="str">
        <f>IFERROR(INDEX(tbl_plan[ロットID],ROW()-1),"")</f>
        <v/>
      </c>
      <c r="B280" s="4" t="str">
        <f>IF($A280="","",INDEX(tbl_plan[localId],ROW()-1))</f>
        <v/>
      </c>
      <c r="C280" s="11" t="str">
        <f>IF($A280="","",INDEX(tbl_plan[出荷週],ROW()-1))</f>
        <v/>
      </c>
      <c r="D280" s="4" t="str">
        <f>IF($A280="","",INDEX(tbl_plan[納期先],ROW()-1)&amp;"")</f>
        <v/>
      </c>
      <c r="E280" s="8" t="str">
        <f>IF($A280="","",INDEX(tbl_plan[必要数],ROW()-1))</f>
        <v/>
      </c>
      <c r="F280" s="8" t="str">
        <f t="shared" si="12"/>
        <v/>
      </c>
      <c r="G280" s="8" t="str">
        <f>IF($A280="","",SUMIFS(tbl_ledger[数量],tbl_ledger[ロットID],$A280,tbl_ledger[イベント種類],"発送"))</f>
        <v/>
      </c>
      <c r="H280" s="8" t="str">
        <f>IF($A280="","",_xlfn.LET(
_xlpm.割当,F280,
_xlpm.充当受入,SUMIFS(tbl_ledger[数量],tbl_ledger[充当先ロットID],$A280,tbl_ledger[イベント種類],"充当"),
_xlpm.充当放出,SUMIFS(tbl_ledger[数量],tbl_ledger[ロットID],$A280,tbl_ledger[イベント種類],"充当"),
_xlpm.発送済,G280,
_xlpm.倉庫戻し,SUMIFS(tbl_ledger[数量],tbl_ledger[ロットID],$A280,tbl_ledger[イベント種類],"倉庫戻し"),
_xlpm.余剰化,SUMIFS(tbl_ledger[数量],tbl_ledger[ロットID],$A280,tbl_ledger[イベント種類],"余剰化"),
_xlpm.不良,SUMIFS(tbl_ledger[数量],tbl_ledger[ロットID],$A280,tbl_ledger[イベント種類],"不良発生"),
_xlpm.割当+_xlpm.充当受入-_xlpm.充当放出-_xlpm.発送済-_xlpm.倉庫戻し-_xlpm.余剰化-_xlpm.不良))</f>
        <v/>
      </c>
      <c r="I280" s="8" t="str">
        <f>IF($A280="","",_xlfn.LET(
_xlpm.品番プール,N280,
_xlpm.割当計,SUMIF($B$2:$B$301,$B280,$F$2:$F$301),
_xlpm.余剰化受入,SUMIFS(tbl_ledger[数量],tbl_ledger[localId],$B280,tbl_ledger[イベント種類],"余剰化"),
_xlpm.充当払出,SUMIFS(tbl_ledger[数量],tbl_ledger[localId],$B280,tbl_ledger[イベント種類],"充当",tbl_ledger[ロットID],"="),
_xlpm.品番プール-_xlpm.割当計+_xlpm.余剰化受入-_xlpm.充当払出))</f>
        <v/>
      </c>
      <c r="J280" s="8" t="str">
        <f t="shared" si="13"/>
        <v/>
      </c>
      <c r="K280" s="8" t="str">
        <f t="shared" si="14"/>
        <v/>
      </c>
      <c r="L280" s="4" t="str">
        <f>IF($A280="","",IF(INDEX(tbl_plan[計画状態],ROW()-1)="キャンセル","キャンセル",IF(J280=0,"発送済",IF(K280&gt;0,"要搬出","OK"))))</f>
        <v/>
      </c>
      <c r="M280" s="8">
        <f t="array" ref="M280">_xlfn.LET(
_xlpm.計画状態,IFERROR(INDEX(tbl_plan[計画状態],ROW()-1)&amp;"",""),
_xlpm.必要数,IFERROR(N(INDEX(tbl_plan[必要数],ROW()-1)),0),
IF(_xlpm.計画状態="キャンセル",0,_xlpm.必要数))</f>
        <v>0</v>
      </c>
      <c r="N280" s="8" t="str">
        <f>IF($A280="","",_xlfn.LET(
_xlpm.搬入計,SUMIFS(tbl_ledger[数量],tbl_ledger[localId],$B280,tbl_ledger[イベント種類],"搬入"),
_xlpm.未割当発送,SUMIFS(tbl_ledger[数量],tbl_ledger[localId],$B280,tbl_ledger[イベント種類],"発送",tbl_ledger[ロットID],"="),
_xlpm.未割当倉庫戻し,SUMIFS(tbl_ledger[数量],tbl_ledger[localId],$B280,tbl_ledger[イベント種類],"倉庫戻し",tbl_ledger[ロットID],"="),
_xlpm.未割当不良,SUMIFS(tbl_ledger[数量],tbl_ledger[localId],$B280,tbl_ledger[イベント種類],"不良発生",tbl_ledger[ロットID],"="),
_xlpm.搬入計-_xlpm.未割当発送-_xlpm.未割当倉庫戻し-_xlpm.未割当不良))</f>
        <v/>
      </c>
      <c r="O280" s="8" t="str">
        <f t="array" ref="O280">IF($A280="","",_xlfn.LET(
_xlpm.同品番,($B$2:$B$301=$B280),
_xlpm.週が前,($C$2:$C$301&lt;$C280),
_xlpm.同週で上行,($C$2:$C$301=$C280)*(ROW($C$2:$C$301)&lt;ROW()),
SUMPRODUCT(_xlpm.同品番*(_xlpm.週が前+_xlpm.同週で上行)*$M$2:$M$301)))</f>
        <v/>
      </c>
    </row>
    <row r="281" spans="1:15" ht="15" customHeight="1" x14ac:dyDescent="0.25">
      <c r="A281" s="4" t="str">
        <f>IFERROR(INDEX(tbl_plan[ロットID],ROW()-1),"")</f>
        <v/>
      </c>
      <c r="B281" s="4" t="str">
        <f>IF($A281="","",INDEX(tbl_plan[localId],ROW()-1))</f>
        <v/>
      </c>
      <c r="C281" s="11" t="str">
        <f>IF($A281="","",INDEX(tbl_plan[出荷週],ROW()-1))</f>
        <v/>
      </c>
      <c r="D281" s="4" t="str">
        <f>IF($A281="","",INDEX(tbl_plan[納期先],ROW()-1)&amp;"")</f>
        <v/>
      </c>
      <c r="E281" s="8" t="str">
        <f>IF($A281="","",INDEX(tbl_plan[必要数],ROW()-1))</f>
        <v/>
      </c>
      <c r="F281" s="8" t="str">
        <f t="shared" si="12"/>
        <v/>
      </c>
      <c r="G281" s="8" t="str">
        <f>IF($A281="","",SUMIFS(tbl_ledger[数量],tbl_ledger[ロットID],$A281,tbl_ledger[イベント種類],"発送"))</f>
        <v/>
      </c>
      <c r="H281" s="8" t="str">
        <f>IF($A281="","",_xlfn.LET(
_xlpm.割当,F281,
_xlpm.充当受入,SUMIFS(tbl_ledger[数量],tbl_ledger[充当先ロットID],$A281,tbl_ledger[イベント種類],"充当"),
_xlpm.充当放出,SUMIFS(tbl_ledger[数量],tbl_ledger[ロットID],$A281,tbl_ledger[イベント種類],"充当"),
_xlpm.発送済,G281,
_xlpm.倉庫戻し,SUMIFS(tbl_ledger[数量],tbl_ledger[ロットID],$A281,tbl_ledger[イベント種類],"倉庫戻し"),
_xlpm.余剰化,SUMIFS(tbl_ledger[数量],tbl_ledger[ロットID],$A281,tbl_ledger[イベント種類],"余剰化"),
_xlpm.不良,SUMIFS(tbl_ledger[数量],tbl_ledger[ロットID],$A281,tbl_ledger[イベント種類],"不良発生"),
_xlpm.割当+_xlpm.充当受入-_xlpm.充当放出-_xlpm.発送済-_xlpm.倉庫戻し-_xlpm.余剰化-_xlpm.不良))</f>
        <v/>
      </c>
      <c r="I281" s="8" t="str">
        <f>IF($A281="","",_xlfn.LET(
_xlpm.品番プール,N281,
_xlpm.割当計,SUMIF($B$2:$B$301,$B281,$F$2:$F$301),
_xlpm.余剰化受入,SUMIFS(tbl_ledger[数量],tbl_ledger[localId],$B281,tbl_ledger[イベント種類],"余剰化"),
_xlpm.充当払出,SUMIFS(tbl_ledger[数量],tbl_ledger[localId],$B281,tbl_ledger[イベント種類],"充当",tbl_ledger[ロットID],"="),
_xlpm.品番プール-_xlpm.割当計+_xlpm.余剰化受入-_xlpm.充当払出))</f>
        <v/>
      </c>
      <c r="J281" s="8" t="str">
        <f t="shared" si="13"/>
        <v/>
      </c>
      <c r="K281" s="8" t="str">
        <f t="shared" si="14"/>
        <v/>
      </c>
      <c r="L281" s="4" t="str">
        <f>IF($A281="","",IF(INDEX(tbl_plan[計画状態],ROW()-1)="キャンセル","キャンセル",IF(J281=0,"発送済",IF(K281&gt;0,"要搬出","OK"))))</f>
        <v/>
      </c>
      <c r="M281" s="8">
        <f t="array" ref="M281">_xlfn.LET(
_xlpm.計画状態,IFERROR(INDEX(tbl_plan[計画状態],ROW()-1)&amp;"",""),
_xlpm.必要数,IFERROR(N(INDEX(tbl_plan[必要数],ROW()-1)),0),
IF(_xlpm.計画状態="キャンセル",0,_xlpm.必要数))</f>
        <v>0</v>
      </c>
      <c r="N281" s="8" t="str">
        <f>IF($A281="","",_xlfn.LET(
_xlpm.搬入計,SUMIFS(tbl_ledger[数量],tbl_ledger[localId],$B281,tbl_ledger[イベント種類],"搬入"),
_xlpm.未割当発送,SUMIFS(tbl_ledger[数量],tbl_ledger[localId],$B281,tbl_ledger[イベント種類],"発送",tbl_ledger[ロットID],"="),
_xlpm.未割当倉庫戻し,SUMIFS(tbl_ledger[数量],tbl_ledger[localId],$B281,tbl_ledger[イベント種類],"倉庫戻し",tbl_ledger[ロットID],"="),
_xlpm.未割当不良,SUMIFS(tbl_ledger[数量],tbl_ledger[localId],$B281,tbl_ledger[イベント種類],"不良発生",tbl_ledger[ロットID],"="),
_xlpm.搬入計-_xlpm.未割当発送-_xlpm.未割当倉庫戻し-_xlpm.未割当不良))</f>
        <v/>
      </c>
      <c r="O281" s="8" t="str">
        <f t="array" ref="O281">IF($A281="","",_xlfn.LET(
_xlpm.同品番,($B$2:$B$301=$B281),
_xlpm.週が前,($C$2:$C$301&lt;$C281),
_xlpm.同週で上行,($C$2:$C$301=$C281)*(ROW($C$2:$C$301)&lt;ROW()),
SUMPRODUCT(_xlpm.同品番*(_xlpm.週が前+_xlpm.同週で上行)*$M$2:$M$301)))</f>
        <v/>
      </c>
    </row>
    <row r="282" spans="1:15" ht="15" customHeight="1" x14ac:dyDescent="0.25">
      <c r="A282" s="4" t="str">
        <f>IFERROR(INDEX(tbl_plan[ロットID],ROW()-1),"")</f>
        <v/>
      </c>
      <c r="B282" s="4" t="str">
        <f>IF($A282="","",INDEX(tbl_plan[localId],ROW()-1))</f>
        <v/>
      </c>
      <c r="C282" s="11" t="str">
        <f>IF($A282="","",INDEX(tbl_plan[出荷週],ROW()-1))</f>
        <v/>
      </c>
      <c r="D282" s="4" t="str">
        <f>IF($A282="","",INDEX(tbl_plan[納期先],ROW()-1)&amp;"")</f>
        <v/>
      </c>
      <c r="E282" s="8" t="str">
        <f>IF($A282="","",INDEX(tbl_plan[必要数],ROW()-1))</f>
        <v/>
      </c>
      <c r="F282" s="8" t="str">
        <f t="shared" si="12"/>
        <v/>
      </c>
      <c r="G282" s="8" t="str">
        <f>IF($A282="","",SUMIFS(tbl_ledger[数量],tbl_ledger[ロットID],$A282,tbl_ledger[イベント種類],"発送"))</f>
        <v/>
      </c>
      <c r="H282" s="8" t="str">
        <f>IF($A282="","",_xlfn.LET(
_xlpm.割当,F282,
_xlpm.充当受入,SUMIFS(tbl_ledger[数量],tbl_ledger[充当先ロットID],$A282,tbl_ledger[イベント種類],"充当"),
_xlpm.充当放出,SUMIFS(tbl_ledger[数量],tbl_ledger[ロットID],$A282,tbl_ledger[イベント種類],"充当"),
_xlpm.発送済,G282,
_xlpm.倉庫戻し,SUMIFS(tbl_ledger[数量],tbl_ledger[ロットID],$A282,tbl_ledger[イベント種類],"倉庫戻し"),
_xlpm.余剰化,SUMIFS(tbl_ledger[数量],tbl_ledger[ロットID],$A282,tbl_ledger[イベント種類],"余剰化"),
_xlpm.不良,SUMIFS(tbl_ledger[数量],tbl_ledger[ロットID],$A282,tbl_ledger[イベント種類],"不良発生"),
_xlpm.割当+_xlpm.充当受入-_xlpm.充当放出-_xlpm.発送済-_xlpm.倉庫戻し-_xlpm.余剰化-_xlpm.不良))</f>
        <v/>
      </c>
      <c r="I282" s="8" t="str">
        <f>IF($A282="","",_xlfn.LET(
_xlpm.品番プール,N282,
_xlpm.割当計,SUMIF($B$2:$B$301,$B282,$F$2:$F$301),
_xlpm.余剰化受入,SUMIFS(tbl_ledger[数量],tbl_ledger[localId],$B282,tbl_ledger[イベント種類],"余剰化"),
_xlpm.充当払出,SUMIFS(tbl_ledger[数量],tbl_ledger[localId],$B282,tbl_ledger[イベント種類],"充当",tbl_ledger[ロットID],"="),
_xlpm.品番プール-_xlpm.割当計+_xlpm.余剰化受入-_xlpm.充当払出))</f>
        <v/>
      </c>
      <c r="J282" s="8" t="str">
        <f t="shared" si="13"/>
        <v/>
      </c>
      <c r="K282" s="8" t="str">
        <f t="shared" si="14"/>
        <v/>
      </c>
      <c r="L282" s="4" t="str">
        <f>IF($A282="","",IF(INDEX(tbl_plan[計画状態],ROW()-1)="キャンセル","キャンセル",IF(J282=0,"発送済",IF(K282&gt;0,"要搬出","OK"))))</f>
        <v/>
      </c>
      <c r="M282" s="8">
        <f t="array" ref="M282">_xlfn.LET(
_xlpm.計画状態,IFERROR(INDEX(tbl_plan[計画状態],ROW()-1)&amp;"",""),
_xlpm.必要数,IFERROR(N(INDEX(tbl_plan[必要数],ROW()-1)),0),
IF(_xlpm.計画状態="キャンセル",0,_xlpm.必要数))</f>
        <v>0</v>
      </c>
      <c r="N282" s="8" t="str">
        <f>IF($A282="","",_xlfn.LET(
_xlpm.搬入計,SUMIFS(tbl_ledger[数量],tbl_ledger[localId],$B282,tbl_ledger[イベント種類],"搬入"),
_xlpm.未割当発送,SUMIFS(tbl_ledger[数量],tbl_ledger[localId],$B282,tbl_ledger[イベント種類],"発送",tbl_ledger[ロットID],"="),
_xlpm.未割当倉庫戻し,SUMIFS(tbl_ledger[数量],tbl_ledger[localId],$B282,tbl_ledger[イベント種類],"倉庫戻し",tbl_ledger[ロットID],"="),
_xlpm.未割当不良,SUMIFS(tbl_ledger[数量],tbl_ledger[localId],$B282,tbl_ledger[イベント種類],"不良発生",tbl_ledger[ロットID],"="),
_xlpm.搬入計-_xlpm.未割当発送-_xlpm.未割当倉庫戻し-_xlpm.未割当不良))</f>
        <v/>
      </c>
      <c r="O282" s="8" t="str">
        <f t="array" ref="O282">IF($A282="","",_xlfn.LET(
_xlpm.同品番,($B$2:$B$301=$B282),
_xlpm.週が前,($C$2:$C$301&lt;$C282),
_xlpm.同週で上行,($C$2:$C$301=$C282)*(ROW($C$2:$C$301)&lt;ROW()),
SUMPRODUCT(_xlpm.同品番*(_xlpm.週が前+_xlpm.同週で上行)*$M$2:$M$301)))</f>
        <v/>
      </c>
    </row>
    <row r="283" spans="1:15" ht="15" customHeight="1" x14ac:dyDescent="0.25">
      <c r="A283" s="4" t="str">
        <f>IFERROR(INDEX(tbl_plan[ロットID],ROW()-1),"")</f>
        <v/>
      </c>
      <c r="B283" s="4" t="str">
        <f>IF($A283="","",INDEX(tbl_plan[localId],ROW()-1))</f>
        <v/>
      </c>
      <c r="C283" s="11" t="str">
        <f>IF($A283="","",INDEX(tbl_plan[出荷週],ROW()-1))</f>
        <v/>
      </c>
      <c r="D283" s="4" t="str">
        <f>IF($A283="","",INDEX(tbl_plan[納期先],ROW()-1)&amp;"")</f>
        <v/>
      </c>
      <c r="E283" s="8" t="str">
        <f>IF($A283="","",INDEX(tbl_plan[必要数],ROW()-1))</f>
        <v/>
      </c>
      <c r="F283" s="8" t="str">
        <f t="shared" si="12"/>
        <v/>
      </c>
      <c r="G283" s="8" t="str">
        <f>IF($A283="","",SUMIFS(tbl_ledger[数量],tbl_ledger[ロットID],$A283,tbl_ledger[イベント種類],"発送"))</f>
        <v/>
      </c>
      <c r="H283" s="8" t="str">
        <f>IF($A283="","",_xlfn.LET(
_xlpm.割当,F283,
_xlpm.充当受入,SUMIFS(tbl_ledger[数量],tbl_ledger[充当先ロットID],$A283,tbl_ledger[イベント種類],"充当"),
_xlpm.充当放出,SUMIFS(tbl_ledger[数量],tbl_ledger[ロットID],$A283,tbl_ledger[イベント種類],"充当"),
_xlpm.発送済,G283,
_xlpm.倉庫戻し,SUMIFS(tbl_ledger[数量],tbl_ledger[ロットID],$A283,tbl_ledger[イベント種類],"倉庫戻し"),
_xlpm.余剰化,SUMIFS(tbl_ledger[数量],tbl_ledger[ロットID],$A283,tbl_ledger[イベント種類],"余剰化"),
_xlpm.不良,SUMIFS(tbl_ledger[数量],tbl_ledger[ロットID],$A283,tbl_ledger[イベント種類],"不良発生"),
_xlpm.割当+_xlpm.充当受入-_xlpm.充当放出-_xlpm.発送済-_xlpm.倉庫戻し-_xlpm.余剰化-_xlpm.不良))</f>
        <v/>
      </c>
      <c r="I283" s="8" t="str">
        <f>IF($A283="","",_xlfn.LET(
_xlpm.品番プール,N283,
_xlpm.割当計,SUMIF($B$2:$B$301,$B283,$F$2:$F$301),
_xlpm.余剰化受入,SUMIFS(tbl_ledger[数量],tbl_ledger[localId],$B283,tbl_ledger[イベント種類],"余剰化"),
_xlpm.充当払出,SUMIFS(tbl_ledger[数量],tbl_ledger[localId],$B283,tbl_ledger[イベント種類],"充当",tbl_ledger[ロットID],"="),
_xlpm.品番プール-_xlpm.割当計+_xlpm.余剰化受入-_xlpm.充当払出))</f>
        <v/>
      </c>
      <c r="J283" s="8" t="str">
        <f t="shared" si="13"/>
        <v/>
      </c>
      <c r="K283" s="8" t="str">
        <f t="shared" si="14"/>
        <v/>
      </c>
      <c r="L283" s="4" t="str">
        <f>IF($A283="","",IF(INDEX(tbl_plan[計画状態],ROW()-1)="キャンセル","キャンセル",IF(J283=0,"発送済",IF(K283&gt;0,"要搬出","OK"))))</f>
        <v/>
      </c>
      <c r="M283" s="8">
        <f t="array" ref="M283">_xlfn.LET(
_xlpm.計画状態,IFERROR(INDEX(tbl_plan[計画状態],ROW()-1)&amp;"",""),
_xlpm.必要数,IFERROR(N(INDEX(tbl_plan[必要数],ROW()-1)),0),
IF(_xlpm.計画状態="キャンセル",0,_xlpm.必要数))</f>
        <v>0</v>
      </c>
      <c r="N283" s="8" t="str">
        <f>IF($A283="","",_xlfn.LET(
_xlpm.搬入計,SUMIFS(tbl_ledger[数量],tbl_ledger[localId],$B283,tbl_ledger[イベント種類],"搬入"),
_xlpm.未割当発送,SUMIFS(tbl_ledger[数量],tbl_ledger[localId],$B283,tbl_ledger[イベント種類],"発送",tbl_ledger[ロットID],"="),
_xlpm.未割当倉庫戻し,SUMIFS(tbl_ledger[数量],tbl_ledger[localId],$B283,tbl_ledger[イベント種類],"倉庫戻し",tbl_ledger[ロットID],"="),
_xlpm.未割当不良,SUMIFS(tbl_ledger[数量],tbl_ledger[localId],$B283,tbl_ledger[イベント種類],"不良発生",tbl_ledger[ロットID],"="),
_xlpm.搬入計-_xlpm.未割当発送-_xlpm.未割当倉庫戻し-_xlpm.未割当不良))</f>
        <v/>
      </c>
      <c r="O283" s="8" t="str">
        <f t="array" ref="O283">IF($A283="","",_xlfn.LET(
_xlpm.同品番,($B$2:$B$301=$B283),
_xlpm.週が前,($C$2:$C$301&lt;$C283),
_xlpm.同週で上行,($C$2:$C$301=$C283)*(ROW($C$2:$C$301)&lt;ROW()),
SUMPRODUCT(_xlpm.同品番*(_xlpm.週が前+_xlpm.同週で上行)*$M$2:$M$301)))</f>
        <v/>
      </c>
    </row>
    <row r="284" spans="1:15" ht="15" customHeight="1" x14ac:dyDescent="0.25">
      <c r="A284" s="4" t="str">
        <f>IFERROR(INDEX(tbl_plan[ロットID],ROW()-1),"")</f>
        <v/>
      </c>
      <c r="B284" s="4" t="str">
        <f>IF($A284="","",INDEX(tbl_plan[localId],ROW()-1))</f>
        <v/>
      </c>
      <c r="C284" s="11" t="str">
        <f>IF($A284="","",INDEX(tbl_plan[出荷週],ROW()-1))</f>
        <v/>
      </c>
      <c r="D284" s="4" t="str">
        <f>IF($A284="","",INDEX(tbl_plan[納期先],ROW()-1)&amp;"")</f>
        <v/>
      </c>
      <c r="E284" s="8" t="str">
        <f>IF($A284="","",INDEX(tbl_plan[必要数],ROW()-1))</f>
        <v/>
      </c>
      <c r="F284" s="8" t="str">
        <f t="shared" si="12"/>
        <v/>
      </c>
      <c r="G284" s="8" t="str">
        <f>IF($A284="","",SUMIFS(tbl_ledger[数量],tbl_ledger[ロットID],$A284,tbl_ledger[イベント種類],"発送"))</f>
        <v/>
      </c>
      <c r="H284" s="8" t="str">
        <f>IF($A284="","",_xlfn.LET(
_xlpm.割当,F284,
_xlpm.充当受入,SUMIFS(tbl_ledger[数量],tbl_ledger[充当先ロットID],$A284,tbl_ledger[イベント種類],"充当"),
_xlpm.充当放出,SUMIFS(tbl_ledger[数量],tbl_ledger[ロットID],$A284,tbl_ledger[イベント種類],"充当"),
_xlpm.発送済,G284,
_xlpm.倉庫戻し,SUMIFS(tbl_ledger[数量],tbl_ledger[ロットID],$A284,tbl_ledger[イベント種類],"倉庫戻し"),
_xlpm.余剰化,SUMIFS(tbl_ledger[数量],tbl_ledger[ロットID],$A284,tbl_ledger[イベント種類],"余剰化"),
_xlpm.不良,SUMIFS(tbl_ledger[数量],tbl_ledger[ロットID],$A284,tbl_ledger[イベント種類],"不良発生"),
_xlpm.割当+_xlpm.充当受入-_xlpm.充当放出-_xlpm.発送済-_xlpm.倉庫戻し-_xlpm.余剰化-_xlpm.不良))</f>
        <v/>
      </c>
      <c r="I284" s="8" t="str">
        <f>IF($A284="","",_xlfn.LET(
_xlpm.品番プール,N284,
_xlpm.割当計,SUMIF($B$2:$B$301,$B284,$F$2:$F$301),
_xlpm.余剰化受入,SUMIFS(tbl_ledger[数量],tbl_ledger[localId],$B284,tbl_ledger[イベント種類],"余剰化"),
_xlpm.充当払出,SUMIFS(tbl_ledger[数量],tbl_ledger[localId],$B284,tbl_ledger[イベント種類],"充当",tbl_ledger[ロットID],"="),
_xlpm.品番プール-_xlpm.割当計+_xlpm.余剰化受入-_xlpm.充当払出))</f>
        <v/>
      </c>
      <c r="J284" s="8" t="str">
        <f t="shared" si="13"/>
        <v/>
      </c>
      <c r="K284" s="8" t="str">
        <f t="shared" si="14"/>
        <v/>
      </c>
      <c r="L284" s="4" t="str">
        <f>IF($A284="","",IF(INDEX(tbl_plan[計画状態],ROW()-1)="キャンセル","キャンセル",IF(J284=0,"発送済",IF(K284&gt;0,"要搬出","OK"))))</f>
        <v/>
      </c>
      <c r="M284" s="8">
        <f t="array" ref="M284">_xlfn.LET(
_xlpm.計画状態,IFERROR(INDEX(tbl_plan[計画状態],ROW()-1)&amp;"",""),
_xlpm.必要数,IFERROR(N(INDEX(tbl_plan[必要数],ROW()-1)),0),
IF(_xlpm.計画状態="キャンセル",0,_xlpm.必要数))</f>
        <v>0</v>
      </c>
      <c r="N284" s="8" t="str">
        <f>IF($A284="","",_xlfn.LET(
_xlpm.搬入計,SUMIFS(tbl_ledger[数量],tbl_ledger[localId],$B284,tbl_ledger[イベント種類],"搬入"),
_xlpm.未割当発送,SUMIFS(tbl_ledger[数量],tbl_ledger[localId],$B284,tbl_ledger[イベント種類],"発送",tbl_ledger[ロットID],"="),
_xlpm.未割当倉庫戻し,SUMIFS(tbl_ledger[数量],tbl_ledger[localId],$B284,tbl_ledger[イベント種類],"倉庫戻し",tbl_ledger[ロットID],"="),
_xlpm.未割当不良,SUMIFS(tbl_ledger[数量],tbl_ledger[localId],$B284,tbl_ledger[イベント種類],"不良発生",tbl_ledger[ロットID],"="),
_xlpm.搬入計-_xlpm.未割当発送-_xlpm.未割当倉庫戻し-_xlpm.未割当不良))</f>
        <v/>
      </c>
      <c r="O284" s="8" t="str">
        <f t="array" ref="O284">IF($A284="","",_xlfn.LET(
_xlpm.同品番,($B$2:$B$301=$B284),
_xlpm.週が前,($C$2:$C$301&lt;$C284),
_xlpm.同週で上行,($C$2:$C$301=$C284)*(ROW($C$2:$C$301)&lt;ROW()),
SUMPRODUCT(_xlpm.同品番*(_xlpm.週が前+_xlpm.同週で上行)*$M$2:$M$301)))</f>
        <v/>
      </c>
    </row>
    <row r="285" spans="1:15" ht="15" customHeight="1" x14ac:dyDescent="0.25">
      <c r="A285" s="4" t="str">
        <f>IFERROR(INDEX(tbl_plan[ロットID],ROW()-1),"")</f>
        <v/>
      </c>
      <c r="B285" s="4" t="str">
        <f>IF($A285="","",INDEX(tbl_plan[localId],ROW()-1))</f>
        <v/>
      </c>
      <c r="C285" s="11" t="str">
        <f>IF($A285="","",INDEX(tbl_plan[出荷週],ROW()-1))</f>
        <v/>
      </c>
      <c r="D285" s="4" t="str">
        <f>IF($A285="","",INDEX(tbl_plan[納期先],ROW()-1)&amp;"")</f>
        <v/>
      </c>
      <c r="E285" s="8" t="str">
        <f>IF($A285="","",INDEX(tbl_plan[必要数],ROW()-1))</f>
        <v/>
      </c>
      <c r="F285" s="8" t="str">
        <f t="shared" si="12"/>
        <v/>
      </c>
      <c r="G285" s="8" t="str">
        <f>IF($A285="","",SUMIFS(tbl_ledger[数量],tbl_ledger[ロットID],$A285,tbl_ledger[イベント種類],"発送"))</f>
        <v/>
      </c>
      <c r="H285" s="8" t="str">
        <f>IF($A285="","",_xlfn.LET(
_xlpm.割当,F285,
_xlpm.充当受入,SUMIFS(tbl_ledger[数量],tbl_ledger[充当先ロットID],$A285,tbl_ledger[イベント種類],"充当"),
_xlpm.充当放出,SUMIFS(tbl_ledger[数量],tbl_ledger[ロットID],$A285,tbl_ledger[イベント種類],"充当"),
_xlpm.発送済,G285,
_xlpm.倉庫戻し,SUMIFS(tbl_ledger[数量],tbl_ledger[ロットID],$A285,tbl_ledger[イベント種類],"倉庫戻し"),
_xlpm.余剰化,SUMIFS(tbl_ledger[数量],tbl_ledger[ロットID],$A285,tbl_ledger[イベント種類],"余剰化"),
_xlpm.不良,SUMIFS(tbl_ledger[数量],tbl_ledger[ロットID],$A285,tbl_ledger[イベント種類],"不良発生"),
_xlpm.割当+_xlpm.充当受入-_xlpm.充当放出-_xlpm.発送済-_xlpm.倉庫戻し-_xlpm.余剰化-_xlpm.不良))</f>
        <v/>
      </c>
      <c r="I285" s="8" t="str">
        <f>IF($A285="","",_xlfn.LET(
_xlpm.品番プール,N285,
_xlpm.割当計,SUMIF($B$2:$B$301,$B285,$F$2:$F$301),
_xlpm.余剰化受入,SUMIFS(tbl_ledger[数量],tbl_ledger[localId],$B285,tbl_ledger[イベント種類],"余剰化"),
_xlpm.充当払出,SUMIFS(tbl_ledger[数量],tbl_ledger[localId],$B285,tbl_ledger[イベント種類],"充当",tbl_ledger[ロットID],"="),
_xlpm.品番プール-_xlpm.割当計+_xlpm.余剰化受入-_xlpm.充当払出))</f>
        <v/>
      </c>
      <c r="J285" s="8" t="str">
        <f t="shared" si="13"/>
        <v/>
      </c>
      <c r="K285" s="8" t="str">
        <f t="shared" si="14"/>
        <v/>
      </c>
      <c r="L285" s="4" t="str">
        <f>IF($A285="","",IF(INDEX(tbl_plan[計画状態],ROW()-1)="キャンセル","キャンセル",IF(J285=0,"発送済",IF(K285&gt;0,"要搬出","OK"))))</f>
        <v/>
      </c>
      <c r="M285" s="8">
        <f t="array" ref="M285">_xlfn.LET(
_xlpm.計画状態,IFERROR(INDEX(tbl_plan[計画状態],ROW()-1)&amp;"",""),
_xlpm.必要数,IFERROR(N(INDEX(tbl_plan[必要数],ROW()-1)),0),
IF(_xlpm.計画状態="キャンセル",0,_xlpm.必要数))</f>
        <v>0</v>
      </c>
      <c r="N285" s="8" t="str">
        <f>IF($A285="","",_xlfn.LET(
_xlpm.搬入計,SUMIFS(tbl_ledger[数量],tbl_ledger[localId],$B285,tbl_ledger[イベント種類],"搬入"),
_xlpm.未割当発送,SUMIFS(tbl_ledger[数量],tbl_ledger[localId],$B285,tbl_ledger[イベント種類],"発送",tbl_ledger[ロットID],"="),
_xlpm.未割当倉庫戻し,SUMIFS(tbl_ledger[数量],tbl_ledger[localId],$B285,tbl_ledger[イベント種類],"倉庫戻し",tbl_ledger[ロットID],"="),
_xlpm.未割当不良,SUMIFS(tbl_ledger[数量],tbl_ledger[localId],$B285,tbl_ledger[イベント種類],"不良発生",tbl_ledger[ロットID],"="),
_xlpm.搬入計-_xlpm.未割当発送-_xlpm.未割当倉庫戻し-_xlpm.未割当不良))</f>
        <v/>
      </c>
      <c r="O285" s="8" t="str">
        <f t="array" ref="O285">IF($A285="","",_xlfn.LET(
_xlpm.同品番,($B$2:$B$301=$B285),
_xlpm.週が前,($C$2:$C$301&lt;$C285),
_xlpm.同週で上行,($C$2:$C$301=$C285)*(ROW($C$2:$C$301)&lt;ROW()),
SUMPRODUCT(_xlpm.同品番*(_xlpm.週が前+_xlpm.同週で上行)*$M$2:$M$301)))</f>
        <v/>
      </c>
    </row>
    <row r="286" spans="1:15" ht="15" customHeight="1" x14ac:dyDescent="0.25">
      <c r="A286" s="4" t="str">
        <f>IFERROR(INDEX(tbl_plan[ロットID],ROW()-1),"")</f>
        <v/>
      </c>
      <c r="B286" s="4" t="str">
        <f>IF($A286="","",INDEX(tbl_plan[localId],ROW()-1))</f>
        <v/>
      </c>
      <c r="C286" s="11" t="str">
        <f>IF($A286="","",INDEX(tbl_plan[出荷週],ROW()-1))</f>
        <v/>
      </c>
      <c r="D286" s="4" t="str">
        <f>IF($A286="","",INDEX(tbl_plan[納期先],ROW()-1)&amp;"")</f>
        <v/>
      </c>
      <c r="E286" s="8" t="str">
        <f>IF($A286="","",INDEX(tbl_plan[必要数],ROW()-1))</f>
        <v/>
      </c>
      <c r="F286" s="8" t="str">
        <f t="shared" si="12"/>
        <v/>
      </c>
      <c r="G286" s="8" t="str">
        <f>IF($A286="","",SUMIFS(tbl_ledger[数量],tbl_ledger[ロットID],$A286,tbl_ledger[イベント種類],"発送"))</f>
        <v/>
      </c>
      <c r="H286" s="8" t="str">
        <f>IF($A286="","",_xlfn.LET(
_xlpm.割当,F286,
_xlpm.充当受入,SUMIFS(tbl_ledger[数量],tbl_ledger[充当先ロットID],$A286,tbl_ledger[イベント種類],"充当"),
_xlpm.充当放出,SUMIFS(tbl_ledger[数量],tbl_ledger[ロットID],$A286,tbl_ledger[イベント種類],"充当"),
_xlpm.発送済,G286,
_xlpm.倉庫戻し,SUMIFS(tbl_ledger[数量],tbl_ledger[ロットID],$A286,tbl_ledger[イベント種類],"倉庫戻し"),
_xlpm.余剰化,SUMIFS(tbl_ledger[数量],tbl_ledger[ロットID],$A286,tbl_ledger[イベント種類],"余剰化"),
_xlpm.不良,SUMIFS(tbl_ledger[数量],tbl_ledger[ロットID],$A286,tbl_ledger[イベント種類],"不良発生"),
_xlpm.割当+_xlpm.充当受入-_xlpm.充当放出-_xlpm.発送済-_xlpm.倉庫戻し-_xlpm.余剰化-_xlpm.不良))</f>
        <v/>
      </c>
      <c r="I286" s="8" t="str">
        <f>IF($A286="","",_xlfn.LET(
_xlpm.品番プール,N286,
_xlpm.割当計,SUMIF($B$2:$B$301,$B286,$F$2:$F$301),
_xlpm.余剰化受入,SUMIFS(tbl_ledger[数量],tbl_ledger[localId],$B286,tbl_ledger[イベント種類],"余剰化"),
_xlpm.充当払出,SUMIFS(tbl_ledger[数量],tbl_ledger[localId],$B286,tbl_ledger[イベント種類],"充当",tbl_ledger[ロットID],"="),
_xlpm.品番プール-_xlpm.割当計+_xlpm.余剰化受入-_xlpm.充当払出))</f>
        <v/>
      </c>
      <c r="J286" s="8" t="str">
        <f t="shared" si="13"/>
        <v/>
      </c>
      <c r="K286" s="8" t="str">
        <f t="shared" si="14"/>
        <v/>
      </c>
      <c r="L286" s="4" t="str">
        <f>IF($A286="","",IF(INDEX(tbl_plan[計画状態],ROW()-1)="キャンセル","キャンセル",IF(J286=0,"発送済",IF(K286&gt;0,"要搬出","OK"))))</f>
        <v/>
      </c>
      <c r="M286" s="8">
        <f t="array" ref="M286">_xlfn.LET(
_xlpm.計画状態,IFERROR(INDEX(tbl_plan[計画状態],ROW()-1)&amp;"",""),
_xlpm.必要数,IFERROR(N(INDEX(tbl_plan[必要数],ROW()-1)),0),
IF(_xlpm.計画状態="キャンセル",0,_xlpm.必要数))</f>
        <v>0</v>
      </c>
      <c r="N286" s="8" t="str">
        <f>IF($A286="","",_xlfn.LET(
_xlpm.搬入計,SUMIFS(tbl_ledger[数量],tbl_ledger[localId],$B286,tbl_ledger[イベント種類],"搬入"),
_xlpm.未割当発送,SUMIFS(tbl_ledger[数量],tbl_ledger[localId],$B286,tbl_ledger[イベント種類],"発送",tbl_ledger[ロットID],"="),
_xlpm.未割当倉庫戻し,SUMIFS(tbl_ledger[数量],tbl_ledger[localId],$B286,tbl_ledger[イベント種類],"倉庫戻し",tbl_ledger[ロットID],"="),
_xlpm.未割当不良,SUMIFS(tbl_ledger[数量],tbl_ledger[localId],$B286,tbl_ledger[イベント種類],"不良発生",tbl_ledger[ロットID],"="),
_xlpm.搬入計-_xlpm.未割当発送-_xlpm.未割当倉庫戻し-_xlpm.未割当不良))</f>
        <v/>
      </c>
      <c r="O286" s="8" t="str">
        <f t="array" ref="O286">IF($A286="","",_xlfn.LET(
_xlpm.同品番,($B$2:$B$301=$B286),
_xlpm.週が前,($C$2:$C$301&lt;$C286),
_xlpm.同週で上行,($C$2:$C$301=$C286)*(ROW($C$2:$C$301)&lt;ROW()),
SUMPRODUCT(_xlpm.同品番*(_xlpm.週が前+_xlpm.同週で上行)*$M$2:$M$301)))</f>
        <v/>
      </c>
    </row>
    <row r="287" spans="1:15" ht="15" customHeight="1" x14ac:dyDescent="0.25">
      <c r="A287" s="4" t="str">
        <f>IFERROR(INDEX(tbl_plan[ロットID],ROW()-1),"")</f>
        <v/>
      </c>
      <c r="B287" s="4" t="str">
        <f>IF($A287="","",INDEX(tbl_plan[localId],ROW()-1))</f>
        <v/>
      </c>
      <c r="C287" s="11" t="str">
        <f>IF($A287="","",INDEX(tbl_plan[出荷週],ROW()-1))</f>
        <v/>
      </c>
      <c r="D287" s="4" t="str">
        <f>IF($A287="","",INDEX(tbl_plan[納期先],ROW()-1)&amp;"")</f>
        <v/>
      </c>
      <c r="E287" s="8" t="str">
        <f>IF($A287="","",INDEX(tbl_plan[必要数],ROW()-1))</f>
        <v/>
      </c>
      <c r="F287" s="8" t="str">
        <f t="shared" si="12"/>
        <v/>
      </c>
      <c r="G287" s="8" t="str">
        <f>IF($A287="","",SUMIFS(tbl_ledger[数量],tbl_ledger[ロットID],$A287,tbl_ledger[イベント種類],"発送"))</f>
        <v/>
      </c>
      <c r="H287" s="8" t="str">
        <f>IF($A287="","",_xlfn.LET(
_xlpm.割当,F287,
_xlpm.充当受入,SUMIFS(tbl_ledger[数量],tbl_ledger[充当先ロットID],$A287,tbl_ledger[イベント種類],"充当"),
_xlpm.充当放出,SUMIFS(tbl_ledger[数量],tbl_ledger[ロットID],$A287,tbl_ledger[イベント種類],"充当"),
_xlpm.発送済,G287,
_xlpm.倉庫戻し,SUMIFS(tbl_ledger[数量],tbl_ledger[ロットID],$A287,tbl_ledger[イベント種類],"倉庫戻し"),
_xlpm.余剰化,SUMIFS(tbl_ledger[数量],tbl_ledger[ロットID],$A287,tbl_ledger[イベント種類],"余剰化"),
_xlpm.不良,SUMIFS(tbl_ledger[数量],tbl_ledger[ロットID],$A287,tbl_ledger[イベント種類],"不良発生"),
_xlpm.割当+_xlpm.充当受入-_xlpm.充当放出-_xlpm.発送済-_xlpm.倉庫戻し-_xlpm.余剰化-_xlpm.不良))</f>
        <v/>
      </c>
      <c r="I287" s="8" t="str">
        <f>IF($A287="","",_xlfn.LET(
_xlpm.品番プール,N287,
_xlpm.割当計,SUMIF($B$2:$B$301,$B287,$F$2:$F$301),
_xlpm.余剰化受入,SUMIFS(tbl_ledger[数量],tbl_ledger[localId],$B287,tbl_ledger[イベント種類],"余剰化"),
_xlpm.充当払出,SUMIFS(tbl_ledger[数量],tbl_ledger[localId],$B287,tbl_ledger[イベント種類],"充当",tbl_ledger[ロットID],"="),
_xlpm.品番プール-_xlpm.割当計+_xlpm.余剰化受入-_xlpm.充当払出))</f>
        <v/>
      </c>
      <c r="J287" s="8" t="str">
        <f t="shared" si="13"/>
        <v/>
      </c>
      <c r="K287" s="8" t="str">
        <f t="shared" si="14"/>
        <v/>
      </c>
      <c r="L287" s="4" t="str">
        <f>IF($A287="","",IF(INDEX(tbl_plan[計画状態],ROW()-1)="キャンセル","キャンセル",IF(J287=0,"発送済",IF(K287&gt;0,"要搬出","OK"))))</f>
        <v/>
      </c>
      <c r="M287" s="8">
        <f t="array" ref="M287">_xlfn.LET(
_xlpm.計画状態,IFERROR(INDEX(tbl_plan[計画状態],ROW()-1)&amp;"",""),
_xlpm.必要数,IFERROR(N(INDEX(tbl_plan[必要数],ROW()-1)),0),
IF(_xlpm.計画状態="キャンセル",0,_xlpm.必要数))</f>
        <v>0</v>
      </c>
      <c r="N287" s="8" t="str">
        <f>IF($A287="","",_xlfn.LET(
_xlpm.搬入計,SUMIFS(tbl_ledger[数量],tbl_ledger[localId],$B287,tbl_ledger[イベント種類],"搬入"),
_xlpm.未割当発送,SUMIFS(tbl_ledger[数量],tbl_ledger[localId],$B287,tbl_ledger[イベント種類],"発送",tbl_ledger[ロットID],"="),
_xlpm.未割当倉庫戻し,SUMIFS(tbl_ledger[数量],tbl_ledger[localId],$B287,tbl_ledger[イベント種類],"倉庫戻し",tbl_ledger[ロットID],"="),
_xlpm.未割当不良,SUMIFS(tbl_ledger[数量],tbl_ledger[localId],$B287,tbl_ledger[イベント種類],"不良発生",tbl_ledger[ロットID],"="),
_xlpm.搬入計-_xlpm.未割当発送-_xlpm.未割当倉庫戻し-_xlpm.未割当不良))</f>
        <v/>
      </c>
      <c r="O287" s="8" t="str">
        <f t="array" ref="O287">IF($A287="","",_xlfn.LET(
_xlpm.同品番,($B$2:$B$301=$B287),
_xlpm.週が前,($C$2:$C$301&lt;$C287),
_xlpm.同週で上行,($C$2:$C$301=$C287)*(ROW($C$2:$C$301)&lt;ROW()),
SUMPRODUCT(_xlpm.同品番*(_xlpm.週が前+_xlpm.同週で上行)*$M$2:$M$301)))</f>
        <v/>
      </c>
    </row>
    <row r="288" spans="1:15" ht="15" customHeight="1" x14ac:dyDescent="0.25">
      <c r="A288" s="4" t="str">
        <f>IFERROR(INDEX(tbl_plan[ロットID],ROW()-1),"")</f>
        <v/>
      </c>
      <c r="B288" s="4" t="str">
        <f>IF($A288="","",INDEX(tbl_plan[localId],ROW()-1))</f>
        <v/>
      </c>
      <c r="C288" s="11" t="str">
        <f>IF($A288="","",INDEX(tbl_plan[出荷週],ROW()-1))</f>
        <v/>
      </c>
      <c r="D288" s="4" t="str">
        <f>IF($A288="","",INDEX(tbl_plan[納期先],ROW()-1)&amp;"")</f>
        <v/>
      </c>
      <c r="E288" s="8" t="str">
        <f>IF($A288="","",INDEX(tbl_plan[必要数],ROW()-1))</f>
        <v/>
      </c>
      <c r="F288" s="8" t="str">
        <f t="shared" si="12"/>
        <v/>
      </c>
      <c r="G288" s="8" t="str">
        <f>IF($A288="","",SUMIFS(tbl_ledger[数量],tbl_ledger[ロットID],$A288,tbl_ledger[イベント種類],"発送"))</f>
        <v/>
      </c>
      <c r="H288" s="8" t="str">
        <f>IF($A288="","",_xlfn.LET(
_xlpm.割当,F288,
_xlpm.充当受入,SUMIFS(tbl_ledger[数量],tbl_ledger[充当先ロットID],$A288,tbl_ledger[イベント種類],"充当"),
_xlpm.充当放出,SUMIFS(tbl_ledger[数量],tbl_ledger[ロットID],$A288,tbl_ledger[イベント種類],"充当"),
_xlpm.発送済,G288,
_xlpm.倉庫戻し,SUMIFS(tbl_ledger[数量],tbl_ledger[ロットID],$A288,tbl_ledger[イベント種類],"倉庫戻し"),
_xlpm.余剰化,SUMIFS(tbl_ledger[数量],tbl_ledger[ロットID],$A288,tbl_ledger[イベント種類],"余剰化"),
_xlpm.不良,SUMIFS(tbl_ledger[数量],tbl_ledger[ロットID],$A288,tbl_ledger[イベント種類],"不良発生"),
_xlpm.割当+_xlpm.充当受入-_xlpm.充当放出-_xlpm.発送済-_xlpm.倉庫戻し-_xlpm.余剰化-_xlpm.不良))</f>
        <v/>
      </c>
      <c r="I288" s="8" t="str">
        <f>IF($A288="","",_xlfn.LET(
_xlpm.品番プール,N288,
_xlpm.割当計,SUMIF($B$2:$B$301,$B288,$F$2:$F$301),
_xlpm.余剰化受入,SUMIFS(tbl_ledger[数量],tbl_ledger[localId],$B288,tbl_ledger[イベント種類],"余剰化"),
_xlpm.充当払出,SUMIFS(tbl_ledger[数量],tbl_ledger[localId],$B288,tbl_ledger[イベント種類],"充当",tbl_ledger[ロットID],"="),
_xlpm.品番プール-_xlpm.割当計+_xlpm.余剰化受入-_xlpm.充当払出))</f>
        <v/>
      </c>
      <c r="J288" s="8" t="str">
        <f t="shared" si="13"/>
        <v/>
      </c>
      <c r="K288" s="8" t="str">
        <f t="shared" si="14"/>
        <v/>
      </c>
      <c r="L288" s="4" t="str">
        <f>IF($A288="","",IF(INDEX(tbl_plan[計画状態],ROW()-1)="キャンセル","キャンセル",IF(J288=0,"発送済",IF(K288&gt;0,"要搬出","OK"))))</f>
        <v/>
      </c>
      <c r="M288" s="8">
        <f t="array" ref="M288">_xlfn.LET(
_xlpm.計画状態,IFERROR(INDEX(tbl_plan[計画状態],ROW()-1)&amp;"",""),
_xlpm.必要数,IFERROR(N(INDEX(tbl_plan[必要数],ROW()-1)),0),
IF(_xlpm.計画状態="キャンセル",0,_xlpm.必要数))</f>
        <v>0</v>
      </c>
      <c r="N288" s="8" t="str">
        <f>IF($A288="","",_xlfn.LET(
_xlpm.搬入計,SUMIFS(tbl_ledger[数量],tbl_ledger[localId],$B288,tbl_ledger[イベント種類],"搬入"),
_xlpm.未割当発送,SUMIFS(tbl_ledger[数量],tbl_ledger[localId],$B288,tbl_ledger[イベント種類],"発送",tbl_ledger[ロットID],"="),
_xlpm.未割当倉庫戻し,SUMIFS(tbl_ledger[数量],tbl_ledger[localId],$B288,tbl_ledger[イベント種類],"倉庫戻し",tbl_ledger[ロットID],"="),
_xlpm.未割当不良,SUMIFS(tbl_ledger[数量],tbl_ledger[localId],$B288,tbl_ledger[イベント種類],"不良発生",tbl_ledger[ロットID],"="),
_xlpm.搬入計-_xlpm.未割当発送-_xlpm.未割当倉庫戻し-_xlpm.未割当不良))</f>
        <v/>
      </c>
      <c r="O288" s="8" t="str">
        <f t="array" ref="O288">IF($A288="","",_xlfn.LET(
_xlpm.同品番,($B$2:$B$301=$B288),
_xlpm.週が前,($C$2:$C$301&lt;$C288),
_xlpm.同週で上行,($C$2:$C$301=$C288)*(ROW($C$2:$C$301)&lt;ROW()),
SUMPRODUCT(_xlpm.同品番*(_xlpm.週が前+_xlpm.同週で上行)*$M$2:$M$301)))</f>
        <v/>
      </c>
    </row>
    <row r="289" spans="1:15" ht="15" customHeight="1" x14ac:dyDescent="0.25">
      <c r="A289" s="4" t="str">
        <f>IFERROR(INDEX(tbl_plan[ロットID],ROW()-1),"")</f>
        <v/>
      </c>
      <c r="B289" s="4" t="str">
        <f>IF($A289="","",INDEX(tbl_plan[localId],ROW()-1))</f>
        <v/>
      </c>
      <c r="C289" s="11" t="str">
        <f>IF($A289="","",INDEX(tbl_plan[出荷週],ROW()-1))</f>
        <v/>
      </c>
      <c r="D289" s="4" t="str">
        <f>IF($A289="","",INDEX(tbl_plan[納期先],ROW()-1)&amp;"")</f>
        <v/>
      </c>
      <c r="E289" s="8" t="str">
        <f>IF($A289="","",INDEX(tbl_plan[必要数],ROW()-1))</f>
        <v/>
      </c>
      <c r="F289" s="8" t="str">
        <f t="shared" si="12"/>
        <v/>
      </c>
      <c r="G289" s="8" t="str">
        <f>IF($A289="","",SUMIFS(tbl_ledger[数量],tbl_ledger[ロットID],$A289,tbl_ledger[イベント種類],"発送"))</f>
        <v/>
      </c>
      <c r="H289" s="8" t="str">
        <f>IF($A289="","",_xlfn.LET(
_xlpm.割当,F289,
_xlpm.充当受入,SUMIFS(tbl_ledger[数量],tbl_ledger[充当先ロットID],$A289,tbl_ledger[イベント種類],"充当"),
_xlpm.充当放出,SUMIFS(tbl_ledger[数量],tbl_ledger[ロットID],$A289,tbl_ledger[イベント種類],"充当"),
_xlpm.発送済,G289,
_xlpm.倉庫戻し,SUMIFS(tbl_ledger[数量],tbl_ledger[ロットID],$A289,tbl_ledger[イベント種類],"倉庫戻し"),
_xlpm.余剰化,SUMIFS(tbl_ledger[数量],tbl_ledger[ロットID],$A289,tbl_ledger[イベント種類],"余剰化"),
_xlpm.不良,SUMIFS(tbl_ledger[数量],tbl_ledger[ロットID],$A289,tbl_ledger[イベント種類],"不良発生"),
_xlpm.割当+_xlpm.充当受入-_xlpm.充当放出-_xlpm.発送済-_xlpm.倉庫戻し-_xlpm.余剰化-_xlpm.不良))</f>
        <v/>
      </c>
      <c r="I289" s="8" t="str">
        <f>IF($A289="","",_xlfn.LET(
_xlpm.品番プール,N289,
_xlpm.割当計,SUMIF($B$2:$B$301,$B289,$F$2:$F$301),
_xlpm.余剰化受入,SUMIFS(tbl_ledger[数量],tbl_ledger[localId],$B289,tbl_ledger[イベント種類],"余剰化"),
_xlpm.充当払出,SUMIFS(tbl_ledger[数量],tbl_ledger[localId],$B289,tbl_ledger[イベント種類],"充当",tbl_ledger[ロットID],"="),
_xlpm.品番プール-_xlpm.割当計+_xlpm.余剰化受入-_xlpm.充当払出))</f>
        <v/>
      </c>
      <c r="J289" s="8" t="str">
        <f t="shared" si="13"/>
        <v/>
      </c>
      <c r="K289" s="8" t="str">
        <f t="shared" si="14"/>
        <v/>
      </c>
      <c r="L289" s="4" t="str">
        <f>IF($A289="","",IF(INDEX(tbl_plan[計画状態],ROW()-1)="キャンセル","キャンセル",IF(J289=0,"発送済",IF(K289&gt;0,"要搬出","OK"))))</f>
        <v/>
      </c>
      <c r="M289" s="8">
        <f t="array" ref="M289">_xlfn.LET(
_xlpm.計画状態,IFERROR(INDEX(tbl_plan[計画状態],ROW()-1)&amp;"",""),
_xlpm.必要数,IFERROR(N(INDEX(tbl_plan[必要数],ROW()-1)),0),
IF(_xlpm.計画状態="キャンセル",0,_xlpm.必要数))</f>
        <v>0</v>
      </c>
      <c r="N289" s="8" t="str">
        <f>IF($A289="","",_xlfn.LET(
_xlpm.搬入計,SUMIFS(tbl_ledger[数量],tbl_ledger[localId],$B289,tbl_ledger[イベント種類],"搬入"),
_xlpm.未割当発送,SUMIFS(tbl_ledger[数量],tbl_ledger[localId],$B289,tbl_ledger[イベント種類],"発送",tbl_ledger[ロットID],"="),
_xlpm.未割当倉庫戻し,SUMIFS(tbl_ledger[数量],tbl_ledger[localId],$B289,tbl_ledger[イベント種類],"倉庫戻し",tbl_ledger[ロットID],"="),
_xlpm.未割当不良,SUMIFS(tbl_ledger[数量],tbl_ledger[localId],$B289,tbl_ledger[イベント種類],"不良発生",tbl_ledger[ロットID],"="),
_xlpm.搬入計-_xlpm.未割当発送-_xlpm.未割当倉庫戻し-_xlpm.未割当不良))</f>
        <v/>
      </c>
      <c r="O289" s="8" t="str">
        <f t="array" ref="O289">IF($A289="","",_xlfn.LET(
_xlpm.同品番,($B$2:$B$301=$B289),
_xlpm.週が前,($C$2:$C$301&lt;$C289),
_xlpm.同週で上行,($C$2:$C$301=$C289)*(ROW($C$2:$C$301)&lt;ROW()),
SUMPRODUCT(_xlpm.同品番*(_xlpm.週が前+_xlpm.同週で上行)*$M$2:$M$301)))</f>
        <v/>
      </c>
    </row>
    <row r="290" spans="1:15" ht="15" customHeight="1" x14ac:dyDescent="0.25">
      <c r="A290" s="4" t="str">
        <f>IFERROR(INDEX(tbl_plan[ロットID],ROW()-1),"")</f>
        <v/>
      </c>
      <c r="B290" s="4" t="str">
        <f>IF($A290="","",INDEX(tbl_plan[localId],ROW()-1))</f>
        <v/>
      </c>
      <c r="C290" s="11" t="str">
        <f>IF($A290="","",INDEX(tbl_plan[出荷週],ROW()-1))</f>
        <v/>
      </c>
      <c r="D290" s="4" t="str">
        <f>IF($A290="","",INDEX(tbl_plan[納期先],ROW()-1)&amp;"")</f>
        <v/>
      </c>
      <c r="E290" s="8" t="str">
        <f>IF($A290="","",INDEX(tbl_plan[必要数],ROW()-1))</f>
        <v/>
      </c>
      <c r="F290" s="8" t="str">
        <f t="shared" si="12"/>
        <v/>
      </c>
      <c r="G290" s="8" t="str">
        <f>IF($A290="","",SUMIFS(tbl_ledger[数量],tbl_ledger[ロットID],$A290,tbl_ledger[イベント種類],"発送"))</f>
        <v/>
      </c>
      <c r="H290" s="8" t="str">
        <f>IF($A290="","",_xlfn.LET(
_xlpm.割当,F290,
_xlpm.充当受入,SUMIFS(tbl_ledger[数量],tbl_ledger[充当先ロットID],$A290,tbl_ledger[イベント種類],"充当"),
_xlpm.充当放出,SUMIFS(tbl_ledger[数量],tbl_ledger[ロットID],$A290,tbl_ledger[イベント種類],"充当"),
_xlpm.発送済,G290,
_xlpm.倉庫戻し,SUMIFS(tbl_ledger[数量],tbl_ledger[ロットID],$A290,tbl_ledger[イベント種類],"倉庫戻し"),
_xlpm.余剰化,SUMIFS(tbl_ledger[数量],tbl_ledger[ロットID],$A290,tbl_ledger[イベント種類],"余剰化"),
_xlpm.不良,SUMIFS(tbl_ledger[数量],tbl_ledger[ロットID],$A290,tbl_ledger[イベント種類],"不良発生"),
_xlpm.割当+_xlpm.充当受入-_xlpm.充当放出-_xlpm.発送済-_xlpm.倉庫戻し-_xlpm.余剰化-_xlpm.不良))</f>
        <v/>
      </c>
      <c r="I290" s="8" t="str">
        <f>IF($A290="","",_xlfn.LET(
_xlpm.品番プール,N290,
_xlpm.割当計,SUMIF($B$2:$B$301,$B290,$F$2:$F$301),
_xlpm.余剰化受入,SUMIFS(tbl_ledger[数量],tbl_ledger[localId],$B290,tbl_ledger[イベント種類],"余剰化"),
_xlpm.充当払出,SUMIFS(tbl_ledger[数量],tbl_ledger[localId],$B290,tbl_ledger[イベント種類],"充当",tbl_ledger[ロットID],"="),
_xlpm.品番プール-_xlpm.割当計+_xlpm.余剰化受入-_xlpm.充当払出))</f>
        <v/>
      </c>
      <c r="J290" s="8" t="str">
        <f t="shared" si="13"/>
        <v/>
      </c>
      <c r="K290" s="8" t="str">
        <f t="shared" si="14"/>
        <v/>
      </c>
      <c r="L290" s="4" t="str">
        <f>IF($A290="","",IF(INDEX(tbl_plan[計画状態],ROW()-1)="キャンセル","キャンセル",IF(J290=0,"発送済",IF(K290&gt;0,"要搬出","OK"))))</f>
        <v/>
      </c>
      <c r="M290" s="8">
        <f t="array" ref="M290">_xlfn.LET(
_xlpm.計画状態,IFERROR(INDEX(tbl_plan[計画状態],ROW()-1)&amp;"",""),
_xlpm.必要数,IFERROR(N(INDEX(tbl_plan[必要数],ROW()-1)),0),
IF(_xlpm.計画状態="キャンセル",0,_xlpm.必要数))</f>
        <v>0</v>
      </c>
      <c r="N290" s="8" t="str">
        <f>IF($A290="","",_xlfn.LET(
_xlpm.搬入計,SUMIFS(tbl_ledger[数量],tbl_ledger[localId],$B290,tbl_ledger[イベント種類],"搬入"),
_xlpm.未割当発送,SUMIFS(tbl_ledger[数量],tbl_ledger[localId],$B290,tbl_ledger[イベント種類],"発送",tbl_ledger[ロットID],"="),
_xlpm.未割当倉庫戻し,SUMIFS(tbl_ledger[数量],tbl_ledger[localId],$B290,tbl_ledger[イベント種類],"倉庫戻し",tbl_ledger[ロットID],"="),
_xlpm.未割当不良,SUMIFS(tbl_ledger[数量],tbl_ledger[localId],$B290,tbl_ledger[イベント種類],"不良発生",tbl_ledger[ロットID],"="),
_xlpm.搬入計-_xlpm.未割当発送-_xlpm.未割当倉庫戻し-_xlpm.未割当不良))</f>
        <v/>
      </c>
      <c r="O290" s="8" t="str">
        <f t="array" ref="O290">IF($A290="","",_xlfn.LET(
_xlpm.同品番,($B$2:$B$301=$B290),
_xlpm.週が前,($C$2:$C$301&lt;$C290),
_xlpm.同週で上行,($C$2:$C$301=$C290)*(ROW($C$2:$C$301)&lt;ROW()),
SUMPRODUCT(_xlpm.同品番*(_xlpm.週が前+_xlpm.同週で上行)*$M$2:$M$301)))</f>
        <v/>
      </c>
    </row>
    <row r="291" spans="1:15" ht="15" customHeight="1" x14ac:dyDescent="0.25">
      <c r="A291" s="4" t="str">
        <f>IFERROR(INDEX(tbl_plan[ロットID],ROW()-1),"")</f>
        <v/>
      </c>
      <c r="B291" s="4" t="str">
        <f>IF($A291="","",INDEX(tbl_plan[localId],ROW()-1))</f>
        <v/>
      </c>
      <c r="C291" s="11" t="str">
        <f>IF($A291="","",INDEX(tbl_plan[出荷週],ROW()-1))</f>
        <v/>
      </c>
      <c r="D291" s="4" t="str">
        <f>IF($A291="","",INDEX(tbl_plan[納期先],ROW()-1)&amp;"")</f>
        <v/>
      </c>
      <c r="E291" s="8" t="str">
        <f>IF($A291="","",INDEX(tbl_plan[必要数],ROW()-1))</f>
        <v/>
      </c>
      <c r="F291" s="8" t="str">
        <f t="shared" si="12"/>
        <v/>
      </c>
      <c r="G291" s="8" t="str">
        <f>IF($A291="","",SUMIFS(tbl_ledger[数量],tbl_ledger[ロットID],$A291,tbl_ledger[イベント種類],"発送"))</f>
        <v/>
      </c>
      <c r="H291" s="8" t="str">
        <f>IF($A291="","",_xlfn.LET(
_xlpm.割当,F291,
_xlpm.充当受入,SUMIFS(tbl_ledger[数量],tbl_ledger[充当先ロットID],$A291,tbl_ledger[イベント種類],"充当"),
_xlpm.充当放出,SUMIFS(tbl_ledger[数量],tbl_ledger[ロットID],$A291,tbl_ledger[イベント種類],"充当"),
_xlpm.発送済,G291,
_xlpm.倉庫戻し,SUMIFS(tbl_ledger[数量],tbl_ledger[ロットID],$A291,tbl_ledger[イベント種類],"倉庫戻し"),
_xlpm.余剰化,SUMIFS(tbl_ledger[数量],tbl_ledger[ロットID],$A291,tbl_ledger[イベント種類],"余剰化"),
_xlpm.不良,SUMIFS(tbl_ledger[数量],tbl_ledger[ロットID],$A291,tbl_ledger[イベント種類],"不良発生"),
_xlpm.割当+_xlpm.充当受入-_xlpm.充当放出-_xlpm.発送済-_xlpm.倉庫戻し-_xlpm.余剰化-_xlpm.不良))</f>
        <v/>
      </c>
      <c r="I291" s="8" t="str">
        <f>IF($A291="","",_xlfn.LET(
_xlpm.品番プール,N291,
_xlpm.割当計,SUMIF($B$2:$B$301,$B291,$F$2:$F$301),
_xlpm.余剰化受入,SUMIFS(tbl_ledger[数量],tbl_ledger[localId],$B291,tbl_ledger[イベント種類],"余剰化"),
_xlpm.充当払出,SUMIFS(tbl_ledger[数量],tbl_ledger[localId],$B291,tbl_ledger[イベント種類],"充当",tbl_ledger[ロットID],"="),
_xlpm.品番プール-_xlpm.割当計+_xlpm.余剰化受入-_xlpm.充当払出))</f>
        <v/>
      </c>
      <c r="J291" s="8" t="str">
        <f t="shared" si="13"/>
        <v/>
      </c>
      <c r="K291" s="8" t="str">
        <f t="shared" si="14"/>
        <v/>
      </c>
      <c r="L291" s="4" t="str">
        <f>IF($A291="","",IF(INDEX(tbl_plan[計画状態],ROW()-1)="キャンセル","キャンセル",IF(J291=0,"発送済",IF(K291&gt;0,"要搬出","OK"))))</f>
        <v/>
      </c>
      <c r="M291" s="8">
        <f t="array" ref="M291">_xlfn.LET(
_xlpm.計画状態,IFERROR(INDEX(tbl_plan[計画状態],ROW()-1)&amp;"",""),
_xlpm.必要数,IFERROR(N(INDEX(tbl_plan[必要数],ROW()-1)),0),
IF(_xlpm.計画状態="キャンセル",0,_xlpm.必要数))</f>
        <v>0</v>
      </c>
      <c r="N291" s="8" t="str">
        <f>IF($A291="","",_xlfn.LET(
_xlpm.搬入計,SUMIFS(tbl_ledger[数量],tbl_ledger[localId],$B291,tbl_ledger[イベント種類],"搬入"),
_xlpm.未割当発送,SUMIFS(tbl_ledger[数量],tbl_ledger[localId],$B291,tbl_ledger[イベント種類],"発送",tbl_ledger[ロットID],"="),
_xlpm.未割当倉庫戻し,SUMIFS(tbl_ledger[数量],tbl_ledger[localId],$B291,tbl_ledger[イベント種類],"倉庫戻し",tbl_ledger[ロットID],"="),
_xlpm.未割当不良,SUMIFS(tbl_ledger[数量],tbl_ledger[localId],$B291,tbl_ledger[イベント種類],"不良発生",tbl_ledger[ロットID],"="),
_xlpm.搬入計-_xlpm.未割当発送-_xlpm.未割当倉庫戻し-_xlpm.未割当不良))</f>
        <v/>
      </c>
      <c r="O291" s="8" t="str">
        <f t="array" ref="O291">IF($A291="","",_xlfn.LET(
_xlpm.同品番,($B$2:$B$301=$B291),
_xlpm.週が前,($C$2:$C$301&lt;$C291),
_xlpm.同週で上行,($C$2:$C$301=$C291)*(ROW($C$2:$C$301)&lt;ROW()),
SUMPRODUCT(_xlpm.同品番*(_xlpm.週が前+_xlpm.同週で上行)*$M$2:$M$301)))</f>
        <v/>
      </c>
    </row>
    <row r="292" spans="1:15" ht="15" customHeight="1" x14ac:dyDescent="0.25">
      <c r="A292" s="4" t="str">
        <f>IFERROR(INDEX(tbl_plan[ロットID],ROW()-1),"")</f>
        <v/>
      </c>
      <c r="B292" s="4" t="str">
        <f>IF($A292="","",INDEX(tbl_plan[localId],ROW()-1))</f>
        <v/>
      </c>
      <c r="C292" s="11" t="str">
        <f>IF($A292="","",INDEX(tbl_plan[出荷週],ROW()-1))</f>
        <v/>
      </c>
      <c r="D292" s="4" t="str">
        <f>IF($A292="","",INDEX(tbl_plan[納期先],ROW()-1)&amp;"")</f>
        <v/>
      </c>
      <c r="E292" s="8" t="str">
        <f>IF($A292="","",INDEX(tbl_plan[必要数],ROW()-1))</f>
        <v/>
      </c>
      <c r="F292" s="8" t="str">
        <f t="shared" si="12"/>
        <v/>
      </c>
      <c r="G292" s="8" t="str">
        <f>IF($A292="","",SUMIFS(tbl_ledger[数量],tbl_ledger[ロットID],$A292,tbl_ledger[イベント種類],"発送"))</f>
        <v/>
      </c>
      <c r="H292" s="8" t="str">
        <f>IF($A292="","",_xlfn.LET(
_xlpm.割当,F292,
_xlpm.充当受入,SUMIFS(tbl_ledger[数量],tbl_ledger[充当先ロットID],$A292,tbl_ledger[イベント種類],"充当"),
_xlpm.充当放出,SUMIFS(tbl_ledger[数量],tbl_ledger[ロットID],$A292,tbl_ledger[イベント種類],"充当"),
_xlpm.発送済,G292,
_xlpm.倉庫戻し,SUMIFS(tbl_ledger[数量],tbl_ledger[ロットID],$A292,tbl_ledger[イベント種類],"倉庫戻し"),
_xlpm.余剰化,SUMIFS(tbl_ledger[数量],tbl_ledger[ロットID],$A292,tbl_ledger[イベント種類],"余剰化"),
_xlpm.不良,SUMIFS(tbl_ledger[数量],tbl_ledger[ロットID],$A292,tbl_ledger[イベント種類],"不良発生"),
_xlpm.割当+_xlpm.充当受入-_xlpm.充当放出-_xlpm.発送済-_xlpm.倉庫戻し-_xlpm.余剰化-_xlpm.不良))</f>
        <v/>
      </c>
      <c r="I292" s="8" t="str">
        <f>IF($A292="","",_xlfn.LET(
_xlpm.品番プール,N292,
_xlpm.割当計,SUMIF($B$2:$B$301,$B292,$F$2:$F$301),
_xlpm.余剰化受入,SUMIFS(tbl_ledger[数量],tbl_ledger[localId],$B292,tbl_ledger[イベント種類],"余剰化"),
_xlpm.充当払出,SUMIFS(tbl_ledger[数量],tbl_ledger[localId],$B292,tbl_ledger[イベント種類],"充当",tbl_ledger[ロットID],"="),
_xlpm.品番プール-_xlpm.割当計+_xlpm.余剰化受入-_xlpm.充当払出))</f>
        <v/>
      </c>
      <c r="J292" s="8" t="str">
        <f t="shared" si="13"/>
        <v/>
      </c>
      <c r="K292" s="8" t="str">
        <f t="shared" si="14"/>
        <v/>
      </c>
      <c r="L292" s="4" t="str">
        <f>IF($A292="","",IF(INDEX(tbl_plan[計画状態],ROW()-1)="キャンセル","キャンセル",IF(J292=0,"発送済",IF(K292&gt;0,"要搬出","OK"))))</f>
        <v/>
      </c>
      <c r="M292" s="8">
        <f t="array" ref="M292">_xlfn.LET(
_xlpm.計画状態,IFERROR(INDEX(tbl_plan[計画状態],ROW()-1)&amp;"",""),
_xlpm.必要数,IFERROR(N(INDEX(tbl_plan[必要数],ROW()-1)),0),
IF(_xlpm.計画状態="キャンセル",0,_xlpm.必要数))</f>
        <v>0</v>
      </c>
      <c r="N292" s="8" t="str">
        <f>IF($A292="","",_xlfn.LET(
_xlpm.搬入計,SUMIFS(tbl_ledger[数量],tbl_ledger[localId],$B292,tbl_ledger[イベント種類],"搬入"),
_xlpm.未割当発送,SUMIFS(tbl_ledger[数量],tbl_ledger[localId],$B292,tbl_ledger[イベント種類],"発送",tbl_ledger[ロットID],"="),
_xlpm.未割当倉庫戻し,SUMIFS(tbl_ledger[数量],tbl_ledger[localId],$B292,tbl_ledger[イベント種類],"倉庫戻し",tbl_ledger[ロットID],"="),
_xlpm.未割当不良,SUMIFS(tbl_ledger[数量],tbl_ledger[localId],$B292,tbl_ledger[イベント種類],"不良発生",tbl_ledger[ロットID],"="),
_xlpm.搬入計-_xlpm.未割当発送-_xlpm.未割当倉庫戻し-_xlpm.未割当不良))</f>
        <v/>
      </c>
      <c r="O292" s="8" t="str">
        <f t="array" ref="O292">IF($A292="","",_xlfn.LET(
_xlpm.同品番,($B$2:$B$301=$B292),
_xlpm.週が前,($C$2:$C$301&lt;$C292),
_xlpm.同週で上行,($C$2:$C$301=$C292)*(ROW($C$2:$C$301)&lt;ROW()),
SUMPRODUCT(_xlpm.同品番*(_xlpm.週が前+_xlpm.同週で上行)*$M$2:$M$301)))</f>
        <v/>
      </c>
    </row>
    <row r="293" spans="1:15" ht="15" customHeight="1" x14ac:dyDescent="0.25">
      <c r="A293" s="4" t="str">
        <f>IFERROR(INDEX(tbl_plan[ロットID],ROW()-1),"")</f>
        <v/>
      </c>
      <c r="B293" s="4" t="str">
        <f>IF($A293="","",INDEX(tbl_plan[localId],ROW()-1))</f>
        <v/>
      </c>
      <c r="C293" s="11" t="str">
        <f>IF($A293="","",INDEX(tbl_plan[出荷週],ROW()-1))</f>
        <v/>
      </c>
      <c r="D293" s="4" t="str">
        <f>IF($A293="","",INDEX(tbl_plan[納期先],ROW()-1)&amp;"")</f>
        <v/>
      </c>
      <c r="E293" s="8" t="str">
        <f>IF($A293="","",INDEX(tbl_plan[必要数],ROW()-1))</f>
        <v/>
      </c>
      <c r="F293" s="8" t="str">
        <f t="shared" si="12"/>
        <v/>
      </c>
      <c r="G293" s="8" t="str">
        <f>IF($A293="","",SUMIFS(tbl_ledger[数量],tbl_ledger[ロットID],$A293,tbl_ledger[イベント種類],"発送"))</f>
        <v/>
      </c>
      <c r="H293" s="8" t="str">
        <f>IF($A293="","",_xlfn.LET(
_xlpm.割当,F293,
_xlpm.充当受入,SUMIFS(tbl_ledger[数量],tbl_ledger[充当先ロットID],$A293,tbl_ledger[イベント種類],"充当"),
_xlpm.充当放出,SUMIFS(tbl_ledger[数量],tbl_ledger[ロットID],$A293,tbl_ledger[イベント種類],"充当"),
_xlpm.発送済,G293,
_xlpm.倉庫戻し,SUMIFS(tbl_ledger[数量],tbl_ledger[ロットID],$A293,tbl_ledger[イベント種類],"倉庫戻し"),
_xlpm.余剰化,SUMIFS(tbl_ledger[数量],tbl_ledger[ロットID],$A293,tbl_ledger[イベント種類],"余剰化"),
_xlpm.不良,SUMIFS(tbl_ledger[数量],tbl_ledger[ロットID],$A293,tbl_ledger[イベント種類],"不良発生"),
_xlpm.割当+_xlpm.充当受入-_xlpm.充当放出-_xlpm.発送済-_xlpm.倉庫戻し-_xlpm.余剰化-_xlpm.不良))</f>
        <v/>
      </c>
      <c r="I293" s="8" t="str">
        <f>IF($A293="","",_xlfn.LET(
_xlpm.品番プール,N293,
_xlpm.割当計,SUMIF($B$2:$B$301,$B293,$F$2:$F$301),
_xlpm.余剰化受入,SUMIFS(tbl_ledger[数量],tbl_ledger[localId],$B293,tbl_ledger[イベント種類],"余剰化"),
_xlpm.充当払出,SUMIFS(tbl_ledger[数量],tbl_ledger[localId],$B293,tbl_ledger[イベント種類],"充当",tbl_ledger[ロットID],"="),
_xlpm.品番プール-_xlpm.割当計+_xlpm.余剰化受入-_xlpm.充当払出))</f>
        <v/>
      </c>
      <c r="J293" s="8" t="str">
        <f t="shared" si="13"/>
        <v/>
      </c>
      <c r="K293" s="8" t="str">
        <f t="shared" si="14"/>
        <v/>
      </c>
      <c r="L293" s="4" t="str">
        <f>IF($A293="","",IF(INDEX(tbl_plan[計画状態],ROW()-1)="キャンセル","キャンセル",IF(J293=0,"発送済",IF(K293&gt;0,"要搬出","OK"))))</f>
        <v/>
      </c>
      <c r="M293" s="8">
        <f t="array" ref="M293">_xlfn.LET(
_xlpm.計画状態,IFERROR(INDEX(tbl_plan[計画状態],ROW()-1)&amp;"",""),
_xlpm.必要数,IFERROR(N(INDEX(tbl_plan[必要数],ROW()-1)),0),
IF(_xlpm.計画状態="キャンセル",0,_xlpm.必要数))</f>
        <v>0</v>
      </c>
      <c r="N293" s="8" t="str">
        <f>IF($A293="","",_xlfn.LET(
_xlpm.搬入計,SUMIFS(tbl_ledger[数量],tbl_ledger[localId],$B293,tbl_ledger[イベント種類],"搬入"),
_xlpm.未割当発送,SUMIFS(tbl_ledger[数量],tbl_ledger[localId],$B293,tbl_ledger[イベント種類],"発送",tbl_ledger[ロットID],"="),
_xlpm.未割当倉庫戻し,SUMIFS(tbl_ledger[数量],tbl_ledger[localId],$B293,tbl_ledger[イベント種類],"倉庫戻し",tbl_ledger[ロットID],"="),
_xlpm.未割当不良,SUMIFS(tbl_ledger[数量],tbl_ledger[localId],$B293,tbl_ledger[イベント種類],"不良発生",tbl_ledger[ロットID],"="),
_xlpm.搬入計-_xlpm.未割当発送-_xlpm.未割当倉庫戻し-_xlpm.未割当不良))</f>
        <v/>
      </c>
      <c r="O293" s="8" t="str">
        <f t="array" ref="O293">IF($A293="","",_xlfn.LET(
_xlpm.同品番,($B$2:$B$301=$B293),
_xlpm.週が前,($C$2:$C$301&lt;$C293),
_xlpm.同週で上行,($C$2:$C$301=$C293)*(ROW($C$2:$C$301)&lt;ROW()),
SUMPRODUCT(_xlpm.同品番*(_xlpm.週が前+_xlpm.同週で上行)*$M$2:$M$301)))</f>
        <v/>
      </c>
    </row>
    <row r="294" spans="1:15" ht="15" customHeight="1" x14ac:dyDescent="0.25">
      <c r="A294" s="4" t="str">
        <f>IFERROR(INDEX(tbl_plan[ロットID],ROW()-1),"")</f>
        <v/>
      </c>
      <c r="B294" s="4" t="str">
        <f>IF($A294="","",INDEX(tbl_plan[localId],ROW()-1))</f>
        <v/>
      </c>
      <c r="C294" s="11" t="str">
        <f>IF($A294="","",INDEX(tbl_plan[出荷週],ROW()-1))</f>
        <v/>
      </c>
      <c r="D294" s="4" t="str">
        <f>IF($A294="","",INDEX(tbl_plan[納期先],ROW()-1)&amp;"")</f>
        <v/>
      </c>
      <c r="E294" s="8" t="str">
        <f>IF($A294="","",INDEX(tbl_plan[必要数],ROW()-1))</f>
        <v/>
      </c>
      <c r="F294" s="8" t="str">
        <f t="shared" si="12"/>
        <v/>
      </c>
      <c r="G294" s="8" t="str">
        <f>IF($A294="","",SUMIFS(tbl_ledger[数量],tbl_ledger[ロットID],$A294,tbl_ledger[イベント種類],"発送"))</f>
        <v/>
      </c>
      <c r="H294" s="8" t="str">
        <f>IF($A294="","",_xlfn.LET(
_xlpm.割当,F294,
_xlpm.充当受入,SUMIFS(tbl_ledger[数量],tbl_ledger[充当先ロットID],$A294,tbl_ledger[イベント種類],"充当"),
_xlpm.充当放出,SUMIFS(tbl_ledger[数量],tbl_ledger[ロットID],$A294,tbl_ledger[イベント種類],"充当"),
_xlpm.発送済,G294,
_xlpm.倉庫戻し,SUMIFS(tbl_ledger[数量],tbl_ledger[ロットID],$A294,tbl_ledger[イベント種類],"倉庫戻し"),
_xlpm.余剰化,SUMIFS(tbl_ledger[数量],tbl_ledger[ロットID],$A294,tbl_ledger[イベント種類],"余剰化"),
_xlpm.不良,SUMIFS(tbl_ledger[数量],tbl_ledger[ロットID],$A294,tbl_ledger[イベント種類],"不良発生"),
_xlpm.割当+_xlpm.充当受入-_xlpm.充当放出-_xlpm.発送済-_xlpm.倉庫戻し-_xlpm.余剰化-_xlpm.不良))</f>
        <v/>
      </c>
      <c r="I294" s="8" t="str">
        <f>IF($A294="","",_xlfn.LET(
_xlpm.品番プール,N294,
_xlpm.割当計,SUMIF($B$2:$B$301,$B294,$F$2:$F$301),
_xlpm.余剰化受入,SUMIFS(tbl_ledger[数量],tbl_ledger[localId],$B294,tbl_ledger[イベント種類],"余剰化"),
_xlpm.充当払出,SUMIFS(tbl_ledger[数量],tbl_ledger[localId],$B294,tbl_ledger[イベント種類],"充当",tbl_ledger[ロットID],"="),
_xlpm.品番プール-_xlpm.割当計+_xlpm.余剰化受入-_xlpm.充当払出))</f>
        <v/>
      </c>
      <c r="J294" s="8" t="str">
        <f t="shared" si="13"/>
        <v/>
      </c>
      <c r="K294" s="8" t="str">
        <f t="shared" si="14"/>
        <v/>
      </c>
      <c r="L294" s="4" t="str">
        <f>IF($A294="","",IF(INDEX(tbl_plan[計画状態],ROW()-1)="キャンセル","キャンセル",IF(J294=0,"発送済",IF(K294&gt;0,"要搬出","OK"))))</f>
        <v/>
      </c>
      <c r="M294" s="8">
        <f t="array" ref="M294">_xlfn.LET(
_xlpm.計画状態,IFERROR(INDEX(tbl_plan[計画状態],ROW()-1)&amp;"",""),
_xlpm.必要数,IFERROR(N(INDEX(tbl_plan[必要数],ROW()-1)),0),
IF(_xlpm.計画状態="キャンセル",0,_xlpm.必要数))</f>
        <v>0</v>
      </c>
      <c r="N294" s="8" t="str">
        <f>IF($A294="","",_xlfn.LET(
_xlpm.搬入計,SUMIFS(tbl_ledger[数量],tbl_ledger[localId],$B294,tbl_ledger[イベント種類],"搬入"),
_xlpm.未割当発送,SUMIFS(tbl_ledger[数量],tbl_ledger[localId],$B294,tbl_ledger[イベント種類],"発送",tbl_ledger[ロットID],"="),
_xlpm.未割当倉庫戻し,SUMIFS(tbl_ledger[数量],tbl_ledger[localId],$B294,tbl_ledger[イベント種類],"倉庫戻し",tbl_ledger[ロットID],"="),
_xlpm.未割当不良,SUMIFS(tbl_ledger[数量],tbl_ledger[localId],$B294,tbl_ledger[イベント種類],"不良発生",tbl_ledger[ロットID],"="),
_xlpm.搬入計-_xlpm.未割当発送-_xlpm.未割当倉庫戻し-_xlpm.未割当不良))</f>
        <v/>
      </c>
      <c r="O294" s="8" t="str">
        <f t="array" ref="O294">IF($A294="","",_xlfn.LET(
_xlpm.同品番,($B$2:$B$301=$B294),
_xlpm.週が前,($C$2:$C$301&lt;$C294),
_xlpm.同週で上行,($C$2:$C$301=$C294)*(ROW($C$2:$C$301)&lt;ROW()),
SUMPRODUCT(_xlpm.同品番*(_xlpm.週が前+_xlpm.同週で上行)*$M$2:$M$301)))</f>
        <v/>
      </c>
    </row>
    <row r="295" spans="1:15" ht="15" customHeight="1" x14ac:dyDescent="0.25">
      <c r="A295" s="4" t="str">
        <f>IFERROR(INDEX(tbl_plan[ロットID],ROW()-1),"")</f>
        <v/>
      </c>
      <c r="B295" s="4" t="str">
        <f>IF($A295="","",INDEX(tbl_plan[localId],ROW()-1))</f>
        <v/>
      </c>
      <c r="C295" s="11" t="str">
        <f>IF($A295="","",INDEX(tbl_plan[出荷週],ROW()-1))</f>
        <v/>
      </c>
      <c r="D295" s="4" t="str">
        <f>IF($A295="","",INDEX(tbl_plan[納期先],ROW()-1)&amp;"")</f>
        <v/>
      </c>
      <c r="E295" s="8" t="str">
        <f>IF($A295="","",INDEX(tbl_plan[必要数],ROW()-1))</f>
        <v/>
      </c>
      <c r="F295" s="8" t="str">
        <f t="shared" si="12"/>
        <v/>
      </c>
      <c r="G295" s="8" t="str">
        <f>IF($A295="","",SUMIFS(tbl_ledger[数量],tbl_ledger[ロットID],$A295,tbl_ledger[イベント種類],"発送"))</f>
        <v/>
      </c>
      <c r="H295" s="8" t="str">
        <f>IF($A295="","",_xlfn.LET(
_xlpm.割当,F295,
_xlpm.充当受入,SUMIFS(tbl_ledger[数量],tbl_ledger[充当先ロットID],$A295,tbl_ledger[イベント種類],"充当"),
_xlpm.充当放出,SUMIFS(tbl_ledger[数量],tbl_ledger[ロットID],$A295,tbl_ledger[イベント種類],"充当"),
_xlpm.発送済,G295,
_xlpm.倉庫戻し,SUMIFS(tbl_ledger[数量],tbl_ledger[ロットID],$A295,tbl_ledger[イベント種類],"倉庫戻し"),
_xlpm.余剰化,SUMIFS(tbl_ledger[数量],tbl_ledger[ロットID],$A295,tbl_ledger[イベント種類],"余剰化"),
_xlpm.不良,SUMIFS(tbl_ledger[数量],tbl_ledger[ロットID],$A295,tbl_ledger[イベント種類],"不良発生"),
_xlpm.割当+_xlpm.充当受入-_xlpm.充当放出-_xlpm.発送済-_xlpm.倉庫戻し-_xlpm.余剰化-_xlpm.不良))</f>
        <v/>
      </c>
      <c r="I295" s="8" t="str">
        <f>IF($A295="","",_xlfn.LET(
_xlpm.品番プール,N295,
_xlpm.割当計,SUMIF($B$2:$B$301,$B295,$F$2:$F$301),
_xlpm.余剰化受入,SUMIFS(tbl_ledger[数量],tbl_ledger[localId],$B295,tbl_ledger[イベント種類],"余剰化"),
_xlpm.充当払出,SUMIFS(tbl_ledger[数量],tbl_ledger[localId],$B295,tbl_ledger[イベント種類],"充当",tbl_ledger[ロットID],"="),
_xlpm.品番プール-_xlpm.割当計+_xlpm.余剰化受入-_xlpm.充当払出))</f>
        <v/>
      </c>
      <c r="J295" s="8" t="str">
        <f t="shared" si="13"/>
        <v/>
      </c>
      <c r="K295" s="8" t="str">
        <f t="shared" si="14"/>
        <v/>
      </c>
      <c r="L295" s="4" t="str">
        <f>IF($A295="","",IF(INDEX(tbl_plan[計画状態],ROW()-1)="キャンセル","キャンセル",IF(J295=0,"発送済",IF(K295&gt;0,"要搬出","OK"))))</f>
        <v/>
      </c>
      <c r="M295" s="8">
        <f t="array" ref="M295">_xlfn.LET(
_xlpm.計画状態,IFERROR(INDEX(tbl_plan[計画状態],ROW()-1)&amp;"",""),
_xlpm.必要数,IFERROR(N(INDEX(tbl_plan[必要数],ROW()-1)),0),
IF(_xlpm.計画状態="キャンセル",0,_xlpm.必要数))</f>
        <v>0</v>
      </c>
      <c r="N295" s="8" t="str">
        <f>IF($A295="","",_xlfn.LET(
_xlpm.搬入計,SUMIFS(tbl_ledger[数量],tbl_ledger[localId],$B295,tbl_ledger[イベント種類],"搬入"),
_xlpm.未割当発送,SUMIFS(tbl_ledger[数量],tbl_ledger[localId],$B295,tbl_ledger[イベント種類],"発送",tbl_ledger[ロットID],"="),
_xlpm.未割当倉庫戻し,SUMIFS(tbl_ledger[数量],tbl_ledger[localId],$B295,tbl_ledger[イベント種類],"倉庫戻し",tbl_ledger[ロットID],"="),
_xlpm.未割当不良,SUMIFS(tbl_ledger[数量],tbl_ledger[localId],$B295,tbl_ledger[イベント種類],"不良発生",tbl_ledger[ロットID],"="),
_xlpm.搬入計-_xlpm.未割当発送-_xlpm.未割当倉庫戻し-_xlpm.未割当不良))</f>
        <v/>
      </c>
      <c r="O295" s="8" t="str">
        <f t="array" ref="O295">IF($A295="","",_xlfn.LET(
_xlpm.同品番,($B$2:$B$301=$B295),
_xlpm.週が前,($C$2:$C$301&lt;$C295),
_xlpm.同週で上行,($C$2:$C$301=$C295)*(ROW($C$2:$C$301)&lt;ROW()),
SUMPRODUCT(_xlpm.同品番*(_xlpm.週が前+_xlpm.同週で上行)*$M$2:$M$301)))</f>
        <v/>
      </c>
    </row>
    <row r="296" spans="1:15" ht="15" customHeight="1" x14ac:dyDescent="0.25">
      <c r="A296" s="4" t="str">
        <f>IFERROR(INDEX(tbl_plan[ロットID],ROW()-1),"")</f>
        <v/>
      </c>
      <c r="B296" s="4" t="str">
        <f>IF($A296="","",INDEX(tbl_plan[localId],ROW()-1))</f>
        <v/>
      </c>
      <c r="C296" s="11" t="str">
        <f>IF($A296="","",INDEX(tbl_plan[出荷週],ROW()-1))</f>
        <v/>
      </c>
      <c r="D296" s="4" t="str">
        <f>IF($A296="","",INDEX(tbl_plan[納期先],ROW()-1)&amp;"")</f>
        <v/>
      </c>
      <c r="E296" s="8" t="str">
        <f>IF($A296="","",INDEX(tbl_plan[必要数],ROW()-1))</f>
        <v/>
      </c>
      <c r="F296" s="8" t="str">
        <f t="shared" si="12"/>
        <v/>
      </c>
      <c r="G296" s="8" t="str">
        <f>IF($A296="","",SUMIFS(tbl_ledger[数量],tbl_ledger[ロットID],$A296,tbl_ledger[イベント種類],"発送"))</f>
        <v/>
      </c>
      <c r="H296" s="8" t="str">
        <f>IF($A296="","",_xlfn.LET(
_xlpm.割当,F296,
_xlpm.充当受入,SUMIFS(tbl_ledger[数量],tbl_ledger[充当先ロットID],$A296,tbl_ledger[イベント種類],"充当"),
_xlpm.充当放出,SUMIFS(tbl_ledger[数量],tbl_ledger[ロットID],$A296,tbl_ledger[イベント種類],"充当"),
_xlpm.発送済,G296,
_xlpm.倉庫戻し,SUMIFS(tbl_ledger[数量],tbl_ledger[ロットID],$A296,tbl_ledger[イベント種類],"倉庫戻し"),
_xlpm.余剰化,SUMIFS(tbl_ledger[数量],tbl_ledger[ロットID],$A296,tbl_ledger[イベント種類],"余剰化"),
_xlpm.不良,SUMIFS(tbl_ledger[数量],tbl_ledger[ロットID],$A296,tbl_ledger[イベント種類],"不良発生"),
_xlpm.割当+_xlpm.充当受入-_xlpm.充当放出-_xlpm.発送済-_xlpm.倉庫戻し-_xlpm.余剰化-_xlpm.不良))</f>
        <v/>
      </c>
      <c r="I296" s="8" t="str">
        <f>IF($A296="","",_xlfn.LET(
_xlpm.品番プール,N296,
_xlpm.割当計,SUMIF($B$2:$B$301,$B296,$F$2:$F$301),
_xlpm.余剰化受入,SUMIFS(tbl_ledger[数量],tbl_ledger[localId],$B296,tbl_ledger[イベント種類],"余剰化"),
_xlpm.充当払出,SUMIFS(tbl_ledger[数量],tbl_ledger[localId],$B296,tbl_ledger[イベント種類],"充当",tbl_ledger[ロットID],"="),
_xlpm.品番プール-_xlpm.割当計+_xlpm.余剰化受入-_xlpm.充当払出))</f>
        <v/>
      </c>
      <c r="J296" s="8" t="str">
        <f t="shared" si="13"/>
        <v/>
      </c>
      <c r="K296" s="8" t="str">
        <f t="shared" si="14"/>
        <v/>
      </c>
      <c r="L296" s="4" t="str">
        <f>IF($A296="","",IF(INDEX(tbl_plan[計画状態],ROW()-1)="キャンセル","キャンセル",IF(J296=0,"発送済",IF(K296&gt;0,"要搬出","OK"))))</f>
        <v/>
      </c>
      <c r="M296" s="8">
        <f t="array" ref="M296">_xlfn.LET(
_xlpm.計画状態,IFERROR(INDEX(tbl_plan[計画状態],ROW()-1)&amp;"",""),
_xlpm.必要数,IFERROR(N(INDEX(tbl_plan[必要数],ROW()-1)),0),
IF(_xlpm.計画状態="キャンセル",0,_xlpm.必要数))</f>
        <v>0</v>
      </c>
      <c r="N296" s="8" t="str">
        <f>IF($A296="","",_xlfn.LET(
_xlpm.搬入計,SUMIFS(tbl_ledger[数量],tbl_ledger[localId],$B296,tbl_ledger[イベント種類],"搬入"),
_xlpm.未割当発送,SUMIFS(tbl_ledger[数量],tbl_ledger[localId],$B296,tbl_ledger[イベント種類],"発送",tbl_ledger[ロットID],"="),
_xlpm.未割当倉庫戻し,SUMIFS(tbl_ledger[数量],tbl_ledger[localId],$B296,tbl_ledger[イベント種類],"倉庫戻し",tbl_ledger[ロットID],"="),
_xlpm.未割当不良,SUMIFS(tbl_ledger[数量],tbl_ledger[localId],$B296,tbl_ledger[イベント種類],"不良発生",tbl_ledger[ロットID],"="),
_xlpm.搬入計-_xlpm.未割当発送-_xlpm.未割当倉庫戻し-_xlpm.未割当不良))</f>
        <v/>
      </c>
      <c r="O296" s="8" t="str">
        <f t="array" ref="O296">IF($A296="","",_xlfn.LET(
_xlpm.同品番,($B$2:$B$301=$B296),
_xlpm.週が前,($C$2:$C$301&lt;$C296),
_xlpm.同週で上行,($C$2:$C$301=$C296)*(ROW($C$2:$C$301)&lt;ROW()),
SUMPRODUCT(_xlpm.同品番*(_xlpm.週が前+_xlpm.同週で上行)*$M$2:$M$301)))</f>
        <v/>
      </c>
    </row>
    <row r="297" spans="1:15" ht="15" customHeight="1" x14ac:dyDescent="0.25">
      <c r="A297" s="4" t="str">
        <f>IFERROR(INDEX(tbl_plan[ロットID],ROW()-1),"")</f>
        <v/>
      </c>
      <c r="B297" s="4" t="str">
        <f>IF($A297="","",INDEX(tbl_plan[localId],ROW()-1))</f>
        <v/>
      </c>
      <c r="C297" s="11" t="str">
        <f>IF($A297="","",INDEX(tbl_plan[出荷週],ROW()-1))</f>
        <v/>
      </c>
      <c r="D297" s="4" t="str">
        <f>IF($A297="","",INDEX(tbl_plan[納期先],ROW()-1)&amp;"")</f>
        <v/>
      </c>
      <c r="E297" s="8" t="str">
        <f>IF($A297="","",INDEX(tbl_plan[必要数],ROW()-1))</f>
        <v/>
      </c>
      <c r="F297" s="8" t="str">
        <f t="shared" si="12"/>
        <v/>
      </c>
      <c r="G297" s="8" t="str">
        <f>IF($A297="","",SUMIFS(tbl_ledger[数量],tbl_ledger[ロットID],$A297,tbl_ledger[イベント種類],"発送"))</f>
        <v/>
      </c>
      <c r="H297" s="8" t="str">
        <f>IF($A297="","",_xlfn.LET(
_xlpm.割当,F297,
_xlpm.充当受入,SUMIFS(tbl_ledger[数量],tbl_ledger[充当先ロットID],$A297,tbl_ledger[イベント種類],"充当"),
_xlpm.充当放出,SUMIFS(tbl_ledger[数量],tbl_ledger[ロットID],$A297,tbl_ledger[イベント種類],"充当"),
_xlpm.発送済,G297,
_xlpm.倉庫戻し,SUMIFS(tbl_ledger[数量],tbl_ledger[ロットID],$A297,tbl_ledger[イベント種類],"倉庫戻し"),
_xlpm.余剰化,SUMIFS(tbl_ledger[数量],tbl_ledger[ロットID],$A297,tbl_ledger[イベント種類],"余剰化"),
_xlpm.不良,SUMIFS(tbl_ledger[数量],tbl_ledger[ロットID],$A297,tbl_ledger[イベント種類],"不良発生"),
_xlpm.割当+_xlpm.充当受入-_xlpm.充当放出-_xlpm.発送済-_xlpm.倉庫戻し-_xlpm.余剰化-_xlpm.不良))</f>
        <v/>
      </c>
      <c r="I297" s="8" t="str">
        <f>IF($A297="","",_xlfn.LET(
_xlpm.品番プール,N297,
_xlpm.割当計,SUMIF($B$2:$B$301,$B297,$F$2:$F$301),
_xlpm.余剰化受入,SUMIFS(tbl_ledger[数量],tbl_ledger[localId],$B297,tbl_ledger[イベント種類],"余剰化"),
_xlpm.充当払出,SUMIFS(tbl_ledger[数量],tbl_ledger[localId],$B297,tbl_ledger[イベント種類],"充当",tbl_ledger[ロットID],"="),
_xlpm.品番プール-_xlpm.割当計+_xlpm.余剰化受入-_xlpm.充当払出))</f>
        <v/>
      </c>
      <c r="J297" s="8" t="str">
        <f t="shared" si="13"/>
        <v/>
      </c>
      <c r="K297" s="8" t="str">
        <f t="shared" si="14"/>
        <v/>
      </c>
      <c r="L297" s="4" t="str">
        <f>IF($A297="","",IF(INDEX(tbl_plan[計画状態],ROW()-1)="キャンセル","キャンセル",IF(J297=0,"発送済",IF(K297&gt;0,"要搬出","OK"))))</f>
        <v/>
      </c>
      <c r="M297" s="8">
        <f t="array" ref="M297">_xlfn.LET(
_xlpm.計画状態,IFERROR(INDEX(tbl_plan[計画状態],ROW()-1)&amp;"",""),
_xlpm.必要数,IFERROR(N(INDEX(tbl_plan[必要数],ROW()-1)),0),
IF(_xlpm.計画状態="キャンセル",0,_xlpm.必要数))</f>
        <v>0</v>
      </c>
      <c r="N297" s="8" t="str">
        <f>IF($A297="","",_xlfn.LET(
_xlpm.搬入計,SUMIFS(tbl_ledger[数量],tbl_ledger[localId],$B297,tbl_ledger[イベント種類],"搬入"),
_xlpm.未割当発送,SUMIFS(tbl_ledger[数量],tbl_ledger[localId],$B297,tbl_ledger[イベント種類],"発送",tbl_ledger[ロットID],"="),
_xlpm.未割当倉庫戻し,SUMIFS(tbl_ledger[数量],tbl_ledger[localId],$B297,tbl_ledger[イベント種類],"倉庫戻し",tbl_ledger[ロットID],"="),
_xlpm.未割当不良,SUMIFS(tbl_ledger[数量],tbl_ledger[localId],$B297,tbl_ledger[イベント種類],"不良発生",tbl_ledger[ロットID],"="),
_xlpm.搬入計-_xlpm.未割当発送-_xlpm.未割当倉庫戻し-_xlpm.未割当不良))</f>
        <v/>
      </c>
      <c r="O297" s="8" t="str">
        <f t="array" ref="O297">IF($A297="","",_xlfn.LET(
_xlpm.同品番,($B$2:$B$301=$B297),
_xlpm.週が前,($C$2:$C$301&lt;$C297),
_xlpm.同週で上行,($C$2:$C$301=$C297)*(ROW($C$2:$C$301)&lt;ROW()),
SUMPRODUCT(_xlpm.同品番*(_xlpm.週が前+_xlpm.同週で上行)*$M$2:$M$301)))</f>
        <v/>
      </c>
    </row>
    <row r="298" spans="1:15" ht="15" customHeight="1" x14ac:dyDescent="0.25">
      <c r="A298" s="4" t="str">
        <f>IFERROR(INDEX(tbl_plan[ロットID],ROW()-1),"")</f>
        <v/>
      </c>
      <c r="B298" s="4" t="str">
        <f>IF($A298="","",INDEX(tbl_plan[localId],ROW()-1))</f>
        <v/>
      </c>
      <c r="C298" s="11" t="str">
        <f>IF($A298="","",INDEX(tbl_plan[出荷週],ROW()-1))</f>
        <v/>
      </c>
      <c r="D298" s="4" t="str">
        <f>IF($A298="","",INDEX(tbl_plan[納期先],ROW()-1)&amp;"")</f>
        <v/>
      </c>
      <c r="E298" s="8" t="str">
        <f>IF($A298="","",INDEX(tbl_plan[必要数],ROW()-1))</f>
        <v/>
      </c>
      <c r="F298" s="8" t="str">
        <f t="shared" si="12"/>
        <v/>
      </c>
      <c r="G298" s="8" t="str">
        <f>IF($A298="","",SUMIFS(tbl_ledger[数量],tbl_ledger[ロットID],$A298,tbl_ledger[イベント種類],"発送"))</f>
        <v/>
      </c>
      <c r="H298" s="8" t="str">
        <f>IF($A298="","",_xlfn.LET(
_xlpm.割当,F298,
_xlpm.充当受入,SUMIFS(tbl_ledger[数量],tbl_ledger[充当先ロットID],$A298,tbl_ledger[イベント種類],"充当"),
_xlpm.充当放出,SUMIFS(tbl_ledger[数量],tbl_ledger[ロットID],$A298,tbl_ledger[イベント種類],"充当"),
_xlpm.発送済,G298,
_xlpm.倉庫戻し,SUMIFS(tbl_ledger[数量],tbl_ledger[ロットID],$A298,tbl_ledger[イベント種類],"倉庫戻し"),
_xlpm.余剰化,SUMIFS(tbl_ledger[数量],tbl_ledger[ロットID],$A298,tbl_ledger[イベント種類],"余剰化"),
_xlpm.不良,SUMIFS(tbl_ledger[数量],tbl_ledger[ロットID],$A298,tbl_ledger[イベント種類],"不良発生"),
_xlpm.割当+_xlpm.充当受入-_xlpm.充当放出-_xlpm.発送済-_xlpm.倉庫戻し-_xlpm.余剰化-_xlpm.不良))</f>
        <v/>
      </c>
      <c r="I298" s="8" t="str">
        <f>IF($A298="","",_xlfn.LET(
_xlpm.品番プール,N298,
_xlpm.割当計,SUMIF($B$2:$B$301,$B298,$F$2:$F$301),
_xlpm.余剰化受入,SUMIFS(tbl_ledger[数量],tbl_ledger[localId],$B298,tbl_ledger[イベント種類],"余剰化"),
_xlpm.充当払出,SUMIFS(tbl_ledger[数量],tbl_ledger[localId],$B298,tbl_ledger[イベント種類],"充当",tbl_ledger[ロットID],"="),
_xlpm.品番プール-_xlpm.割当計+_xlpm.余剰化受入-_xlpm.充当払出))</f>
        <v/>
      </c>
      <c r="J298" s="8" t="str">
        <f t="shared" si="13"/>
        <v/>
      </c>
      <c r="K298" s="8" t="str">
        <f t="shared" si="14"/>
        <v/>
      </c>
      <c r="L298" s="4" t="str">
        <f>IF($A298="","",IF(INDEX(tbl_plan[計画状態],ROW()-1)="キャンセル","キャンセル",IF(J298=0,"発送済",IF(K298&gt;0,"要搬出","OK"))))</f>
        <v/>
      </c>
      <c r="M298" s="8">
        <f t="array" ref="M298">_xlfn.LET(
_xlpm.計画状態,IFERROR(INDEX(tbl_plan[計画状態],ROW()-1)&amp;"",""),
_xlpm.必要数,IFERROR(N(INDEX(tbl_plan[必要数],ROW()-1)),0),
IF(_xlpm.計画状態="キャンセル",0,_xlpm.必要数))</f>
        <v>0</v>
      </c>
      <c r="N298" s="8" t="str">
        <f>IF($A298="","",_xlfn.LET(
_xlpm.搬入計,SUMIFS(tbl_ledger[数量],tbl_ledger[localId],$B298,tbl_ledger[イベント種類],"搬入"),
_xlpm.未割当発送,SUMIFS(tbl_ledger[数量],tbl_ledger[localId],$B298,tbl_ledger[イベント種類],"発送",tbl_ledger[ロットID],"="),
_xlpm.未割当倉庫戻し,SUMIFS(tbl_ledger[数量],tbl_ledger[localId],$B298,tbl_ledger[イベント種類],"倉庫戻し",tbl_ledger[ロットID],"="),
_xlpm.未割当不良,SUMIFS(tbl_ledger[数量],tbl_ledger[localId],$B298,tbl_ledger[イベント種類],"不良発生",tbl_ledger[ロットID],"="),
_xlpm.搬入計-_xlpm.未割当発送-_xlpm.未割当倉庫戻し-_xlpm.未割当不良))</f>
        <v/>
      </c>
      <c r="O298" s="8" t="str">
        <f t="array" ref="O298">IF($A298="","",_xlfn.LET(
_xlpm.同品番,($B$2:$B$301=$B298),
_xlpm.週が前,($C$2:$C$301&lt;$C298),
_xlpm.同週で上行,($C$2:$C$301=$C298)*(ROW($C$2:$C$301)&lt;ROW()),
SUMPRODUCT(_xlpm.同品番*(_xlpm.週が前+_xlpm.同週で上行)*$M$2:$M$301)))</f>
        <v/>
      </c>
    </row>
    <row r="299" spans="1:15" ht="15" customHeight="1" x14ac:dyDescent="0.25">
      <c r="A299" s="4" t="str">
        <f>IFERROR(INDEX(tbl_plan[ロットID],ROW()-1),"")</f>
        <v/>
      </c>
      <c r="B299" s="4" t="str">
        <f>IF($A299="","",INDEX(tbl_plan[localId],ROW()-1))</f>
        <v/>
      </c>
      <c r="C299" s="11" t="str">
        <f>IF($A299="","",INDEX(tbl_plan[出荷週],ROW()-1))</f>
        <v/>
      </c>
      <c r="D299" s="4" t="str">
        <f>IF($A299="","",INDEX(tbl_plan[納期先],ROW()-1)&amp;"")</f>
        <v/>
      </c>
      <c r="E299" s="8" t="str">
        <f>IF($A299="","",INDEX(tbl_plan[必要数],ROW()-1))</f>
        <v/>
      </c>
      <c r="F299" s="8" t="str">
        <f t="shared" si="12"/>
        <v/>
      </c>
      <c r="G299" s="8" t="str">
        <f>IF($A299="","",SUMIFS(tbl_ledger[数量],tbl_ledger[ロットID],$A299,tbl_ledger[イベント種類],"発送"))</f>
        <v/>
      </c>
      <c r="H299" s="8" t="str">
        <f>IF($A299="","",_xlfn.LET(
_xlpm.割当,F299,
_xlpm.充当受入,SUMIFS(tbl_ledger[数量],tbl_ledger[充当先ロットID],$A299,tbl_ledger[イベント種類],"充当"),
_xlpm.充当放出,SUMIFS(tbl_ledger[数量],tbl_ledger[ロットID],$A299,tbl_ledger[イベント種類],"充当"),
_xlpm.発送済,G299,
_xlpm.倉庫戻し,SUMIFS(tbl_ledger[数量],tbl_ledger[ロットID],$A299,tbl_ledger[イベント種類],"倉庫戻し"),
_xlpm.余剰化,SUMIFS(tbl_ledger[数量],tbl_ledger[ロットID],$A299,tbl_ledger[イベント種類],"余剰化"),
_xlpm.不良,SUMIFS(tbl_ledger[数量],tbl_ledger[ロットID],$A299,tbl_ledger[イベント種類],"不良発生"),
_xlpm.割当+_xlpm.充当受入-_xlpm.充当放出-_xlpm.発送済-_xlpm.倉庫戻し-_xlpm.余剰化-_xlpm.不良))</f>
        <v/>
      </c>
      <c r="I299" s="8" t="str">
        <f>IF($A299="","",_xlfn.LET(
_xlpm.品番プール,N299,
_xlpm.割当計,SUMIF($B$2:$B$301,$B299,$F$2:$F$301),
_xlpm.余剰化受入,SUMIFS(tbl_ledger[数量],tbl_ledger[localId],$B299,tbl_ledger[イベント種類],"余剰化"),
_xlpm.充当払出,SUMIFS(tbl_ledger[数量],tbl_ledger[localId],$B299,tbl_ledger[イベント種類],"充当",tbl_ledger[ロットID],"="),
_xlpm.品番プール-_xlpm.割当計+_xlpm.余剰化受入-_xlpm.充当払出))</f>
        <v/>
      </c>
      <c r="J299" s="8" t="str">
        <f t="shared" si="13"/>
        <v/>
      </c>
      <c r="K299" s="8" t="str">
        <f t="shared" si="14"/>
        <v/>
      </c>
      <c r="L299" s="4" t="str">
        <f>IF($A299="","",IF(INDEX(tbl_plan[計画状態],ROW()-1)="キャンセル","キャンセル",IF(J299=0,"発送済",IF(K299&gt;0,"要搬出","OK"))))</f>
        <v/>
      </c>
      <c r="M299" s="8">
        <f t="array" ref="M299">_xlfn.LET(
_xlpm.計画状態,IFERROR(INDEX(tbl_plan[計画状態],ROW()-1)&amp;"",""),
_xlpm.必要数,IFERROR(N(INDEX(tbl_plan[必要数],ROW()-1)),0),
IF(_xlpm.計画状態="キャンセル",0,_xlpm.必要数))</f>
        <v>0</v>
      </c>
      <c r="N299" s="8" t="str">
        <f>IF($A299="","",_xlfn.LET(
_xlpm.搬入計,SUMIFS(tbl_ledger[数量],tbl_ledger[localId],$B299,tbl_ledger[イベント種類],"搬入"),
_xlpm.未割当発送,SUMIFS(tbl_ledger[数量],tbl_ledger[localId],$B299,tbl_ledger[イベント種類],"発送",tbl_ledger[ロットID],"="),
_xlpm.未割当倉庫戻し,SUMIFS(tbl_ledger[数量],tbl_ledger[localId],$B299,tbl_ledger[イベント種類],"倉庫戻し",tbl_ledger[ロットID],"="),
_xlpm.未割当不良,SUMIFS(tbl_ledger[数量],tbl_ledger[localId],$B299,tbl_ledger[イベント種類],"不良発生",tbl_ledger[ロットID],"="),
_xlpm.搬入計-_xlpm.未割当発送-_xlpm.未割当倉庫戻し-_xlpm.未割当不良))</f>
        <v/>
      </c>
      <c r="O299" s="8" t="str">
        <f t="array" ref="O299">IF($A299="","",_xlfn.LET(
_xlpm.同品番,($B$2:$B$301=$B299),
_xlpm.週が前,($C$2:$C$301&lt;$C299),
_xlpm.同週で上行,($C$2:$C$301=$C299)*(ROW($C$2:$C$301)&lt;ROW()),
SUMPRODUCT(_xlpm.同品番*(_xlpm.週が前+_xlpm.同週で上行)*$M$2:$M$301)))</f>
        <v/>
      </c>
    </row>
    <row r="300" spans="1:15" ht="15" customHeight="1" x14ac:dyDescent="0.25">
      <c r="A300" s="4" t="str">
        <f>IFERROR(INDEX(tbl_plan[ロットID],ROW()-1),"")</f>
        <v/>
      </c>
      <c r="B300" s="4" t="str">
        <f>IF($A300="","",INDEX(tbl_plan[localId],ROW()-1))</f>
        <v/>
      </c>
      <c r="C300" s="11" t="str">
        <f>IF($A300="","",INDEX(tbl_plan[出荷週],ROW()-1))</f>
        <v/>
      </c>
      <c r="D300" s="4" t="str">
        <f>IF($A300="","",INDEX(tbl_plan[納期先],ROW()-1)&amp;"")</f>
        <v/>
      </c>
      <c r="E300" s="8" t="str">
        <f>IF($A300="","",INDEX(tbl_plan[必要数],ROW()-1))</f>
        <v/>
      </c>
      <c r="F300" s="8" t="str">
        <f t="shared" si="12"/>
        <v/>
      </c>
      <c r="G300" s="8" t="str">
        <f>IF($A300="","",SUMIFS(tbl_ledger[数量],tbl_ledger[ロットID],$A300,tbl_ledger[イベント種類],"発送"))</f>
        <v/>
      </c>
      <c r="H300" s="8" t="str">
        <f>IF($A300="","",_xlfn.LET(
_xlpm.割当,F300,
_xlpm.充当受入,SUMIFS(tbl_ledger[数量],tbl_ledger[充当先ロットID],$A300,tbl_ledger[イベント種類],"充当"),
_xlpm.充当放出,SUMIFS(tbl_ledger[数量],tbl_ledger[ロットID],$A300,tbl_ledger[イベント種類],"充当"),
_xlpm.発送済,G300,
_xlpm.倉庫戻し,SUMIFS(tbl_ledger[数量],tbl_ledger[ロットID],$A300,tbl_ledger[イベント種類],"倉庫戻し"),
_xlpm.余剰化,SUMIFS(tbl_ledger[数量],tbl_ledger[ロットID],$A300,tbl_ledger[イベント種類],"余剰化"),
_xlpm.不良,SUMIFS(tbl_ledger[数量],tbl_ledger[ロットID],$A300,tbl_ledger[イベント種類],"不良発生"),
_xlpm.割当+_xlpm.充当受入-_xlpm.充当放出-_xlpm.発送済-_xlpm.倉庫戻し-_xlpm.余剰化-_xlpm.不良))</f>
        <v/>
      </c>
      <c r="I300" s="8" t="str">
        <f>IF($A300="","",_xlfn.LET(
_xlpm.品番プール,N300,
_xlpm.割当計,SUMIF($B$2:$B$301,$B300,$F$2:$F$301),
_xlpm.余剰化受入,SUMIFS(tbl_ledger[数量],tbl_ledger[localId],$B300,tbl_ledger[イベント種類],"余剰化"),
_xlpm.充当払出,SUMIFS(tbl_ledger[数量],tbl_ledger[localId],$B300,tbl_ledger[イベント種類],"充当",tbl_ledger[ロットID],"="),
_xlpm.品番プール-_xlpm.割当計+_xlpm.余剰化受入-_xlpm.充当払出))</f>
        <v/>
      </c>
      <c r="J300" s="8" t="str">
        <f t="shared" si="13"/>
        <v/>
      </c>
      <c r="K300" s="8" t="str">
        <f t="shared" si="14"/>
        <v/>
      </c>
      <c r="L300" s="4" t="str">
        <f>IF($A300="","",IF(INDEX(tbl_plan[計画状態],ROW()-1)="キャンセル","キャンセル",IF(J300=0,"発送済",IF(K300&gt;0,"要搬出","OK"))))</f>
        <v/>
      </c>
      <c r="M300" s="8">
        <f t="array" ref="M300">_xlfn.LET(
_xlpm.計画状態,IFERROR(INDEX(tbl_plan[計画状態],ROW()-1)&amp;"",""),
_xlpm.必要数,IFERROR(N(INDEX(tbl_plan[必要数],ROW()-1)),0),
IF(_xlpm.計画状態="キャンセル",0,_xlpm.必要数))</f>
        <v>0</v>
      </c>
      <c r="N300" s="8" t="str">
        <f>IF($A300="","",_xlfn.LET(
_xlpm.搬入計,SUMIFS(tbl_ledger[数量],tbl_ledger[localId],$B300,tbl_ledger[イベント種類],"搬入"),
_xlpm.未割当発送,SUMIFS(tbl_ledger[数量],tbl_ledger[localId],$B300,tbl_ledger[イベント種類],"発送",tbl_ledger[ロットID],"="),
_xlpm.未割当倉庫戻し,SUMIFS(tbl_ledger[数量],tbl_ledger[localId],$B300,tbl_ledger[イベント種類],"倉庫戻し",tbl_ledger[ロットID],"="),
_xlpm.未割当不良,SUMIFS(tbl_ledger[数量],tbl_ledger[localId],$B300,tbl_ledger[イベント種類],"不良発生",tbl_ledger[ロットID],"="),
_xlpm.搬入計-_xlpm.未割当発送-_xlpm.未割当倉庫戻し-_xlpm.未割当不良))</f>
        <v/>
      </c>
      <c r="O300" s="8" t="str">
        <f t="array" ref="O300">IF($A300="","",_xlfn.LET(
_xlpm.同品番,($B$2:$B$301=$B300),
_xlpm.週が前,($C$2:$C$301&lt;$C300),
_xlpm.同週で上行,($C$2:$C$301=$C300)*(ROW($C$2:$C$301)&lt;ROW()),
SUMPRODUCT(_xlpm.同品番*(_xlpm.週が前+_xlpm.同週で上行)*$M$2:$M$301)))</f>
        <v/>
      </c>
    </row>
    <row r="301" spans="1:15" ht="15" customHeight="1" x14ac:dyDescent="0.25">
      <c r="A301" s="4" t="str">
        <f>IFERROR(INDEX(tbl_plan[ロットID],ROW()-1),"")</f>
        <v/>
      </c>
      <c r="B301" s="4" t="str">
        <f>IF($A301="","",INDEX(tbl_plan[localId],ROW()-1))</f>
        <v/>
      </c>
      <c r="C301" s="11" t="str">
        <f>IF($A301="","",INDEX(tbl_plan[出荷週],ROW()-1))</f>
        <v/>
      </c>
      <c r="D301" s="4" t="str">
        <f>IF($A301="","",INDEX(tbl_plan[納期先],ROW()-1)&amp;"")</f>
        <v/>
      </c>
      <c r="E301" s="8" t="str">
        <f>IF($A301="","",INDEX(tbl_plan[必要数],ROW()-1))</f>
        <v/>
      </c>
      <c r="F301" s="8" t="str">
        <f t="shared" si="12"/>
        <v/>
      </c>
      <c r="G301" s="8" t="str">
        <f>IF($A301="","",SUMIFS(tbl_ledger[数量],tbl_ledger[ロットID],$A301,tbl_ledger[イベント種類],"発送"))</f>
        <v/>
      </c>
      <c r="H301" s="8" t="str">
        <f>IF($A301="","",_xlfn.LET(
_xlpm.割当,F301,
_xlpm.充当受入,SUMIFS(tbl_ledger[数量],tbl_ledger[充当先ロットID],$A301,tbl_ledger[イベント種類],"充当"),
_xlpm.充当放出,SUMIFS(tbl_ledger[数量],tbl_ledger[ロットID],$A301,tbl_ledger[イベント種類],"充当"),
_xlpm.発送済,G301,
_xlpm.倉庫戻し,SUMIFS(tbl_ledger[数量],tbl_ledger[ロットID],$A301,tbl_ledger[イベント種類],"倉庫戻し"),
_xlpm.余剰化,SUMIFS(tbl_ledger[数量],tbl_ledger[ロットID],$A301,tbl_ledger[イベント種類],"余剰化"),
_xlpm.不良,SUMIFS(tbl_ledger[数量],tbl_ledger[ロットID],$A301,tbl_ledger[イベント種類],"不良発生"),
_xlpm.割当+_xlpm.充当受入-_xlpm.充当放出-_xlpm.発送済-_xlpm.倉庫戻し-_xlpm.余剰化-_xlpm.不良))</f>
        <v/>
      </c>
      <c r="I301" s="8" t="str">
        <f>IF($A301="","",_xlfn.LET(
_xlpm.品番プール,N301,
_xlpm.割当計,SUMIF($B$2:$B$301,$B301,$F$2:$F$301),
_xlpm.余剰化受入,SUMIFS(tbl_ledger[数量],tbl_ledger[localId],$B301,tbl_ledger[イベント種類],"余剰化"),
_xlpm.充当払出,SUMIFS(tbl_ledger[数量],tbl_ledger[localId],$B301,tbl_ledger[イベント種類],"充当",tbl_ledger[ロットID],"="),
_xlpm.品番プール-_xlpm.割当計+_xlpm.余剰化受入-_xlpm.充当払出))</f>
        <v/>
      </c>
      <c r="J301" s="8" t="str">
        <f t="shared" si="13"/>
        <v/>
      </c>
      <c r="K301" s="8" t="str">
        <f t="shared" si="14"/>
        <v/>
      </c>
      <c r="L301" s="4" t="str">
        <f>IF($A301="","",IF(INDEX(tbl_plan[計画状態],ROW()-1)="キャンセル","キャンセル",IF(J301=0,"発送済",IF(K301&gt;0,"要搬出","OK"))))</f>
        <v/>
      </c>
      <c r="M301" s="8">
        <f t="array" ref="M301">_xlfn.LET(
_xlpm.計画状態,IFERROR(INDEX(tbl_plan[計画状態],ROW()-1)&amp;"",""),
_xlpm.必要数,IFERROR(N(INDEX(tbl_plan[必要数],ROW()-1)),0),
IF(_xlpm.計画状態="キャンセル",0,_xlpm.必要数))</f>
        <v>0</v>
      </c>
      <c r="N301" s="8" t="str">
        <f>IF($A301="","",_xlfn.LET(
_xlpm.搬入計,SUMIFS(tbl_ledger[数量],tbl_ledger[localId],$B301,tbl_ledger[イベント種類],"搬入"),
_xlpm.未割当発送,SUMIFS(tbl_ledger[数量],tbl_ledger[localId],$B301,tbl_ledger[イベント種類],"発送",tbl_ledger[ロットID],"="),
_xlpm.未割当倉庫戻し,SUMIFS(tbl_ledger[数量],tbl_ledger[localId],$B301,tbl_ledger[イベント種類],"倉庫戻し",tbl_ledger[ロットID],"="),
_xlpm.未割当不良,SUMIFS(tbl_ledger[数量],tbl_ledger[localId],$B301,tbl_ledger[イベント種類],"不良発生",tbl_ledger[ロットID],"="),
_xlpm.搬入計-_xlpm.未割当発送-_xlpm.未割当倉庫戻し-_xlpm.未割当不良))</f>
        <v/>
      </c>
      <c r="O301" s="8" t="str">
        <f t="array" ref="O301">IF($A301="","",_xlfn.LET(
_xlpm.同品番,($B$2:$B$301=$B301),
_xlpm.週が前,($C$2:$C$301&lt;$C301),
_xlpm.同週で上行,($C$2:$C$301=$C301)*(ROW($C$2:$C$301)&lt;ROW()),
SUMPRODUCT(_xlpm.同品番*(_xlpm.週が前+_xlpm.同週で上行)*$M$2:$M$301)))</f>
        <v/>
      </c>
    </row>
  </sheetData>
  <sheetProtection algorithmName="SHA-512" hashValue="39/KZjpm3aKnhswHSKFAnhY44vExvmoOHnTHjUvQ/+MPkvOH4sVkFFDd5p6o7SlfrRahvAdmynYvxMWxvRFkSg==" saltValue="NnLUS4RcURxE7DpGPAnG/A==" spinCount="100000" sheet="1" objects="1" scenarios="1" autoFilter="0"/>
  <autoFilter ref="A1:L301" xr:uid="{00000000-0009-0000-0000-000002000000}"/>
  <phoneticPr fontId="4"/>
  <conditionalFormatting sqref="L2:L301">
    <cfRule type="expression" dxfId="0" priority="1" stopIfTrue="1">
      <formula>ISNUMBER(SEARCH("要搬出",L2))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04"/>
  <sheetViews>
    <sheetView topLeftCell="C1" workbookViewId="0">
      <pane ySplit="1" topLeftCell="A2" activePane="bottomLeft" state="frozen"/>
      <selection activeCell="A10" sqref="A10"/>
      <selection pane="bottomLeft" activeCell="D2" sqref="D2"/>
    </sheetView>
  </sheetViews>
  <sheetFormatPr defaultRowHeight="13.5" x14ac:dyDescent="0.15"/>
  <cols>
    <col min="1" max="1" width="39.25" bestFit="1" customWidth="1"/>
    <col min="2" max="2" width="25.5" bestFit="1" customWidth="1"/>
    <col min="3" max="3" width="11.625" bestFit="1" customWidth="1"/>
    <col min="4" max="4" width="10.625" style="9" bestFit="1" customWidth="1"/>
    <col min="5" max="5" width="12.75" style="9" bestFit="1" customWidth="1"/>
    <col min="6" max="6" width="14.125" style="9" bestFit="1" customWidth="1"/>
    <col min="7" max="7" width="13.875" style="9" bestFit="1" customWidth="1"/>
    <col min="8" max="8" width="15.375" style="9" bestFit="1" customWidth="1"/>
    <col min="9" max="9" width="10.625" style="9" bestFit="1" customWidth="1"/>
    <col min="10" max="10" width="12" style="9" bestFit="1" customWidth="1"/>
    <col min="11" max="11" width="13.875" style="9" bestFit="1" customWidth="1"/>
    <col min="12" max="12" width="15.625" style="9" bestFit="1" customWidth="1"/>
    <col min="13" max="14" width="9" style="9" bestFit="1" customWidth="1"/>
  </cols>
  <sheetData>
    <row r="1" spans="1:14" ht="15" customHeight="1" x14ac:dyDescent="0.25">
      <c r="A1" s="10" t="s">
        <v>126</v>
      </c>
      <c r="B1" s="10" t="s">
        <v>5</v>
      </c>
      <c r="C1" s="10" t="s">
        <v>3</v>
      </c>
      <c r="D1" s="10" t="s">
        <v>24</v>
      </c>
      <c r="E1" s="10" t="s">
        <v>127</v>
      </c>
      <c r="F1" s="10" t="s">
        <v>128</v>
      </c>
      <c r="G1" s="10" t="s">
        <v>27</v>
      </c>
      <c r="H1" s="10" t="s">
        <v>30</v>
      </c>
      <c r="I1" s="10" t="s">
        <v>129</v>
      </c>
      <c r="J1" s="10" t="s">
        <v>130</v>
      </c>
      <c r="K1" s="10" t="s">
        <v>131</v>
      </c>
      <c r="L1" s="10" t="s">
        <v>132</v>
      </c>
      <c r="M1" s="10" t="s">
        <v>133</v>
      </c>
      <c r="N1" s="10" t="s">
        <v>134</v>
      </c>
    </row>
    <row r="2" spans="1:14" ht="15" customHeight="1" x14ac:dyDescent="0.25">
      <c r="A2" s="4" t="str">
        <f t="shared" ref="A2:A65" si="0">IF($B2="","","ロット")</f>
        <v>ロット</v>
      </c>
      <c r="B2" s="4" t="str">
        <f>IFERROR(IF(COUNTIF($B$1:$B1,INDEX(tbl_plan[ロットID],ROW()-1))&gt;0,"",INDEX(tbl_plan[ロットID],ROW()-1)),"")</f>
        <v>a_002_2026-07-13_納期先A</v>
      </c>
      <c r="C2" s="4" t="str">
        <f>IF($B2="","",INDEX(tbl_plan[localId],ROW()-1))</f>
        <v>a_002</v>
      </c>
      <c r="D2" s="8">
        <f>IF($B2="","",_xlfn.LET(
_xlpm.割当受入,SUMIF(V_充足確認!$A$2:$A$301,$B2,V_充足確認!$F$2:$F$301),
_xlpm.充当受入,SUMIFS(tbl_ledger[数量],tbl_ledger[充当先ロットID],$B2,tbl_ledger[イベント種類],"充当",tbl_ledger[元状態],D$1),
_xlpm.払出,SUMIFS(tbl_ledger[数量],tbl_ledger[ロットID],$B2,tbl_ledger[元状態],D$1),
_xlpm.割当受入+_xlpm.充当受入-_xlpm.払出))</f>
        <v>-3</v>
      </c>
      <c r="E2" s="8">
        <f>IF($B2="","",_xlfn.LET(
_xlpm.受入,SUMIFS(tbl_ledger[数量],tbl_ledger[ロットID],$B2,tbl_ledger[イベント種類],"アニール開始"),
_xlpm.充当受入,SUMIFS(tbl_ledger[数量],tbl_ledger[充当先ロットID],$B2,tbl_ledger[イベント種類],"充当",tbl_ledger[元状態],E$1),
_xlpm.払出,SUMIFS(tbl_ledger[数量],tbl_ledger[ロットID],$B2,tbl_ledger[元状態],E$1),
_xlpm.受入+_xlpm.充当受入-_xlpm.払出))</f>
        <v>0</v>
      </c>
      <c r="F2" s="8">
        <f>IF($B2="","",_xlfn.LET(
_xlpm.受入,SUMIFS(tbl_ledger[数量],tbl_ledger[ロットID],$B2,tbl_ledger[イベント種類],"アニール完了"),
_xlpm.充当受入,SUMIFS(tbl_ledger[数量],tbl_ledger[充当先ロットID],$B2,tbl_ledger[イベント種類],"充当",tbl_ledger[元状態],F$1),
_xlpm.払出,SUMIFS(tbl_ledger[数量],tbl_ledger[ロットID],$B2,tbl_ledger[元状態],F$1),
_xlpm.受入+_xlpm.充当受入-_xlpm.払出))</f>
        <v>0</v>
      </c>
      <c r="G2" s="8">
        <f>IF($B2="","",_xlfn.LET(
_xlpm.受入,SUMIFS(tbl_ledger[数量],tbl_ledger[ロットID],$B2,tbl_ledger[イベント種類],"アセンブリ開始"),
_xlpm.充当受入,SUMIFS(tbl_ledger[数量],tbl_ledger[充当先ロットID],$B2,tbl_ledger[イベント種類],"充当",tbl_ledger[元状態],G$1),
_xlpm.払出,SUMIFS(tbl_ledger[数量],tbl_ledger[ロットID],$B2,tbl_ledger[元状態],G$1),
_xlpm.受入+_xlpm.充当受入-_xlpm.払出))</f>
        <v>0</v>
      </c>
      <c r="H2" s="8">
        <f>IF($B2="","",_xlfn.LET(
_xlpm.受入,SUMIFS(tbl_ledger[数量],tbl_ledger[ロットID],$B2,tbl_ledger[イベント種類],"アセンブリ完了"),
_xlpm.充当受入,SUMIFS(tbl_ledger[数量],tbl_ledger[充当先ロットID],$B2,tbl_ledger[イベント種類],"充当",tbl_ledger[元状態],H$1),
_xlpm.払出,SUMIFS(tbl_ledger[数量],tbl_ledger[ロットID],$B2,tbl_ledger[元状態],H$1),
_xlpm.受入+_xlpm.充当受入-_xlpm.払出))</f>
        <v>0</v>
      </c>
      <c r="I2" s="8">
        <f>IF($B2="","",_xlfn.LET(
_xlpm.受入,SUMIFS(tbl_ledger[数量],tbl_ledger[ロットID],$B2,tbl_ledger[イベント種類],"梱包開始"),
_xlpm.充当受入,SUMIFS(tbl_ledger[数量],tbl_ledger[充当先ロットID],$B2,tbl_ledger[イベント種類],"充当",tbl_ledger[元状態],I$1),
_xlpm.払出,SUMIFS(tbl_ledger[数量],tbl_ledger[ロットID],$B2,tbl_ledger[元状態],I$1),
_xlpm.受入+_xlpm.充当受入-_xlpm.払出))</f>
        <v>0</v>
      </c>
      <c r="J2" s="8">
        <f>IF($B2="","",_xlfn.LET(
_xlpm.受入,SUMIFS(tbl_ledger[数量],tbl_ledger[ロットID],$B2,tbl_ledger[イベント種類],"梱包完了"),
_xlpm.充当受入,SUMIFS(tbl_ledger[数量],tbl_ledger[充当先ロットID],$B2,tbl_ledger[イベント種類],"充当",tbl_ledger[元状態],J$1),
_xlpm.払出,SUMIFS(tbl_ledger[数量],tbl_ledger[ロットID],$B2,tbl_ledger[元状態],J$1),
_xlpm.受入+_xlpm.充当受入-_xlpm.払出))</f>
        <v>8</v>
      </c>
      <c r="K2" s="8">
        <f>IF($B2="","",_xlfn.LET(
_xlpm.受入,SUMIFS(tbl_ledger[数量],tbl_ledger[ロットID],$B2,tbl_ledger[イベント種類],"発送準備開始"),
_xlpm.充当受入,SUMIFS(tbl_ledger[数量],tbl_ledger[充当先ロットID],$B2,tbl_ledger[イベント種類],"充当",tbl_ledger[元状態],K$1),
_xlpm.払出,SUMIFS(tbl_ledger[数量],tbl_ledger[ロットID],$B2,tbl_ledger[元状態],K$1),
_xlpm.受入+_xlpm.充当受入-_xlpm.払出))</f>
        <v>0</v>
      </c>
      <c r="L2" s="8">
        <f>IF($B2="","",_xlfn.LET(
_xlpm.受入,SUMIFS(tbl_ledger[数量],tbl_ledger[ロットID],$B2,tbl_ledger[イベント種類],"発送準備完了"),
_xlpm.充当受入,SUMIFS(tbl_ledger[数量],tbl_ledger[充当先ロットID],$B2,tbl_ledger[イベント種類],"充当",tbl_ledger[元状態],L$1),
_xlpm.払出,SUMIFS(tbl_ledger[数量],tbl_ledger[ロットID],$B2,tbl_ledger[元状態],L$1),
_xlpm.受入+_xlpm.充当受入-_xlpm.払出))</f>
        <v>0</v>
      </c>
      <c r="M2" s="8">
        <f>IF($B2="","",_xlfn.LET(
_xlpm.受入,SUMIFS(tbl_ledger[数量],tbl_ledger[ロットID],$B2,tbl_ledger[イベント種類],"不良発生"),
_xlpm.充当受入,SUMIFS(tbl_ledger[数量],tbl_ledger[充当先ロットID],$B2,tbl_ledger[イベント種類],"充当",tbl_ledger[元状態],M$1),
_xlpm.払出,SUMIFS(tbl_ledger[数量],tbl_ledger[ロットID],$B2,tbl_ledger[元状態],M$1),
_xlpm.受入+_xlpm.充当受入-_xlpm.払出))</f>
        <v>0</v>
      </c>
      <c r="N2" s="8">
        <f t="shared" ref="N2:N65" si="1">IF($B2="","",SUM(D2:M2))</f>
        <v>5</v>
      </c>
    </row>
    <row r="3" spans="1:14" ht="15" customHeight="1" x14ac:dyDescent="0.25">
      <c r="A3" s="4" t="str">
        <f t="shared" si="0"/>
        <v>ロット</v>
      </c>
      <c r="B3" s="4" t="str">
        <f>IFERROR(IF(COUNTIF($B$1:$B2,INDEX(tbl_plan[ロットID],ROW()-1))&gt;0,"",INDEX(tbl_plan[ロットID],ROW()-1)),"")</f>
        <v>a_002_2026-07-13_納期先B</v>
      </c>
      <c r="C3" s="4" t="str">
        <f>IF($B3="","",INDEX(tbl_plan[localId],ROW()-1))</f>
        <v>a_002</v>
      </c>
      <c r="D3" s="8">
        <f>IF($B3="","",_xlfn.LET(
_xlpm.割当受入,SUMIF(V_充足確認!$A$2:$A$301,$B3,V_充足確認!$F$2:$F$301),
_xlpm.充当受入,SUMIFS(tbl_ledger[数量],tbl_ledger[充当先ロットID],$B3,tbl_ledger[イベント種類],"充当",tbl_ledger[元状態],D$1),
_xlpm.払出,SUMIFS(tbl_ledger[数量],tbl_ledger[ロットID],$B3,tbl_ledger[元状態],D$1),
_xlpm.割当受入+_xlpm.充当受入-_xlpm.払出))</f>
        <v>0</v>
      </c>
      <c r="E3" s="8">
        <f>IF($B3="","",_xlfn.LET(
_xlpm.受入,SUMIFS(tbl_ledger[数量],tbl_ledger[ロットID],$B3,tbl_ledger[イベント種類],"アニール開始"),
_xlpm.充当受入,SUMIFS(tbl_ledger[数量],tbl_ledger[充当先ロットID],$B3,tbl_ledger[イベント種類],"充当",tbl_ledger[元状態],E$1),
_xlpm.払出,SUMIFS(tbl_ledger[数量],tbl_ledger[ロットID],$B3,tbl_ledger[元状態],E$1),
_xlpm.受入+_xlpm.充当受入-_xlpm.払出))</f>
        <v>0</v>
      </c>
      <c r="F3" s="8">
        <f>IF($B3="","",_xlfn.LET(
_xlpm.受入,SUMIFS(tbl_ledger[数量],tbl_ledger[ロットID],$B3,tbl_ledger[イベント種類],"アニール完了"),
_xlpm.充当受入,SUMIFS(tbl_ledger[数量],tbl_ledger[充当先ロットID],$B3,tbl_ledger[イベント種類],"充当",tbl_ledger[元状態],F$1),
_xlpm.払出,SUMIFS(tbl_ledger[数量],tbl_ledger[ロットID],$B3,tbl_ledger[元状態],F$1),
_xlpm.受入+_xlpm.充当受入-_xlpm.払出))</f>
        <v>0</v>
      </c>
      <c r="G3" s="8">
        <f>IF($B3="","",_xlfn.LET(
_xlpm.受入,SUMIFS(tbl_ledger[数量],tbl_ledger[ロットID],$B3,tbl_ledger[イベント種類],"アセンブリ開始"),
_xlpm.充当受入,SUMIFS(tbl_ledger[数量],tbl_ledger[充当先ロットID],$B3,tbl_ledger[イベント種類],"充当",tbl_ledger[元状態],G$1),
_xlpm.払出,SUMIFS(tbl_ledger[数量],tbl_ledger[ロットID],$B3,tbl_ledger[元状態],G$1),
_xlpm.受入+_xlpm.充当受入-_xlpm.払出))</f>
        <v>0</v>
      </c>
      <c r="H3" s="8">
        <f>IF($B3="","",_xlfn.LET(
_xlpm.受入,SUMIFS(tbl_ledger[数量],tbl_ledger[ロットID],$B3,tbl_ledger[イベント種類],"アセンブリ完了"),
_xlpm.充当受入,SUMIFS(tbl_ledger[数量],tbl_ledger[充当先ロットID],$B3,tbl_ledger[イベント種類],"充当",tbl_ledger[元状態],H$1),
_xlpm.払出,SUMIFS(tbl_ledger[数量],tbl_ledger[ロットID],$B3,tbl_ledger[元状態],H$1),
_xlpm.受入+_xlpm.充当受入-_xlpm.払出))</f>
        <v>6</v>
      </c>
      <c r="I3" s="8">
        <f>IF($B3="","",_xlfn.LET(
_xlpm.受入,SUMIFS(tbl_ledger[数量],tbl_ledger[ロットID],$B3,tbl_ledger[イベント種類],"梱包開始"),
_xlpm.充当受入,SUMIFS(tbl_ledger[数量],tbl_ledger[充当先ロットID],$B3,tbl_ledger[イベント種類],"充当",tbl_ledger[元状態],I$1),
_xlpm.払出,SUMIFS(tbl_ledger[数量],tbl_ledger[ロットID],$B3,tbl_ledger[元状態],I$1),
_xlpm.受入+_xlpm.充当受入-_xlpm.払出))</f>
        <v>0</v>
      </c>
      <c r="J3" s="8">
        <f>IF($B3="","",_xlfn.LET(
_xlpm.受入,SUMIFS(tbl_ledger[数量],tbl_ledger[ロットID],$B3,tbl_ledger[イベント種類],"梱包完了"),
_xlpm.充当受入,SUMIFS(tbl_ledger[数量],tbl_ledger[充当先ロットID],$B3,tbl_ledger[イベント種類],"充当",tbl_ledger[元状態],J$1),
_xlpm.払出,SUMIFS(tbl_ledger[数量],tbl_ledger[ロットID],$B3,tbl_ledger[元状態],J$1),
_xlpm.受入+_xlpm.充当受入-_xlpm.払出))</f>
        <v>0</v>
      </c>
      <c r="K3" s="8">
        <f>IF($B3="","",_xlfn.LET(
_xlpm.受入,SUMIFS(tbl_ledger[数量],tbl_ledger[ロットID],$B3,tbl_ledger[イベント種類],"発送準備開始"),
_xlpm.充当受入,SUMIFS(tbl_ledger[数量],tbl_ledger[充当先ロットID],$B3,tbl_ledger[イベント種類],"充当",tbl_ledger[元状態],K$1),
_xlpm.払出,SUMIFS(tbl_ledger[数量],tbl_ledger[ロットID],$B3,tbl_ledger[元状態],K$1),
_xlpm.受入+_xlpm.充当受入-_xlpm.払出))</f>
        <v>0</v>
      </c>
      <c r="L3" s="8">
        <f>IF($B3="","",_xlfn.LET(
_xlpm.受入,SUMIFS(tbl_ledger[数量],tbl_ledger[ロットID],$B3,tbl_ledger[イベント種類],"発送準備完了"),
_xlpm.充当受入,SUMIFS(tbl_ledger[数量],tbl_ledger[充当先ロットID],$B3,tbl_ledger[イベント種類],"充当",tbl_ledger[元状態],L$1),
_xlpm.払出,SUMIFS(tbl_ledger[数量],tbl_ledger[ロットID],$B3,tbl_ledger[元状態],L$1),
_xlpm.受入+_xlpm.充当受入-_xlpm.払出))</f>
        <v>0</v>
      </c>
      <c r="M3" s="8">
        <f>IF($B3="","",_xlfn.LET(
_xlpm.受入,SUMIFS(tbl_ledger[数量],tbl_ledger[ロットID],$B3,tbl_ledger[イベント種類],"不良発生"),
_xlpm.充当受入,SUMIFS(tbl_ledger[数量],tbl_ledger[充当先ロットID],$B3,tbl_ledger[イベント種類],"充当",tbl_ledger[元状態],M$1),
_xlpm.払出,SUMIFS(tbl_ledger[数量],tbl_ledger[ロットID],$B3,tbl_ledger[元状態],M$1),
_xlpm.受入+_xlpm.充当受入-_xlpm.払出))</f>
        <v>0</v>
      </c>
      <c r="N3" s="8">
        <f t="shared" si="1"/>
        <v>6</v>
      </c>
    </row>
    <row r="4" spans="1:14" ht="15" customHeight="1" x14ac:dyDescent="0.25">
      <c r="A4" s="4" t="str">
        <f t="shared" si="0"/>
        <v>ロット</v>
      </c>
      <c r="B4" s="4" t="str">
        <f>IFERROR(IF(COUNTIF($B$1:$B3,INDEX(tbl_plan[ロットID],ROW()-1))&gt;0,"",INDEX(tbl_plan[ロットID],ROW()-1)),"")</f>
        <v>a_001_2026-07-20</v>
      </c>
      <c r="C4" s="4" t="str">
        <f>IF($B4="","",INDEX(tbl_plan[localId],ROW()-1))</f>
        <v>a_001</v>
      </c>
      <c r="D4" s="8">
        <f>IF($B4="","",_xlfn.LET(
_xlpm.割当受入,SUMIF(V_充足確認!$A$2:$A$301,$B4,V_充足確認!$F$2:$F$301),
_xlpm.充当受入,SUMIFS(tbl_ledger[数量],tbl_ledger[充当先ロットID],$B4,tbl_ledger[イベント種類],"充当",tbl_ledger[元状態],D$1),
_xlpm.払出,SUMIFS(tbl_ledger[数量],tbl_ledger[ロットID],$B4,tbl_ledger[元状態],D$1),
_xlpm.割当受入+_xlpm.充当受入-_xlpm.払出))</f>
        <v>10</v>
      </c>
      <c r="E4" s="8">
        <f>IF($B4="","",_xlfn.LET(
_xlpm.受入,SUMIFS(tbl_ledger[数量],tbl_ledger[ロットID],$B4,tbl_ledger[イベント種類],"アニール開始"),
_xlpm.充当受入,SUMIFS(tbl_ledger[数量],tbl_ledger[充当先ロットID],$B4,tbl_ledger[イベント種類],"充当",tbl_ledger[元状態],E$1),
_xlpm.払出,SUMIFS(tbl_ledger[数量],tbl_ledger[ロットID],$B4,tbl_ledger[元状態],E$1),
_xlpm.受入+_xlpm.充当受入-_xlpm.払出))</f>
        <v>0</v>
      </c>
      <c r="F4" s="8">
        <f>IF($B4="","",_xlfn.LET(
_xlpm.受入,SUMIFS(tbl_ledger[数量],tbl_ledger[ロットID],$B4,tbl_ledger[イベント種類],"アニール完了"),
_xlpm.充当受入,SUMIFS(tbl_ledger[数量],tbl_ledger[充当先ロットID],$B4,tbl_ledger[イベント種類],"充当",tbl_ledger[元状態],F$1),
_xlpm.払出,SUMIFS(tbl_ledger[数量],tbl_ledger[ロットID],$B4,tbl_ledger[元状態],F$1),
_xlpm.受入+_xlpm.充当受入-_xlpm.払出))</f>
        <v>0</v>
      </c>
      <c r="G4" s="8">
        <f>IF($B4="","",_xlfn.LET(
_xlpm.受入,SUMIFS(tbl_ledger[数量],tbl_ledger[ロットID],$B4,tbl_ledger[イベント種類],"アセンブリ開始"),
_xlpm.充当受入,SUMIFS(tbl_ledger[数量],tbl_ledger[充当先ロットID],$B4,tbl_ledger[イベント種類],"充当",tbl_ledger[元状態],G$1),
_xlpm.払出,SUMIFS(tbl_ledger[数量],tbl_ledger[ロットID],$B4,tbl_ledger[元状態],G$1),
_xlpm.受入+_xlpm.充当受入-_xlpm.払出))</f>
        <v>0</v>
      </c>
      <c r="H4" s="8">
        <f>IF($B4="","",_xlfn.LET(
_xlpm.受入,SUMIFS(tbl_ledger[数量],tbl_ledger[ロットID],$B4,tbl_ledger[イベント種類],"アセンブリ完了"),
_xlpm.充当受入,SUMIFS(tbl_ledger[数量],tbl_ledger[充当先ロットID],$B4,tbl_ledger[イベント種類],"充当",tbl_ledger[元状態],H$1),
_xlpm.払出,SUMIFS(tbl_ledger[数量],tbl_ledger[ロットID],$B4,tbl_ledger[元状態],H$1),
_xlpm.受入+_xlpm.充当受入-_xlpm.払出))</f>
        <v>0</v>
      </c>
      <c r="I4" s="8">
        <f>IF($B4="","",_xlfn.LET(
_xlpm.受入,SUMIFS(tbl_ledger[数量],tbl_ledger[ロットID],$B4,tbl_ledger[イベント種類],"梱包開始"),
_xlpm.充当受入,SUMIFS(tbl_ledger[数量],tbl_ledger[充当先ロットID],$B4,tbl_ledger[イベント種類],"充当",tbl_ledger[元状態],I$1),
_xlpm.払出,SUMIFS(tbl_ledger[数量],tbl_ledger[ロットID],$B4,tbl_ledger[元状態],I$1),
_xlpm.受入+_xlpm.充当受入-_xlpm.払出))</f>
        <v>0</v>
      </c>
      <c r="J4" s="8">
        <f>IF($B4="","",_xlfn.LET(
_xlpm.受入,SUMIFS(tbl_ledger[数量],tbl_ledger[ロットID],$B4,tbl_ledger[イベント種類],"梱包完了"),
_xlpm.充当受入,SUMIFS(tbl_ledger[数量],tbl_ledger[充当先ロットID],$B4,tbl_ledger[イベント種類],"充当",tbl_ledger[元状態],J$1),
_xlpm.払出,SUMIFS(tbl_ledger[数量],tbl_ledger[ロットID],$B4,tbl_ledger[元状態],J$1),
_xlpm.受入+_xlpm.充当受入-_xlpm.払出))</f>
        <v>0</v>
      </c>
      <c r="K4" s="8">
        <f>IF($B4="","",_xlfn.LET(
_xlpm.受入,SUMIFS(tbl_ledger[数量],tbl_ledger[ロットID],$B4,tbl_ledger[イベント種類],"発送準備開始"),
_xlpm.充当受入,SUMIFS(tbl_ledger[数量],tbl_ledger[充当先ロットID],$B4,tbl_ledger[イベント種類],"充当",tbl_ledger[元状態],K$1),
_xlpm.払出,SUMIFS(tbl_ledger[数量],tbl_ledger[ロットID],$B4,tbl_ledger[元状態],K$1),
_xlpm.受入+_xlpm.充当受入-_xlpm.払出))</f>
        <v>0</v>
      </c>
      <c r="L4" s="8">
        <f>IF($B4="","",_xlfn.LET(
_xlpm.受入,SUMIFS(tbl_ledger[数量],tbl_ledger[ロットID],$B4,tbl_ledger[イベント種類],"発送準備完了"),
_xlpm.充当受入,SUMIFS(tbl_ledger[数量],tbl_ledger[充当先ロットID],$B4,tbl_ledger[イベント種類],"充当",tbl_ledger[元状態],L$1),
_xlpm.払出,SUMIFS(tbl_ledger[数量],tbl_ledger[ロットID],$B4,tbl_ledger[元状態],L$1),
_xlpm.受入+_xlpm.充当受入-_xlpm.払出))</f>
        <v>0</v>
      </c>
      <c r="M4" s="8">
        <f>IF($B4="","",_xlfn.LET(
_xlpm.受入,SUMIFS(tbl_ledger[数量],tbl_ledger[ロットID],$B4,tbl_ledger[イベント種類],"不良発生"),
_xlpm.充当受入,SUMIFS(tbl_ledger[数量],tbl_ledger[充当先ロットID],$B4,tbl_ledger[イベント種類],"充当",tbl_ledger[元状態],M$1),
_xlpm.払出,SUMIFS(tbl_ledger[数量],tbl_ledger[ロットID],$B4,tbl_ledger[元状態],M$1),
_xlpm.受入+_xlpm.充当受入-_xlpm.払出))</f>
        <v>0</v>
      </c>
      <c r="N4" s="8">
        <f t="shared" si="1"/>
        <v>10</v>
      </c>
    </row>
    <row r="5" spans="1:14" ht="15" customHeight="1" x14ac:dyDescent="0.25">
      <c r="A5" s="4" t="str">
        <f t="shared" si="0"/>
        <v>ロット</v>
      </c>
      <c r="B5" s="4" t="str">
        <f>IFERROR(IF(COUNTIF($B$1:$B4,INDEX(tbl_plan[ロットID],ROW()-1))&gt;0,"",INDEX(tbl_plan[ロットID],ROW()-1)),"")</f>
        <v>b_001_2026-07-20</v>
      </c>
      <c r="C5" s="4" t="str">
        <f>IF($B5="","",INDEX(tbl_plan[localId],ROW()-1))</f>
        <v>b_001</v>
      </c>
      <c r="D5" s="8">
        <f>IF($B5="","",_xlfn.LET(
_xlpm.割当受入,SUMIF(V_充足確認!$A$2:$A$301,$B5,V_充足確認!$F$2:$F$301),
_xlpm.充当受入,SUMIFS(tbl_ledger[数量],tbl_ledger[充当先ロットID],$B5,tbl_ledger[イベント種類],"充当",tbl_ledger[元状態],D$1),
_xlpm.払出,SUMIFS(tbl_ledger[数量],tbl_ledger[ロットID],$B5,tbl_ledger[元状態],D$1),
_xlpm.割当受入+_xlpm.充当受入-_xlpm.払出))</f>
        <v>2</v>
      </c>
      <c r="E5" s="8">
        <f>IF($B5="","",_xlfn.LET(
_xlpm.受入,SUMIFS(tbl_ledger[数量],tbl_ledger[ロットID],$B5,tbl_ledger[イベント種類],"アニール開始"),
_xlpm.充当受入,SUMIFS(tbl_ledger[数量],tbl_ledger[充当先ロットID],$B5,tbl_ledger[イベント種類],"充当",tbl_ledger[元状態],E$1),
_xlpm.払出,SUMIFS(tbl_ledger[数量],tbl_ledger[ロットID],$B5,tbl_ledger[元状態],E$1),
_xlpm.受入+_xlpm.充当受入-_xlpm.払出))</f>
        <v>6</v>
      </c>
      <c r="F5" s="8">
        <f>IF($B5="","",_xlfn.LET(
_xlpm.受入,SUMIFS(tbl_ledger[数量],tbl_ledger[ロットID],$B5,tbl_ledger[イベント種類],"アニール完了"),
_xlpm.充当受入,SUMIFS(tbl_ledger[数量],tbl_ledger[充当先ロットID],$B5,tbl_ledger[イベント種類],"充当",tbl_ledger[元状態],F$1),
_xlpm.払出,SUMIFS(tbl_ledger[数量],tbl_ledger[ロットID],$B5,tbl_ledger[元状態],F$1),
_xlpm.受入+_xlpm.充当受入-_xlpm.払出))</f>
        <v>0</v>
      </c>
      <c r="G5" s="8">
        <f>IF($B5="","",_xlfn.LET(
_xlpm.受入,SUMIFS(tbl_ledger[数量],tbl_ledger[ロットID],$B5,tbl_ledger[イベント種類],"アセンブリ開始"),
_xlpm.充当受入,SUMIFS(tbl_ledger[数量],tbl_ledger[充当先ロットID],$B5,tbl_ledger[イベント種類],"充当",tbl_ledger[元状態],G$1),
_xlpm.払出,SUMIFS(tbl_ledger[数量],tbl_ledger[ロットID],$B5,tbl_ledger[元状態],G$1),
_xlpm.受入+_xlpm.充当受入-_xlpm.払出))</f>
        <v>0</v>
      </c>
      <c r="H5" s="8">
        <f>IF($B5="","",_xlfn.LET(
_xlpm.受入,SUMIFS(tbl_ledger[数量],tbl_ledger[ロットID],$B5,tbl_ledger[イベント種類],"アセンブリ完了"),
_xlpm.充当受入,SUMIFS(tbl_ledger[数量],tbl_ledger[充当先ロットID],$B5,tbl_ledger[イベント種類],"充当",tbl_ledger[元状態],H$1),
_xlpm.払出,SUMIFS(tbl_ledger[数量],tbl_ledger[ロットID],$B5,tbl_ledger[元状態],H$1),
_xlpm.受入+_xlpm.充当受入-_xlpm.払出))</f>
        <v>0</v>
      </c>
      <c r="I5" s="8">
        <f>IF($B5="","",_xlfn.LET(
_xlpm.受入,SUMIFS(tbl_ledger[数量],tbl_ledger[ロットID],$B5,tbl_ledger[イベント種類],"梱包開始"),
_xlpm.充当受入,SUMIFS(tbl_ledger[数量],tbl_ledger[充当先ロットID],$B5,tbl_ledger[イベント種類],"充当",tbl_ledger[元状態],I$1),
_xlpm.払出,SUMIFS(tbl_ledger[数量],tbl_ledger[ロットID],$B5,tbl_ledger[元状態],I$1),
_xlpm.受入+_xlpm.充当受入-_xlpm.払出))</f>
        <v>0</v>
      </c>
      <c r="J5" s="8">
        <f>IF($B5="","",_xlfn.LET(
_xlpm.受入,SUMIFS(tbl_ledger[数量],tbl_ledger[ロットID],$B5,tbl_ledger[イベント種類],"梱包完了"),
_xlpm.充当受入,SUMIFS(tbl_ledger[数量],tbl_ledger[充当先ロットID],$B5,tbl_ledger[イベント種類],"充当",tbl_ledger[元状態],J$1),
_xlpm.払出,SUMIFS(tbl_ledger[数量],tbl_ledger[ロットID],$B5,tbl_ledger[元状態],J$1),
_xlpm.受入+_xlpm.充当受入-_xlpm.払出))</f>
        <v>0</v>
      </c>
      <c r="K5" s="8">
        <f>IF($B5="","",_xlfn.LET(
_xlpm.受入,SUMIFS(tbl_ledger[数量],tbl_ledger[ロットID],$B5,tbl_ledger[イベント種類],"発送準備開始"),
_xlpm.充当受入,SUMIFS(tbl_ledger[数量],tbl_ledger[充当先ロットID],$B5,tbl_ledger[イベント種類],"充当",tbl_ledger[元状態],K$1),
_xlpm.払出,SUMIFS(tbl_ledger[数量],tbl_ledger[ロットID],$B5,tbl_ledger[元状態],K$1),
_xlpm.受入+_xlpm.充当受入-_xlpm.払出))</f>
        <v>0</v>
      </c>
      <c r="L5" s="8">
        <f>IF($B5="","",_xlfn.LET(
_xlpm.受入,SUMIFS(tbl_ledger[数量],tbl_ledger[ロットID],$B5,tbl_ledger[イベント種類],"発送準備完了"),
_xlpm.充当受入,SUMIFS(tbl_ledger[数量],tbl_ledger[充当先ロットID],$B5,tbl_ledger[イベント種類],"充当",tbl_ledger[元状態],L$1),
_xlpm.払出,SUMIFS(tbl_ledger[数量],tbl_ledger[ロットID],$B5,tbl_ledger[元状態],L$1),
_xlpm.受入+_xlpm.充当受入-_xlpm.払出))</f>
        <v>0</v>
      </c>
      <c r="M5" s="8">
        <f>IF($B5="","",_xlfn.LET(
_xlpm.受入,SUMIFS(tbl_ledger[数量],tbl_ledger[ロットID],$B5,tbl_ledger[イベント種類],"不良発生"),
_xlpm.充当受入,SUMIFS(tbl_ledger[数量],tbl_ledger[充当先ロットID],$B5,tbl_ledger[イベント種類],"充当",tbl_ledger[元状態],M$1),
_xlpm.払出,SUMIFS(tbl_ledger[数量],tbl_ledger[ロットID],$B5,tbl_ledger[元状態],M$1),
_xlpm.受入+_xlpm.充当受入-_xlpm.払出))</f>
        <v>0</v>
      </c>
      <c r="N5" s="8">
        <f t="shared" si="1"/>
        <v>8</v>
      </c>
    </row>
    <row r="6" spans="1:14" ht="15" customHeight="1" x14ac:dyDescent="0.25">
      <c r="A6" s="4" t="str">
        <f t="shared" si="0"/>
        <v/>
      </c>
      <c r="B6" s="4" t="str">
        <f>IFERROR(IF(COUNTIF($B$1:$B5,INDEX(tbl_plan[ロットID],ROW()-1))&gt;0,"",INDEX(tbl_plan[ロットID],ROW()-1)),"")</f>
        <v/>
      </c>
      <c r="C6" s="4" t="str">
        <f>IF($B6="","",INDEX(tbl_plan[localId],ROW()-1))</f>
        <v/>
      </c>
      <c r="D6" s="8" t="str">
        <f>IF($B6="","",_xlfn.LET(
_xlpm.割当受入,SUMIF(V_充足確認!$A$2:$A$301,$B6,V_充足確認!$F$2:$F$301),
_xlpm.充当受入,SUMIFS(tbl_ledger[数量],tbl_ledger[充当先ロットID],$B6,tbl_ledger[イベント種類],"充当",tbl_ledger[元状態],D$1),
_xlpm.払出,SUMIFS(tbl_ledger[数量],tbl_ledger[ロットID],$B6,tbl_ledger[元状態],D$1),
_xlpm.割当受入+_xlpm.充当受入-_xlpm.払出))</f>
        <v/>
      </c>
      <c r="E6" s="8" t="str">
        <f>IF($B6="","",_xlfn.LET(
_xlpm.受入,SUMIFS(tbl_ledger[数量],tbl_ledger[ロットID],$B6,tbl_ledger[イベント種類],"アニール開始"),
_xlpm.充当受入,SUMIFS(tbl_ledger[数量],tbl_ledger[充当先ロットID],$B6,tbl_ledger[イベント種類],"充当",tbl_ledger[元状態],E$1),
_xlpm.払出,SUMIFS(tbl_ledger[数量],tbl_ledger[ロットID],$B6,tbl_ledger[元状態],E$1),
_xlpm.受入+_xlpm.充当受入-_xlpm.払出))</f>
        <v/>
      </c>
      <c r="F6" s="8" t="str">
        <f>IF($B6="","",_xlfn.LET(
_xlpm.受入,SUMIFS(tbl_ledger[数量],tbl_ledger[ロットID],$B6,tbl_ledger[イベント種類],"アニール完了"),
_xlpm.充当受入,SUMIFS(tbl_ledger[数量],tbl_ledger[充当先ロットID],$B6,tbl_ledger[イベント種類],"充当",tbl_ledger[元状態],F$1),
_xlpm.払出,SUMIFS(tbl_ledger[数量],tbl_ledger[ロットID],$B6,tbl_ledger[元状態],F$1),
_xlpm.受入+_xlpm.充当受入-_xlpm.払出))</f>
        <v/>
      </c>
      <c r="G6" s="8" t="str">
        <f>IF($B6="","",_xlfn.LET(
_xlpm.受入,SUMIFS(tbl_ledger[数量],tbl_ledger[ロットID],$B6,tbl_ledger[イベント種類],"アセンブリ開始"),
_xlpm.充当受入,SUMIFS(tbl_ledger[数量],tbl_ledger[充当先ロットID],$B6,tbl_ledger[イベント種類],"充当",tbl_ledger[元状態],G$1),
_xlpm.払出,SUMIFS(tbl_ledger[数量],tbl_ledger[ロットID],$B6,tbl_ledger[元状態],G$1),
_xlpm.受入+_xlpm.充当受入-_xlpm.払出))</f>
        <v/>
      </c>
      <c r="H6" s="8" t="str">
        <f>IF($B6="","",_xlfn.LET(
_xlpm.受入,SUMIFS(tbl_ledger[数量],tbl_ledger[ロットID],$B6,tbl_ledger[イベント種類],"アセンブリ完了"),
_xlpm.充当受入,SUMIFS(tbl_ledger[数量],tbl_ledger[充当先ロットID],$B6,tbl_ledger[イベント種類],"充当",tbl_ledger[元状態],H$1),
_xlpm.払出,SUMIFS(tbl_ledger[数量],tbl_ledger[ロットID],$B6,tbl_ledger[元状態],H$1),
_xlpm.受入+_xlpm.充当受入-_xlpm.払出))</f>
        <v/>
      </c>
      <c r="I6" s="8" t="str">
        <f>IF($B6="","",_xlfn.LET(
_xlpm.受入,SUMIFS(tbl_ledger[数量],tbl_ledger[ロットID],$B6,tbl_ledger[イベント種類],"梱包開始"),
_xlpm.充当受入,SUMIFS(tbl_ledger[数量],tbl_ledger[充当先ロットID],$B6,tbl_ledger[イベント種類],"充当",tbl_ledger[元状態],I$1),
_xlpm.払出,SUMIFS(tbl_ledger[数量],tbl_ledger[ロットID],$B6,tbl_ledger[元状態],I$1),
_xlpm.受入+_xlpm.充当受入-_xlpm.払出))</f>
        <v/>
      </c>
      <c r="J6" s="8" t="str">
        <f>IF($B6="","",_xlfn.LET(
_xlpm.受入,SUMIFS(tbl_ledger[数量],tbl_ledger[ロットID],$B6,tbl_ledger[イベント種類],"梱包完了"),
_xlpm.充当受入,SUMIFS(tbl_ledger[数量],tbl_ledger[充当先ロットID],$B6,tbl_ledger[イベント種類],"充当",tbl_ledger[元状態],J$1),
_xlpm.払出,SUMIFS(tbl_ledger[数量],tbl_ledger[ロットID],$B6,tbl_ledger[元状態],J$1),
_xlpm.受入+_xlpm.充当受入-_xlpm.払出))</f>
        <v/>
      </c>
      <c r="K6" s="8" t="str">
        <f>IF($B6="","",_xlfn.LET(
_xlpm.受入,SUMIFS(tbl_ledger[数量],tbl_ledger[ロットID],$B6,tbl_ledger[イベント種類],"発送準備開始"),
_xlpm.充当受入,SUMIFS(tbl_ledger[数量],tbl_ledger[充当先ロットID],$B6,tbl_ledger[イベント種類],"充当",tbl_ledger[元状態],K$1),
_xlpm.払出,SUMIFS(tbl_ledger[数量],tbl_ledger[ロットID],$B6,tbl_ledger[元状態],K$1),
_xlpm.受入+_xlpm.充当受入-_xlpm.払出))</f>
        <v/>
      </c>
      <c r="L6" s="8" t="str">
        <f>IF($B6="","",_xlfn.LET(
_xlpm.受入,SUMIFS(tbl_ledger[数量],tbl_ledger[ロットID],$B6,tbl_ledger[イベント種類],"発送準備完了"),
_xlpm.充当受入,SUMIFS(tbl_ledger[数量],tbl_ledger[充当先ロットID],$B6,tbl_ledger[イベント種類],"充当",tbl_ledger[元状態],L$1),
_xlpm.払出,SUMIFS(tbl_ledger[数量],tbl_ledger[ロットID],$B6,tbl_ledger[元状態],L$1),
_xlpm.受入+_xlpm.充当受入-_xlpm.払出))</f>
        <v/>
      </c>
      <c r="M6" s="8" t="str">
        <f>IF($B6="","",_xlfn.LET(
_xlpm.受入,SUMIFS(tbl_ledger[数量],tbl_ledger[ロットID],$B6,tbl_ledger[イベント種類],"不良発生"),
_xlpm.充当受入,SUMIFS(tbl_ledger[数量],tbl_ledger[充当先ロットID],$B6,tbl_ledger[イベント種類],"充当",tbl_ledger[元状態],M$1),
_xlpm.払出,SUMIFS(tbl_ledger[数量],tbl_ledger[ロットID],$B6,tbl_ledger[元状態],M$1),
_xlpm.受入+_xlpm.充当受入-_xlpm.払出))</f>
        <v/>
      </c>
      <c r="N6" s="8" t="str">
        <f t="shared" si="1"/>
        <v/>
      </c>
    </row>
    <row r="7" spans="1:14" ht="15" customHeight="1" x14ac:dyDescent="0.25">
      <c r="A7" s="4" t="str">
        <f t="shared" si="0"/>
        <v/>
      </c>
      <c r="B7" s="4" t="str">
        <f>IFERROR(IF(COUNTIF($B$1:$B6,INDEX(tbl_plan[ロットID],ROW()-1))&gt;0,"",INDEX(tbl_plan[ロットID],ROW()-1)),"")</f>
        <v/>
      </c>
      <c r="C7" s="4" t="str">
        <f>IF($B7="","",INDEX(tbl_plan[localId],ROW()-1))</f>
        <v/>
      </c>
      <c r="D7" s="8" t="str">
        <f>IF($B7="","",_xlfn.LET(
_xlpm.割当受入,SUMIF(V_充足確認!$A$2:$A$301,$B7,V_充足確認!$F$2:$F$301),
_xlpm.充当受入,SUMIFS(tbl_ledger[数量],tbl_ledger[充当先ロットID],$B7,tbl_ledger[イベント種類],"充当",tbl_ledger[元状態],D$1),
_xlpm.払出,SUMIFS(tbl_ledger[数量],tbl_ledger[ロットID],$B7,tbl_ledger[元状態],D$1),
_xlpm.割当受入+_xlpm.充当受入-_xlpm.払出))</f>
        <v/>
      </c>
      <c r="E7" s="8" t="str">
        <f>IF($B7="","",_xlfn.LET(
_xlpm.受入,SUMIFS(tbl_ledger[数量],tbl_ledger[ロットID],$B7,tbl_ledger[イベント種類],"アニール開始"),
_xlpm.充当受入,SUMIFS(tbl_ledger[数量],tbl_ledger[充当先ロットID],$B7,tbl_ledger[イベント種類],"充当",tbl_ledger[元状態],E$1),
_xlpm.払出,SUMIFS(tbl_ledger[数量],tbl_ledger[ロットID],$B7,tbl_ledger[元状態],E$1),
_xlpm.受入+_xlpm.充当受入-_xlpm.払出))</f>
        <v/>
      </c>
      <c r="F7" s="8" t="str">
        <f>IF($B7="","",_xlfn.LET(
_xlpm.受入,SUMIFS(tbl_ledger[数量],tbl_ledger[ロットID],$B7,tbl_ledger[イベント種類],"アニール完了"),
_xlpm.充当受入,SUMIFS(tbl_ledger[数量],tbl_ledger[充当先ロットID],$B7,tbl_ledger[イベント種類],"充当",tbl_ledger[元状態],F$1),
_xlpm.払出,SUMIFS(tbl_ledger[数量],tbl_ledger[ロットID],$B7,tbl_ledger[元状態],F$1),
_xlpm.受入+_xlpm.充当受入-_xlpm.払出))</f>
        <v/>
      </c>
      <c r="G7" s="8" t="str">
        <f>IF($B7="","",_xlfn.LET(
_xlpm.受入,SUMIFS(tbl_ledger[数量],tbl_ledger[ロットID],$B7,tbl_ledger[イベント種類],"アセンブリ開始"),
_xlpm.充当受入,SUMIFS(tbl_ledger[数量],tbl_ledger[充当先ロットID],$B7,tbl_ledger[イベント種類],"充当",tbl_ledger[元状態],G$1),
_xlpm.払出,SUMIFS(tbl_ledger[数量],tbl_ledger[ロットID],$B7,tbl_ledger[元状態],G$1),
_xlpm.受入+_xlpm.充当受入-_xlpm.払出))</f>
        <v/>
      </c>
      <c r="H7" s="8" t="str">
        <f>IF($B7="","",_xlfn.LET(
_xlpm.受入,SUMIFS(tbl_ledger[数量],tbl_ledger[ロットID],$B7,tbl_ledger[イベント種類],"アセンブリ完了"),
_xlpm.充当受入,SUMIFS(tbl_ledger[数量],tbl_ledger[充当先ロットID],$B7,tbl_ledger[イベント種類],"充当",tbl_ledger[元状態],H$1),
_xlpm.払出,SUMIFS(tbl_ledger[数量],tbl_ledger[ロットID],$B7,tbl_ledger[元状態],H$1),
_xlpm.受入+_xlpm.充当受入-_xlpm.払出))</f>
        <v/>
      </c>
      <c r="I7" s="8" t="str">
        <f>IF($B7="","",_xlfn.LET(
_xlpm.受入,SUMIFS(tbl_ledger[数量],tbl_ledger[ロットID],$B7,tbl_ledger[イベント種類],"梱包開始"),
_xlpm.充当受入,SUMIFS(tbl_ledger[数量],tbl_ledger[充当先ロットID],$B7,tbl_ledger[イベント種類],"充当",tbl_ledger[元状態],I$1),
_xlpm.払出,SUMIFS(tbl_ledger[数量],tbl_ledger[ロットID],$B7,tbl_ledger[元状態],I$1),
_xlpm.受入+_xlpm.充当受入-_xlpm.払出))</f>
        <v/>
      </c>
      <c r="J7" s="8" t="str">
        <f>IF($B7="","",_xlfn.LET(
_xlpm.受入,SUMIFS(tbl_ledger[数量],tbl_ledger[ロットID],$B7,tbl_ledger[イベント種類],"梱包完了"),
_xlpm.充当受入,SUMIFS(tbl_ledger[数量],tbl_ledger[充当先ロットID],$B7,tbl_ledger[イベント種類],"充当",tbl_ledger[元状態],J$1),
_xlpm.払出,SUMIFS(tbl_ledger[数量],tbl_ledger[ロットID],$B7,tbl_ledger[元状態],J$1),
_xlpm.受入+_xlpm.充当受入-_xlpm.払出))</f>
        <v/>
      </c>
      <c r="K7" s="8" t="str">
        <f>IF($B7="","",_xlfn.LET(
_xlpm.受入,SUMIFS(tbl_ledger[数量],tbl_ledger[ロットID],$B7,tbl_ledger[イベント種類],"発送準備開始"),
_xlpm.充当受入,SUMIFS(tbl_ledger[数量],tbl_ledger[充当先ロットID],$B7,tbl_ledger[イベント種類],"充当",tbl_ledger[元状態],K$1),
_xlpm.払出,SUMIFS(tbl_ledger[数量],tbl_ledger[ロットID],$B7,tbl_ledger[元状態],K$1),
_xlpm.受入+_xlpm.充当受入-_xlpm.払出))</f>
        <v/>
      </c>
      <c r="L7" s="8" t="str">
        <f>IF($B7="","",_xlfn.LET(
_xlpm.受入,SUMIFS(tbl_ledger[数量],tbl_ledger[ロットID],$B7,tbl_ledger[イベント種類],"発送準備完了"),
_xlpm.充当受入,SUMIFS(tbl_ledger[数量],tbl_ledger[充当先ロットID],$B7,tbl_ledger[イベント種類],"充当",tbl_ledger[元状態],L$1),
_xlpm.払出,SUMIFS(tbl_ledger[数量],tbl_ledger[ロットID],$B7,tbl_ledger[元状態],L$1),
_xlpm.受入+_xlpm.充当受入-_xlpm.払出))</f>
        <v/>
      </c>
      <c r="M7" s="8" t="str">
        <f>IF($B7="","",_xlfn.LET(
_xlpm.受入,SUMIFS(tbl_ledger[数量],tbl_ledger[ロットID],$B7,tbl_ledger[イベント種類],"不良発生"),
_xlpm.充当受入,SUMIFS(tbl_ledger[数量],tbl_ledger[充当先ロットID],$B7,tbl_ledger[イベント種類],"充当",tbl_ledger[元状態],M$1),
_xlpm.払出,SUMIFS(tbl_ledger[数量],tbl_ledger[ロットID],$B7,tbl_ledger[元状態],M$1),
_xlpm.受入+_xlpm.充当受入-_xlpm.払出))</f>
        <v/>
      </c>
      <c r="N7" s="8" t="str">
        <f t="shared" si="1"/>
        <v/>
      </c>
    </row>
    <row r="8" spans="1:14" ht="15" customHeight="1" x14ac:dyDescent="0.25">
      <c r="A8" s="4" t="str">
        <f t="shared" si="0"/>
        <v/>
      </c>
      <c r="B8" s="4" t="str">
        <f>IFERROR(IF(COUNTIF($B$1:$B7,INDEX(tbl_plan[ロットID],ROW()-1))&gt;0,"",INDEX(tbl_plan[ロットID],ROW()-1)),"")</f>
        <v/>
      </c>
      <c r="C8" s="4" t="str">
        <f>IF($B8="","",INDEX(tbl_plan[localId],ROW()-1))</f>
        <v/>
      </c>
      <c r="D8" s="8" t="str">
        <f>IF($B8="","",_xlfn.LET(
_xlpm.割当受入,SUMIF(V_充足確認!$A$2:$A$301,$B8,V_充足確認!$F$2:$F$301),
_xlpm.充当受入,SUMIFS(tbl_ledger[数量],tbl_ledger[充当先ロットID],$B8,tbl_ledger[イベント種類],"充当",tbl_ledger[元状態],D$1),
_xlpm.払出,SUMIFS(tbl_ledger[数量],tbl_ledger[ロットID],$B8,tbl_ledger[元状態],D$1),
_xlpm.割当受入+_xlpm.充当受入-_xlpm.払出))</f>
        <v/>
      </c>
      <c r="E8" s="8" t="str">
        <f>IF($B8="","",_xlfn.LET(
_xlpm.受入,SUMIFS(tbl_ledger[数量],tbl_ledger[ロットID],$B8,tbl_ledger[イベント種類],"アニール開始"),
_xlpm.充当受入,SUMIFS(tbl_ledger[数量],tbl_ledger[充当先ロットID],$B8,tbl_ledger[イベント種類],"充当",tbl_ledger[元状態],E$1),
_xlpm.払出,SUMIFS(tbl_ledger[数量],tbl_ledger[ロットID],$B8,tbl_ledger[元状態],E$1),
_xlpm.受入+_xlpm.充当受入-_xlpm.払出))</f>
        <v/>
      </c>
      <c r="F8" s="8" t="str">
        <f>IF($B8="","",_xlfn.LET(
_xlpm.受入,SUMIFS(tbl_ledger[数量],tbl_ledger[ロットID],$B8,tbl_ledger[イベント種類],"アニール完了"),
_xlpm.充当受入,SUMIFS(tbl_ledger[数量],tbl_ledger[充当先ロットID],$B8,tbl_ledger[イベント種類],"充当",tbl_ledger[元状態],F$1),
_xlpm.払出,SUMIFS(tbl_ledger[数量],tbl_ledger[ロットID],$B8,tbl_ledger[元状態],F$1),
_xlpm.受入+_xlpm.充当受入-_xlpm.払出))</f>
        <v/>
      </c>
      <c r="G8" s="8" t="str">
        <f>IF($B8="","",_xlfn.LET(
_xlpm.受入,SUMIFS(tbl_ledger[数量],tbl_ledger[ロットID],$B8,tbl_ledger[イベント種類],"アセンブリ開始"),
_xlpm.充当受入,SUMIFS(tbl_ledger[数量],tbl_ledger[充当先ロットID],$B8,tbl_ledger[イベント種類],"充当",tbl_ledger[元状態],G$1),
_xlpm.払出,SUMIFS(tbl_ledger[数量],tbl_ledger[ロットID],$B8,tbl_ledger[元状態],G$1),
_xlpm.受入+_xlpm.充当受入-_xlpm.払出))</f>
        <v/>
      </c>
      <c r="H8" s="8" t="str">
        <f>IF($B8="","",_xlfn.LET(
_xlpm.受入,SUMIFS(tbl_ledger[数量],tbl_ledger[ロットID],$B8,tbl_ledger[イベント種類],"アセンブリ完了"),
_xlpm.充当受入,SUMIFS(tbl_ledger[数量],tbl_ledger[充当先ロットID],$B8,tbl_ledger[イベント種類],"充当",tbl_ledger[元状態],H$1),
_xlpm.払出,SUMIFS(tbl_ledger[数量],tbl_ledger[ロットID],$B8,tbl_ledger[元状態],H$1),
_xlpm.受入+_xlpm.充当受入-_xlpm.払出))</f>
        <v/>
      </c>
      <c r="I8" s="8" t="str">
        <f>IF($B8="","",_xlfn.LET(
_xlpm.受入,SUMIFS(tbl_ledger[数量],tbl_ledger[ロットID],$B8,tbl_ledger[イベント種類],"梱包開始"),
_xlpm.充当受入,SUMIFS(tbl_ledger[数量],tbl_ledger[充当先ロットID],$B8,tbl_ledger[イベント種類],"充当",tbl_ledger[元状態],I$1),
_xlpm.払出,SUMIFS(tbl_ledger[数量],tbl_ledger[ロットID],$B8,tbl_ledger[元状態],I$1),
_xlpm.受入+_xlpm.充当受入-_xlpm.払出))</f>
        <v/>
      </c>
      <c r="J8" s="8" t="str">
        <f>IF($B8="","",_xlfn.LET(
_xlpm.受入,SUMIFS(tbl_ledger[数量],tbl_ledger[ロットID],$B8,tbl_ledger[イベント種類],"梱包完了"),
_xlpm.充当受入,SUMIFS(tbl_ledger[数量],tbl_ledger[充当先ロットID],$B8,tbl_ledger[イベント種類],"充当",tbl_ledger[元状態],J$1),
_xlpm.払出,SUMIFS(tbl_ledger[数量],tbl_ledger[ロットID],$B8,tbl_ledger[元状態],J$1),
_xlpm.受入+_xlpm.充当受入-_xlpm.払出))</f>
        <v/>
      </c>
      <c r="K8" s="8" t="str">
        <f>IF($B8="","",_xlfn.LET(
_xlpm.受入,SUMIFS(tbl_ledger[数量],tbl_ledger[ロットID],$B8,tbl_ledger[イベント種類],"発送準備開始"),
_xlpm.充当受入,SUMIFS(tbl_ledger[数量],tbl_ledger[充当先ロットID],$B8,tbl_ledger[イベント種類],"充当",tbl_ledger[元状態],K$1),
_xlpm.払出,SUMIFS(tbl_ledger[数量],tbl_ledger[ロットID],$B8,tbl_ledger[元状態],K$1),
_xlpm.受入+_xlpm.充当受入-_xlpm.払出))</f>
        <v/>
      </c>
      <c r="L8" s="8" t="str">
        <f>IF($B8="","",_xlfn.LET(
_xlpm.受入,SUMIFS(tbl_ledger[数量],tbl_ledger[ロットID],$B8,tbl_ledger[イベント種類],"発送準備完了"),
_xlpm.充当受入,SUMIFS(tbl_ledger[数量],tbl_ledger[充当先ロットID],$B8,tbl_ledger[イベント種類],"充当",tbl_ledger[元状態],L$1),
_xlpm.払出,SUMIFS(tbl_ledger[数量],tbl_ledger[ロットID],$B8,tbl_ledger[元状態],L$1),
_xlpm.受入+_xlpm.充当受入-_xlpm.払出))</f>
        <v/>
      </c>
      <c r="M8" s="8" t="str">
        <f>IF($B8="","",_xlfn.LET(
_xlpm.受入,SUMIFS(tbl_ledger[数量],tbl_ledger[ロットID],$B8,tbl_ledger[イベント種類],"不良発生"),
_xlpm.充当受入,SUMIFS(tbl_ledger[数量],tbl_ledger[充当先ロットID],$B8,tbl_ledger[イベント種類],"充当",tbl_ledger[元状態],M$1),
_xlpm.払出,SUMIFS(tbl_ledger[数量],tbl_ledger[ロットID],$B8,tbl_ledger[元状態],M$1),
_xlpm.受入+_xlpm.充当受入-_xlpm.払出))</f>
        <v/>
      </c>
      <c r="N8" s="8" t="str">
        <f t="shared" si="1"/>
        <v/>
      </c>
    </row>
    <row r="9" spans="1:14" ht="15" customHeight="1" x14ac:dyDescent="0.25">
      <c r="A9" s="4" t="str">
        <f t="shared" si="0"/>
        <v/>
      </c>
      <c r="B9" s="4" t="str">
        <f>IFERROR(IF(COUNTIF($B$1:$B8,INDEX(tbl_plan[ロットID],ROW()-1))&gt;0,"",INDEX(tbl_plan[ロットID],ROW()-1)),"")</f>
        <v/>
      </c>
      <c r="C9" s="4" t="str">
        <f>IF($B9="","",INDEX(tbl_plan[localId],ROW()-1))</f>
        <v/>
      </c>
      <c r="D9" s="8" t="str">
        <f>IF($B9="","",_xlfn.LET(
_xlpm.割当受入,SUMIF(V_充足確認!$A$2:$A$301,$B9,V_充足確認!$F$2:$F$301),
_xlpm.充当受入,SUMIFS(tbl_ledger[数量],tbl_ledger[充当先ロットID],$B9,tbl_ledger[イベント種類],"充当",tbl_ledger[元状態],D$1),
_xlpm.払出,SUMIFS(tbl_ledger[数量],tbl_ledger[ロットID],$B9,tbl_ledger[元状態],D$1),
_xlpm.割当受入+_xlpm.充当受入-_xlpm.払出))</f>
        <v/>
      </c>
      <c r="E9" s="8" t="str">
        <f>IF($B9="","",_xlfn.LET(
_xlpm.受入,SUMIFS(tbl_ledger[数量],tbl_ledger[ロットID],$B9,tbl_ledger[イベント種類],"アニール開始"),
_xlpm.充当受入,SUMIFS(tbl_ledger[数量],tbl_ledger[充当先ロットID],$B9,tbl_ledger[イベント種類],"充当",tbl_ledger[元状態],E$1),
_xlpm.払出,SUMIFS(tbl_ledger[数量],tbl_ledger[ロットID],$B9,tbl_ledger[元状態],E$1),
_xlpm.受入+_xlpm.充当受入-_xlpm.払出))</f>
        <v/>
      </c>
      <c r="F9" s="8" t="str">
        <f>IF($B9="","",_xlfn.LET(
_xlpm.受入,SUMIFS(tbl_ledger[数量],tbl_ledger[ロットID],$B9,tbl_ledger[イベント種類],"アニール完了"),
_xlpm.充当受入,SUMIFS(tbl_ledger[数量],tbl_ledger[充当先ロットID],$B9,tbl_ledger[イベント種類],"充当",tbl_ledger[元状態],F$1),
_xlpm.払出,SUMIFS(tbl_ledger[数量],tbl_ledger[ロットID],$B9,tbl_ledger[元状態],F$1),
_xlpm.受入+_xlpm.充当受入-_xlpm.払出))</f>
        <v/>
      </c>
      <c r="G9" s="8" t="str">
        <f>IF($B9="","",_xlfn.LET(
_xlpm.受入,SUMIFS(tbl_ledger[数量],tbl_ledger[ロットID],$B9,tbl_ledger[イベント種類],"アセンブリ開始"),
_xlpm.充当受入,SUMIFS(tbl_ledger[数量],tbl_ledger[充当先ロットID],$B9,tbl_ledger[イベント種類],"充当",tbl_ledger[元状態],G$1),
_xlpm.払出,SUMIFS(tbl_ledger[数量],tbl_ledger[ロットID],$B9,tbl_ledger[元状態],G$1),
_xlpm.受入+_xlpm.充当受入-_xlpm.払出))</f>
        <v/>
      </c>
      <c r="H9" s="8" t="str">
        <f>IF($B9="","",_xlfn.LET(
_xlpm.受入,SUMIFS(tbl_ledger[数量],tbl_ledger[ロットID],$B9,tbl_ledger[イベント種類],"アセンブリ完了"),
_xlpm.充当受入,SUMIFS(tbl_ledger[数量],tbl_ledger[充当先ロットID],$B9,tbl_ledger[イベント種類],"充当",tbl_ledger[元状態],H$1),
_xlpm.払出,SUMIFS(tbl_ledger[数量],tbl_ledger[ロットID],$B9,tbl_ledger[元状態],H$1),
_xlpm.受入+_xlpm.充当受入-_xlpm.払出))</f>
        <v/>
      </c>
      <c r="I9" s="8" t="str">
        <f>IF($B9="","",_xlfn.LET(
_xlpm.受入,SUMIFS(tbl_ledger[数量],tbl_ledger[ロットID],$B9,tbl_ledger[イベント種類],"梱包開始"),
_xlpm.充当受入,SUMIFS(tbl_ledger[数量],tbl_ledger[充当先ロットID],$B9,tbl_ledger[イベント種類],"充当",tbl_ledger[元状態],I$1),
_xlpm.払出,SUMIFS(tbl_ledger[数量],tbl_ledger[ロットID],$B9,tbl_ledger[元状態],I$1),
_xlpm.受入+_xlpm.充当受入-_xlpm.払出))</f>
        <v/>
      </c>
      <c r="J9" s="8" t="str">
        <f>IF($B9="","",_xlfn.LET(
_xlpm.受入,SUMIFS(tbl_ledger[数量],tbl_ledger[ロットID],$B9,tbl_ledger[イベント種類],"梱包完了"),
_xlpm.充当受入,SUMIFS(tbl_ledger[数量],tbl_ledger[充当先ロットID],$B9,tbl_ledger[イベント種類],"充当",tbl_ledger[元状態],J$1),
_xlpm.払出,SUMIFS(tbl_ledger[数量],tbl_ledger[ロットID],$B9,tbl_ledger[元状態],J$1),
_xlpm.受入+_xlpm.充当受入-_xlpm.払出))</f>
        <v/>
      </c>
      <c r="K9" s="8" t="str">
        <f>IF($B9="","",_xlfn.LET(
_xlpm.受入,SUMIFS(tbl_ledger[数量],tbl_ledger[ロットID],$B9,tbl_ledger[イベント種類],"発送準備開始"),
_xlpm.充当受入,SUMIFS(tbl_ledger[数量],tbl_ledger[充当先ロットID],$B9,tbl_ledger[イベント種類],"充当",tbl_ledger[元状態],K$1),
_xlpm.払出,SUMIFS(tbl_ledger[数量],tbl_ledger[ロットID],$B9,tbl_ledger[元状態],K$1),
_xlpm.受入+_xlpm.充当受入-_xlpm.払出))</f>
        <v/>
      </c>
      <c r="L9" s="8" t="str">
        <f>IF($B9="","",_xlfn.LET(
_xlpm.受入,SUMIFS(tbl_ledger[数量],tbl_ledger[ロットID],$B9,tbl_ledger[イベント種類],"発送準備完了"),
_xlpm.充当受入,SUMIFS(tbl_ledger[数量],tbl_ledger[充当先ロットID],$B9,tbl_ledger[イベント種類],"充当",tbl_ledger[元状態],L$1),
_xlpm.払出,SUMIFS(tbl_ledger[数量],tbl_ledger[ロットID],$B9,tbl_ledger[元状態],L$1),
_xlpm.受入+_xlpm.充当受入-_xlpm.払出))</f>
        <v/>
      </c>
      <c r="M9" s="8" t="str">
        <f>IF($B9="","",_xlfn.LET(
_xlpm.受入,SUMIFS(tbl_ledger[数量],tbl_ledger[ロットID],$B9,tbl_ledger[イベント種類],"不良発生"),
_xlpm.充当受入,SUMIFS(tbl_ledger[数量],tbl_ledger[充当先ロットID],$B9,tbl_ledger[イベント種類],"充当",tbl_ledger[元状態],M$1),
_xlpm.払出,SUMIFS(tbl_ledger[数量],tbl_ledger[ロットID],$B9,tbl_ledger[元状態],M$1),
_xlpm.受入+_xlpm.充当受入-_xlpm.払出))</f>
        <v/>
      </c>
      <c r="N9" s="8" t="str">
        <f t="shared" si="1"/>
        <v/>
      </c>
    </row>
    <row r="10" spans="1:14" ht="15" customHeight="1" x14ac:dyDescent="0.25">
      <c r="A10" s="4" t="str">
        <f t="shared" si="0"/>
        <v/>
      </c>
      <c r="B10" s="4" t="str">
        <f>IFERROR(IF(COUNTIF($B$1:$B9,INDEX(tbl_plan[ロットID],ROW()-1))&gt;0,"",INDEX(tbl_plan[ロットID],ROW()-1)),"")</f>
        <v/>
      </c>
      <c r="C10" s="4" t="str">
        <f>IF($B10="","",INDEX(tbl_plan[localId],ROW()-1))</f>
        <v/>
      </c>
      <c r="D10" s="8" t="str">
        <f>IF($B10="","",_xlfn.LET(
_xlpm.割当受入,SUMIF(V_充足確認!$A$2:$A$301,$B10,V_充足確認!$F$2:$F$301),
_xlpm.充当受入,SUMIFS(tbl_ledger[数量],tbl_ledger[充当先ロットID],$B10,tbl_ledger[イベント種類],"充当",tbl_ledger[元状態],D$1),
_xlpm.払出,SUMIFS(tbl_ledger[数量],tbl_ledger[ロットID],$B10,tbl_ledger[元状態],D$1),
_xlpm.割当受入+_xlpm.充当受入-_xlpm.払出))</f>
        <v/>
      </c>
      <c r="E10" s="8" t="str">
        <f>IF($B10="","",_xlfn.LET(
_xlpm.受入,SUMIFS(tbl_ledger[数量],tbl_ledger[ロットID],$B10,tbl_ledger[イベント種類],"アニール開始"),
_xlpm.充当受入,SUMIFS(tbl_ledger[数量],tbl_ledger[充当先ロットID],$B10,tbl_ledger[イベント種類],"充当",tbl_ledger[元状態],E$1),
_xlpm.払出,SUMIFS(tbl_ledger[数量],tbl_ledger[ロットID],$B10,tbl_ledger[元状態],E$1),
_xlpm.受入+_xlpm.充当受入-_xlpm.払出))</f>
        <v/>
      </c>
      <c r="F10" s="8" t="str">
        <f>IF($B10="","",_xlfn.LET(
_xlpm.受入,SUMIFS(tbl_ledger[数量],tbl_ledger[ロットID],$B10,tbl_ledger[イベント種類],"アニール完了"),
_xlpm.充当受入,SUMIFS(tbl_ledger[数量],tbl_ledger[充当先ロットID],$B10,tbl_ledger[イベント種類],"充当",tbl_ledger[元状態],F$1),
_xlpm.払出,SUMIFS(tbl_ledger[数量],tbl_ledger[ロットID],$B10,tbl_ledger[元状態],F$1),
_xlpm.受入+_xlpm.充当受入-_xlpm.払出))</f>
        <v/>
      </c>
      <c r="G10" s="8" t="str">
        <f>IF($B10="","",_xlfn.LET(
_xlpm.受入,SUMIFS(tbl_ledger[数量],tbl_ledger[ロットID],$B10,tbl_ledger[イベント種類],"アセンブリ開始"),
_xlpm.充当受入,SUMIFS(tbl_ledger[数量],tbl_ledger[充当先ロットID],$B10,tbl_ledger[イベント種類],"充当",tbl_ledger[元状態],G$1),
_xlpm.払出,SUMIFS(tbl_ledger[数量],tbl_ledger[ロットID],$B10,tbl_ledger[元状態],G$1),
_xlpm.受入+_xlpm.充当受入-_xlpm.払出))</f>
        <v/>
      </c>
      <c r="H10" s="8" t="str">
        <f>IF($B10="","",_xlfn.LET(
_xlpm.受入,SUMIFS(tbl_ledger[数量],tbl_ledger[ロットID],$B10,tbl_ledger[イベント種類],"アセンブリ完了"),
_xlpm.充当受入,SUMIFS(tbl_ledger[数量],tbl_ledger[充当先ロットID],$B10,tbl_ledger[イベント種類],"充当",tbl_ledger[元状態],H$1),
_xlpm.払出,SUMIFS(tbl_ledger[数量],tbl_ledger[ロットID],$B10,tbl_ledger[元状態],H$1),
_xlpm.受入+_xlpm.充当受入-_xlpm.払出))</f>
        <v/>
      </c>
      <c r="I10" s="8" t="str">
        <f>IF($B10="","",_xlfn.LET(
_xlpm.受入,SUMIFS(tbl_ledger[数量],tbl_ledger[ロットID],$B10,tbl_ledger[イベント種類],"梱包開始"),
_xlpm.充当受入,SUMIFS(tbl_ledger[数量],tbl_ledger[充当先ロットID],$B10,tbl_ledger[イベント種類],"充当",tbl_ledger[元状態],I$1),
_xlpm.払出,SUMIFS(tbl_ledger[数量],tbl_ledger[ロットID],$B10,tbl_ledger[元状態],I$1),
_xlpm.受入+_xlpm.充当受入-_xlpm.払出))</f>
        <v/>
      </c>
      <c r="J10" s="8" t="str">
        <f>IF($B10="","",_xlfn.LET(
_xlpm.受入,SUMIFS(tbl_ledger[数量],tbl_ledger[ロットID],$B10,tbl_ledger[イベント種類],"梱包完了"),
_xlpm.充当受入,SUMIFS(tbl_ledger[数量],tbl_ledger[充当先ロットID],$B10,tbl_ledger[イベント種類],"充当",tbl_ledger[元状態],J$1),
_xlpm.払出,SUMIFS(tbl_ledger[数量],tbl_ledger[ロットID],$B10,tbl_ledger[元状態],J$1),
_xlpm.受入+_xlpm.充当受入-_xlpm.払出))</f>
        <v/>
      </c>
      <c r="K10" s="8" t="str">
        <f>IF($B10="","",_xlfn.LET(
_xlpm.受入,SUMIFS(tbl_ledger[数量],tbl_ledger[ロットID],$B10,tbl_ledger[イベント種類],"発送準備開始"),
_xlpm.充当受入,SUMIFS(tbl_ledger[数量],tbl_ledger[充当先ロットID],$B10,tbl_ledger[イベント種類],"充当",tbl_ledger[元状態],K$1),
_xlpm.払出,SUMIFS(tbl_ledger[数量],tbl_ledger[ロットID],$B10,tbl_ledger[元状態],K$1),
_xlpm.受入+_xlpm.充当受入-_xlpm.払出))</f>
        <v/>
      </c>
      <c r="L10" s="8" t="str">
        <f>IF($B10="","",_xlfn.LET(
_xlpm.受入,SUMIFS(tbl_ledger[数量],tbl_ledger[ロットID],$B10,tbl_ledger[イベント種類],"発送準備完了"),
_xlpm.充当受入,SUMIFS(tbl_ledger[数量],tbl_ledger[充当先ロットID],$B10,tbl_ledger[イベント種類],"充当",tbl_ledger[元状態],L$1),
_xlpm.払出,SUMIFS(tbl_ledger[数量],tbl_ledger[ロットID],$B10,tbl_ledger[元状態],L$1),
_xlpm.受入+_xlpm.充当受入-_xlpm.払出))</f>
        <v/>
      </c>
      <c r="M10" s="8" t="str">
        <f>IF($B10="","",_xlfn.LET(
_xlpm.受入,SUMIFS(tbl_ledger[数量],tbl_ledger[ロットID],$B10,tbl_ledger[イベント種類],"不良発生"),
_xlpm.充当受入,SUMIFS(tbl_ledger[数量],tbl_ledger[充当先ロットID],$B10,tbl_ledger[イベント種類],"充当",tbl_ledger[元状態],M$1),
_xlpm.払出,SUMIFS(tbl_ledger[数量],tbl_ledger[ロットID],$B10,tbl_ledger[元状態],M$1),
_xlpm.受入+_xlpm.充当受入-_xlpm.払出))</f>
        <v/>
      </c>
      <c r="N10" s="8" t="str">
        <f t="shared" si="1"/>
        <v/>
      </c>
    </row>
    <row r="11" spans="1:14" ht="15" customHeight="1" x14ac:dyDescent="0.25">
      <c r="A11" s="4" t="str">
        <f t="shared" si="0"/>
        <v/>
      </c>
      <c r="B11" s="4" t="str">
        <f>IFERROR(IF(COUNTIF($B$1:$B10,INDEX(tbl_plan[ロットID],ROW()-1))&gt;0,"",INDEX(tbl_plan[ロットID],ROW()-1)),"")</f>
        <v/>
      </c>
      <c r="C11" s="4" t="str">
        <f>IF($B11="","",INDEX(tbl_plan[localId],ROW()-1))</f>
        <v/>
      </c>
      <c r="D11" s="8" t="str">
        <f>IF($B11="","",_xlfn.LET(
_xlpm.割当受入,SUMIF(V_充足確認!$A$2:$A$301,$B11,V_充足確認!$F$2:$F$301),
_xlpm.充当受入,SUMIFS(tbl_ledger[数量],tbl_ledger[充当先ロットID],$B11,tbl_ledger[イベント種類],"充当",tbl_ledger[元状態],D$1),
_xlpm.払出,SUMIFS(tbl_ledger[数量],tbl_ledger[ロットID],$B11,tbl_ledger[元状態],D$1),
_xlpm.割当受入+_xlpm.充当受入-_xlpm.払出))</f>
        <v/>
      </c>
      <c r="E11" s="8" t="str">
        <f>IF($B11="","",_xlfn.LET(
_xlpm.受入,SUMIFS(tbl_ledger[数量],tbl_ledger[ロットID],$B11,tbl_ledger[イベント種類],"アニール開始"),
_xlpm.充当受入,SUMIFS(tbl_ledger[数量],tbl_ledger[充当先ロットID],$B11,tbl_ledger[イベント種類],"充当",tbl_ledger[元状態],E$1),
_xlpm.払出,SUMIFS(tbl_ledger[数量],tbl_ledger[ロットID],$B11,tbl_ledger[元状態],E$1),
_xlpm.受入+_xlpm.充当受入-_xlpm.払出))</f>
        <v/>
      </c>
      <c r="F11" s="8" t="str">
        <f>IF($B11="","",_xlfn.LET(
_xlpm.受入,SUMIFS(tbl_ledger[数量],tbl_ledger[ロットID],$B11,tbl_ledger[イベント種類],"アニール完了"),
_xlpm.充当受入,SUMIFS(tbl_ledger[数量],tbl_ledger[充当先ロットID],$B11,tbl_ledger[イベント種類],"充当",tbl_ledger[元状態],F$1),
_xlpm.払出,SUMIFS(tbl_ledger[数量],tbl_ledger[ロットID],$B11,tbl_ledger[元状態],F$1),
_xlpm.受入+_xlpm.充当受入-_xlpm.払出))</f>
        <v/>
      </c>
      <c r="G11" s="8" t="str">
        <f>IF($B11="","",_xlfn.LET(
_xlpm.受入,SUMIFS(tbl_ledger[数量],tbl_ledger[ロットID],$B11,tbl_ledger[イベント種類],"アセンブリ開始"),
_xlpm.充当受入,SUMIFS(tbl_ledger[数量],tbl_ledger[充当先ロットID],$B11,tbl_ledger[イベント種類],"充当",tbl_ledger[元状態],G$1),
_xlpm.払出,SUMIFS(tbl_ledger[数量],tbl_ledger[ロットID],$B11,tbl_ledger[元状態],G$1),
_xlpm.受入+_xlpm.充当受入-_xlpm.払出))</f>
        <v/>
      </c>
      <c r="H11" s="8" t="str">
        <f>IF($B11="","",_xlfn.LET(
_xlpm.受入,SUMIFS(tbl_ledger[数量],tbl_ledger[ロットID],$B11,tbl_ledger[イベント種類],"アセンブリ完了"),
_xlpm.充当受入,SUMIFS(tbl_ledger[数量],tbl_ledger[充当先ロットID],$B11,tbl_ledger[イベント種類],"充当",tbl_ledger[元状態],H$1),
_xlpm.払出,SUMIFS(tbl_ledger[数量],tbl_ledger[ロットID],$B11,tbl_ledger[元状態],H$1),
_xlpm.受入+_xlpm.充当受入-_xlpm.払出))</f>
        <v/>
      </c>
      <c r="I11" s="8" t="str">
        <f>IF($B11="","",_xlfn.LET(
_xlpm.受入,SUMIFS(tbl_ledger[数量],tbl_ledger[ロットID],$B11,tbl_ledger[イベント種類],"梱包開始"),
_xlpm.充当受入,SUMIFS(tbl_ledger[数量],tbl_ledger[充当先ロットID],$B11,tbl_ledger[イベント種類],"充当",tbl_ledger[元状態],I$1),
_xlpm.払出,SUMIFS(tbl_ledger[数量],tbl_ledger[ロットID],$B11,tbl_ledger[元状態],I$1),
_xlpm.受入+_xlpm.充当受入-_xlpm.払出))</f>
        <v/>
      </c>
      <c r="J11" s="8" t="str">
        <f>IF($B11="","",_xlfn.LET(
_xlpm.受入,SUMIFS(tbl_ledger[数量],tbl_ledger[ロットID],$B11,tbl_ledger[イベント種類],"梱包完了"),
_xlpm.充当受入,SUMIFS(tbl_ledger[数量],tbl_ledger[充当先ロットID],$B11,tbl_ledger[イベント種類],"充当",tbl_ledger[元状態],J$1),
_xlpm.払出,SUMIFS(tbl_ledger[数量],tbl_ledger[ロットID],$B11,tbl_ledger[元状態],J$1),
_xlpm.受入+_xlpm.充当受入-_xlpm.払出))</f>
        <v/>
      </c>
      <c r="K11" s="8" t="str">
        <f>IF($B11="","",_xlfn.LET(
_xlpm.受入,SUMIFS(tbl_ledger[数量],tbl_ledger[ロットID],$B11,tbl_ledger[イベント種類],"発送準備開始"),
_xlpm.充当受入,SUMIFS(tbl_ledger[数量],tbl_ledger[充当先ロットID],$B11,tbl_ledger[イベント種類],"充当",tbl_ledger[元状態],K$1),
_xlpm.払出,SUMIFS(tbl_ledger[数量],tbl_ledger[ロットID],$B11,tbl_ledger[元状態],K$1),
_xlpm.受入+_xlpm.充当受入-_xlpm.払出))</f>
        <v/>
      </c>
      <c r="L11" s="8" t="str">
        <f>IF($B11="","",_xlfn.LET(
_xlpm.受入,SUMIFS(tbl_ledger[数量],tbl_ledger[ロットID],$B11,tbl_ledger[イベント種類],"発送準備完了"),
_xlpm.充当受入,SUMIFS(tbl_ledger[数量],tbl_ledger[充当先ロットID],$B11,tbl_ledger[イベント種類],"充当",tbl_ledger[元状態],L$1),
_xlpm.払出,SUMIFS(tbl_ledger[数量],tbl_ledger[ロットID],$B11,tbl_ledger[元状態],L$1),
_xlpm.受入+_xlpm.充当受入-_xlpm.払出))</f>
        <v/>
      </c>
      <c r="M11" s="8" t="str">
        <f>IF($B11="","",_xlfn.LET(
_xlpm.受入,SUMIFS(tbl_ledger[数量],tbl_ledger[ロットID],$B11,tbl_ledger[イベント種類],"不良発生"),
_xlpm.充当受入,SUMIFS(tbl_ledger[数量],tbl_ledger[充当先ロットID],$B11,tbl_ledger[イベント種類],"充当",tbl_ledger[元状態],M$1),
_xlpm.払出,SUMIFS(tbl_ledger[数量],tbl_ledger[ロットID],$B11,tbl_ledger[元状態],M$1),
_xlpm.受入+_xlpm.充当受入-_xlpm.払出))</f>
        <v/>
      </c>
      <c r="N11" s="8" t="str">
        <f t="shared" si="1"/>
        <v/>
      </c>
    </row>
    <row r="12" spans="1:14" ht="15" customHeight="1" x14ac:dyDescent="0.25">
      <c r="A12" s="4" t="str">
        <f t="shared" si="0"/>
        <v/>
      </c>
      <c r="B12" s="4" t="str">
        <f>IFERROR(IF(COUNTIF($B$1:$B11,INDEX(tbl_plan[ロットID],ROW()-1))&gt;0,"",INDEX(tbl_plan[ロットID],ROW()-1)),"")</f>
        <v/>
      </c>
      <c r="C12" s="4" t="str">
        <f>IF($B12="","",INDEX(tbl_plan[localId],ROW()-1))</f>
        <v/>
      </c>
      <c r="D12" s="8" t="str">
        <f>IF($B12="","",_xlfn.LET(
_xlpm.割当受入,SUMIF(V_充足確認!$A$2:$A$301,$B12,V_充足確認!$F$2:$F$301),
_xlpm.充当受入,SUMIFS(tbl_ledger[数量],tbl_ledger[充当先ロットID],$B12,tbl_ledger[イベント種類],"充当",tbl_ledger[元状態],D$1),
_xlpm.払出,SUMIFS(tbl_ledger[数量],tbl_ledger[ロットID],$B12,tbl_ledger[元状態],D$1),
_xlpm.割当受入+_xlpm.充当受入-_xlpm.払出))</f>
        <v/>
      </c>
      <c r="E12" s="8" t="str">
        <f>IF($B12="","",_xlfn.LET(
_xlpm.受入,SUMIFS(tbl_ledger[数量],tbl_ledger[ロットID],$B12,tbl_ledger[イベント種類],"アニール開始"),
_xlpm.充当受入,SUMIFS(tbl_ledger[数量],tbl_ledger[充当先ロットID],$B12,tbl_ledger[イベント種類],"充当",tbl_ledger[元状態],E$1),
_xlpm.払出,SUMIFS(tbl_ledger[数量],tbl_ledger[ロットID],$B12,tbl_ledger[元状態],E$1),
_xlpm.受入+_xlpm.充当受入-_xlpm.払出))</f>
        <v/>
      </c>
      <c r="F12" s="8" t="str">
        <f>IF($B12="","",_xlfn.LET(
_xlpm.受入,SUMIFS(tbl_ledger[数量],tbl_ledger[ロットID],$B12,tbl_ledger[イベント種類],"アニール完了"),
_xlpm.充当受入,SUMIFS(tbl_ledger[数量],tbl_ledger[充当先ロットID],$B12,tbl_ledger[イベント種類],"充当",tbl_ledger[元状態],F$1),
_xlpm.払出,SUMIFS(tbl_ledger[数量],tbl_ledger[ロットID],$B12,tbl_ledger[元状態],F$1),
_xlpm.受入+_xlpm.充当受入-_xlpm.払出))</f>
        <v/>
      </c>
      <c r="G12" s="8" t="str">
        <f>IF($B12="","",_xlfn.LET(
_xlpm.受入,SUMIFS(tbl_ledger[数量],tbl_ledger[ロットID],$B12,tbl_ledger[イベント種類],"アセンブリ開始"),
_xlpm.充当受入,SUMIFS(tbl_ledger[数量],tbl_ledger[充当先ロットID],$B12,tbl_ledger[イベント種類],"充当",tbl_ledger[元状態],G$1),
_xlpm.払出,SUMIFS(tbl_ledger[数量],tbl_ledger[ロットID],$B12,tbl_ledger[元状態],G$1),
_xlpm.受入+_xlpm.充当受入-_xlpm.払出))</f>
        <v/>
      </c>
      <c r="H12" s="8" t="str">
        <f>IF($B12="","",_xlfn.LET(
_xlpm.受入,SUMIFS(tbl_ledger[数量],tbl_ledger[ロットID],$B12,tbl_ledger[イベント種類],"アセンブリ完了"),
_xlpm.充当受入,SUMIFS(tbl_ledger[数量],tbl_ledger[充当先ロットID],$B12,tbl_ledger[イベント種類],"充当",tbl_ledger[元状態],H$1),
_xlpm.払出,SUMIFS(tbl_ledger[数量],tbl_ledger[ロットID],$B12,tbl_ledger[元状態],H$1),
_xlpm.受入+_xlpm.充当受入-_xlpm.払出))</f>
        <v/>
      </c>
      <c r="I12" s="8" t="str">
        <f>IF($B12="","",_xlfn.LET(
_xlpm.受入,SUMIFS(tbl_ledger[数量],tbl_ledger[ロットID],$B12,tbl_ledger[イベント種類],"梱包開始"),
_xlpm.充当受入,SUMIFS(tbl_ledger[数量],tbl_ledger[充当先ロットID],$B12,tbl_ledger[イベント種類],"充当",tbl_ledger[元状態],I$1),
_xlpm.払出,SUMIFS(tbl_ledger[数量],tbl_ledger[ロットID],$B12,tbl_ledger[元状態],I$1),
_xlpm.受入+_xlpm.充当受入-_xlpm.払出))</f>
        <v/>
      </c>
      <c r="J12" s="8" t="str">
        <f>IF($B12="","",_xlfn.LET(
_xlpm.受入,SUMIFS(tbl_ledger[数量],tbl_ledger[ロットID],$B12,tbl_ledger[イベント種類],"梱包完了"),
_xlpm.充当受入,SUMIFS(tbl_ledger[数量],tbl_ledger[充当先ロットID],$B12,tbl_ledger[イベント種類],"充当",tbl_ledger[元状態],J$1),
_xlpm.払出,SUMIFS(tbl_ledger[数量],tbl_ledger[ロットID],$B12,tbl_ledger[元状態],J$1),
_xlpm.受入+_xlpm.充当受入-_xlpm.払出))</f>
        <v/>
      </c>
      <c r="K12" s="8" t="str">
        <f>IF($B12="","",_xlfn.LET(
_xlpm.受入,SUMIFS(tbl_ledger[数量],tbl_ledger[ロットID],$B12,tbl_ledger[イベント種類],"発送準備開始"),
_xlpm.充当受入,SUMIFS(tbl_ledger[数量],tbl_ledger[充当先ロットID],$B12,tbl_ledger[イベント種類],"充当",tbl_ledger[元状態],K$1),
_xlpm.払出,SUMIFS(tbl_ledger[数量],tbl_ledger[ロットID],$B12,tbl_ledger[元状態],K$1),
_xlpm.受入+_xlpm.充当受入-_xlpm.払出))</f>
        <v/>
      </c>
      <c r="L12" s="8" t="str">
        <f>IF($B12="","",_xlfn.LET(
_xlpm.受入,SUMIFS(tbl_ledger[数量],tbl_ledger[ロットID],$B12,tbl_ledger[イベント種類],"発送準備完了"),
_xlpm.充当受入,SUMIFS(tbl_ledger[数量],tbl_ledger[充当先ロットID],$B12,tbl_ledger[イベント種類],"充当",tbl_ledger[元状態],L$1),
_xlpm.払出,SUMIFS(tbl_ledger[数量],tbl_ledger[ロットID],$B12,tbl_ledger[元状態],L$1),
_xlpm.受入+_xlpm.充当受入-_xlpm.払出))</f>
        <v/>
      </c>
      <c r="M12" s="8" t="str">
        <f>IF($B12="","",_xlfn.LET(
_xlpm.受入,SUMIFS(tbl_ledger[数量],tbl_ledger[ロットID],$B12,tbl_ledger[イベント種類],"不良発生"),
_xlpm.充当受入,SUMIFS(tbl_ledger[数量],tbl_ledger[充当先ロットID],$B12,tbl_ledger[イベント種類],"充当",tbl_ledger[元状態],M$1),
_xlpm.払出,SUMIFS(tbl_ledger[数量],tbl_ledger[ロットID],$B12,tbl_ledger[元状態],M$1),
_xlpm.受入+_xlpm.充当受入-_xlpm.払出))</f>
        <v/>
      </c>
      <c r="N12" s="8" t="str">
        <f t="shared" si="1"/>
        <v/>
      </c>
    </row>
    <row r="13" spans="1:14" ht="15" customHeight="1" x14ac:dyDescent="0.25">
      <c r="A13" s="4" t="str">
        <f t="shared" si="0"/>
        <v/>
      </c>
      <c r="B13" s="4" t="str">
        <f>IFERROR(IF(COUNTIF($B$1:$B12,INDEX(tbl_plan[ロットID],ROW()-1))&gt;0,"",INDEX(tbl_plan[ロットID],ROW()-1)),"")</f>
        <v/>
      </c>
      <c r="C13" s="4" t="str">
        <f>IF($B13="","",INDEX(tbl_plan[localId],ROW()-1))</f>
        <v/>
      </c>
      <c r="D13" s="8" t="str">
        <f>IF($B13="","",_xlfn.LET(
_xlpm.割当受入,SUMIF(V_充足確認!$A$2:$A$301,$B13,V_充足確認!$F$2:$F$301),
_xlpm.充当受入,SUMIFS(tbl_ledger[数量],tbl_ledger[充当先ロットID],$B13,tbl_ledger[イベント種類],"充当",tbl_ledger[元状態],D$1),
_xlpm.払出,SUMIFS(tbl_ledger[数量],tbl_ledger[ロットID],$B13,tbl_ledger[元状態],D$1),
_xlpm.割当受入+_xlpm.充当受入-_xlpm.払出))</f>
        <v/>
      </c>
      <c r="E13" s="8" t="str">
        <f>IF($B13="","",_xlfn.LET(
_xlpm.受入,SUMIFS(tbl_ledger[数量],tbl_ledger[ロットID],$B13,tbl_ledger[イベント種類],"アニール開始"),
_xlpm.充当受入,SUMIFS(tbl_ledger[数量],tbl_ledger[充当先ロットID],$B13,tbl_ledger[イベント種類],"充当",tbl_ledger[元状態],E$1),
_xlpm.払出,SUMIFS(tbl_ledger[数量],tbl_ledger[ロットID],$B13,tbl_ledger[元状態],E$1),
_xlpm.受入+_xlpm.充当受入-_xlpm.払出))</f>
        <v/>
      </c>
      <c r="F13" s="8" t="str">
        <f>IF($B13="","",_xlfn.LET(
_xlpm.受入,SUMIFS(tbl_ledger[数量],tbl_ledger[ロットID],$B13,tbl_ledger[イベント種類],"アニール完了"),
_xlpm.充当受入,SUMIFS(tbl_ledger[数量],tbl_ledger[充当先ロットID],$B13,tbl_ledger[イベント種類],"充当",tbl_ledger[元状態],F$1),
_xlpm.払出,SUMIFS(tbl_ledger[数量],tbl_ledger[ロットID],$B13,tbl_ledger[元状態],F$1),
_xlpm.受入+_xlpm.充当受入-_xlpm.払出))</f>
        <v/>
      </c>
      <c r="G13" s="8" t="str">
        <f>IF($B13="","",_xlfn.LET(
_xlpm.受入,SUMIFS(tbl_ledger[数量],tbl_ledger[ロットID],$B13,tbl_ledger[イベント種類],"アセンブリ開始"),
_xlpm.充当受入,SUMIFS(tbl_ledger[数量],tbl_ledger[充当先ロットID],$B13,tbl_ledger[イベント種類],"充当",tbl_ledger[元状態],G$1),
_xlpm.払出,SUMIFS(tbl_ledger[数量],tbl_ledger[ロットID],$B13,tbl_ledger[元状態],G$1),
_xlpm.受入+_xlpm.充当受入-_xlpm.払出))</f>
        <v/>
      </c>
      <c r="H13" s="8" t="str">
        <f>IF($B13="","",_xlfn.LET(
_xlpm.受入,SUMIFS(tbl_ledger[数量],tbl_ledger[ロットID],$B13,tbl_ledger[イベント種類],"アセンブリ完了"),
_xlpm.充当受入,SUMIFS(tbl_ledger[数量],tbl_ledger[充当先ロットID],$B13,tbl_ledger[イベント種類],"充当",tbl_ledger[元状態],H$1),
_xlpm.払出,SUMIFS(tbl_ledger[数量],tbl_ledger[ロットID],$B13,tbl_ledger[元状態],H$1),
_xlpm.受入+_xlpm.充当受入-_xlpm.払出))</f>
        <v/>
      </c>
      <c r="I13" s="8" t="str">
        <f>IF($B13="","",_xlfn.LET(
_xlpm.受入,SUMIFS(tbl_ledger[数量],tbl_ledger[ロットID],$B13,tbl_ledger[イベント種類],"梱包開始"),
_xlpm.充当受入,SUMIFS(tbl_ledger[数量],tbl_ledger[充当先ロットID],$B13,tbl_ledger[イベント種類],"充当",tbl_ledger[元状態],I$1),
_xlpm.払出,SUMIFS(tbl_ledger[数量],tbl_ledger[ロットID],$B13,tbl_ledger[元状態],I$1),
_xlpm.受入+_xlpm.充当受入-_xlpm.払出))</f>
        <v/>
      </c>
      <c r="J13" s="8" t="str">
        <f>IF($B13="","",_xlfn.LET(
_xlpm.受入,SUMIFS(tbl_ledger[数量],tbl_ledger[ロットID],$B13,tbl_ledger[イベント種類],"梱包完了"),
_xlpm.充当受入,SUMIFS(tbl_ledger[数量],tbl_ledger[充当先ロットID],$B13,tbl_ledger[イベント種類],"充当",tbl_ledger[元状態],J$1),
_xlpm.払出,SUMIFS(tbl_ledger[数量],tbl_ledger[ロットID],$B13,tbl_ledger[元状態],J$1),
_xlpm.受入+_xlpm.充当受入-_xlpm.払出))</f>
        <v/>
      </c>
      <c r="K13" s="8" t="str">
        <f>IF($B13="","",_xlfn.LET(
_xlpm.受入,SUMIFS(tbl_ledger[数量],tbl_ledger[ロットID],$B13,tbl_ledger[イベント種類],"発送準備開始"),
_xlpm.充当受入,SUMIFS(tbl_ledger[数量],tbl_ledger[充当先ロットID],$B13,tbl_ledger[イベント種類],"充当",tbl_ledger[元状態],K$1),
_xlpm.払出,SUMIFS(tbl_ledger[数量],tbl_ledger[ロットID],$B13,tbl_ledger[元状態],K$1),
_xlpm.受入+_xlpm.充当受入-_xlpm.払出))</f>
        <v/>
      </c>
      <c r="L13" s="8" t="str">
        <f>IF($B13="","",_xlfn.LET(
_xlpm.受入,SUMIFS(tbl_ledger[数量],tbl_ledger[ロットID],$B13,tbl_ledger[イベント種類],"発送準備完了"),
_xlpm.充当受入,SUMIFS(tbl_ledger[数量],tbl_ledger[充当先ロットID],$B13,tbl_ledger[イベント種類],"充当",tbl_ledger[元状態],L$1),
_xlpm.払出,SUMIFS(tbl_ledger[数量],tbl_ledger[ロットID],$B13,tbl_ledger[元状態],L$1),
_xlpm.受入+_xlpm.充当受入-_xlpm.払出))</f>
        <v/>
      </c>
      <c r="M13" s="8" t="str">
        <f>IF($B13="","",_xlfn.LET(
_xlpm.受入,SUMIFS(tbl_ledger[数量],tbl_ledger[ロットID],$B13,tbl_ledger[イベント種類],"不良発生"),
_xlpm.充当受入,SUMIFS(tbl_ledger[数量],tbl_ledger[充当先ロットID],$B13,tbl_ledger[イベント種類],"充当",tbl_ledger[元状態],M$1),
_xlpm.払出,SUMIFS(tbl_ledger[数量],tbl_ledger[ロットID],$B13,tbl_ledger[元状態],M$1),
_xlpm.受入+_xlpm.充当受入-_xlpm.払出))</f>
        <v/>
      </c>
      <c r="N13" s="8" t="str">
        <f t="shared" si="1"/>
        <v/>
      </c>
    </row>
    <row r="14" spans="1:14" ht="15" customHeight="1" x14ac:dyDescent="0.25">
      <c r="A14" s="4" t="str">
        <f t="shared" si="0"/>
        <v/>
      </c>
      <c r="B14" s="4" t="str">
        <f>IFERROR(IF(COUNTIF($B$1:$B13,INDEX(tbl_plan[ロットID],ROW()-1))&gt;0,"",INDEX(tbl_plan[ロットID],ROW()-1)),"")</f>
        <v/>
      </c>
      <c r="C14" s="4" t="str">
        <f>IF($B14="","",INDEX(tbl_plan[localId],ROW()-1))</f>
        <v/>
      </c>
      <c r="D14" s="8" t="str">
        <f>IF($B14="","",_xlfn.LET(
_xlpm.割当受入,SUMIF(V_充足確認!$A$2:$A$301,$B14,V_充足確認!$F$2:$F$301),
_xlpm.充当受入,SUMIFS(tbl_ledger[数量],tbl_ledger[充当先ロットID],$B14,tbl_ledger[イベント種類],"充当",tbl_ledger[元状態],D$1),
_xlpm.払出,SUMIFS(tbl_ledger[数量],tbl_ledger[ロットID],$B14,tbl_ledger[元状態],D$1),
_xlpm.割当受入+_xlpm.充当受入-_xlpm.払出))</f>
        <v/>
      </c>
      <c r="E14" s="8" t="str">
        <f>IF($B14="","",_xlfn.LET(
_xlpm.受入,SUMIFS(tbl_ledger[数量],tbl_ledger[ロットID],$B14,tbl_ledger[イベント種類],"アニール開始"),
_xlpm.充当受入,SUMIFS(tbl_ledger[数量],tbl_ledger[充当先ロットID],$B14,tbl_ledger[イベント種類],"充当",tbl_ledger[元状態],E$1),
_xlpm.払出,SUMIFS(tbl_ledger[数量],tbl_ledger[ロットID],$B14,tbl_ledger[元状態],E$1),
_xlpm.受入+_xlpm.充当受入-_xlpm.払出))</f>
        <v/>
      </c>
      <c r="F14" s="8" t="str">
        <f>IF($B14="","",_xlfn.LET(
_xlpm.受入,SUMIFS(tbl_ledger[数量],tbl_ledger[ロットID],$B14,tbl_ledger[イベント種類],"アニール完了"),
_xlpm.充当受入,SUMIFS(tbl_ledger[数量],tbl_ledger[充当先ロットID],$B14,tbl_ledger[イベント種類],"充当",tbl_ledger[元状態],F$1),
_xlpm.払出,SUMIFS(tbl_ledger[数量],tbl_ledger[ロットID],$B14,tbl_ledger[元状態],F$1),
_xlpm.受入+_xlpm.充当受入-_xlpm.払出))</f>
        <v/>
      </c>
      <c r="G14" s="8" t="str">
        <f>IF($B14="","",_xlfn.LET(
_xlpm.受入,SUMIFS(tbl_ledger[数量],tbl_ledger[ロットID],$B14,tbl_ledger[イベント種類],"アセンブリ開始"),
_xlpm.充当受入,SUMIFS(tbl_ledger[数量],tbl_ledger[充当先ロットID],$B14,tbl_ledger[イベント種類],"充当",tbl_ledger[元状態],G$1),
_xlpm.払出,SUMIFS(tbl_ledger[数量],tbl_ledger[ロットID],$B14,tbl_ledger[元状態],G$1),
_xlpm.受入+_xlpm.充当受入-_xlpm.払出))</f>
        <v/>
      </c>
      <c r="H14" s="8" t="str">
        <f>IF($B14="","",_xlfn.LET(
_xlpm.受入,SUMIFS(tbl_ledger[数量],tbl_ledger[ロットID],$B14,tbl_ledger[イベント種類],"アセンブリ完了"),
_xlpm.充当受入,SUMIFS(tbl_ledger[数量],tbl_ledger[充当先ロットID],$B14,tbl_ledger[イベント種類],"充当",tbl_ledger[元状態],H$1),
_xlpm.払出,SUMIFS(tbl_ledger[数量],tbl_ledger[ロットID],$B14,tbl_ledger[元状態],H$1),
_xlpm.受入+_xlpm.充当受入-_xlpm.払出))</f>
        <v/>
      </c>
      <c r="I14" s="8" t="str">
        <f>IF($B14="","",_xlfn.LET(
_xlpm.受入,SUMIFS(tbl_ledger[数量],tbl_ledger[ロットID],$B14,tbl_ledger[イベント種類],"梱包開始"),
_xlpm.充当受入,SUMIFS(tbl_ledger[数量],tbl_ledger[充当先ロットID],$B14,tbl_ledger[イベント種類],"充当",tbl_ledger[元状態],I$1),
_xlpm.払出,SUMIFS(tbl_ledger[数量],tbl_ledger[ロットID],$B14,tbl_ledger[元状態],I$1),
_xlpm.受入+_xlpm.充当受入-_xlpm.払出))</f>
        <v/>
      </c>
      <c r="J14" s="8" t="str">
        <f>IF($B14="","",_xlfn.LET(
_xlpm.受入,SUMIFS(tbl_ledger[数量],tbl_ledger[ロットID],$B14,tbl_ledger[イベント種類],"梱包完了"),
_xlpm.充当受入,SUMIFS(tbl_ledger[数量],tbl_ledger[充当先ロットID],$B14,tbl_ledger[イベント種類],"充当",tbl_ledger[元状態],J$1),
_xlpm.払出,SUMIFS(tbl_ledger[数量],tbl_ledger[ロットID],$B14,tbl_ledger[元状態],J$1),
_xlpm.受入+_xlpm.充当受入-_xlpm.払出))</f>
        <v/>
      </c>
      <c r="K14" s="8" t="str">
        <f>IF($B14="","",_xlfn.LET(
_xlpm.受入,SUMIFS(tbl_ledger[数量],tbl_ledger[ロットID],$B14,tbl_ledger[イベント種類],"発送準備開始"),
_xlpm.充当受入,SUMIFS(tbl_ledger[数量],tbl_ledger[充当先ロットID],$B14,tbl_ledger[イベント種類],"充当",tbl_ledger[元状態],K$1),
_xlpm.払出,SUMIFS(tbl_ledger[数量],tbl_ledger[ロットID],$B14,tbl_ledger[元状態],K$1),
_xlpm.受入+_xlpm.充当受入-_xlpm.払出))</f>
        <v/>
      </c>
      <c r="L14" s="8" t="str">
        <f>IF($B14="","",_xlfn.LET(
_xlpm.受入,SUMIFS(tbl_ledger[数量],tbl_ledger[ロットID],$B14,tbl_ledger[イベント種類],"発送準備完了"),
_xlpm.充当受入,SUMIFS(tbl_ledger[数量],tbl_ledger[充当先ロットID],$B14,tbl_ledger[イベント種類],"充当",tbl_ledger[元状態],L$1),
_xlpm.払出,SUMIFS(tbl_ledger[数量],tbl_ledger[ロットID],$B14,tbl_ledger[元状態],L$1),
_xlpm.受入+_xlpm.充当受入-_xlpm.払出))</f>
        <v/>
      </c>
      <c r="M14" s="8" t="str">
        <f>IF($B14="","",_xlfn.LET(
_xlpm.受入,SUMIFS(tbl_ledger[数量],tbl_ledger[ロットID],$B14,tbl_ledger[イベント種類],"不良発生"),
_xlpm.充当受入,SUMIFS(tbl_ledger[数量],tbl_ledger[充当先ロットID],$B14,tbl_ledger[イベント種類],"充当",tbl_ledger[元状態],M$1),
_xlpm.払出,SUMIFS(tbl_ledger[数量],tbl_ledger[ロットID],$B14,tbl_ledger[元状態],M$1),
_xlpm.受入+_xlpm.充当受入-_xlpm.払出))</f>
        <v/>
      </c>
      <c r="N14" s="8" t="str">
        <f t="shared" si="1"/>
        <v/>
      </c>
    </row>
    <row r="15" spans="1:14" ht="15" customHeight="1" x14ac:dyDescent="0.25">
      <c r="A15" s="4" t="str">
        <f t="shared" si="0"/>
        <v/>
      </c>
      <c r="B15" s="4" t="str">
        <f>IFERROR(IF(COUNTIF($B$1:$B14,INDEX(tbl_plan[ロットID],ROW()-1))&gt;0,"",INDEX(tbl_plan[ロットID],ROW()-1)),"")</f>
        <v/>
      </c>
      <c r="C15" s="4" t="str">
        <f>IF($B15="","",INDEX(tbl_plan[localId],ROW()-1))</f>
        <v/>
      </c>
      <c r="D15" s="8" t="str">
        <f>IF($B15="","",_xlfn.LET(
_xlpm.割当受入,SUMIF(V_充足確認!$A$2:$A$301,$B15,V_充足確認!$F$2:$F$301),
_xlpm.充当受入,SUMIFS(tbl_ledger[数量],tbl_ledger[充当先ロットID],$B15,tbl_ledger[イベント種類],"充当",tbl_ledger[元状態],D$1),
_xlpm.払出,SUMIFS(tbl_ledger[数量],tbl_ledger[ロットID],$B15,tbl_ledger[元状態],D$1),
_xlpm.割当受入+_xlpm.充当受入-_xlpm.払出))</f>
        <v/>
      </c>
      <c r="E15" s="8" t="str">
        <f>IF($B15="","",_xlfn.LET(
_xlpm.受入,SUMIFS(tbl_ledger[数量],tbl_ledger[ロットID],$B15,tbl_ledger[イベント種類],"アニール開始"),
_xlpm.充当受入,SUMIFS(tbl_ledger[数量],tbl_ledger[充当先ロットID],$B15,tbl_ledger[イベント種類],"充当",tbl_ledger[元状態],E$1),
_xlpm.払出,SUMIFS(tbl_ledger[数量],tbl_ledger[ロットID],$B15,tbl_ledger[元状態],E$1),
_xlpm.受入+_xlpm.充当受入-_xlpm.払出))</f>
        <v/>
      </c>
      <c r="F15" s="8" t="str">
        <f>IF($B15="","",_xlfn.LET(
_xlpm.受入,SUMIFS(tbl_ledger[数量],tbl_ledger[ロットID],$B15,tbl_ledger[イベント種類],"アニール完了"),
_xlpm.充当受入,SUMIFS(tbl_ledger[数量],tbl_ledger[充当先ロットID],$B15,tbl_ledger[イベント種類],"充当",tbl_ledger[元状態],F$1),
_xlpm.払出,SUMIFS(tbl_ledger[数量],tbl_ledger[ロットID],$B15,tbl_ledger[元状態],F$1),
_xlpm.受入+_xlpm.充当受入-_xlpm.払出))</f>
        <v/>
      </c>
      <c r="G15" s="8" t="str">
        <f>IF($B15="","",_xlfn.LET(
_xlpm.受入,SUMIFS(tbl_ledger[数量],tbl_ledger[ロットID],$B15,tbl_ledger[イベント種類],"アセンブリ開始"),
_xlpm.充当受入,SUMIFS(tbl_ledger[数量],tbl_ledger[充当先ロットID],$B15,tbl_ledger[イベント種類],"充当",tbl_ledger[元状態],G$1),
_xlpm.払出,SUMIFS(tbl_ledger[数量],tbl_ledger[ロットID],$B15,tbl_ledger[元状態],G$1),
_xlpm.受入+_xlpm.充当受入-_xlpm.払出))</f>
        <v/>
      </c>
      <c r="H15" s="8" t="str">
        <f>IF($B15="","",_xlfn.LET(
_xlpm.受入,SUMIFS(tbl_ledger[数量],tbl_ledger[ロットID],$B15,tbl_ledger[イベント種類],"アセンブリ完了"),
_xlpm.充当受入,SUMIFS(tbl_ledger[数量],tbl_ledger[充当先ロットID],$B15,tbl_ledger[イベント種類],"充当",tbl_ledger[元状態],H$1),
_xlpm.払出,SUMIFS(tbl_ledger[数量],tbl_ledger[ロットID],$B15,tbl_ledger[元状態],H$1),
_xlpm.受入+_xlpm.充当受入-_xlpm.払出))</f>
        <v/>
      </c>
      <c r="I15" s="8" t="str">
        <f>IF($B15="","",_xlfn.LET(
_xlpm.受入,SUMIFS(tbl_ledger[数量],tbl_ledger[ロットID],$B15,tbl_ledger[イベント種類],"梱包開始"),
_xlpm.充当受入,SUMIFS(tbl_ledger[数量],tbl_ledger[充当先ロットID],$B15,tbl_ledger[イベント種類],"充当",tbl_ledger[元状態],I$1),
_xlpm.払出,SUMIFS(tbl_ledger[数量],tbl_ledger[ロットID],$B15,tbl_ledger[元状態],I$1),
_xlpm.受入+_xlpm.充当受入-_xlpm.払出))</f>
        <v/>
      </c>
      <c r="J15" s="8" t="str">
        <f>IF($B15="","",_xlfn.LET(
_xlpm.受入,SUMIFS(tbl_ledger[数量],tbl_ledger[ロットID],$B15,tbl_ledger[イベント種類],"梱包完了"),
_xlpm.充当受入,SUMIFS(tbl_ledger[数量],tbl_ledger[充当先ロットID],$B15,tbl_ledger[イベント種類],"充当",tbl_ledger[元状態],J$1),
_xlpm.払出,SUMIFS(tbl_ledger[数量],tbl_ledger[ロットID],$B15,tbl_ledger[元状態],J$1),
_xlpm.受入+_xlpm.充当受入-_xlpm.払出))</f>
        <v/>
      </c>
      <c r="K15" s="8" t="str">
        <f>IF($B15="","",_xlfn.LET(
_xlpm.受入,SUMIFS(tbl_ledger[数量],tbl_ledger[ロットID],$B15,tbl_ledger[イベント種類],"発送準備開始"),
_xlpm.充当受入,SUMIFS(tbl_ledger[数量],tbl_ledger[充当先ロットID],$B15,tbl_ledger[イベント種類],"充当",tbl_ledger[元状態],K$1),
_xlpm.払出,SUMIFS(tbl_ledger[数量],tbl_ledger[ロットID],$B15,tbl_ledger[元状態],K$1),
_xlpm.受入+_xlpm.充当受入-_xlpm.払出))</f>
        <v/>
      </c>
      <c r="L15" s="8" t="str">
        <f>IF($B15="","",_xlfn.LET(
_xlpm.受入,SUMIFS(tbl_ledger[数量],tbl_ledger[ロットID],$B15,tbl_ledger[イベント種類],"発送準備完了"),
_xlpm.充当受入,SUMIFS(tbl_ledger[数量],tbl_ledger[充当先ロットID],$B15,tbl_ledger[イベント種類],"充当",tbl_ledger[元状態],L$1),
_xlpm.払出,SUMIFS(tbl_ledger[数量],tbl_ledger[ロットID],$B15,tbl_ledger[元状態],L$1),
_xlpm.受入+_xlpm.充当受入-_xlpm.払出))</f>
        <v/>
      </c>
      <c r="M15" s="8" t="str">
        <f>IF($B15="","",_xlfn.LET(
_xlpm.受入,SUMIFS(tbl_ledger[数量],tbl_ledger[ロットID],$B15,tbl_ledger[イベント種類],"不良発生"),
_xlpm.充当受入,SUMIFS(tbl_ledger[数量],tbl_ledger[充当先ロットID],$B15,tbl_ledger[イベント種類],"充当",tbl_ledger[元状態],M$1),
_xlpm.払出,SUMIFS(tbl_ledger[数量],tbl_ledger[ロットID],$B15,tbl_ledger[元状態],M$1),
_xlpm.受入+_xlpm.充当受入-_xlpm.払出))</f>
        <v/>
      </c>
      <c r="N15" s="8" t="str">
        <f t="shared" si="1"/>
        <v/>
      </c>
    </row>
    <row r="16" spans="1:14" ht="15" customHeight="1" x14ac:dyDescent="0.25">
      <c r="A16" s="4" t="str">
        <f t="shared" si="0"/>
        <v/>
      </c>
      <c r="B16" s="4" t="str">
        <f>IFERROR(IF(COUNTIF($B$1:$B15,INDEX(tbl_plan[ロットID],ROW()-1))&gt;0,"",INDEX(tbl_plan[ロットID],ROW()-1)),"")</f>
        <v/>
      </c>
      <c r="C16" s="4" t="str">
        <f>IF($B16="","",INDEX(tbl_plan[localId],ROW()-1))</f>
        <v/>
      </c>
      <c r="D16" s="8" t="str">
        <f>IF($B16="","",_xlfn.LET(
_xlpm.割当受入,SUMIF(V_充足確認!$A$2:$A$301,$B16,V_充足確認!$F$2:$F$301),
_xlpm.充当受入,SUMIFS(tbl_ledger[数量],tbl_ledger[充当先ロットID],$B16,tbl_ledger[イベント種類],"充当",tbl_ledger[元状態],D$1),
_xlpm.払出,SUMIFS(tbl_ledger[数量],tbl_ledger[ロットID],$B16,tbl_ledger[元状態],D$1),
_xlpm.割当受入+_xlpm.充当受入-_xlpm.払出))</f>
        <v/>
      </c>
      <c r="E16" s="8" t="str">
        <f>IF($B16="","",_xlfn.LET(
_xlpm.受入,SUMIFS(tbl_ledger[数量],tbl_ledger[ロットID],$B16,tbl_ledger[イベント種類],"アニール開始"),
_xlpm.充当受入,SUMIFS(tbl_ledger[数量],tbl_ledger[充当先ロットID],$B16,tbl_ledger[イベント種類],"充当",tbl_ledger[元状態],E$1),
_xlpm.払出,SUMIFS(tbl_ledger[数量],tbl_ledger[ロットID],$B16,tbl_ledger[元状態],E$1),
_xlpm.受入+_xlpm.充当受入-_xlpm.払出))</f>
        <v/>
      </c>
      <c r="F16" s="8" t="str">
        <f>IF($B16="","",_xlfn.LET(
_xlpm.受入,SUMIFS(tbl_ledger[数量],tbl_ledger[ロットID],$B16,tbl_ledger[イベント種類],"アニール完了"),
_xlpm.充当受入,SUMIFS(tbl_ledger[数量],tbl_ledger[充当先ロットID],$B16,tbl_ledger[イベント種類],"充当",tbl_ledger[元状態],F$1),
_xlpm.払出,SUMIFS(tbl_ledger[数量],tbl_ledger[ロットID],$B16,tbl_ledger[元状態],F$1),
_xlpm.受入+_xlpm.充当受入-_xlpm.払出))</f>
        <v/>
      </c>
      <c r="G16" s="8" t="str">
        <f>IF($B16="","",_xlfn.LET(
_xlpm.受入,SUMIFS(tbl_ledger[数量],tbl_ledger[ロットID],$B16,tbl_ledger[イベント種類],"アセンブリ開始"),
_xlpm.充当受入,SUMIFS(tbl_ledger[数量],tbl_ledger[充当先ロットID],$B16,tbl_ledger[イベント種類],"充当",tbl_ledger[元状態],G$1),
_xlpm.払出,SUMIFS(tbl_ledger[数量],tbl_ledger[ロットID],$B16,tbl_ledger[元状態],G$1),
_xlpm.受入+_xlpm.充当受入-_xlpm.払出))</f>
        <v/>
      </c>
      <c r="H16" s="8" t="str">
        <f>IF($B16="","",_xlfn.LET(
_xlpm.受入,SUMIFS(tbl_ledger[数量],tbl_ledger[ロットID],$B16,tbl_ledger[イベント種類],"アセンブリ完了"),
_xlpm.充当受入,SUMIFS(tbl_ledger[数量],tbl_ledger[充当先ロットID],$B16,tbl_ledger[イベント種類],"充当",tbl_ledger[元状態],H$1),
_xlpm.払出,SUMIFS(tbl_ledger[数量],tbl_ledger[ロットID],$B16,tbl_ledger[元状態],H$1),
_xlpm.受入+_xlpm.充当受入-_xlpm.払出))</f>
        <v/>
      </c>
      <c r="I16" s="8" t="str">
        <f>IF($B16="","",_xlfn.LET(
_xlpm.受入,SUMIFS(tbl_ledger[数量],tbl_ledger[ロットID],$B16,tbl_ledger[イベント種類],"梱包開始"),
_xlpm.充当受入,SUMIFS(tbl_ledger[数量],tbl_ledger[充当先ロットID],$B16,tbl_ledger[イベント種類],"充当",tbl_ledger[元状態],I$1),
_xlpm.払出,SUMIFS(tbl_ledger[数量],tbl_ledger[ロットID],$B16,tbl_ledger[元状態],I$1),
_xlpm.受入+_xlpm.充当受入-_xlpm.払出))</f>
        <v/>
      </c>
      <c r="J16" s="8" t="str">
        <f>IF($B16="","",_xlfn.LET(
_xlpm.受入,SUMIFS(tbl_ledger[数量],tbl_ledger[ロットID],$B16,tbl_ledger[イベント種類],"梱包完了"),
_xlpm.充当受入,SUMIFS(tbl_ledger[数量],tbl_ledger[充当先ロットID],$B16,tbl_ledger[イベント種類],"充当",tbl_ledger[元状態],J$1),
_xlpm.払出,SUMIFS(tbl_ledger[数量],tbl_ledger[ロットID],$B16,tbl_ledger[元状態],J$1),
_xlpm.受入+_xlpm.充当受入-_xlpm.払出))</f>
        <v/>
      </c>
      <c r="K16" s="8" t="str">
        <f>IF($B16="","",_xlfn.LET(
_xlpm.受入,SUMIFS(tbl_ledger[数量],tbl_ledger[ロットID],$B16,tbl_ledger[イベント種類],"発送準備開始"),
_xlpm.充当受入,SUMIFS(tbl_ledger[数量],tbl_ledger[充当先ロットID],$B16,tbl_ledger[イベント種類],"充当",tbl_ledger[元状態],K$1),
_xlpm.払出,SUMIFS(tbl_ledger[数量],tbl_ledger[ロットID],$B16,tbl_ledger[元状態],K$1),
_xlpm.受入+_xlpm.充当受入-_xlpm.払出))</f>
        <v/>
      </c>
      <c r="L16" s="8" t="str">
        <f>IF($B16="","",_xlfn.LET(
_xlpm.受入,SUMIFS(tbl_ledger[数量],tbl_ledger[ロットID],$B16,tbl_ledger[イベント種類],"発送準備完了"),
_xlpm.充当受入,SUMIFS(tbl_ledger[数量],tbl_ledger[充当先ロットID],$B16,tbl_ledger[イベント種類],"充当",tbl_ledger[元状態],L$1),
_xlpm.払出,SUMIFS(tbl_ledger[数量],tbl_ledger[ロットID],$B16,tbl_ledger[元状態],L$1),
_xlpm.受入+_xlpm.充当受入-_xlpm.払出))</f>
        <v/>
      </c>
      <c r="M16" s="8" t="str">
        <f>IF($B16="","",_xlfn.LET(
_xlpm.受入,SUMIFS(tbl_ledger[数量],tbl_ledger[ロットID],$B16,tbl_ledger[イベント種類],"不良発生"),
_xlpm.充当受入,SUMIFS(tbl_ledger[数量],tbl_ledger[充当先ロットID],$B16,tbl_ledger[イベント種類],"充当",tbl_ledger[元状態],M$1),
_xlpm.払出,SUMIFS(tbl_ledger[数量],tbl_ledger[ロットID],$B16,tbl_ledger[元状態],M$1),
_xlpm.受入+_xlpm.充当受入-_xlpm.払出))</f>
        <v/>
      </c>
      <c r="N16" s="8" t="str">
        <f t="shared" si="1"/>
        <v/>
      </c>
    </row>
    <row r="17" spans="1:14" ht="15" customHeight="1" x14ac:dyDescent="0.25">
      <c r="A17" s="4" t="str">
        <f t="shared" si="0"/>
        <v/>
      </c>
      <c r="B17" s="4" t="str">
        <f>IFERROR(IF(COUNTIF($B$1:$B16,INDEX(tbl_plan[ロットID],ROW()-1))&gt;0,"",INDEX(tbl_plan[ロットID],ROW()-1)),"")</f>
        <v/>
      </c>
      <c r="C17" s="4" t="str">
        <f>IF($B17="","",INDEX(tbl_plan[localId],ROW()-1))</f>
        <v/>
      </c>
      <c r="D17" s="8" t="str">
        <f>IF($B17="","",_xlfn.LET(
_xlpm.割当受入,SUMIF(V_充足確認!$A$2:$A$301,$B17,V_充足確認!$F$2:$F$301),
_xlpm.充当受入,SUMIFS(tbl_ledger[数量],tbl_ledger[充当先ロットID],$B17,tbl_ledger[イベント種類],"充当",tbl_ledger[元状態],D$1),
_xlpm.払出,SUMIFS(tbl_ledger[数量],tbl_ledger[ロットID],$B17,tbl_ledger[元状態],D$1),
_xlpm.割当受入+_xlpm.充当受入-_xlpm.払出))</f>
        <v/>
      </c>
      <c r="E17" s="8" t="str">
        <f>IF($B17="","",_xlfn.LET(
_xlpm.受入,SUMIFS(tbl_ledger[数量],tbl_ledger[ロットID],$B17,tbl_ledger[イベント種類],"アニール開始"),
_xlpm.充当受入,SUMIFS(tbl_ledger[数量],tbl_ledger[充当先ロットID],$B17,tbl_ledger[イベント種類],"充当",tbl_ledger[元状態],E$1),
_xlpm.払出,SUMIFS(tbl_ledger[数量],tbl_ledger[ロットID],$B17,tbl_ledger[元状態],E$1),
_xlpm.受入+_xlpm.充当受入-_xlpm.払出))</f>
        <v/>
      </c>
      <c r="F17" s="8" t="str">
        <f>IF($B17="","",_xlfn.LET(
_xlpm.受入,SUMIFS(tbl_ledger[数量],tbl_ledger[ロットID],$B17,tbl_ledger[イベント種類],"アニール完了"),
_xlpm.充当受入,SUMIFS(tbl_ledger[数量],tbl_ledger[充当先ロットID],$B17,tbl_ledger[イベント種類],"充当",tbl_ledger[元状態],F$1),
_xlpm.払出,SUMIFS(tbl_ledger[数量],tbl_ledger[ロットID],$B17,tbl_ledger[元状態],F$1),
_xlpm.受入+_xlpm.充当受入-_xlpm.払出))</f>
        <v/>
      </c>
      <c r="G17" s="8" t="str">
        <f>IF($B17="","",_xlfn.LET(
_xlpm.受入,SUMIFS(tbl_ledger[数量],tbl_ledger[ロットID],$B17,tbl_ledger[イベント種類],"アセンブリ開始"),
_xlpm.充当受入,SUMIFS(tbl_ledger[数量],tbl_ledger[充当先ロットID],$B17,tbl_ledger[イベント種類],"充当",tbl_ledger[元状態],G$1),
_xlpm.払出,SUMIFS(tbl_ledger[数量],tbl_ledger[ロットID],$B17,tbl_ledger[元状態],G$1),
_xlpm.受入+_xlpm.充当受入-_xlpm.払出))</f>
        <v/>
      </c>
      <c r="H17" s="8" t="str">
        <f>IF($B17="","",_xlfn.LET(
_xlpm.受入,SUMIFS(tbl_ledger[数量],tbl_ledger[ロットID],$B17,tbl_ledger[イベント種類],"アセンブリ完了"),
_xlpm.充当受入,SUMIFS(tbl_ledger[数量],tbl_ledger[充当先ロットID],$B17,tbl_ledger[イベント種類],"充当",tbl_ledger[元状態],H$1),
_xlpm.払出,SUMIFS(tbl_ledger[数量],tbl_ledger[ロットID],$B17,tbl_ledger[元状態],H$1),
_xlpm.受入+_xlpm.充当受入-_xlpm.払出))</f>
        <v/>
      </c>
      <c r="I17" s="8" t="str">
        <f>IF($B17="","",_xlfn.LET(
_xlpm.受入,SUMIFS(tbl_ledger[数量],tbl_ledger[ロットID],$B17,tbl_ledger[イベント種類],"梱包開始"),
_xlpm.充当受入,SUMIFS(tbl_ledger[数量],tbl_ledger[充当先ロットID],$B17,tbl_ledger[イベント種類],"充当",tbl_ledger[元状態],I$1),
_xlpm.払出,SUMIFS(tbl_ledger[数量],tbl_ledger[ロットID],$B17,tbl_ledger[元状態],I$1),
_xlpm.受入+_xlpm.充当受入-_xlpm.払出))</f>
        <v/>
      </c>
      <c r="J17" s="8" t="str">
        <f>IF($B17="","",_xlfn.LET(
_xlpm.受入,SUMIFS(tbl_ledger[数量],tbl_ledger[ロットID],$B17,tbl_ledger[イベント種類],"梱包完了"),
_xlpm.充当受入,SUMIFS(tbl_ledger[数量],tbl_ledger[充当先ロットID],$B17,tbl_ledger[イベント種類],"充当",tbl_ledger[元状態],J$1),
_xlpm.払出,SUMIFS(tbl_ledger[数量],tbl_ledger[ロットID],$B17,tbl_ledger[元状態],J$1),
_xlpm.受入+_xlpm.充当受入-_xlpm.払出))</f>
        <v/>
      </c>
      <c r="K17" s="8" t="str">
        <f>IF($B17="","",_xlfn.LET(
_xlpm.受入,SUMIFS(tbl_ledger[数量],tbl_ledger[ロットID],$B17,tbl_ledger[イベント種類],"発送準備開始"),
_xlpm.充当受入,SUMIFS(tbl_ledger[数量],tbl_ledger[充当先ロットID],$B17,tbl_ledger[イベント種類],"充当",tbl_ledger[元状態],K$1),
_xlpm.払出,SUMIFS(tbl_ledger[数量],tbl_ledger[ロットID],$B17,tbl_ledger[元状態],K$1),
_xlpm.受入+_xlpm.充当受入-_xlpm.払出))</f>
        <v/>
      </c>
      <c r="L17" s="8" t="str">
        <f>IF($B17="","",_xlfn.LET(
_xlpm.受入,SUMIFS(tbl_ledger[数量],tbl_ledger[ロットID],$B17,tbl_ledger[イベント種類],"発送準備完了"),
_xlpm.充当受入,SUMIFS(tbl_ledger[数量],tbl_ledger[充当先ロットID],$B17,tbl_ledger[イベント種類],"充当",tbl_ledger[元状態],L$1),
_xlpm.払出,SUMIFS(tbl_ledger[数量],tbl_ledger[ロットID],$B17,tbl_ledger[元状態],L$1),
_xlpm.受入+_xlpm.充当受入-_xlpm.払出))</f>
        <v/>
      </c>
      <c r="M17" s="8" t="str">
        <f>IF($B17="","",_xlfn.LET(
_xlpm.受入,SUMIFS(tbl_ledger[数量],tbl_ledger[ロットID],$B17,tbl_ledger[イベント種類],"不良発生"),
_xlpm.充当受入,SUMIFS(tbl_ledger[数量],tbl_ledger[充当先ロットID],$B17,tbl_ledger[イベント種類],"充当",tbl_ledger[元状態],M$1),
_xlpm.払出,SUMIFS(tbl_ledger[数量],tbl_ledger[ロットID],$B17,tbl_ledger[元状態],M$1),
_xlpm.受入+_xlpm.充当受入-_xlpm.払出))</f>
        <v/>
      </c>
      <c r="N17" s="8" t="str">
        <f t="shared" si="1"/>
        <v/>
      </c>
    </row>
    <row r="18" spans="1:14" ht="15" customHeight="1" x14ac:dyDescent="0.25">
      <c r="A18" s="4" t="str">
        <f t="shared" si="0"/>
        <v/>
      </c>
      <c r="B18" s="4" t="str">
        <f>IFERROR(IF(COUNTIF($B$1:$B17,INDEX(tbl_plan[ロットID],ROW()-1))&gt;0,"",INDEX(tbl_plan[ロットID],ROW()-1)),"")</f>
        <v/>
      </c>
      <c r="C18" s="4" t="str">
        <f>IF($B18="","",INDEX(tbl_plan[localId],ROW()-1))</f>
        <v/>
      </c>
      <c r="D18" s="8" t="str">
        <f>IF($B18="","",_xlfn.LET(
_xlpm.割当受入,SUMIF(V_充足確認!$A$2:$A$301,$B18,V_充足確認!$F$2:$F$301),
_xlpm.充当受入,SUMIFS(tbl_ledger[数量],tbl_ledger[充当先ロットID],$B18,tbl_ledger[イベント種類],"充当",tbl_ledger[元状態],D$1),
_xlpm.払出,SUMIFS(tbl_ledger[数量],tbl_ledger[ロットID],$B18,tbl_ledger[元状態],D$1),
_xlpm.割当受入+_xlpm.充当受入-_xlpm.払出))</f>
        <v/>
      </c>
      <c r="E18" s="8" t="str">
        <f>IF($B18="","",_xlfn.LET(
_xlpm.受入,SUMIFS(tbl_ledger[数量],tbl_ledger[ロットID],$B18,tbl_ledger[イベント種類],"アニール開始"),
_xlpm.充当受入,SUMIFS(tbl_ledger[数量],tbl_ledger[充当先ロットID],$B18,tbl_ledger[イベント種類],"充当",tbl_ledger[元状態],E$1),
_xlpm.払出,SUMIFS(tbl_ledger[数量],tbl_ledger[ロットID],$B18,tbl_ledger[元状態],E$1),
_xlpm.受入+_xlpm.充当受入-_xlpm.払出))</f>
        <v/>
      </c>
      <c r="F18" s="8" t="str">
        <f>IF($B18="","",_xlfn.LET(
_xlpm.受入,SUMIFS(tbl_ledger[数量],tbl_ledger[ロットID],$B18,tbl_ledger[イベント種類],"アニール完了"),
_xlpm.充当受入,SUMIFS(tbl_ledger[数量],tbl_ledger[充当先ロットID],$B18,tbl_ledger[イベント種類],"充当",tbl_ledger[元状態],F$1),
_xlpm.払出,SUMIFS(tbl_ledger[数量],tbl_ledger[ロットID],$B18,tbl_ledger[元状態],F$1),
_xlpm.受入+_xlpm.充当受入-_xlpm.払出))</f>
        <v/>
      </c>
      <c r="G18" s="8" t="str">
        <f>IF($B18="","",_xlfn.LET(
_xlpm.受入,SUMIFS(tbl_ledger[数量],tbl_ledger[ロットID],$B18,tbl_ledger[イベント種類],"アセンブリ開始"),
_xlpm.充当受入,SUMIFS(tbl_ledger[数量],tbl_ledger[充当先ロットID],$B18,tbl_ledger[イベント種類],"充当",tbl_ledger[元状態],G$1),
_xlpm.払出,SUMIFS(tbl_ledger[数量],tbl_ledger[ロットID],$B18,tbl_ledger[元状態],G$1),
_xlpm.受入+_xlpm.充当受入-_xlpm.払出))</f>
        <v/>
      </c>
      <c r="H18" s="8" t="str">
        <f>IF($B18="","",_xlfn.LET(
_xlpm.受入,SUMIFS(tbl_ledger[数量],tbl_ledger[ロットID],$B18,tbl_ledger[イベント種類],"アセンブリ完了"),
_xlpm.充当受入,SUMIFS(tbl_ledger[数量],tbl_ledger[充当先ロットID],$B18,tbl_ledger[イベント種類],"充当",tbl_ledger[元状態],H$1),
_xlpm.払出,SUMIFS(tbl_ledger[数量],tbl_ledger[ロットID],$B18,tbl_ledger[元状態],H$1),
_xlpm.受入+_xlpm.充当受入-_xlpm.払出))</f>
        <v/>
      </c>
      <c r="I18" s="8" t="str">
        <f>IF($B18="","",_xlfn.LET(
_xlpm.受入,SUMIFS(tbl_ledger[数量],tbl_ledger[ロットID],$B18,tbl_ledger[イベント種類],"梱包開始"),
_xlpm.充当受入,SUMIFS(tbl_ledger[数量],tbl_ledger[充当先ロットID],$B18,tbl_ledger[イベント種類],"充当",tbl_ledger[元状態],I$1),
_xlpm.払出,SUMIFS(tbl_ledger[数量],tbl_ledger[ロットID],$B18,tbl_ledger[元状態],I$1),
_xlpm.受入+_xlpm.充当受入-_xlpm.払出))</f>
        <v/>
      </c>
      <c r="J18" s="8" t="str">
        <f>IF($B18="","",_xlfn.LET(
_xlpm.受入,SUMIFS(tbl_ledger[数量],tbl_ledger[ロットID],$B18,tbl_ledger[イベント種類],"梱包完了"),
_xlpm.充当受入,SUMIFS(tbl_ledger[数量],tbl_ledger[充当先ロットID],$B18,tbl_ledger[イベント種類],"充当",tbl_ledger[元状態],J$1),
_xlpm.払出,SUMIFS(tbl_ledger[数量],tbl_ledger[ロットID],$B18,tbl_ledger[元状態],J$1),
_xlpm.受入+_xlpm.充当受入-_xlpm.払出))</f>
        <v/>
      </c>
      <c r="K18" s="8" t="str">
        <f>IF($B18="","",_xlfn.LET(
_xlpm.受入,SUMIFS(tbl_ledger[数量],tbl_ledger[ロットID],$B18,tbl_ledger[イベント種類],"発送準備開始"),
_xlpm.充当受入,SUMIFS(tbl_ledger[数量],tbl_ledger[充当先ロットID],$B18,tbl_ledger[イベント種類],"充当",tbl_ledger[元状態],K$1),
_xlpm.払出,SUMIFS(tbl_ledger[数量],tbl_ledger[ロットID],$B18,tbl_ledger[元状態],K$1),
_xlpm.受入+_xlpm.充当受入-_xlpm.払出))</f>
        <v/>
      </c>
      <c r="L18" s="8" t="str">
        <f>IF($B18="","",_xlfn.LET(
_xlpm.受入,SUMIFS(tbl_ledger[数量],tbl_ledger[ロットID],$B18,tbl_ledger[イベント種類],"発送準備完了"),
_xlpm.充当受入,SUMIFS(tbl_ledger[数量],tbl_ledger[充当先ロットID],$B18,tbl_ledger[イベント種類],"充当",tbl_ledger[元状態],L$1),
_xlpm.払出,SUMIFS(tbl_ledger[数量],tbl_ledger[ロットID],$B18,tbl_ledger[元状態],L$1),
_xlpm.受入+_xlpm.充当受入-_xlpm.払出))</f>
        <v/>
      </c>
      <c r="M18" s="8" t="str">
        <f>IF($B18="","",_xlfn.LET(
_xlpm.受入,SUMIFS(tbl_ledger[数量],tbl_ledger[ロットID],$B18,tbl_ledger[イベント種類],"不良発生"),
_xlpm.充当受入,SUMIFS(tbl_ledger[数量],tbl_ledger[充当先ロットID],$B18,tbl_ledger[イベント種類],"充当",tbl_ledger[元状態],M$1),
_xlpm.払出,SUMIFS(tbl_ledger[数量],tbl_ledger[ロットID],$B18,tbl_ledger[元状態],M$1),
_xlpm.受入+_xlpm.充当受入-_xlpm.払出))</f>
        <v/>
      </c>
      <c r="N18" s="8" t="str">
        <f t="shared" si="1"/>
        <v/>
      </c>
    </row>
    <row r="19" spans="1:14" ht="15" customHeight="1" x14ac:dyDescent="0.25">
      <c r="A19" s="4" t="str">
        <f t="shared" si="0"/>
        <v/>
      </c>
      <c r="B19" s="4" t="str">
        <f>IFERROR(IF(COUNTIF($B$1:$B18,INDEX(tbl_plan[ロットID],ROW()-1))&gt;0,"",INDEX(tbl_plan[ロットID],ROW()-1)),"")</f>
        <v/>
      </c>
      <c r="C19" s="4" t="str">
        <f>IF($B19="","",INDEX(tbl_plan[localId],ROW()-1))</f>
        <v/>
      </c>
      <c r="D19" s="8" t="str">
        <f>IF($B19="","",_xlfn.LET(
_xlpm.割当受入,SUMIF(V_充足確認!$A$2:$A$301,$B19,V_充足確認!$F$2:$F$301),
_xlpm.充当受入,SUMIFS(tbl_ledger[数量],tbl_ledger[充当先ロットID],$B19,tbl_ledger[イベント種類],"充当",tbl_ledger[元状態],D$1),
_xlpm.払出,SUMIFS(tbl_ledger[数量],tbl_ledger[ロットID],$B19,tbl_ledger[元状態],D$1),
_xlpm.割当受入+_xlpm.充当受入-_xlpm.払出))</f>
        <v/>
      </c>
      <c r="E19" s="8" t="str">
        <f>IF($B19="","",_xlfn.LET(
_xlpm.受入,SUMIFS(tbl_ledger[数量],tbl_ledger[ロットID],$B19,tbl_ledger[イベント種類],"アニール開始"),
_xlpm.充当受入,SUMIFS(tbl_ledger[数量],tbl_ledger[充当先ロットID],$B19,tbl_ledger[イベント種類],"充当",tbl_ledger[元状態],E$1),
_xlpm.払出,SUMIFS(tbl_ledger[数量],tbl_ledger[ロットID],$B19,tbl_ledger[元状態],E$1),
_xlpm.受入+_xlpm.充当受入-_xlpm.払出))</f>
        <v/>
      </c>
      <c r="F19" s="8" t="str">
        <f>IF($B19="","",_xlfn.LET(
_xlpm.受入,SUMIFS(tbl_ledger[数量],tbl_ledger[ロットID],$B19,tbl_ledger[イベント種類],"アニール完了"),
_xlpm.充当受入,SUMIFS(tbl_ledger[数量],tbl_ledger[充当先ロットID],$B19,tbl_ledger[イベント種類],"充当",tbl_ledger[元状態],F$1),
_xlpm.払出,SUMIFS(tbl_ledger[数量],tbl_ledger[ロットID],$B19,tbl_ledger[元状態],F$1),
_xlpm.受入+_xlpm.充当受入-_xlpm.払出))</f>
        <v/>
      </c>
      <c r="G19" s="8" t="str">
        <f>IF($B19="","",_xlfn.LET(
_xlpm.受入,SUMIFS(tbl_ledger[数量],tbl_ledger[ロットID],$B19,tbl_ledger[イベント種類],"アセンブリ開始"),
_xlpm.充当受入,SUMIFS(tbl_ledger[数量],tbl_ledger[充当先ロットID],$B19,tbl_ledger[イベント種類],"充当",tbl_ledger[元状態],G$1),
_xlpm.払出,SUMIFS(tbl_ledger[数量],tbl_ledger[ロットID],$B19,tbl_ledger[元状態],G$1),
_xlpm.受入+_xlpm.充当受入-_xlpm.払出))</f>
        <v/>
      </c>
      <c r="H19" s="8" t="str">
        <f>IF($B19="","",_xlfn.LET(
_xlpm.受入,SUMIFS(tbl_ledger[数量],tbl_ledger[ロットID],$B19,tbl_ledger[イベント種類],"アセンブリ完了"),
_xlpm.充当受入,SUMIFS(tbl_ledger[数量],tbl_ledger[充当先ロットID],$B19,tbl_ledger[イベント種類],"充当",tbl_ledger[元状態],H$1),
_xlpm.払出,SUMIFS(tbl_ledger[数量],tbl_ledger[ロットID],$B19,tbl_ledger[元状態],H$1),
_xlpm.受入+_xlpm.充当受入-_xlpm.払出))</f>
        <v/>
      </c>
      <c r="I19" s="8" t="str">
        <f>IF($B19="","",_xlfn.LET(
_xlpm.受入,SUMIFS(tbl_ledger[数量],tbl_ledger[ロットID],$B19,tbl_ledger[イベント種類],"梱包開始"),
_xlpm.充当受入,SUMIFS(tbl_ledger[数量],tbl_ledger[充当先ロットID],$B19,tbl_ledger[イベント種類],"充当",tbl_ledger[元状態],I$1),
_xlpm.払出,SUMIFS(tbl_ledger[数量],tbl_ledger[ロットID],$B19,tbl_ledger[元状態],I$1),
_xlpm.受入+_xlpm.充当受入-_xlpm.払出))</f>
        <v/>
      </c>
      <c r="J19" s="8" t="str">
        <f>IF($B19="","",_xlfn.LET(
_xlpm.受入,SUMIFS(tbl_ledger[数量],tbl_ledger[ロットID],$B19,tbl_ledger[イベント種類],"梱包完了"),
_xlpm.充当受入,SUMIFS(tbl_ledger[数量],tbl_ledger[充当先ロットID],$B19,tbl_ledger[イベント種類],"充当",tbl_ledger[元状態],J$1),
_xlpm.払出,SUMIFS(tbl_ledger[数量],tbl_ledger[ロットID],$B19,tbl_ledger[元状態],J$1),
_xlpm.受入+_xlpm.充当受入-_xlpm.払出))</f>
        <v/>
      </c>
      <c r="K19" s="8" t="str">
        <f>IF($B19="","",_xlfn.LET(
_xlpm.受入,SUMIFS(tbl_ledger[数量],tbl_ledger[ロットID],$B19,tbl_ledger[イベント種類],"発送準備開始"),
_xlpm.充当受入,SUMIFS(tbl_ledger[数量],tbl_ledger[充当先ロットID],$B19,tbl_ledger[イベント種類],"充当",tbl_ledger[元状態],K$1),
_xlpm.払出,SUMIFS(tbl_ledger[数量],tbl_ledger[ロットID],$B19,tbl_ledger[元状態],K$1),
_xlpm.受入+_xlpm.充当受入-_xlpm.払出))</f>
        <v/>
      </c>
      <c r="L19" s="8" t="str">
        <f>IF($B19="","",_xlfn.LET(
_xlpm.受入,SUMIFS(tbl_ledger[数量],tbl_ledger[ロットID],$B19,tbl_ledger[イベント種類],"発送準備完了"),
_xlpm.充当受入,SUMIFS(tbl_ledger[数量],tbl_ledger[充当先ロットID],$B19,tbl_ledger[イベント種類],"充当",tbl_ledger[元状態],L$1),
_xlpm.払出,SUMIFS(tbl_ledger[数量],tbl_ledger[ロットID],$B19,tbl_ledger[元状態],L$1),
_xlpm.受入+_xlpm.充当受入-_xlpm.払出))</f>
        <v/>
      </c>
      <c r="M19" s="8" t="str">
        <f>IF($B19="","",_xlfn.LET(
_xlpm.受入,SUMIFS(tbl_ledger[数量],tbl_ledger[ロットID],$B19,tbl_ledger[イベント種類],"不良発生"),
_xlpm.充当受入,SUMIFS(tbl_ledger[数量],tbl_ledger[充当先ロットID],$B19,tbl_ledger[イベント種類],"充当",tbl_ledger[元状態],M$1),
_xlpm.払出,SUMIFS(tbl_ledger[数量],tbl_ledger[ロットID],$B19,tbl_ledger[元状態],M$1),
_xlpm.受入+_xlpm.充当受入-_xlpm.払出))</f>
        <v/>
      </c>
      <c r="N19" s="8" t="str">
        <f t="shared" si="1"/>
        <v/>
      </c>
    </row>
    <row r="20" spans="1:14" ht="15" customHeight="1" x14ac:dyDescent="0.25">
      <c r="A20" s="4" t="str">
        <f t="shared" si="0"/>
        <v/>
      </c>
      <c r="B20" s="4" t="str">
        <f>IFERROR(IF(COUNTIF($B$1:$B19,INDEX(tbl_plan[ロットID],ROW()-1))&gt;0,"",INDEX(tbl_plan[ロットID],ROW()-1)),"")</f>
        <v/>
      </c>
      <c r="C20" s="4" t="str">
        <f>IF($B20="","",INDEX(tbl_plan[localId],ROW()-1))</f>
        <v/>
      </c>
      <c r="D20" s="8" t="str">
        <f>IF($B20="","",_xlfn.LET(
_xlpm.割当受入,SUMIF(V_充足確認!$A$2:$A$301,$B20,V_充足確認!$F$2:$F$301),
_xlpm.充当受入,SUMIFS(tbl_ledger[数量],tbl_ledger[充当先ロットID],$B20,tbl_ledger[イベント種類],"充当",tbl_ledger[元状態],D$1),
_xlpm.払出,SUMIFS(tbl_ledger[数量],tbl_ledger[ロットID],$B20,tbl_ledger[元状態],D$1),
_xlpm.割当受入+_xlpm.充当受入-_xlpm.払出))</f>
        <v/>
      </c>
      <c r="E20" s="8" t="str">
        <f>IF($B20="","",_xlfn.LET(
_xlpm.受入,SUMIFS(tbl_ledger[数量],tbl_ledger[ロットID],$B20,tbl_ledger[イベント種類],"アニール開始"),
_xlpm.充当受入,SUMIFS(tbl_ledger[数量],tbl_ledger[充当先ロットID],$B20,tbl_ledger[イベント種類],"充当",tbl_ledger[元状態],E$1),
_xlpm.払出,SUMIFS(tbl_ledger[数量],tbl_ledger[ロットID],$B20,tbl_ledger[元状態],E$1),
_xlpm.受入+_xlpm.充当受入-_xlpm.払出))</f>
        <v/>
      </c>
      <c r="F20" s="8" t="str">
        <f>IF($B20="","",_xlfn.LET(
_xlpm.受入,SUMIFS(tbl_ledger[数量],tbl_ledger[ロットID],$B20,tbl_ledger[イベント種類],"アニール完了"),
_xlpm.充当受入,SUMIFS(tbl_ledger[数量],tbl_ledger[充当先ロットID],$B20,tbl_ledger[イベント種類],"充当",tbl_ledger[元状態],F$1),
_xlpm.払出,SUMIFS(tbl_ledger[数量],tbl_ledger[ロットID],$B20,tbl_ledger[元状態],F$1),
_xlpm.受入+_xlpm.充当受入-_xlpm.払出))</f>
        <v/>
      </c>
      <c r="G20" s="8" t="str">
        <f>IF($B20="","",_xlfn.LET(
_xlpm.受入,SUMIFS(tbl_ledger[数量],tbl_ledger[ロットID],$B20,tbl_ledger[イベント種類],"アセンブリ開始"),
_xlpm.充当受入,SUMIFS(tbl_ledger[数量],tbl_ledger[充当先ロットID],$B20,tbl_ledger[イベント種類],"充当",tbl_ledger[元状態],G$1),
_xlpm.払出,SUMIFS(tbl_ledger[数量],tbl_ledger[ロットID],$B20,tbl_ledger[元状態],G$1),
_xlpm.受入+_xlpm.充当受入-_xlpm.払出))</f>
        <v/>
      </c>
      <c r="H20" s="8" t="str">
        <f>IF($B20="","",_xlfn.LET(
_xlpm.受入,SUMIFS(tbl_ledger[数量],tbl_ledger[ロットID],$B20,tbl_ledger[イベント種類],"アセンブリ完了"),
_xlpm.充当受入,SUMIFS(tbl_ledger[数量],tbl_ledger[充当先ロットID],$B20,tbl_ledger[イベント種類],"充当",tbl_ledger[元状態],H$1),
_xlpm.払出,SUMIFS(tbl_ledger[数量],tbl_ledger[ロットID],$B20,tbl_ledger[元状態],H$1),
_xlpm.受入+_xlpm.充当受入-_xlpm.払出))</f>
        <v/>
      </c>
      <c r="I20" s="8" t="str">
        <f>IF($B20="","",_xlfn.LET(
_xlpm.受入,SUMIFS(tbl_ledger[数量],tbl_ledger[ロットID],$B20,tbl_ledger[イベント種類],"梱包開始"),
_xlpm.充当受入,SUMIFS(tbl_ledger[数量],tbl_ledger[充当先ロットID],$B20,tbl_ledger[イベント種類],"充当",tbl_ledger[元状態],I$1),
_xlpm.払出,SUMIFS(tbl_ledger[数量],tbl_ledger[ロットID],$B20,tbl_ledger[元状態],I$1),
_xlpm.受入+_xlpm.充当受入-_xlpm.払出))</f>
        <v/>
      </c>
      <c r="J20" s="8" t="str">
        <f>IF($B20="","",_xlfn.LET(
_xlpm.受入,SUMIFS(tbl_ledger[数量],tbl_ledger[ロットID],$B20,tbl_ledger[イベント種類],"梱包完了"),
_xlpm.充当受入,SUMIFS(tbl_ledger[数量],tbl_ledger[充当先ロットID],$B20,tbl_ledger[イベント種類],"充当",tbl_ledger[元状態],J$1),
_xlpm.払出,SUMIFS(tbl_ledger[数量],tbl_ledger[ロットID],$B20,tbl_ledger[元状態],J$1),
_xlpm.受入+_xlpm.充当受入-_xlpm.払出))</f>
        <v/>
      </c>
      <c r="K20" s="8" t="str">
        <f>IF($B20="","",_xlfn.LET(
_xlpm.受入,SUMIFS(tbl_ledger[数量],tbl_ledger[ロットID],$B20,tbl_ledger[イベント種類],"発送準備開始"),
_xlpm.充当受入,SUMIFS(tbl_ledger[数量],tbl_ledger[充当先ロットID],$B20,tbl_ledger[イベント種類],"充当",tbl_ledger[元状態],K$1),
_xlpm.払出,SUMIFS(tbl_ledger[数量],tbl_ledger[ロットID],$B20,tbl_ledger[元状態],K$1),
_xlpm.受入+_xlpm.充当受入-_xlpm.払出))</f>
        <v/>
      </c>
      <c r="L20" s="8" t="str">
        <f>IF($B20="","",_xlfn.LET(
_xlpm.受入,SUMIFS(tbl_ledger[数量],tbl_ledger[ロットID],$B20,tbl_ledger[イベント種類],"発送準備完了"),
_xlpm.充当受入,SUMIFS(tbl_ledger[数量],tbl_ledger[充当先ロットID],$B20,tbl_ledger[イベント種類],"充当",tbl_ledger[元状態],L$1),
_xlpm.払出,SUMIFS(tbl_ledger[数量],tbl_ledger[ロットID],$B20,tbl_ledger[元状態],L$1),
_xlpm.受入+_xlpm.充当受入-_xlpm.払出))</f>
        <v/>
      </c>
      <c r="M20" s="8" t="str">
        <f>IF($B20="","",_xlfn.LET(
_xlpm.受入,SUMIFS(tbl_ledger[数量],tbl_ledger[ロットID],$B20,tbl_ledger[イベント種類],"不良発生"),
_xlpm.充当受入,SUMIFS(tbl_ledger[数量],tbl_ledger[充当先ロットID],$B20,tbl_ledger[イベント種類],"充当",tbl_ledger[元状態],M$1),
_xlpm.払出,SUMIFS(tbl_ledger[数量],tbl_ledger[ロットID],$B20,tbl_ledger[元状態],M$1),
_xlpm.受入+_xlpm.充当受入-_xlpm.払出))</f>
        <v/>
      </c>
      <c r="N20" s="8" t="str">
        <f t="shared" si="1"/>
        <v/>
      </c>
    </row>
    <row r="21" spans="1:14" ht="15" customHeight="1" x14ac:dyDescent="0.25">
      <c r="A21" s="4" t="str">
        <f t="shared" si="0"/>
        <v/>
      </c>
      <c r="B21" s="4" t="str">
        <f>IFERROR(IF(COUNTIF($B$1:$B20,INDEX(tbl_plan[ロットID],ROW()-1))&gt;0,"",INDEX(tbl_plan[ロットID],ROW()-1)),"")</f>
        <v/>
      </c>
      <c r="C21" s="4" t="str">
        <f>IF($B21="","",INDEX(tbl_plan[localId],ROW()-1))</f>
        <v/>
      </c>
      <c r="D21" s="8" t="str">
        <f>IF($B21="","",_xlfn.LET(
_xlpm.割当受入,SUMIF(V_充足確認!$A$2:$A$301,$B21,V_充足確認!$F$2:$F$301),
_xlpm.充当受入,SUMIFS(tbl_ledger[数量],tbl_ledger[充当先ロットID],$B21,tbl_ledger[イベント種類],"充当",tbl_ledger[元状態],D$1),
_xlpm.払出,SUMIFS(tbl_ledger[数量],tbl_ledger[ロットID],$B21,tbl_ledger[元状態],D$1),
_xlpm.割当受入+_xlpm.充当受入-_xlpm.払出))</f>
        <v/>
      </c>
      <c r="E21" s="8" t="str">
        <f>IF($B21="","",_xlfn.LET(
_xlpm.受入,SUMIFS(tbl_ledger[数量],tbl_ledger[ロットID],$B21,tbl_ledger[イベント種類],"アニール開始"),
_xlpm.充当受入,SUMIFS(tbl_ledger[数量],tbl_ledger[充当先ロットID],$B21,tbl_ledger[イベント種類],"充当",tbl_ledger[元状態],E$1),
_xlpm.払出,SUMIFS(tbl_ledger[数量],tbl_ledger[ロットID],$B21,tbl_ledger[元状態],E$1),
_xlpm.受入+_xlpm.充当受入-_xlpm.払出))</f>
        <v/>
      </c>
      <c r="F21" s="8" t="str">
        <f>IF($B21="","",_xlfn.LET(
_xlpm.受入,SUMIFS(tbl_ledger[数量],tbl_ledger[ロットID],$B21,tbl_ledger[イベント種類],"アニール完了"),
_xlpm.充当受入,SUMIFS(tbl_ledger[数量],tbl_ledger[充当先ロットID],$B21,tbl_ledger[イベント種類],"充当",tbl_ledger[元状態],F$1),
_xlpm.払出,SUMIFS(tbl_ledger[数量],tbl_ledger[ロットID],$B21,tbl_ledger[元状態],F$1),
_xlpm.受入+_xlpm.充当受入-_xlpm.払出))</f>
        <v/>
      </c>
      <c r="G21" s="8" t="str">
        <f>IF($B21="","",_xlfn.LET(
_xlpm.受入,SUMIFS(tbl_ledger[数量],tbl_ledger[ロットID],$B21,tbl_ledger[イベント種類],"アセンブリ開始"),
_xlpm.充当受入,SUMIFS(tbl_ledger[数量],tbl_ledger[充当先ロットID],$B21,tbl_ledger[イベント種類],"充当",tbl_ledger[元状態],G$1),
_xlpm.払出,SUMIFS(tbl_ledger[数量],tbl_ledger[ロットID],$B21,tbl_ledger[元状態],G$1),
_xlpm.受入+_xlpm.充当受入-_xlpm.払出))</f>
        <v/>
      </c>
      <c r="H21" s="8" t="str">
        <f>IF($B21="","",_xlfn.LET(
_xlpm.受入,SUMIFS(tbl_ledger[数量],tbl_ledger[ロットID],$B21,tbl_ledger[イベント種類],"アセンブリ完了"),
_xlpm.充当受入,SUMIFS(tbl_ledger[数量],tbl_ledger[充当先ロットID],$B21,tbl_ledger[イベント種類],"充当",tbl_ledger[元状態],H$1),
_xlpm.払出,SUMIFS(tbl_ledger[数量],tbl_ledger[ロットID],$B21,tbl_ledger[元状態],H$1),
_xlpm.受入+_xlpm.充当受入-_xlpm.払出))</f>
        <v/>
      </c>
      <c r="I21" s="8" t="str">
        <f>IF($B21="","",_xlfn.LET(
_xlpm.受入,SUMIFS(tbl_ledger[数量],tbl_ledger[ロットID],$B21,tbl_ledger[イベント種類],"梱包開始"),
_xlpm.充当受入,SUMIFS(tbl_ledger[数量],tbl_ledger[充当先ロットID],$B21,tbl_ledger[イベント種類],"充当",tbl_ledger[元状態],I$1),
_xlpm.払出,SUMIFS(tbl_ledger[数量],tbl_ledger[ロットID],$B21,tbl_ledger[元状態],I$1),
_xlpm.受入+_xlpm.充当受入-_xlpm.払出))</f>
        <v/>
      </c>
      <c r="J21" s="8" t="str">
        <f>IF($B21="","",_xlfn.LET(
_xlpm.受入,SUMIFS(tbl_ledger[数量],tbl_ledger[ロットID],$B21,tbl_ledger[イベント種類],"梱包完了"),
_xlpm.充当受入,SUMIFS(tbl_ledger[数量],tbl_ledger[充当先ロットID],$B21,tbl_ledger[イベント種類],"充当",tbl_ledger[元状態],J$1),
_xlpm.払出,SUMIFS(tbl_ledger[数量],tbl_ledger[ロットID],$B21,tbl_ledger[元状態],J$1),
_xlpm.受入+_xlpm.充当受入-_xlpm.払出))</f>
        <v/>
      </c>
      <c r="K21" s="8" t="str">
        <f>IF($B21="","",_xlfn.LET(
_xlpm.受入,SUMIFS(tbl_ledger[数量],tbl_ledger[ロットID],$B21,tbl_ledger[イベント種類],"発送準備開始"),
_xlpm.充当受入,SUMIFS(tbl_ledger[数量],tbl_ledger[充当先ロットID],$B21,tbl_ledger[イベント種類],"充当",tbl_ledger[元状態],K$1),
_xlpm.払出,SUMIFS(tbl_ledger[数量],tbl_ledger[ロットID],$B21,tbl_ledger[元状態],K$1),
_xlpm.受入+_xlpm.充当受入-_xlpm.払出))</f>
        <v/>
      </c>
      <c r="L21" s="8" t="str">
        <f>IF($B21="","",_xlfn.LET(
_xlpm.受入,SUMIFS(tbl_ledger[数量],tbl_ledger[ロットID],$B21,tbl_ledger[イベント種類],"発送準備完了"),
_xlpm.充当受入,SUMIFS(tbl_ledger[数量],tbl_ledger[充当先ロットID],$B21,tbl_ledger[イベント種類],"充当",tbl_ledger[元状態],L$1),
_xlpm.払出,SUMIFS(tbl_ledger[数量],tbl_ledger[ロットID],$B21,tbl_ledger[元状態],L$1),
_xlpm.受入+_xlpm.充当受入-_xlpm.払出))</f>
        <v/>
      </c>
      <c r="M21" s="8" t="str">
        <f>IF($B21="","",_xlfn.LET(
_xlpm.受入,SUMIFS(tbl_ledger[数量],tbl_ledger[ロットID],$B21,tbl_ledger[イベント種類],"不良発生"),
_xlpm.充当受入,SUMIFS(tbl_ledger[数量],tbl_ledger[充当先ロットID],$B21,tbl_ledger[イベント種類],"充当",tbl_ledger[元状態],M$1),
_xlpm.払出,SUMIFS(tbl_ledger[数量],tbl_ledger[ロットID],$B21,tbl_ledger[元状態],M$1),
_xlpm.受入+_xlpm.充当受入-_xlpm.払出))</f>
        <v/>
      </c>
      <c r="N21" s="8" t="str">
        <f t="shared" si="1"/>
        <v/>
      </c>
    </row>
    <row r="22" spans="1:14" ht="15" customHeight="1" x14ac:dyDescent="0.25">
      <c r="A22" s="4" t="str">
        <f t="shared" si="0"/>
        <v/>
      </c>
      <c r="B22" s="4" t="str">
        <f>IFERROR(IF(COUNTIF($B$1:$B21,INDEX(tbl_plan[ロットID],ROW()-1))&gt;0,"",INDEX(tbl_plan[ロットID],ROW()-1)),"")</f>
        <v/>
      </c>
      <c r="C22" s="4" t="str">
        <f>IF($B22="","",INDEX(tbl_plan[localId],ROW()-1))</f>
        <v/>
      </c>
      <c r="D22" s="8" t="str">
        <f>IF($B22="","",_xlfn.LET(
_xlpm.割当受入,SUMIF(V_充足確認!$A$2:$A$301,$B22,V_充足確認!$F$2:$F$301),
_xlpm.充当受入,SUMIFS(tbl_ledger[数量],tbl_ledger[充当先ロットID],$B22,tbl_ledger[イベント種類],"充当",tbl_ledger[元状態],D$1),
_xlpm.払出,SUMIFS(tbl_ledger[数量],tbl_ledger[ロットID],$B22,tbl_ledger[元状態],D$1),
_xlpm.割当受入+_xlpm.充当受入-_xlpm.払出))</f>
        <v/>
      </c>
      <c r="E22" s="8" t="str">
        <f>IF($B22="","",_xlfn.LET(
_xlpm.受入,SUMIFS(tbl_ledger[数量],tbl_ledger[ロットID],$B22,tbl_ledger[イベント種類],"アニール開始"),
_xlpm.充当受入,SUMIFS(tbl_ledger[数量],tbl_ledger[充当先ロットID],$B22,tbl_ledger[イベント種類],"充当",tbl_ledger[元状態],E$1),
_xlpm.払出,SUMIFS(tbl_ledger[数量],tbl_ledger[ロットID],$B22,tbl_ledger[元状態],E$1),
_xlpm.受入+_xlpm.充当受入-_xlpm.払出))</f>
        <v/>
      </c>
      <c r="F22" s="8" t="str">
        <f>IF($B22="","",_xlfn.LET(
_xlpm.受入,SUMIFS(tbl_ledger[数量],tbl_ledger[ロットID],$B22,tbl_ledger[イベント種類],"アニール完了"),
_xlpm.充当受入,SUMIFS(tbl_ledger[数量],tbl_ledger[充当先ロットID],$B22,tbl_ledger[イベント種類],"充当",tbl_ledger[元状態],F$1),
_xlpm.払出,SUMIFS(tbl_ledger[数量],tbl_ledger[ロットID],$B22,tbl_ledger[元状態],F$1),
_xlpm.受入+_xlpm.充当受入-_xlpm.払出))</f>
        <v/>
      </c>
      <c r="G22" s="8" t="str">
        <f>IF($B22="","",_xlfn.LET(
_xlpm.受入,SUMIFS(tbl_ledger[数量],tbl_ledger[ロットID],$B22,tbl_ledger[イベント種類],"アセンブリ開始"),
_xlpm.充当受入,SUMIFS(tbl_ledger[数量],tbl_ledger[充当先ロットID],$B22,tbl_ledger[イベント種類],"充当",tbl_ledger[元状態],G$1),
_xlpm.払出,SUMIFS(tbl_ledger[数量],tbl_ledger[ロットID],$B22,tbl_ledger[元状態],G$1),
_xlpm.受入+_xlpm.充当受入-_xlpm.払出))</f>
        <v/>
      </c>
      <c r="H22" s="8" t="str">
        <f>IF($B22="","",_xlfn.LET(
_xlpm.受入,SUMIFS(tbl_ledger[数量],tbl_ledger[ロットID],$B22,tbl_ledger[イベント種類],"アセンブリ完了"),
_xlpm.充当受入,SUMIFS(tbl_ledger[数量],tbl_ledger[充当先ロットID],$B22,tbl_ledger[イベント種類],"充当",tbl_ledger[元状態],H$1),
_xlpm.払出,SUMIFS(tbl_ledger[数量],tbl_ledger[ロットID],$B22,tbl_ledger[元状態],H$1),
_xlpm.受入+_xlpm.充当受入-_xlpm.払出))</f>
        <v/>
      </c>
      <c r="I22" s="8" t="str">
        <f>IF($B22="","",_xlfn.LET(
_xlpm.受入,SUMIFS(tbl_ledger[数量],tbl_ledger[ロットID],$B22,tbl_ledger[イベント種類],"梱包開始"),
_xlpm.充当受入,SUMIFS(tbl_ledger[数量],tbl_ledger[充当先ロットID],$B22,tbl_ledger[イベント種類],"充当",tbl_ledger[元状態],I$1),
_xlpm.払出,SUMIFS(tbl_ledger[数量],tbl_ledger[ロットID],$B22,tbl_ledger[元状態],I$1),
_xlpm.受入+_xlpm.充当受入-_xlpm.払出))</f>
        <v/>
      </c>
      <c r="J22" s="8" t="str">
        <f>IF($B22="","",_xlfn.LET(
_xlpm.受入,SUMIFS(tbl_ledger[数量],tbl_ledger[ロットID],$B22,tbl_ledger[イベント種類],"梱包完了"),
_xlpm.充当受入,SUMIFS(tbl_ledger[数量],tbl_ledger[充当先ロットID],$B22,tbl_ledger[イベント種類],"充当",tbl_ledger[元状態],J$1),
_xlpm.払出,SUMIFS(tbl_ledger[数量],tbl_ledger[ロットID],$B22,tbl_ledger[元状態],J$1),
_xlpm.受入+_xlpm.充当受入-_xlpm.払出))</f>
        <v/>
      </c>
      <c r="K22" s="8" t="str">
        <f>IF($B22="","",_xlfn.LET(
_xlpm.受入,SUMIFS(tbl_ledger[数量],tbl_ledger[ロットID],$B22,tbl_ledger[イベント種類],"発送準備開始"),
_xlpm.充当受入,SUMIFS(tbl_ledger[数量],tbl_ledger[充当先ロットID],$B22,tbl_ledger[イベント種類],"充当",tbl_ledger[元状態],K$1),
_xlpm.払出,SUMIFS(tbl_ledger[数量],tbl_ledger[ロットID],$B22,tbl_ledger[元状態],K$1),
_xlpm.受入+_xlpm.充当受入-_xlpm.払出))</f>
        <v/>
      </c>
      <c r="L22" s="8" t="str">
        <f>IF($B22="","",_xlfn.LET(
_xlpm.受入,SUMIFS(tbl_ledger[数量],tbl_ledger[ロットID],$B22,tbl_ledger[イベント種類],"発送準備完了"),
_xlpm.充当受入,SUMIFS(tbl_ledger[数量],tbl_ledger[充当先ロットID],$B22,tbl_ledger[イベント種類],"充当",tbl_ledger[元状態],L$1),
_xlpm.払出,SUMIFS(tbl_ledger[数量],tbl_ledger[ロットID],$B22,tbl_ledger[元状態],L$1),
_xlpm.受入+_xlpm.充当受入-_xlpm.払出))</f>
        <v/>
      </c>
      <c r="M22" s="8" t="str">
        <f>IF($B22="","",_xlfn.LET(
_xlpm.受入,SUMIFS(tbl_ledger[数量],tbl_ledger[ロットID],$B22,tbl_ledger[イベント種類],"不良発生"),
_xlpm.充当受入,SUMIFS(tbl_ledger[数量],tbl_ledger[充当先ロットID],$B22,tbl_ledger[イベント種類],"充当",tbl_ledger[元状態],M$1),
_xlpm.払出,SUMIFS(tbl_ledger[数量],tbl_ledger[ロットID],$B22,tbl_ledger[元状態],M$1),
_xlpm.受入+_xlpm.充当受入-_xlpm.払出))</f>
        <v/>
      </c>
      <c r="N22" s="8" t="str">
        <f t="shared" si="1"/>
        <v/>
      </c>
    </row>
    <row r="23" spans="1:14" ht="15" customHeight="1" x14ac:dyDescent="0.25">
      <c r="A23" s="4" t="str">
        <f t="shared" si="0"/>
        <v/>
      </c>
      <c r="B23" s="4" t="str">
        <f>IFERROR(IF(COUNTIF($B$1:$B22,INDEX(tbl_plan[ロットID],ROW()-1))&gt;0,"",INDEX(tbl_plan[ロットID],ROW()-1)),"")</f>
        <v/>
      </c>
      <c r="C23" s="4" t="str">
        <f>IF($B23="","",INDEX(tbl_plan[localId],ROW()-1))</f>
        <v/>
      </c>
      <c r="D23" s="8" t="str">
        <f>IF($B23="","",_xlfn.LET(
_xlpm.割当受入,SUMIF(V_充足確認!$A$2:$A$301,$B23,V_充足確認!$F$2:$F$301),
_xlpm.充当受入,SUMIFS(tbl_ledger[数量],tbl_ledger[充当先ロットID],$B23,tbl_ledger[イベント種類],"充当",tbl_ledger[元状態],D$1),
_xlpm.払出,SUMIFS(tbl_ledger[数量],tbl_ledger[ロットID],$B23,tbl_ledger[元状態],D$1),
_xlpm.割当受入+_xlpm.充当受入-_xlpm.払出))</f>
        <v/>
      </c>
      <c r="E23" s="8" t="str">
        <f>IF($B23="","",_xlfn.LET(
_xlpm.受入,SUMIFS(tbl_ledger[数量],tbl_ledger[ロットID],$B23,tbl_ledger[イベント種類],"アニール開始"),
_xlpm.充当受入,SUMIFS(tbl_ledger[数量],tbl_ledger[充当先ロットID],$B23,tbl_ledger[イベント種類],"充当",tbl_ledger[元状態],E$1),
_xlpm.払出,SUMIFS(tbl_ledger[数量],tbl_ledger[ロットID],$B23,tbl_ledger[元状態],E$1),
_xlpm.受入+_xlpm.充当受入-_xlpm.払出))</f>
        <v/>
      </c>
      <c r="F23" s="8" t="str">
        <f>IF($B23="","",_xlfn.LET(
_xlpm.受入,SUMIFS(tbl_ledger[数量],tbl_ledger[ロットID],$B23,tbl_ledger[イベント種類],"アニール完了"),
_xlpm.充当受入,SUMIFS(tbl_ledger[数量],tbl_ledger[充当先ロットID],$B23,tbl_ledger[イベント種類],"充当",tbl_ledger[元状態],F$1),
_xlpm.払出,SUMIFS(tbl_ledger[数量],tbl_ledger[ロットID],$B23,tbl_ledger[元状態],F$1),
_xlpm.受入+_xlpm.充当受入-_xlpm.払出))</f>
        <v/>
      </c>
      <c r="G23" s="8" t="str">
        <f>IF($B23="","",_xlfn.LET(
_xlpm.受入,SUMIFS(tbl_ledger[数量],tbl_ledger[ロットID],$B23,tbl_ledger[イベント種類],"アセンブリ開始"),
_xlpm.充当受入,SUMIFS(tbl_ledger[数量],tbl_ledger[充当先ロットID],$B23,tbl_ledger[イベント種類],"充当",tbl_ledger[元状態],G$1),
_xlpm.払出,SUMIFS(tbl_ledger[数量],tbl_ledger[ロットID],$B23,tbl_ledger[元状態],G$1),
_xlpm.受入+_xlpm.充当受入-_xlpm.払出))</f>
        <v/>
      </c>
      <c r="H23" s="8" t="str">
        <f>IF($B23="","",_xlfn.LET(
_xlpm.受入,SUMIFS(tbl_ledger[数量],tbl_ledger[ロットID],$B23,tbl_ledger[イベント種類],"アセンブリ完了"),
_xlpm.充当受入,SUMIFS(tbl_ledger[数量],tbl_ledger[充当先ロットID],$B23,tbl_ledger[イベント種類],"充当",tbl_ledger[元状態],H$1),
_xlpm.払出,SUMIFS(tbl_ledger[数量],tbl_ledger[ロットID],$B23,tbl_ledger[元状態],H$1),
_xlpm.受入+_xlpm.充当受入-_xlpm.払出))</f>
        <v/>
      </c>
      <c r="I23" s="8" t="str">
        <f>IF($B23="","",_xlfn.LET(
_xlpm.受入,SUMIFS(tbl_ledger[数量],tbl_ledger[ロットID],$B23,tbl_ledger[イベント種類],"梱包開始"),
_xlpm.充当受入,SUMIFS(tbl_ledger[数量],tbl_ledger[充当先ロットID],$B23,tbl_ledger[イベント種類],"充当",tbl_ledger[元状態],I$1),
_xlpm.払出,SUMIFS(tbl_ledger[数量],tbl_ledger[ロットID],$B23,tbl_ledger[元状態],I$1),
_xlpm.受入+_xlpm.充当受入-_xlpm.払出))</f>
        <v/>
      </c>
      <c r="J23" s="8" t="str">
        <f>IF($B23="","",_xlfn.LET(
_xlpm.受入,SUMIFS(tbl_ledger[数量],tbl_ledger[ロットID],$B23,tbl_ledger[イベント種類],"梱包完了"),
_xlpm.充当受入,SUMIFS(tbl_ledger[数量],tbl_ledger[充当先ロットID],$B23,tbl_ledger[イベント種類],"充当",tbl_ledger[元状態],J$1),
_xlpm.払出,SUMIFS(tbl_ledger[数量],tbl_ledger[ロットID],$B23,tbl_ledger[元状態],J$1),
_xlpm.受入+_xlpm.充当受入-_xlpm.払出))</f>
        <v/>
      </c>
      <c r="K23" s="8" t="str">
        <f>IF($B23="","",_xlfn.LET(
_xlpm.受入,SUMIFS(tbl_ledger[数量],tbl_ledger[ロットID],$B23,tbl_ledger[イベント種類],"発送準備開始"),
_xlpm.充当受入,SUMIFS(tbl_ledger[数量],tbl_ledger[充当先ロットID],$B23,tbl_ledger[イベント種類],"充当",tbl_ledger[元状態],K$1),
_xlpm.払出,SUMIFS(tbl_ledger[数量],tbl_ledger[ロットID],$B23,tbl_ledger[元状態],K$1),
_xlpm.受入+_xlpm.充当受入-_xlpm.払出))</f>
        <v/>
      </c>
      <c r="L23" s="8" t="str">
        <f>IF($B23="","",_xlfn.LET(
_xlpm.受入,SUMIFS(tbl_ledger[数量],tbl_ledger[ロットID],$B23,tbl_ledger[イベント種類],"発送準備完了"),
_xlpm.充当受入,SUMIFS(tbl_ledger[数量],tbl_ledger[充当先ロットID],$B23,tbl_ledger[イベント種類],"充当",tbl_ledger[元状態],L$1),
_xlpm.払出,SUMIFS(tbl_ledger[数量],tbl_ledger[ロットID],$B23,tbl_ledger[元状態],L$1),
_xlpm.受入+_xlpm.充当受入-_xlpm.払出))</f>
        <v/>
      </c>
      <c r="M23" s="8" t="str">
        <f>IF($B23="","",_xlfn.LET(
_xlpm.受入,SUMIFS(tbl_ledger[数量],tbl_ledger[ロットID],$B23,tbl_ledger[イベント種類],"不良発生"),
_xlpm.充当受入,SUMIFS(tbl_ledger[数量],tbl_ledger[充当先ロットID],$B23,tbl_ledger[イベント種類],"充当",tbl_ledger[元状態],M$1),
_xlpm.払出,SUMIFS(tbl_ledger[数量],tbl_ledger[ロットID],$B23,tbl_ledger[元状態],M$1),
_xlpm.受入+_xlpm.充当受入-_xlpm.払出))</f>
        <v/>
      </c>
      <c r="N23" s="8" t="str">
        <f t="shared" si="1"/>
        <v/>
      </c>
    </row>
    <row r="24" spans="1:14" ht="15" customHeight="1" x14ac:dyDescent="0.25">
      <c r="A24" s="4" t="str">
        <f t="shared" si="0"/>
        <v/>
      </c>
      <c r="B24" s="4" t="str">
        <f>IFERROR(IF(COUNTIF($B$1:$B23,INDEX(tbl_plan[ロットID],ROW()-1))&gt;0,"",INDEX(tbl_plan[ロットID],ROW()-1)),"")</f>
        <v/>
      </c>
      <c r="C24" s="4" t="str">
        <f>IF($B24="","",INDEX(tbl_plan[localId],ROW()-1))</f>
        <v/>
      </c>
      <c r="D24" s="8" t="str">
        <f>IF($B24="","",_xlfn.LET(
_xlpm.割当受入,SUMIF(V_充足確認!$A$2:$A$301,$B24,V_充足確認!$F$2:$F$301),
_xlpm.充当受入,SUMIFS(tbl_ledger[数量],tbl_ledger[充当先ロットID],$B24,tbl_ledger[イベント種類],"充当",tbl_ledger[元状態],D$1),
_xlpm.払出,SUMIFS(tbl_ledger[数量],tbl_ledger[ロットID],$B24,tbl_ledger[元状態],D$1),
_xlpm.割当受入+_xlpm.充当受入-_xlpm.払出))</f>
        <v/>
      </c>
      <c r="E24" s="8" t="str">
        <f>IF($B24="","",_xlfn.LET(
_xlpm.受入,SUMIFS(tbl_ledger[数量],tbl_ledger[ロットID],$B24,tbl_ledger[イベント種類],"アニール開始"),
_xlpm.充当受入,SUMIFS(tbl_ledger[数量],tbl_ledger[充当先ロットID],$B24,tbl_ledger[イベント種類],"充当",tbl_ledger[元状態],E$1),
_xlpm.払出,SUMIFS(tbl_ledger[数量],tbl_ledger[ロットID],$B24,tbl_ledger[元状態],E$1),
_xlpm.受入+_xlpm.充当受入-_xlpm.払出))</f>
        <v/>
      </c>
      <c r="F24" s="8" t="str">
        <f>IF($B24="","",_xlfn.LET(
_xlpm.受入,SUMIFS(tbl_ledger[数量],tbl_ledger[ロットID],$B24,tbl_ledger[イベント種類],"アニール完了"),
_xlpm.充当受入,SUMIFS(tbl_ledger[数量],tbl_ledger[充当先ロットID],$B24,tbl_ledger[イベント種類],"充当",tbl_ledger[元状態],F$1),
_xlpm.払出,SUMIFS(tbl_ledger[数量],tbl_ledger[ロットID],$B24,tbl_ledger[元状態],F$1),
_xlpm.受入+_xlpm.充当受入-_xlpm.払出))</f>
        <v/>
      </c>
      <c r="G24" s="8" t="str">
        <f>IF($B24="","",_xlfn.LET(
_xlpm.受入,SUMIFS(tbl_ledger[数量],tbl_ledger[ロットID],$B24,tbl_ledger[イベント種類],"アセンブリ開始"),
_xlpm.充当受入,SUMIFS(tbl_ledger[数量],tbl_ledger[充当先ロットID],$B24,tbl_ledger[イベント種類],"充当",tbl_ledger[元状態],G$1),
_xlpm.払出,SUMIFS(tbl_ledger[数量],tbl_ledger[ロットID],$B24,tbl_ledger[元状態],G$1),
_xlpm.受入+_xlpm.充当受入-_xlpm.払出))</f>
        <v/>
      </c>
      <c r="H24" s="8" t="str">
        <f>IF($B24="","",_xlfn.LET(
_xlpm.受入,SUMIFS(tbl_ledger[数量],tbl_ledger[ロットID],$B24,tbl_ledger[イベント種類],"アセンブリ完了"),
_xlpm.充当受入,SUMIFS(tbl_ledger[数量],tbl_ledger[充当先ロットID],$B24,tbl_ledger[イベント種類],"充当",tbl_ledger[元状態],H$1),
_xlpm.払出,SUMIFS(tbl_ledger[数量],tbl_ledger[ロットID],$B24,tbl_ledger[元状態],H$1),
_xlpm.受入+_xlpm.充当受入-_xlpm.払出))</f>
        <v/>
      </c>
      <c r="I24" s="8" t="str">
        <f>IF($B24="","",_xlfn.LET(
_xlpm.受入,SUMIFS(tbl_ledger[数量],tbl_ledger[ロットID],$B24,tbl_ledger[イベント種類],"梱包開始"),
_xlpm.充当受入,SUMIFS(tbl_ledger[数量],tbl_ledger[充当先ロットID],$B24,tbl_ledger[イベント種類],"充当",tbl_ledger[元状態],I$1),
_xlpm.払出,SUMIFS(tbl_ledger[数量],tbl_ledger[ロットID],$B24,tbl_ledger[元状態],I$1),
_xlpm.受入+_xlpm.充当受入-_xlpm.払出))</f>
        <v/>
      </c>
      <c r="J24" s="8" t="str">
        <f>IF($B24="","",_xlfn.LET(
_xlpm.受入,SUMIFS(tbl_ledger[数量],tbl_ledger[ロットID],$B24,tbl_ledger[イベント種類],"梱包完了"),
_xlpm.充当受入,SUMIFS(tbl_ledger[数量],tbl_ledger[充当先ロットID],$B24,tbl_ledger[イベント種類],"充当",tbl_ledger[元状態],J$1),
_xlpm.払出,SUMIFS(tbl_ledger[数量],tbl_ledger[ロットID],$B24,tbl_ledger[元状態],J$1),
_xlpm.受入+_xlpm.充当受入-_xlpm.払出))</f>
        <v/>
      </c>
      <c r="K24" s="8" t="str">
        <f>IF($B24="","",_xlfn.LET(
_xlpm.受入,SUMIFS(tbl_ledger[数量],tbl_ledger[ロットID],$B24,tbl_ledger[イベント種類],"発送準備開始"),
_xlpm.充当受入,SUMIFS(tbl_ledger[数量],tbl_ledger[充当先ロットID],$B24,tbl_ledger[イベント種類],"充当",tbl_ledger[元状態],K$1),
_xlpm.払出,SUMIFS(tbl_ledger[数量],tbl_ledger[ロットID],$B24,tbl_ledger[元状態],K$1),
_xlpm.受入+_xlpm.充当受入-_xlpm.払出))</f>
        <v/>
      </c>
      <c r="L24" s="8" t="str">
        <f>IF($B24="","",_xlfn.LET(
_xlpm.受入,SUMIFS(tbl_ledger[数量],tbl_ledger[ロットID],$B24,tbl_ledger[イベント種類],"発送準備完了"),
_xlpm.充当受入,SUMIFS(tbl_ledger[数量],tbl_ledger[充当先ロットID],$B24,tbl_ledger[イベント種類],"充当",tbl_ledger[元状態],L$1),
_xlpm.払出,SUMIFS(tbl_ledger[数量],tbl_ledger[ロットID],$B24,tbl_ledger[元状態],L$1),
_xlpm.受入+_xlpm.充当受入-_xlpm.払出))</f>
        <v/>
      </c>
      <c r="M24" s="8" t="str">
        <f>IF($B24="","",_xlfn.LET(
_xlpm.受入,SUMIFS(tbl_ledger[数量],tbl_ledger[ロットID],$B24,tbl_ledger[イベント種類],"不良発生"),
_xlpm.充当受入,SUMIFS(tbl_ledger[数量],tbl_ledger[充当先ロットID],$B24,tbl_ledger[イベント種類],"充当",tbl_ledger[元状態],M$1),
_xlpm.払出,SUMIFS(tbl_ledger[数量],tbl_ledger[ロットID],$B24,tbl_ledger[元状態],M$1),
_xlpm.受入+_xlpm.充当受入-_xlpm.払出))</f>
        <v/>
      </c>
      <c r="N24" s="8" t="str">
        <f t="shared" si="1"/>
        <v/>
      </c>
    </row>
    <row r="25" spans="1:14" ht="15" customHeight="1" x14ac:dyDescent="0.25">
      <c r="A25" s="4" t="str">
        <f t="shared" si="0"/>
        <v/>
      </c>
      <c r="B25" s="4" t="str">
        <f>IFERROR(IF(COUNTIF($B$1:$B24,INDEX(tbl_plan[ロットID],ROW()-1))&gt;0,"",INDEX(tbl_plan[ロットID],ROW()-1)),"")</f>
        <v/>
      </c>
      <c r="C25" s="4" t="str">
        <f>IF($B25="","",INDEX(tbl_plan[localId],ROW()-1))</f>
        <v/>
      </c>
      <c r="D25" s="8" t="str">
        <f>IF($B25="","",_xlfn.LET(
_xlpm.割当受入,SUMIF(V_充足確認!$A$2:$A$301,$B25,V_充足確認!$F$2:$F$301),
_xlpm.充当受入,SUMIFS(tbl_ledger[数量],tbl_ledger[充当先ロットID],$B25,tbl_ledger[イベント種類],"充当",tbl_ledger[元状態],D$1),
_xlpm.払出,SUMIFS(tbl_ledger[数量],tbl_ledger[ロットID],$B25,tbl_ledger[元状態],D$1),
_xlpm.割当受入+_xlpm.充当受入-_xlpm.払出))</f>
        <v/>
      </c>
      <c r="E25" s="8" t="str">
        <f>IF($B25="","",_xlfn.LET(
_xlpm.受入,SUMIFS(tbl_ledger[数量],tbl_ledger[ロットID],$B25,tbl_ledger[イベント種類],"アニール開始"),
_xlpm.充当受入,SUMIFS(tbl_ledger[数量],tbl_ledger[充当先ロットID],$B25,tbl_ledger[イベント種類],"充当",tbl_ledger[元状態],E$1),
_xlpm.払出,SUMIFS(tbl_ledger[数量],tbl_ledger[ロットID],$B25,tbl_ledger[元状態],E$1),
_xlpm.受入+_xlpm.充当受入-_xlpm.払出))</f>
        <v/>
      </c>
      <c r="F25" s="8" t="str">
        <f>IF($B25="","",_xlfn.LET(
_xlpm.受入,SUMIFS(tbl_ledger[数量],tbl_ledger[ロットID],$B25,tbl_ledger[イベント種類],"アニール完了"),
_xlpm.充当受入,SUMIFS(tbl_ledger[数量],tbl_ledger[充当先ロットID],$B25,tbl_ledger[イベント種類],"充当",tbl_ledger[元状態],F$1),
_xlpm.払出,SUMIFS(tbl_ledger[数量],tbl_ledger[ロットID],$B25,tbl_ledger[元状態],F$1),
_xlpm.受入+_xlpm.充当受入-_xlpm.払出))</f>
        <v/>
      </c>
      <c r="G25" s="8" t="str">
        <f>IF($B25="","",_xlfn.LET(
_xlpm.受入,SUMIFS(tbl_ledger[数量],tbl_ledger[ロットID],$B25,tbl_ledger[イベント種類],"アセンブリ開始"),
_xlpm.充当受入,SUMIFS(tbl_ledger[数量],tbl_ledger[充当先ロットID],$B25,tbl_ledger[イベント種類],"充当",tbl_ledger[元状態],G$1),
_xlpm.払出,SUMIFS(tbl_ledger[数量],tbl_ledger[ロットID],$B25,tbl_ledger[元状態],G$1),
_xlpm.受入+_xlpm.充当受入-_xlpm.払出))</f>
        <v/>
      </c>
      <c r="H25" s="8" t="str">
        <f>IF($B25="","",_xlfn.LET(
_xlpm.受入,SUMIFS(tbl_ledger[数量],tbl_ledger[ロットID],$B25,tbl_ledger[イベント種類],"アセンブリ完了"),
_xlpm.充当受入,SUMIFS(tbl_ledger[数量],tbl_ledger[充当先ロットID],$B25,tbl_ledger[イベント種類],"充当",tbl_ledger[元状態],H$1),
_xlpm.払出,SUMIFS(tbl_ledger[数量],tbl_ledger[ロットID],$B25,tbl_ledger[元状態],H$1),
_xlpm.受入+_xlpm.充当受入-_xlpm.払出))</f>
        <v/>
      </c>
      <c r="I25" s="8" t="str">
        <f>IF($B25="","",_xlfn.LET(
_xlpm.受入,SUMIFS(tbl_ledger[数量],tbl_ledger[ロットID],$B25,tbl_ledger[イベント種類],"梱包開始"),
_xlpm.充当受入,SUMIFS(tbl_ledger[数量],tbl_ledger[充当先ロットID],$B25,tbl_ledger[イベント種類],"充当",tbl_ledger[元状態],I$1),
_xlpm.払出,SUMIFS(tbl_ledger[数量],tbl_ledger[ロットID],$B25,tbl_ledger[元状態],I$1),
_xlpm.受入+_xlpm.充当受入-_xlpm.払出))</f>
        <v/>
      </c>
      <c r="J25" s="8" t="str">
        <f>IF($B25="","",_xlfn.LET(
_xlpm.受入,SUMIFS(tbl_ledger[数量],tbl_ledger[ロットID],$B25,tbl_ledger[イベント種類],"梱包完了"),
_xlpm.充当受入,SUMIFS(tbl_ledger[数量],tbl_ledger[充当先ロットID],$B25,tbl_ledger[イベント種類],"充当",tbl_ledger[元状態],J$1),
_xlpm.払出,SUMIFS(tbl_ledger[数量],tbl_ledger[ロットID],$B25,tbl_ledger[元状態],J$1),
_xlpm.受入+_xlpm.充当受入-_xlpm.払出))</f>
        <v/>
      </c>
      <c r="K25" s="8" t="str">
        <f>IF($B25="","",_xlfn.LET(
_xlpm.受入,SUMIFS(tbl_ledger[数量],tbl_ledger[ロットID],$B25,tbl_ledger[イベント種類],"発送準備開始"),
_xlpm.充当受入,SUMIFS(tbl_ledger[数量],tbl_ledger[充当先ロットID],$B25,tbl_ledger[イベント種類],"充当",tbl_ledger[元状態],K$1),
_xlpm.払出,SUMIFS(tbl_ledger[数量],tbl_ledger[ロットID],$B25,tbl_ledger[元状態],K$1),
_xlpm.受入+_xlpm.充当受入-_xlpm.払出))</f>
        <v/>
      </c>
      <c r="L25" s="8" t="str">
        <f>IF($B25="","",_xlfn.LET(
_xlpm.受入,SUMIFS(tbl_ledger[数量],tbl_ledger[ロットID],$B25,tbl_ledger[イベント種類],"発送準備完了"),
_xlpm.充当受入,SUMIFS(tbl_ledger[数量],tbl_ledger[充当先ロットID],$B25,tbl_ledger[イベント種類],"充当",tbl_ledger[元状態],L$1),
_xlpm.払出,SUMIFS(tbl_ledger[数量],tbl_ledger[ロットID],$B25,tbl_ledger[元状態],L$1),
_xlpm.受入+_xlpm.充当受入-_xlpm.払出))</f>
        <v/>
      </c>
      <c r="M25" s="8" t="str">
        <f>IF($B25="","",_xlfn.LET(
_xlpm.受入,SUMIFS(tbl_ledger[数量],tbl_ledger[ロットID],$B25,tbl_ledger[イベント種類],"不良発生"),
_xlpm.充当受入,SUMIFS(tbl_ledger[数量],tbl_ledger[充当先ロットID],$B25,tbl_ledger[イベント種類],"充当",tbl_ledger[元状態],M$1),
_xlpm.払出,SUMIFS(tbl_ledger[数量],tbl_ledger[ロットID],$B25,tbl_ledger[元状態],M$1),
_xlpm.受入+_xlpm.充当受入-_xlpm.払出))</f>
        <v/>
      </c>
      <c r="N25" s="8" t="str">
        <f t="shared" si="1"/>
        <v/>
      </c>
    </row>
    <row r="26" spans="1:14" ht="15" customHeight="1" x14ac:dyDescent="0.25">
      <c r="A26" s="4" t="str">
        <f t="shared" si="0"/>
        <v/>
      </c>
      <c r="B26" s="4" t="str">
        <f>IFERROR(IF(COUNTIF($B$1:$B25,INDEX(tbl_plan[ロットID],ROW()-1))&gt;0,"",INDEX(tbl_plan[ロットID],ROW()-1)),"")</f>
        <v/>
      </c>
      <c r="C26" s="4" t="str">
        <f>IF($B26="","",INDEX(tbl_plan[localId],ROW()-1))</f>
        <v/>
      </c>
      <c r="D26" s="8" t="str">
        <f>IF($B26="","",_xlfn.LET(
_xlpm.割当受入,SUMIF(V_充足確認!$A$2:$A$301,$B26,V_充足確認!$F$2:$F$301),
_xlpm.充当受入,SUMIFS(tbl_ledger[数量],tbl_ledger[充当先ロットID],$B26,tbl_ledger[イベント種類],"充当",tbl_ledger[元状態],D$1),
_xlpm.払出,SUMIFS(tbl_ledger[数量],tbl_ledger[ロットID],$B26,tbl_ledger[元状態],D$1),
_xlpm.割当受入+_xlpm.充当受入-_xlpm.払出))</f>
        <v/>
      </c>
      <c r="E26" s="8" t="str">
        <f>IF($B26="","",_xlfn.LET(
_xlpm.受入,SUMIFS(tbl_ledger[数量],tbl_ledger[ロットID],$B26,tbl_ledger[イベント種類],"アニール開始"),
_xlpm.充当受入,SUMIFS(tbl_ledger[数量],tbl_ledger[充当先ロットID],$B26,tbl_ledger[イベント種類],"充当",tbl_ledger[元状態],E$1),
_xlpm.払出,SUMIFS(tbl_ledger[数量],tbl_ledger[ロットID],$B26,tbl_ledger[元状態],E$1),
_xlpm.受入+_xlpm.充当受入-_xlpm.払出))</f>
        <v/>
      </c>
      <c r="F26" s="8" t="str">
        <f>IF($B26="","",_xlfn.LET(
_xlpm.受入,SUMIFS(tbl_ledger[数量],tbl_ledger[ロットID],$B26,tbl_ledger[イベント種類],"アニール完了"),
_xlpm.充当受入,SUMIFS(tbl_ledger[数量],tbl_ledger[充当先ロットID],$B26,tbl_ledger[イベント種類],"充当",tbl_ledger[元状態],F$1),
_xlpm.払出,SUMIFS(tbl_ledger[数量],tbl_ledger[ロットID],$B26,tbl_ledger[元状態],F$1),
_xlpm.受入+_xlpm.充当受入-_xlpm.払出))</f>
        <v/>
      </c>
      <c r="G26" s="8" t="str">
        <f>IF($B26="","",_xlfn.LET(
_xlpm.受入,SUMIFS(tbl_ledger[数量],tbl_ledger[ロットID],$B26,tbl_ledger[イベント種類],"アセンブリ開始"),
_xlpm.充当受入,SUMIFS(tbl_ledger[数量],tbl_ledger[充当先ロットID],$B26,tbl_ledger[イベント種類],"充当",tbl_ledger[元状態],G$1),
_xlpm.払出,SUMIFS(tbl_ledger[数量],tbl_ledger[ロットID],$B26,tbl_ledger[元状態],G$1),
_xlpm.受入+_xlpm.充当受入-_xlpm.払出))</f>
        <v/>
      </c>
      <c r="H26" s="8" t="str">
        <f>IF($B26="","",_xlfn.LET(
_xlpm.受入,SUMIFS(tbl_ledger[数量],tbl_ledger[ロットID],$B26,tbl_ledger[イベント種類],"アセンブリ完了"),
_xlpm.充当受入,SUMIFS(tbl_ledger[数量],tbl_ledger[充当先ロットID],$B26,tbl_ledger[イベント種類],"充当",tbl_ledger[元状態],H$1),
_xlpm.払出,SUMIFS(tbl_ledger[数量],tbl_ledger[ロットID],$B26,tbl_ledger[元状態],H$1),
_xlpm.受入+_xlpm.充当受入-_xlpm.払出))</f>
        <v/>
      </c>
      <c r="I26" s="8" t="str">
        <f>IF($B26="","",_xlfn.LET(
_xlpm.受入,SUMIFS(tbl_ledger[数量],tbl_ledger[ロットID],$B26,tbl_ledger[イベント種類],"梱包開始"),
_xlpm.充当受入,SUMIFS(tbl_ledger[数量],tbl_ledger[充当先ロットID],$B26,tbl_ledger[イベント種類],"充当",tbl_ledger[元状態],I$1),
_xlpm.払出,SUMIFS(tbl_ledger[数量],tbl_ledger[ロットID],$B26,tbl_ledger[元状態],I$1),
_xlpm.受入+_xlpm.充当受入-_xlpm.払出))</f>
        <v/>
      </c>
      <c r="J26" s="8" t="str">
        <f>IF($B26="","",_xlfn.LET(
_xlpm.受入,SUMIFS(tbl_ledger[数量],tbl_ledger[ロットID],$B26,tbl_ledger[イベント種類],"梱包完了"),
_xlpm.充当受入,SUMIFS(tbl_ledger[数量],tbl_ledger[充当先ロットID],$B26,tbl_ledger[イベント種類],"充当",tbl_ledger[元状態],J$1),
_xlpm.払出,SUMIFS(tbl_ledger[数量],tbl_ledger[ロットID],$B26,tbl_ledger[元状態],J$1),
_xlpm.受入+_xlpm.充当受入-_xlpm.払出))</f>
        <v/>
      </c>
      <c r="K26" s="8" t="str">
        <f>IF($B26="","",_xlfn.LET(
_xlpm.受入,SUMIFS(tbl_ledger[数量],tbl_ledger[ロットID],$B26,tbl_ledger[イベント種類],"発送準備開始"),
_xlpm.充当受入,SUMIFS(tbl_ledger[数量],tbl_ledger[充当先ロットID],$B26,tbl_ledger[イベント種類],"充当",tbl_ledger[元状態],K$1),
_xlpm.払出,SUMIFS(tbl_ledger[数量],tbl_ledger[ロットID],$B26,tbl_ledger[元状態],K$1),
_xlpm.受入+_xlpm.充当受入-_xlpm.払出))</f>
        <v/>
      </c>
      <c r="L26" s="8" t="str">
        <f>IF($B26="","",_xlfn.LET(
_xlpm.受入,SUMIFS(tbl_ledger[数量],tbl_ledger[ロットID],$B26,tbl_ledger[イベント種類],"発送準備完了"),
_xlpm.充当受入,SUMIFS(tbl_ledger[数量],tbl_ledger[充当先ロットID],$B26,tbl_ledger[イベント種類],"充当",tbl_ledger[元状態],L$1),
_xlpm.払出,SUMIFS(tbl_ledger[数量],tbl_ledger[ロットID],$B26,tbl_ledger[元状態],L$1),
_xlpm.受入+_xlpm.充当受入-_xlpm.払出))</f>
        <v/>
      </c>
      <c r="M26" s="8" t="str">
        <f>IF($B26="","",_xlfn.LET(
_xlpm.受入,SUMIFS(tbl_ledger[数量],tbl_ledger[ロットID],$B26,tbl_ledger[イベント種類],"不良発生"),
_xlpm.充当受入,SUMIFS(tbl_ledger[数量],tbl_ledger[充当先ロットID],$B26,tbl_ledger[イベント種類],"充当",tbl_ledger[元状態],M$1),
_xlpm.払出,SUMIFS(tbl_ledger[数量],tbl_ledger[ロットID],$B26,tbl_ledger[元状態],M$1),
_xlpm.受入+_xlpm.充当受入-_xlpm.払出))</f>
        <v/>
      </c>
      <c r="N26" s="8" t="str">
        <f t="shared" si="1"/>
        <v/>
      </c>
    </row>
    <row r="27" spans="1:14" ht="15" customHeight="1" x14ac:dyDescent="0.25">
      <c r="A27" s="4" t="str">
        <f t="shared" si="0"/>
        <v/>
      </c>
      <c r="B27" s="4" t="str">
        <f>IFERROR(IF(COUNTIF($B$1:$B26,INDEX(tbl_plan[ロットID],ROW()-1))&gt;0,"",INDEX(tbl_plan[ロットID],ROW()-1)),"")</f>
        <v/>
      </c>
      <c r="C27" s="4" t="str">
        <f>IF($B27="","",INDEX(tbl_plan[localId],ROW()-1))</f>
        <v/>
      </c>
      <c r="D27" s="8" t="str">
        <f>IF($B27="","",_xlfn.LET(
_xlpm.割当受入,SUMIF(V_充足確認!$A$2:$A$301,$B27,V_充足確認!$F$2:$F$301),
_xlpm.充当受入,SUMIFS(tbl_ledger[数量],tbl_ledger[充当先ロットID],$B27,tbl_ledger[イベント種類],"充当",tbl_ledger[元状態],D$1),
_xlpm.払出,SUMIFS(tbl_ledger[数量],tbl_ledger[ロットID],$B27,tbl_ledger[元状態],D$1),
_xlpm.割当受入+_xlpm.充当受入-_xlpm.払出))</f>
        <v/>
      </c>
      <c r="E27" s="8" t="str">
        <f>IF($B27="","",_xlfn.LET(
_xlpm.受入,SUMIFS(tbl_ledger[数量],tbl_ledger[ロットID],$B27,tbl_ledger[イベント種類],"アニール開始"),
_xlpm.充当受入,SUMIFS(tbl_ledger[数量],tbl_ledger[充当先ロットID],$B27,tbl_ledger[イベント種類],"充当",tbl_ledger[元状態],E$1),
_xlpm.払出,SUMIFS(tbl_ledger[数量],tbl_ledger[ロットID],$B27,tbl_ledger[元状態],E$1),
_xlpm.受入+_xlpm.充当受入-_xlpm.払出))</f>
        <v/>
      </c>
      <c r="F27" s="8" t="str">
        <f>IF($B27="","",_xlfn.LET(
_xlpm.受入,SUMIFS(tbl_ledger[数量],tbl_ledger[ロットID],$B27,tbl_ledger[イベント種類],"アニール完了"),
_xlpm.充当受入,SUMIFS(tbl_ledger[数量],tbl_ledger[充当先ロットID],$B27,tbl_ledger[イベント種類],"充当",tbl_ledger[元状態],F$1),
_xlpm.払出,SUMIFS(tbl_ledger[数量],tbl_ledger[ロットID],$B27,tbl_ledger[元状態],F$1),
_xlpm.受入+_xlpm.充当受入-_xlpm.払出))</f>
        <v/>
      </c>
      <c r="G27" s="8" t="str">
        <f>IF($B27="","",_xlfn.LET(
_xlpm.受入,SUMIFS(tbl_ledger[数量],tbl_ledger[ロットID],$B27,tbl_ledger[イベント種類],"アセンブリ開始"),
_xlpm.充当受入,SUMIFS(tbl_ledger[数量],tbl_ledger[充当先ロットID],$B27,tbl_ledger[イベント種類],"充当",tbl_ledger[元状態],G$1),
_xlpm.払出,SUMIFS(tbl_ledger[数量],tbl_ledger[ロットID],$B27,tbl_ledger[元状態],G$1),
_xlpm.受入+_xlpm.充当受入-_xlpm.払出))</f>
        <v/>
      </c>
      <c r="H27" s="8" t="str">
        <f>IF($B27="","",_xlfn.LET(
_xlpm.受入,SUMIFS(tbl_ledger[数量],tbl_ledger[ロットID],$B27,tbl_ledger[イベント種類],"アセンブリ完了"),
_xlpm.充当受入,SUMIFS(tbl_ledger[数量],tbl_ledger[充当先ロットID],$B27,tbl_ledger[イベント種類],"充当",tbl_ledger[元状態],H$1),
_xlpm.払出,SUMIFS(tbl_ledger[数量],tbl_ledger[ロットID],$B27,tbl_ledger[元状態],H$1),
_xlpm.受入+_xlpm.充当受入-_xlpm.払出))</f>
        <v/>
      </c>
      <c r="I27" s="8" t="str">
        <f>IF($B27="","",_xlfn.LET(
_xlpm.受入,SUMIFS(tbl_ledger[数量],tbl_ledger[ロットID],$B27,tbl_ledger[イベント種類],"梱包開始"),
_xlpm.充当受入,SUMIFS(tbl_ledger[数量],tbl_ledger[充当先ロットID],$B27,tbl_ledger[イベント種類],"充当",tbl_ledger[元状態],I$1),
_xlpm.払出,SUMIFS(tbl_ledger[数量],tbl_ledger[ロットID],$B27,tbl_ledger[元状態],I$1),
_xlpm.受入+_xlpm.充当受入-_xlpm.払出))</f>
        <v/>
      </c>
      <c r="J27" s="8" t="str">
        <f>IF($B27="","",_xlfn.LET(
_xlpm.受入,SUMIFS(tbl_ledger[数量],tbl_ledger[ロットID],$B27,tbl_ledger[イベント種類],"梱包完了"),
_xlpm.充当受入,SUMIFS(tbl_ledger[数量],tbl_ledger[充当先ロットID],$B27,tbl_ledger[イベント種類],"充当",tbl_ledger[元状態],J$1),
_xlpm.払出,SUMIFS(tbl_ledger[数量],tbl_ledger[ロットID],$B27,tbl_ledger[元状態],J$1),
_xlpm.受入+_xlpm.充当受入-_xlpm.払出))</f>
        <v/>
      </c>
      <c r="K27" s="8" t="str">
        <f>IF($B27="","",_xlfn.LET(
_xlpm.受入,SUMIFS(tbl_ledger[数量],tbl_ledger[ロットID],$B27,tbl_ledger[イベント種類],"発送準備開始"),
_xlpm.充当受入,SUMIFS(tbl_ledger[数量],tbl_ledger[充当先ロットID],$B27,tbl_ledger[イベント種類],"充当",tbl_ledger[元状態],K$1),
_xlpm.払出,SUMIFS(tbl_ledger[数量],tbl_ledger[ロットID],$B27,tbl_ledger[元状態],K$1),
_xlpm.受入+_xlpm.充当受入-_xlpm.払出))</f>
        <v/>
      </c>
      <c r="L27" s="8" t="str">
        <f>IF($B27="","",_xlfn.LET(
_xlpm.受入,SUMIFS(tbl_ledger[数量],tbl_ledger[ロットID],$B27,tbl_ledger[イベント種類],"発送準備完了"),
_xlpm.充当受入,SUMIFS(tbl_ledger[数量],tbl_ledger[充当先ロットID],$B27,tbl_ledger[イベント種類],"充当",tbl_ledger[元状態],L$1),
_xlpm.払出,SUMIFS(tbl_ledger[数量],tbl_ledger[ロットID],$B27,tbl_ledger[元状態],L$1),
_xlpm.受入+_xlpm.充当受入-_xlpm.払出))</f>
        <v/>
      </c>
      <c r="M27" s="8" t="str">
        <f>IF($B27="","",_xlfn.LET(
_xlpm.受入,SUMIFS(tbl_ledger[数量],tbl_ledger[ロットID],$B27,tbl_ledger[イベント種類],"不良発生"),
_xlpm.充当受入,SUMIFS(tbl_ledger[数量],tbl_ledger[充当先ロットID],$B27,tbl_ledger[イベント種類],"充当",tbl_ledger[元状態],M$1),
_xlpm.払出,SUMIFS(tbl_ledger[数量],tbl_ledger[ロットID],$B27,tbl_ledger[元状態],M$1),
_xlpm.受入+_xlpm.充当受入-_xlpm.払出))</f>
        <v/>
      </c>
      <c r="N27" s="8" t="str">
        <f t="shared" si="1"/>
        <v/>
      </c>
    </row>
    <row r="28" spans="1:14" ht="15" customHeight="1" x14ac:dyDescent="0.25">
      <c r="A28" s="4" t="str">
        <f t="shared" si="0"/>
        <v/>
      </c>
      <c r="B28" s="4" t="str">
        <f>IFERROR(IF(COUNTIF($B$1:$B27,INDEX(tbl_plan[ロットID],ROW()-1))&gt;0,"",INDEX(tbl_plan[ロットID],ROW()-1)),"")</f>
        <v/>
      </c>
      <c r="C28" s="4" t="str">
        <f>IF($B28="","",INDEX(tbl_plan[localId],ROW()-1))</f>
        <v/>
      </c>
      <c r="D28" s="8" t="str">
        <f>IF($B28="","",_xlfn.LET(
_xlpm.割当受入,SUMIF(V_充足確認!$A$2:$A$301,$B28,V_充足確認!$F$2:$F$301),
_xlpm.充当受入,SUMIFS(tbl_ledger[数量],tbl_ledger[充当先ロットID],$B28,tbl_ledger[イベント種類],"充当",tbl_ledger[元状態],D$1),
_xlpm.払出,SUMIFS(tbl_ledger[数量],tbl_ledger[ロットID],$B28,tbl_ledger[元状態],D$1),
_xlpm.割当受入+_xlpm.充当受入-_xlpm.払出))</f>
        <v/>
      </c>
      <c r="E28" s="8" t="str">
        <f>IF($B28="","",_xlfn.LET(
_xlpm.受入,SUMIFS(tbl_ledger[数量],tbl_ledger[ロットID],$B28,tbl_ledger[イベント種類],"アニール開始"),
_xlpm.充当受入,SUMIFS(tbl_ledger[数量],tbl_ledger[充当先ロットID],$B28,tbl_ledger[イベント種類],"充当",tbl_ledger[元状態],E$1),
_xlpm.払出,SUMIFS(tbl_ledger[数量],tbl_ledger[ロットID],$B28,tbl_ledger[元状態],E$1),
_xlpm.受入+_xlpm.充当受入-_xlpm.払出))</f>
        <v/>
      </c>
      <c r="F28" s="8" t="str">
        <f>IF($B28="","",_xlfn.LET(
_xlpm.受入,SUMIFS(tbl_ledger[数量],tbl_ledger[ロットID],$B28,tbl_ledger[イベント種類],"アニール完了"),
_xlpm.充当受入,SUMIFS(tbl_ledger[数量],tbl_ledger[充当先ロットID],$B28,tbl_ledger[イベント種類],"充当",tbl_ledger[元状態],F$1),
_xlpm.払出,SUMIFS(tbl_ledger[数量],tbl_ledger[ロットID],$B28,tbl_ledger[元状態],F$1),
_xlpm.受入+_xlpm.充当受入-_xlpm.払出))</f>
        <v/>
      </c>
      <c r="G28" s="8" t="str">
        <f>IF($B28="","",_xlfn.LET(
_xlpm.受入,SUMIFS(tbl_ledger[数量],tbl_ledger[ロットID],$B28,tbl_ledger[イベント種類],"アセンブリ開始"),
_xlpm.充当受入,SUMIFS(tbl_ledger[数量],tbl_ledger[充当先ロットID],$B28,tbl_ledger[イベント種類],"充当",tbl_ledger[元状態],G$1),
_xlpm.払出,SUMIFS(tbl_ledger[数量],tbl_ledger[ロットID],$B28,tbl_ledger[元状態],G$1),
_xlpm.受入+_xlpm.充当受入-_xlpm.払出))</f>
        <v/>
      </c>
      <c r="H28" s="8" t="str">
        <f>IF($B28="","",_xlfn.LET(
_xlpm.受入,SUMIFS(tbl_ledger[数量],tbl_ledger[ロットID],$B28,tbl_ledger[イベント種類],"アセンブリ完了"),
_xlpm.充当受入,SUMIFS(tbl_ledger[数量],tbl_ledger[充当先ロットID],$B28,tbl_ledger[イベント種類],"充当",tbl_ledger[元状態],H$1),
_xlpm.払出,SUMIFS(tbl_ledger[数量],tbl_ledger[ロットID],$B28,tbl_ledger[元状態],H$1),
_xlpm.受入+_xlpm.充当受入-_xlpm.払出))</f>
        <v/>
      </c>
      <c r="I28" s="8" t="str">
        <f>IF($B28="","",_xlfn.LET(
_xlpm.受入,SUMIFS(tbl_ledger[数量],tbl_ledger[ロットID],$B28,tbl_ledger[イベント種類],"梱包開始"),
_xlpm.充当受入,SUMIFS(tbl_ledger[数量],tbl_ledger[充当先ロットID],$B28,tbl_ledger[イベント種類],"充当",tbl_ledger[元状態],I$1),
_xlpm.払出,SUMIFS(tbl_ledger[数量],tbl_ledger[ロットID],$B28,tbl_ledger[元状態],I$1),
_xlpm.受入+_xlpm.充当受入-_xlpm.払出))</f>
        <v/>
      </c>
      <c r="J28" s="8" t="str">
        <f>IF($B28="","",_xlfn.LET(
_xlpm.受入,SUMIFS(tbl_ledger[数量],tbl_ledger[ロットID],$B28,tbl_ledger[イベント種類],"梱包完了"),
_xlpm.充当受入,SUMIFS(tbl_ledger[数量],tbl_ledger[充当先ロットID],$B28,tbl_ledger[イベント種類],"充当",tbl_ledger[元状態],J$1),
_xlpm.払出,SUMIFS(tbl_ledger[数量],tbl_ledger[ロットID],$B28,tbl_ledger[元状態],J$1),
_xlpm.受入+_xlpm.充当受入-_xlpm.払出))</f>
        <v/>
      </c>
      <c r="K28" s="8" t="str">
        <f>IF($B28="","",_xlfn.LET(
_xlpm.受入,SUMIFS(tbl_ledger[数量],tbl_ledger[ロットID],$B28,tbl_ledger[イベント種類],"発送準備開始"),
_xlpm.充当受入,SUMIFS(tbl_ledger[数量],tbl_ledger[充当先ロットID],$B28,tbl_ledger[イベント種類],"充当",tbl_ledger[元状態],K$1),
_xlpm.払出,SUMIFS(tbl_ledger[数量],tbl_ledger[ロットID],$B28,tbl_ledger[元状態],K$1),
_xlpm.受入+_xlpm.充当受入-_xlpm.払出))</f>
        <v/>
      </c>
      <c r="L28" s="8" t="str">
        <f>IF($B28="","",_xlfn.LET(
_xlpm.受入,SUMIFS(tbl_ledger[数量],tbl_ledger[ロットID],$B28,tbl_ledger[イベント種類],"発送準備完了"),
_xlpm.充当受入,SUMIFS(tbl_ledger[数量],tbl_ledger[充当先ロットID],$B28,tbl_ledger[イベント種類],"充当",tbl_ledger[元状態],L$1),
_xlpm.払出,SUMIFS(tbl_ledger[数量],tbl_ledger[ロットID],$B28,tbl_ledger[元状態],L$1),
_xlpm.受入+_xlpm.充当受入-_xlpm.払出))</f>
        <v/>
      </c>
      <c r="M28" s="8" t="str">
        <f>IF($B28="","",_xlfn.LET(
_xlpm.受入,SUMIFS(tbl_ledger[数量],tbl_ledger[ロットID],$B28,tbl_ledger[イベント種類],"不良発生"),
_xlpm.充当受入,SUMIFS(tbl_ledger[数量],tbl_ledger[充当先ロットID],$B28,tbl_ledger[イベント種類],"充当",tbl_ledger[元状態],M$1),
_xlpm.払出,SUMIFS(tbl_ledger[数量],tbl_ledger[ロットID],$B28,tbl_ledger[元状態],M$1),
_xlpm.受入+_xlpm.充当受入-_xlpm.払出))</f>
        <v/>
      </c>
      <c r="N28" s="8" t="str">
        <f t="shared" si="1"/>
        <v/>
      </c>
    </row>
    <row r="29" spans="1:14" ht="15" customHeight="1" x14ac:dyDescent="0.25">
      <c r="A29" s="4" t="str">
        <f t="shared" si="0"/>
        <v/>
      </c>
      <c r="B29" s="4" t="str">
        <f>IFERROR(IF(COUNTIF($B$1:$B28,INDEX(tbl_plan[ロットID],ROW()-1))&gt;0,"",INDEX(tbl_plan[ロットID],ROW()-1)),"")</f>
        <v/>
      </c>
      <c r="C29" s="4" t="str">
        <f>IF($B29="","",INDEX(tbl_plan[localId],ROW()-1))</f>
        <v/>
      </c>
      <c r="D29" s="8" t="str">
        <f>IF($B29="","",_xlfn.LET(
_xlpm.割当受入,SUMIF(V_充足確認!$A$2:$A$301,$B29,V_充足確認!$F$2:$F$301),
_xlpm.充当受入,SUMIFS(tbl_ledger[数量],tbl_ledger[充当先ロットID],$B29,tbl_ledger[イベント種類],"充当",tbl_ledger[元状態],D$1),
_xlpm.払出,SUMIFS(tbl_ledger[数量],tbl_ledger[ロットID],$B29,tbl_ledger[元状態],D$1),
_xlpm.割当受入+_xlpm.充当受入-_xlpm.払出))</f>
        <v/>
      </c>
      <c r="E29" s="8" t="str">
        <f>IF($B29="","",_xlfn.LET(
_xlpm.受入,SUMIFS(tbl_ledger[数量],tbl_ledger[ロットID],$B29,tbl_ledger[イベント種類],"アニール開始"),
_xlpm.充当受入,SUMIFS(tbl_ledger[数量],tbl_ledger[充当先ロットID],$B29,tbl_ledger[イベント種類],"充当",tbl_ledger[元状態],E$1),
_xlpm.払出,SUMIFS(tbl_ledger[数量],tbl_ledger[ロットID],$B29,tbl_ledger[元状態],E$1),
_xlpm.受入+_xlpm.充当受入-_xlpm.払出))</f>
        <v/>
      </c>
      <c r="F29" s="8" t="str">
        <f>IF($B29="","",_xlfn.LET(
_xlpm.受入,SUMIFS(tbl_ledger[数量],tbl_ledger[ロットID],$B29,tbl_ledger[イベント種類],"アニール完了"),
_xlpm.充当受入,SUMIFS(tbl_ledger[数量],tbl_ledger[充当先ロットID],$B29,tbl_ledger[イベント種類],"充当",tbl_ledger[元状態],F$1),
_xlpm.払出,SUMIFS(tbl_ledger[数量],tbl_ledger[ロットID],$B29,tbl_ledger[元状態],F$1),
_xlpm.受入+_xlpm.充当受入-_xlpm.払出))</f>
        <v/>
      </c>
      <c r="G29" s="8" t="str">
        <f>IF($B29="","",_xlfn.LET(
_xlpm.受入,SUMIFS(tbl_ledger[数量],tbl_ledger[ロットID],$B29,tbl_ledger[イベント種類],"アセンブリ開始"),
_xlpm.充当受入,SUMIFS(tbl_ledger[数量],tbl_ledger[充当先ロットID],$B29,tbl_ledger[イベント種類],"充当",tbl_ledger[元状態],G$1),
_xlpm.払出,SUMIFS(tbl_ledger[数量],tbl_ledger[ロットID],$B29,tbl_ledger[元状態],G$1),
_xlpm.受入+_xlpm.充当受入-_xlpm.払出))</f>
        <v/>
      </c>
      <c r="H29" s="8" t="str">
        <f>IF($B29="","",_xlfn.LET(
_xlpm.受入,SUMIFS(tbl_ledger[数量],tbl_ledger[ロットID],$B29,tbl_ledger[イベント種類],"アセンブリ完了"),
_xlpm.充当受入,SUMIFS(tbl_ledger[数量],tbl_ledger[充当先ロットID],$B29,tbl_ledger[イベント種類],"充当",tbl_ledger[元状態],H$1),
_xlpm.払出,SUMIFS(tbl_ledger[数量],tbl_ledger[ロットID],$B29,tbl_ledger[元状態],H$1),
_xlpm.受入+_xlpm.充当受入-_xlpm.払出))</f>
        <v/>
      </c>
      <c r="I29" s="8" t="str">
        <f>IF($B29="","",_xlfn.LET(
_xlpm.受入,SUMIFS(tbl_ledger[数量],tbl_ledger[ロットID],$B29,tbl_ledger[イベント種類],"梱包開始"),
_xlpm.充当受入,SUMIFS(tbl_ledger[数量],tbl_ledger[充当先ロットID],$B29,tbl_ledger[イベント種類],"充当",tbl_ledger[元状態],I$1),
_xlpm.払出,SUMIFS(tbl_ledger[数量],tbl_ledger[ロットID],$B29,tbl_ledger[元状態],I$1),
_xlpm.受入+_xlpm.充当受入-_xlpm.払出))</f>
        <v/>
      </c>
      <c r="J29" s="8" t="str">
        <f>IF($B29="","",_xlfn.LET(
_xlpm.受入,SUMIFS(tbl_ledger[数量],tbl_ledger[ロットID],$B29,tbl_ledger[イベント種類],"梱包完了"),
_xlpm.充当受入,SUMIFS(tbl_ledger[数量],tbl_ledger[充当先ロットID],$B29,tbl_ledger[イベント種類],"充当",tbl_ledger[元状態],J$1),
_xlpm.払出,SUMIFS(tbl_ledger[数量],tbl_ledger[ロットID],$B29,tbl_ledger[元状態],J$1),
_xlpm.受入+_xlpm.充当受入-_xlpm.払出))</f>
        <v/>
      </c>
      <c r="K29" s="8" t="str">
        <f>IF($B29="","",_xlfn.LET(
_xlpm.受入,SUMIFS(tbl_ledger[数量],tbl_ledger[ロットID],$B29,tbl_ledger[イベント種類],"発送準備開始"),
_xlpm.充当受入,SUMIFS(tbl_ledger[数量],tbl_ledger[充当先ロットID],$B29,tbl_ledger[イベント種類],"充当",tbl_ledger[元状態],K$1),
_xlpm.払出,SUMIFS(tbl_ledger[数量],tbl_ledger[ロットID],$B29,tbl_ledger[元状態],K$1),
_xlpm.受入+_xlpm.充当受入-_xlpm.払出))</f>
        <v/>
      </c>
      <c r="L29" s="8" t="str">
        <f>IF($B29="","",_xlfn.LET(
_xlpm.受入,SUMIFS(tbl_ledger[数量],tbl_ledger[ロットID],$B29,tbl_ledger[イベント種類],"発送準備完了"),
_xlpm.充当受入,SUMIFS(tbl_ledger[数量],tbl_ledger[充当先ロットID],$B29,tbl_ledger[イベント種類],"充当",tbl_ledger[元状態],L$1),
_xlpm.払出,SUMIFS(tbl_ledger[数量],tbl_ledger[ロットID],$B29,tbl_ledger[元状態],L$1),
_xlpm.受入+_xlpm.充当受入-_xlpm.払出))</f>
        <v/>
      </c>
      <c r="M29" s="8" t="str">
        <f>IF($B29="","",_xlfn.LET(
_xlpm.受入,SUMIFS(tbl_ledger[数量],tbl_ledger[ロットID],$B29,tbl_ledger[イベント種類],"不良発生"),
_xlpm.充当受入,SUMIFS(tbl_ledger[数量],tbl_ledger[充当先ロットID],$B29,tbl_ledger[イベント種類],"充当",tbl_ledger[元状態],M$1),
_xlpm.払出,SUMIFS(tbl_ledger[数量],tbl_ledger[ロットID],$B29,tbl_ledger[元状態],M$1),
_xlpm.受入+_xlpm.充当受入-_xlpm.払出))</f>
        <v/>
      </c>
      <c r="N29" s="8" t="str">
        <f t="shared" si="1"/>
        <v/>
      </c>
    </row>
    <row r="30" spans="1:14" ht="15" customHeight="1" x14ac:dyDescent="0.25">
      <c r="A30" s="4" t="str">
        <f t="shared" si="0"/>
        <v/>
      </c>
      <c r="B30" s="4" t="str">
        <f>IFERROR(IF(COUNTIF($B$1:$B29,INDEX(tbl_plan[ロットID],ROW()-1))&gt;0,"",INDEX(tbl_plan[ロットID],ROW()-1)),"")</f>
        <v/>
      </c>
      <c r="C30" s="4" t="str">
        <f>IF($B30="","",INDEX(tbl_plan[localId],ROW()-1))</f>
        <v/>
      </c>
      <c r="D30" s="8" t="str">
        <f>IF($B30="","",_xlfn.LET(
_xlpm.割当受入,SUMIF(V_充足確認!$A$2:$A$301,$B30,V_充足確認!$F$2:$F$301),
_xlpm.充当受入,SUMIFS(tbl_ledger[数量],tbl_ledger[充当先ロットID],$B30,tbl_ledger[イベント種類],"充当",tbl_ledger[元状態],D$1),
_xlpm.払出,SUMIFS(tbl_ledger[数量],tbl_ledger[ロットID],$B30,tbl_ledger[元状態],D$1),
_xlpm.割当受入+_xlpm.充当受入-_xlpm.払出))</f>
        <v/>
      </c>
      <c r="E30" s="8" t="str">
        <f>IF($B30="","",_xlfn.LET(
_xlpm.受入,SUMIFS(tbl_ledger[数量],tbl_ledger[ロットID],$B30,tbl_ledger[イベント種類],"アニール開始"),
_xlpm.充当受入,SUMIFS(tbl_ledger[数量],tbl_ledger[充当先ロットID],$B30,tbl_ledger[イベント種類],"充当",tbl_ledger[元状態],E$1),
_xlpm.払出,SUMIFS(tbl_ledger[数量],tbl_ledger[ロットID],$B30,tbl_ledger[元状態],E$1),
_xlpm.受入+_xlpm.充当受入-_xlpm.払出))</f>
        <v/>
      </c>
      <c r="F30" s="8" t="str">
        <f>IF($B30="","",_xlfn.LET(
_xlpm.受入,SUMIFS(tbl_ledger[数量],tbl_ledger[ロットID],$B30,tbl_ledger[イベント種類],"アニール完了"),
_xlpm.充当受入,SUMIFS(tbl_ledger[数量],tbl_ledger[充当先ロットID],$B30,tbl_ledger[イベント種類],"充当",tbl_ledger[元状態],F$1),
_xlpm.払出,SUMIFS(tbl_ledger[数量],tbl_ledger[ロットID],$B30,tbl_ledger[元状態],F$1),
_xlpm.受入+_xlpm.充当受入-_xlpm.払出))</f>
        <v/>
      </c>
      <c r="G30" s="8" t="str">
        <f>IF($B30="","",_xlfn.LET(
_xlpm.受入,SUMIFS(tbl_ledger[数量],tbl_ledger[ロットID],$B30,tbl_ledger[イベント種類],"アセンブリ開始"),
_xlpm.充当受入,SUMIFS(tbl_ledger[数量],tbl_ledger[充当先ロットID],$B30,tbl_ledger[イベント種類],"充当",tbl_ledger[元状態],G$1),
_xlpm.払出,SUMIFS(tbl_ledger[数量],tbl_ledger[ロットID],$B30,tbl_ledger[元状態],G$1),
_xlpm.受入+_xlpm.充当受入-_xlpm.払出))</f>
        <v/>
      </c>
      <c r="H30" s="8" t="str">
        <f>IF($B30="","",_xlfn.LET(
_xlpm.受入,SUMIFS(tbl_ledger[数量],tbl_ledger[ロットID],$B30,tbl_ledger[イベント種類],"アセンブリ完了"),
_xlpm.充当受入,SUMIFS(tbl_ledger[数量],tbl_ledger[充当先ロットID],$B30,tbl_ledger[イベント種類],"充当",tbl_ledger[元状態],H$1),
_xlpm.払出,SUMIFS(tbl_ledger[数量],tbl_ledger[ロットID],$B30,tbl_ledger[元状態],H$1),
_xlpm.受入+_xlpm.充当受入-_xlpm.払出))</f>
        <v/>
      </c>
      <c r="I30" s="8" t="str">
        <f>IF($B30="","",_xlfn.LET(
_xlpm.受入,SUMIFS(tbl_ledger[数量],tbl_ledger[ロットID],$B30,tbl_ledger[イベント種類],"梱包開始"),
_xlpm.充当受入,SUMIFS(tbl_ledger[数量],tbl_ledger[充当先ロットID],$B30,tbl_ledger[イベント種類],"充当",tbl_ledger[元状態],I$1),
_xlpm.払出,SUMIFS(tbl_ledger[数量],tbl_ledger[ロットID],$B30,tbl_ledger[元状態],I$1),
_xlpm.受入+_xlpm.充当受入-_xlpm.払出))</f>
        <v/>
      </c>
      <c r="J30" s="8" t="str">
        <f>IF($B30="","",_xlfn.LET(
_xlpm.受入,SUMIFS(tbl_ledger[数量],tbl_ledger[ロットID],$B30,tbl_ledger[イベント種類],"梱包完了"),
_xlpm.充当受入,SUMIFS(tbl_ledger[数量],tbl_ledger[充当先ロットID],$B30,tbl_ledger[イベント種類],"充当",tbl_ledger[元状態],J$1),
_xlpm.払出,SUMIFS(tbl_ledger[数量],tbl_ledger[ロットID],$B30,tbl_ledger[元状態],J$1),
_xlpm.受入+_xlpm.充当受入-_xlpm.払出))</f>
        <v/>
      </c>
      <c r="K30" s="8" t="str">
        <f>IF($B30="","",_xlfn.LET(
_xlpm.受入,SUMIFS(tbl_ledger[数量],tbl_ledger[ロットID],$B30,tbl_ledger[イベント種類],"発送準備開始"),
_xlpm.充当受入,SUMIFS(tbl_ledger[数量],tbl_ledger[充当先ロットID],$B30,tbl_ledger[イベント種類],"充当",tbl_ledger[元状態],K$1),
_xlpm.払出,SUMIFS(tbl_ledger[数量],tbl_ledger[ロットID],$B30,tbl_ledger[元状態],K$1),
_xlpm.受入+_xlpm.充当受入-_xlpm.払出))</f>
        <v/>
      </c>
      <c r="L30" s="8" t="str">
        <f>IF($B30="","",_xlfn.LET(
_xlpm.受入,SUMIFS(tbl_ledger[数量],tbl_ledger[ロットID],$B30,tbl_ledger[イベント種類],"発送準備完了"),
_xlpm.充当受入,SUMIFS(tbl_ledger[数量],tbl_ledger[充当先ロットID],$B30,tbl_ledger[イベント種類],"充当",tbl_ledger[元状態],L$1),
_xlpm.払出,SUMIFS(tbl_ledger[数量],tbl_ledger[ロットID],$B30,tbl_ledger[元状態],L$1),
_xlpm.受入+_xlpm.充当受入-_xlpm.払出))</f>
        <v/>
      </c>
      <c r="M30" s="8" t="str">
        <f>IF($B30="","",_xlfn.LET(
_xlpm.受入,SUMIFS(tbl_ledger[数量],tbl_ledger[ロットID],$B30,tbl_ledger[イベント種類],"不良発生"),
_xlpm.充当受入,SUMIFS(tbl_ledger[数量],tbl_ledger[充当先ロットID],$B30,tbl_ledger[イベント種類],"充当",tbl_ledger[元状態],M$1),
_xlpm.払出,SUMIFS(tbl_ledger[数量],tbl_ledger[ロットID],$B30,tbl_ledger[元状態],M$1),
_xlpm.受入+_xlpm.充当受入-_xlpm.払出))</f>
        <v/>
      </c>
      <c r="N30" s="8" t="str">
        <f t="shared" si="1"/>
        <v/>
      </c>
    </row>
    <row r="31" spans="1:14" ht="15" customHeight="1" x14ac:dyDescent="0.25">
      <c r="A31" s="4" t="str">
        <f t="shared" si="0"/>
        <v/>
      </c>
      <c r="B31" s="4" t="str">
        <f>IFERROR(IF(COUNTIF($B$1:$B30,INDEX(tbl_plan[ロットID],ROW()-1))&gt;0,"",INDEX(tbl_plan[ロットID],ROW()-1)),"")</f>
        <v/>
      </c>
      <c r="C31" s="4" t="str">
        <f>IF($B31="","",INDEX(tbl_plan[localId],ROW()-1))</f>
        <v/>
      </c>
      <c r="D31" s="8" t="str">
        <f>IF($B31="","",_xlfn.LET(
_xlpm.割当受入,SUMIF(V_充足確認!$A$2:$A$301,$B31,V_充足確認!$F$2:$F$301),
_xlpm.充当受入,SUMIFS(tbl_ledger[数量],tbl_ledger[充当先ロットID],$B31,tbl_ledger[イベント種類],"充当",tbl_ledger[元状態],D$1),
_xlpm.払出,SUMIFS(tbl_ledger[数量],tbl_ledger[ロットID],$B31,tbl_ledger[元状態],D$1),
_xlpm.割当受入+_xlpm.充当受入-_xlpm.払出))</f>
        <v/>
      </c>
      <c r="E31" s="8" t="str">
        <f>IF($B31="","",_xlfn.LET(
_xlpm.受入,SUMIFS(tbl_ledger[数量],tbl_ledger[ロットID],$B31,tbl_ledger[イベント種類],"アニール開始"),
_xlpm.充当受入,SUMIFS(tbl_ledger[数量],tbl_ledger[充当先ロットID],$B31,tbl_ledger[イベント種類],"充当",tbl_ledger[元状態],E$1),
_xlpm.払出,SUMIFS(tbl_ledger[数量],tbl_ledger[ロットID],$B31,tbl_ledger[元状態],E$1),
_xlpm.受入+_xlpm.充当受入-_xlpm.払出))</f>
        <v/>
      </c>
      <c r="F31" s="8" t="str">
        <f>IF($B31="","",_xlfn.LET(
_xlpm.受入,SUMIFS(tbl_ledger[数量],tbl_ledger[ロットID],$B31,tbl_ledger[イベント種類],"アニール完了"),
_xlpm.充当受入,SUMIFS(tbl_ledger[数量],tbl_ledger[充当先ロットID],$B31,tbl_ledger[イベント種類],"充当",tbl_ledger[元状態],F$1),
_xlpm.払出,SUMIFS(tbl_ledger[数量],tbl_ledger[ロットID],$B31,tbl_ledger[元状態],F$1),
_xlpm.受入+_xlpm.充当受入-_xlpm.払出))</f>
        <v/>
      </c>
      <c r="G31" s="8" t="str">
        <f>IF($B31="","",_xlfn.LET(
_xlpm.受入,SUMIFS(tbl_ledger[数量],tbl_ledger[ロットID],$B31,tbl_ledger[イベント種類],"アセンブリ開始"),
_xlpm.充当受入,SUMIFS(tbl_ledger[数量],tbl_ledger[充当先ロットID],$B31,tbl_ledger[イベント種類],"充当",tbl_ledger[元状態],G$1),
_xlpm.払出,SUMIFS(tbl_ledger[数量],tbl_ledger[ロットID],$B31,tbl_ledger[元状態],G$1),
_xlpm.受入+_xlpm.充当受入-_xlpm.払出))</f>
        <v/>
      </c>
      <c r="H31" s="8" t="str">
        <f>IF($B31="","",_xlfn.LET(
_xlpm.受入,SUMIFS(tbl_ledger[数量],tbl_ledger[ロットID],$B31,tbl_ledger[イベント種類],"アセンブリ完了"),
_xlpm.充当受入,SUMIFS(tbl_ledger[数量],tbl_ledger[充当先ロットID],$B31,tbl_ledger[イベント種類],"充当",tbl_ledger[元状態],H$1),
_xlpm.払出,SUMIFS(tbl_ledger[数量],tbl_ledger[ロットID],$B31,tbl_ledger[元状態],H$1),
_xlpm.受入+_xlpm.充当受入-_xlpm.払出))</f>
        <v/>
      </c>
      <c r="I31" s="8" t="str">
        <f>IF($B31="","",_xlfn.LET(
_xlpm.受入,SUMIFS(tbl_ledger[数量],tbl_ledger[ロットID],$B31,tbl_ledger[イベント種類],"梱包開始"),
_xlpm.充当受入,SUMIFS(tbl_ledger[数量],tbl_ledger[充当先ロットID],$B31,tbl_ledger[イベント種類],"充当",tbl_ledger[元状態],I$1),
_xlpm.払出,SUMIFS(tbl_ledger[数量],tbl_ledger[ロットID],$B31,tbl_ledger[元状態],I$1),
_xlpm.受入+_xlpm.充当受入-_xlpm.払出))</f>
        <v/>
      </c>
      <c r="J31" s="8" t="str">
        <f>IF($B31="","",_xlfn.LET(
_xlpm.受入,SUMIFS(tbl_ledger[数量],tbl_ledger[ロットID],$B31,tbl_ledger[イベント種類],"梱包完了"),
_xlpm.充当受入,SUMIFS(tbl_ledger[数量],tbl_ledger[充当先ロットID],$B31,tbl_ledger[イベント種類],"充当",tbl_ledger[元状態],J$1),
_xlpm.払出,SUMIFS(tbl_ledger[数量],tbl_ledger[ロットID],$B31,tbl_ledger[元状態],J$1),
_xlpm.受入+_xlpm.充当受入-_xlpm.払出))</f>
        <v/>
      </c>
      <c r="K31" s="8" t="str">
        <f>IF($B31="","",_xlfn.LET(
_xlpm.受入,SUMIFS(tbl_ledger[数量],tbl_ledger[ロットID],$B31,tbl_ledger[イベント種類],"発送準備開始"),
_xlpm.充当受入,SUMIFS(tbl_ledger[数量],tbl_ledger[充当先ロットID],$B31,tbl_ledger[イベント種類],"充当",tbl_ledger[元状態],K$1),
_xlpm.払出,SUMIFS(tbl_ledger[数量],tbl_ledger[ロットID],$B31,tbl_ledger[元状態],K$1),
_xlpm.受入+_xlpm.充当受入-_xlpm.払出))</f>
        <v/>
      </c>
      <c r="L31" s="8" t="str">
        <f>IF($B31="","",_xlfn.LET(
_xlpm.受入,SUMIFS(tbl_ledger[数量],tbl_ledger[ロットID],$B31,tbl_ledger[イベント種類],"発送準備完了"),
_xlpm.充当受入,SUMIFS(tbl_ledger[数量],tbl_ledger[充当先ロットID],$B31,tbl_ledger[イベント種類],"充当",tbl_ledger[元状態],L$1),
_xlpm.払出,SUMIFS(tbl_ledger[数量],tbl_ledger[ロットID],$B31,tbl_ledger[元状態],L$1),
_xlpm.受入+_xlpm.充当受入-_xlpm.払出))</f>
        <v/>
      </c>
      <c r="M31" s="8" t="str">
        <f>IF($B31="","",_xlfn.LET(
_xlpm.受入,SUMIFS(tbl_ledger[数量],tbl_ledger[ロットID],$B31,tbl_ledger[イベント種類],"不良発生"),
_xlpm.充当受入,SUMIFS(tbl_ledger[数量],tbl_ledger[充当先ロットID],$B31,tbl_ledger[イベント種類],"充当",tbl_ledger[元状態],M$1),
_xlpm.払出,SUMIFS(tbl_ledger[数量],tbl_ledger[ロットID],$B31,tbl_ledger[元状態],M$1),
_xlpm.受入+_xlpm.充当受入-_xlpm.払出))</f>
        <v/>
      </c>
      <c r="N31" s="8" t="str">
        <f t="shared" si="1"/>
        <v/>
      </c>
    </row>
    <row r="32" spans="1:14" ht="15" customHeight="1" x14ac:dyDescent="0.25">
      <c r="A32" s="4" t="str">
        <f t="shared" si="0"/>
        <v/>
      </c>
      <c r="B32" s="4" t="str">
        <f>IFERROR(IF(COUNTIF($B$1:$B31,INDEX(tbl_plan[ロットID],ROW()-1))&gt;0,"",INDEX(tbl_plan[ロットID],ROW()-1)),"")</f>
        <v/>
      </c>
      <c r="C32" s="4" t="str">
        <f>IF($B32="","",INDEX(tbl_plan[localId],ROW()-1))</f>
        <v/>
      </c>
      <c r="D32" s="8" t="str">
        <f>IF($B32="","",_xlfn.LET(
_xlpm.割当受入,SUMIF(V_充足確認!$A$2:$A$301,$B32,V_充足確認!$F$2:$F$301),
_xlpm.充当受入,SUMIFS(tbl_ledger[数量],tbl_ledger[充当先ロットID],$B32,tbl_ledger[イベント種類],"充当",tbl_ledger[元状態],D$1),
_xlpm.払出,SUMIFS(tbl_ledger[数量],tbl_ledger[ロットID],$B32,tbl_ledger[元状態],D$1),
_xlpm.割当受入+_xlpm.充当受入-_xlpm.払出))</f>
        <v/>
      </c>
      <c r="E32" s="8" t="str">
        <f>IF($B32="","",_xlfn.LET(
_xlpm.受入,SUMIFS(tbl_ledger[数量],tbl_ledger[ロットID],$B32,tbl_ledger[イベント種類],"アニール開始"),
_xlpm.充当受入,SUMIFS(tbl_ledger[数量],tbl_ledger[充当先ロットID],$B32,tbl_ledger[イベント種類],"充当",tbl_ledger[元状態],E$1),
_xlpm.払出,SUMIFS(tbl_ledger[数量],tbl_ledger[ロットID],$B32,tbl_ledger[元状態],E$1),
_xlpm.受入+_xlpm.充当受入-_xlpm.払出))</f>
        <v/>
      </c>
      <c r="F32" s="8" t="str">
        <f>IF($B32="","",_xlfn.LET(
_xlpm.受入,SUMIFS(tbl_ledger[数量],tbl_ledger[ロットID],$B32,tbl_ledger[イベント種類],"アニール完了"),
_xlpm.充当受入,SUMIFS(tbl_ledger[数量],tbl_ledger[充当先ロットID],$B32,tbl_ledger[イベント種類],"充当",tbl_ledger[元状態],F$1),
_xlpm.払出,SUMIFS(tbl_ledger[数量],tbl_ledger[ロットID],$B32,tbl_ledger[元状態],F$1),
_xlpm.受入+_xlpm.充当受入-_xlpm.払出))</f>
        <v/>
      </c>
      <c r="G32" s="8" t="str">
        <f>IF($B32="","",_xlfn.LET(
_xlpm.受入,SUMIFS(tbl_ledger[数量],tbl_ledger[ロットID],$B32,tbl_ledger[イベント種類],"アセンブリ開始"),
_xlpm.充当受入,SUMIFS(tbl_ledger[数量],tbl_ledger[充当先ロットID],$B32,tbl_ledger[イベント種類],"充当",tbl_ledger[元状態],G$1),
_xlpm.払出,SUMIFS(tbl_ledger[数量],tbl_ledger[ロットID],$B32,tbl_ledger[元状態],G$1),
_xlpm.受入+_xlpm.充当受入-_xlpm.払出))</f>
        <v/>
      </c>
      <c r="H32" s="8" t="str">
        <f>IF($B32="","",_xlfn.LET(
_xlpm.受入,SUMIFS(tbl_ledger[数量],tbl_ledger[ロットID],$B32,tbl_ledger[イベント種類],"アセンブリ完了"),
_xlpm.充当受入,SUMIFS(tbl_ledger[数量],tbl_ledger[充当先ロットID],$B32,tbl_ledger[イベント種類],"充当",tbl_ledger[元状態],H$1),
_xlpm.払出,SUMIFS(tbl_ledger[数量],tbl_ledger[ロットID],$B32,tbl_ledger[元状態],H$1),
_xlpm.受入+_xlpm.充当受入-_xlpm.払出))</f>
        <v/>
      </c>
      <c r="I32" s="8" t="str">
        <f>IF($B32="","",_xlfn.LET(
_xlpm.受入,SUMIFS(tbl_ledger[数量],tbl_ledger[ロットID],$B32,tbl_ledger[イベント種類],"梱包開始"),
_xlpm.充当受入,SUMIFS(tbl_ledger[数量],tbl_ledger[充当先ロットID],$B32,tbl_ledger[イベント種類],"充当",tbl_ledger[元状態],I$1),
_xlpm.払出,SUMIFS(tbl_ledger[数量],tbl_ledger[ロットID],$B32,tbl_ledger[元状態],I$1),
_xlpm.受入+_xlpm.充当受入-_xlpm.払出))</f>
        <v/>
      </c>
      <c r="J32" s="8" t="str">
        <f>IF($B32="","",_xlfn.LET(
_xlpm.受入,SUMIFS(tbl_ledger[数量],tbl_ledger[ロットID],$B32,tbl_ledger[イベント種類],"梱包完了"),
_xlpm.充当受入,SUMIFS(tbl_ledger[数量],tbl_ledger[充当先ロットID],$B32,tbl_ledger[イベント種類],"充当",tbl_ledger[元状態],J$1),
_xlpm.払出,SUMIFS(tbl_ledger[数量],tbl_ledger[ロットID],$B32,tbl_ledger[元状態],J$1),
_xlpm.受入+_xlpm.充当受入-_xlpm.払出))</f>
        <v/>
      </c>
      <c r="K32" s="8" t="str">
        <f>IF($B32="","",_xlfn.LET(
_xlpm.受入,SUMIFS(tbl_ledger[数量],tbl_ledger[ロットID],$B32,tbl_ledger[イベント種類],"発送準備開始"),
_xlpm.充当受入,SUMIFS(tbl_ledger[数量],tbl_ledger[充当先ロットID],$B32,tbl_ledger[イベント種類],"充当",tbl_ledger[元状態],K$1),
_xlpm.払出,SUMIFS(tbl_ledger[数量],tbl_ledger[ロットID],$B32,tbl_ledger[元状態],K$1),
_xlpm.受入+_xlpm.充当受入-_xlpm.払出))</f>
        <v/>
      </c>
      <c r="L32" s="8" t="str">
        <f>IF($B32="","",_xlfn.LET(
_xlpm.受入,SUMIFS(tbl_ledger[数量],tbl_ledger[ロットID],$B32,tbl_ledger[イベント種類],"発送準備完了"),
_xlpm.充当受入,SUMIFS(tbl_ledger[数量],tbl_ledger[充当先ロットID],$B32,tbl_ledger[イベント種類],"充当",tbl_ledger[元状態],L$1),
_xlpm.払出,SUMIFS(tbl_ledger[数量],tbl_ledger[ロットID],$B32,tbl_ledger[元状態],L$1),
_xlpm.受入+_xlpm.充当受入-_xlpm.払出))</f>
        <v/>
      </c>
      <c r="M32" s="8" t="str">
        <f>IF($B32="","",_xlfn.LET(
_xlpm.受入,SUMIFS(tbl_ledger[数量],tbl_ledger[ロットID],$B32,tbl_ledger[イベント種類],"不良発生"),
_xlpm.充当受入,SUMIFS(tbl_ledger[数量],tbl_ledger[充当先ロットID],$B32,tbl_ledger[イベント種類],"充当",tbl_ledger[元状態],M$1),
_xlpm.払出,SUMIFS(tbl_ledger[数量],tbl_ledger[ロットID],$B32,tbl_ledger[元状態],M$1),
_xlpm.受入+_xlpm.充当受入-_xlpm.払出))</f>
        <v/>
      </c>
      <c r="N32" s="8" t="str">
        <f t="shared" si="1"/>
        <v/>
      </c>
    </row>
    <row r="33" spans="1:14" ht="15" customHeight="1" x14ac:dyDescent="0.25">
      <c r="A33" s="4" t="str">
        <f t="shared" si="0"/>
        <v/>
      </c>
      <c r="B33" s="4" t="str">
        <f>IFERROR(IF(COUNTIF($B$1:$B32,INDEX(tbl_plan[ロットID],ROW()-1))&gt;0,"",INDEX(tbl_plan[ロットID],ROW()-1)),"")</f>
        <v/>
      </c>
      <c r="C33" s="4" t="str">
        <f>IF($B33="","",INDEX(tbl_plan[localId],ROW()-1))</f>
        <v/>
      </c>
      <c r="D33" s="8" t="str">
        <f>IF($B33="","",_xlfn.LET(
_xlpm.割当受入,SUMIF(V_充足確認!$A$2:$A$301,$B33,V_充足確認!$F$2:$F$301),
_xlpm.充当受入,SUMIFS(tbl_ledger[数量],tbl_ledger[充当先ロットID],$B33,tbl_ledger[イベント種類],"充当",tbl_ledger[元状態],D$1),
_xlpm.払出,SUMIFS(tbl_ledger[数量],tbl_ledger[ロットID],$B33,tbl_ledger[元状態],D$1),
_xlpm.割当受入+_xlpm.充当受入-_xlpm.払出))</f>
        <v/>
      </c>
      <c r="E33" s="8" t="str">
        <f>IF($B33="","",_xlfn.LET(
_xlpm.受入,SUMIFS(tbl_ledger[数量],tbl_ledger[ロットID],$B33,tbl_ledger[イベント種類],"アニール開始"),
_xlpm.充当受入,SUMIFS(tbl_ledger[数量],tbl_ledger[充当先ロットID],$B33,tbl_ledger[イベント種類],"充当",tbl_ledger[元状態],E$1),
_xlpm.払出,SUMIFS(tbl_ledger[数量],tbl_ledger[ロットID],$B33,tbl_ledger[元状態],E$1),
_xlpm.受入+_xlpm.充当受入-_xlpm.払出))</f>
        <v/>
      </c>
      <c r="F33" s="8" t="str">
        <f>IF($B33="","",_xlfn.LET(
_xlpm.受入,SUMIFS(tbl_ledger[数量],tbl_ledger[ロットID],$B33,tbl_ledger[イベント種類],"アニール完了"),
_xlpm.充当受入,SUMIFS(tbl_ledger[数量],tbl_ledger[充当先ロットID],$B33,tbl_ledger[イベント種類],"充当",tbl_ledger[元状態],F$1),
_xlpm.払出,SUMIFS(tbl_ledger[数量],tbl_ledger[ロットID],$B33,tbl_ledger[元状態],F$1),
_xlpm.受入+_xlpm.充当受入-_xlpm.払出))</f>
        <v/>
      </c>
      <c r="G33" s="8" t="str">
        <f>IF($B33="","",_xlfn.LET(
_xlpm.受入,SUMIFS(tbl_ledger[数量],tbl_ledger[ロットID],$B33,tbl_ledger[イベント種類],"アセンブリ開始"),
_xlpm.充当受入,SUMIFS(tbl_ledger[数量],tbl_ledger[充当先ロットID],$B33,tbl_ledger[イベント種類],"充当",tbl_ledger[元状態],G$1),
_xlpm.払出,SUMIFS(tbl_ledger[数量],tbl_ledger[ロットID],$B33,tbl_ledger[元状態],G$1),
_xlpm.受入+_xlpm.充当受入-_xlpm.払出))</f>
        <v/>
      </c>
      <c r="H33" s="8" t="str">
        <f>IF($B33="","",_xlfn.LET(
_xlpm.受入,SUMIFS(tbl_ledger[数量],tbl_ledger[ロットID],$B33,tbl_ledger[イベント種類],"アセンブリ完了"),
_xlpm.充当受入,SUMIFS(tbl_ledger[数量],tbl_ledger[充当先ロットID],$B33,tbl_ledger[イベント種類],"充当",tbl_ledger[元状態],H$1),
_xlpm.払出,SUMIFS(tbl_ledger[数量],tbl_ledger[ロットID],$B33,tbl_ledger[元状態],H$1),
_xlpm.受入+_xlpm.充当受入-_xlpm.払出))</f>
        <v/>
      </c>
      <c r="I33" s="8" t="str">
        <f>IF($B33="","",_xlfn.LET(
_xlpm.受入,SUMIFS(tbl_ledger[数量],tbl_ledger[ロットID],$B33,tbl_ledger[イベント種類],"梱包開始"),
_xlpm.充当受入,SUMIFS(tbl_ledger[数量],tbl_ledger[充当先ロットID],$B33,tbl_ledger[イベント種類],"充当",tbl_ledger[元状態],I$1),
_xlpm.払出,SUMIFS(tbl_ledger[数量],tbl_ledger[ロットID],$B33,tbl_ledger[元状態],I$1),
_xlpm.受入+_xlpm.充当受入-_xlpm.払出))</f>
        <v/>
      </c>
      <c r="J33" s="8" t="str">
        <f>IF($B33="","",_xlfn.LET(
_xlpm.受入,SUMIFS(tbl_ledger[数量],tbl_ledger[ロットID],$B33,tbl_ledger[イベント種類],"梱包完了"),
_xlpm.充当受入,SUMIFS(tbl_ledger[数量],tbl_ledger[充当先ロットID],$B33,tbl_ledger[イベント種類],"充当",tbl_ledger[元状態],J$1),
_xlpm.払出,SUMIFS(tbl_ledger[数量],tbl_ledger[ロットID],$B33,tbl_ledger[元状態],J$1),
_xlpm.受入+_xlpm.充当受入-_xlpm.払出))</f>
        <v/>
      </c>
      <c r="K33" s="8" t="str">
        <f>IF($B33="","",_xlfn.LET(
_xlpm.受入,SUMIFS(tbl_ledger[数量],tbl_ledger[ロットID],$B33,tbl_ledger[イベント種類],"発送準備開始"),
_xlpm.充当受入,SUMIFS(tbl_ledger[数量],tbl_ledger[充当先ロットID],$B33,tbl_ledger[イベント種類],"充当",tbl_ledger[元状態],K$1),
_xlpm.払出,SUMIFS(tbl_ledger[数量],tbl_ledger[ロットID],$B33,tbl_ledger[元状態],K$1),
_xlpm.受入+_xlpm.充当受入-_xlpm.払出))</f>
        <v/>
      </c>
      <c r="L33" s="8" t="str">
        <f>IF($B33="","",_xlfn.LET(
_xlpm.受入,SUMIFS(tbl_ledger[数量],tbl_ledger[ロットID],$B33,tbl_ledger[イベント種類],"発送準備完了"),
_xlpm.充当受入,SUMIFS(tbl_ledger[数量],tbl_ledger[充当先ロットID],$B33,tbl_ledger[イベント種類],"充当",tbl_ledger[元状態],L$1),
_xlpm.払出,SUMIFS(tbl_ledger[数量],tbl_ledger[ロットID],$B33,tbl_ledger[元状態],L$1),
_xlpm.受入+_xlpm.充当受入-_xlpm.払出))</f>
        <v/>
      </c>
      <c r="M33" s="8" t="str">
        <f>IF($B33="","",_xlfn.LET(
_xlpm.受入,SUMIFS(tbl_ledger[数量],tbl_ledger[ロットID],$B33,tbl_ledger[イベント種類],"不良発生"),
_xlpm.充当受入,SUMIFS(tbl_ledger[数量],tbl_ledger[充当先ロットID],$B33,tbl_ledger[イベント種類],"充当",tbl_ledger[元状態],M$1),
_xlpm.払出,SUMIFS(tbl_ledger[数量],tbl_ledger[ロットID],$B33,tbl_ledger[元状態],M$1),
_xlpm.受入+_xlpm.充当受入-_xlpm.払出))</f>
        <v/>
      </c>
      <c r="N33" s="8" t="str">
        <f t="shared" si="1"/>
        <v/>
      </c>
    </row>
    <row r="34" spans="1:14" ht="15" customHeight="1" x14ac:dyDescent="0.25">
      <c r="A34" s="4" t="str">
        <f t="shared" si="0"/>
        <v/>
      </c>
      <c r="B34" s="4" t="str">
        <f>IFERROR(IF(COUNTIF($B$1:$B33,INDEX(tbl_plan[ロットID],ROW()-1))&gt;0,"",INDEX(tbl_plan[ロットID],ROW()-1)),"")</f>
        <v/>
      </c>
      <c r="C34" s="4" t="str">
        <f>IF($B34="","",INDEX(tbl_plan[localId],ROW()-1))</f>
        <v/>
      </c>
      <c r="D34" s="8" t="str">
        <f>IF($B34="","",_xlfn.LET(
_xlpm.割当受入,SUMIF(V_充足確認!$A$2:$A$301,$B34,V_充足確認!$F$2:$F$301),
_xlpm.充当受入,SUMIFS(tbl_ledger[数量],tbl_ledger[充当先ロットID],$B34,tbl_ledger[イベント種類],"充当",tbl_ledger[元状態],D$1),
_xlpm.払出,SUMIFS(tbl_ledger[数量],tbl_ledger[ロットID],$B34,tbl_ledger[元状態],D$1),
_xlpm.割当受入+_xlpm.充当受入-_xlpm.払出))</f>
        <v/>
      </c>
      <c r="E34" s="8" t="str">
        <f>IF($B34="","",_xlfn.LET(
_xlpm.受入,SUMIFS(tbl_ledger[数量],tbl_ledger[ロットID],$B34,tbl_ledger[イベント種類],"アニール開始"),
_xlpm.充当受入,SUMIFS(tbl_ledger[数量],tbl_ledger[充当先ロットID],$B34,tbl_ledger[イベント種類],"充当",tbl_ledger[元状態],E$1),
_xlpm.払出,SUMIFS(tbl_ledger[数量],tbl_ledger[ロットID],$B34,tbl_ledger[元状態],E$1),
_xlpm.受入+_xlpm.充当受入-_xlpm.払出))</f>
        <v/>
      </c>
      <c r="F34" s="8" t="str">
        <f>IF($B34="","",_xlfn.LET(
_xlpm.受入,SUMIFS(tbl_ledger[数量],tbl_ledger[ロットID],$B34,tbl_ledger[イベント種類],"アニール完了"),
_xlpm.充当受入,SUMIFS(tbl_ledger[数量],tbl_ledger[充当先ロットID],$B34,tbl_ledger[イベント種類],"充当",tbl_ledger[元状態],F$1),
_xlpm.払出,SUMIFS(tbl_ledger[数量],tbl_ledger[ロットID],$B34,tbl_ledger[元状態],F$1),
_xlpm.受入+_xlpm.充当受入-_xlpm.払出))</f>
        <v/>
      </c>
      <c r="G34" s="8" t="str">
        <f>IF($B34="","",_xlfn.LET(
_xlpm.受入,SUMIFS(tbl_ledger[数量],tbl_ledger[ロットID],$B34,tbl_ledger[イベント種類],"アセンブリ開始"),
_xlpm.充当受入,SUMIFS(tbl_ledger[数量],tbl_ledger[充当先ロットID],$B34,tbl_ledger[イベント種類],"充当",tbl_ledger[元状態],G$1),
_xlpm.払出,SUMIFS(tbl_ledger[数量],tbl_ledger[ロットID],$B34,tbl_ledger[元状態],G$1),
_xlpm.受入+_xlpm.充当受入-_xlpm.払出))</f>
        <v/>
      </c>
      <c r="H34" s="8" t="str">
        <f>IF($B34="","",_xlfn.LET(
_xlpm.受入,SUMIFS(tbl_ledger[数量],tbl_ledger[ロットID],$B34,tbl_ledger[イベント種類],"アセンブリ完了"),
_xlpm.充当受入,SUMIFS(tbl_ledger[数量],tbl_ledger[充当先ロットID],$B34,tbl_ledger[イベント種類],"充当",tbl_ledger[元状態],H$1),
_xlpm.払出,SUMIFS(tbl_ledger[数量],tbl_ledger[ロットID],$B34,tbl_ledger[元状態],H$1),
_xlpm.受入+_xlpm.充当受入-_xlpm.払出))</f>
        <v/>
      </c>
      <c r="I34" s="8" t="str">
        <f>IF($B34="","",_xlfn.LET(
_xlpm.受入,SUMIFS(tbl_ledger[数量],tbl_ledger[ロットID],$B34,tbl_ledger[イベント種類],"梱包開始"),
_xlpm.充当受入,SUMIFS(tbl_ledger[数量],tbl_ledger[充当先ロットID],$B34,tbl_ledger[イベント種類],"充当",tbl_ledger[元状態],I$1),
_xlpm.払出,SUMIFS(tbl_ledger[数量],tbl_ledger[ロットID],$B34,tbl_ledger[元状態],I$1),
_xlpm.受入+_xlpm.充当受入-_xlpm.払出))</f>
        <v/>
      </c>
      <c r="J34" s="8" t="str">
        <f>IF($B34="","",_xlfn.LET(
_xlpm.受入,SUMIFS(tbl_ledger[数量],tbl_ledger[ロットID],$B34,tbl_ledger[イベント種類],"梱包完了"),
_xlpm.充当受入,SUMIFS(tbl_ledger[数量],tbl_ledger[充当先ロットID],$B34,tbl_ledger[イベント種類],"充当",tbl_ledger[元状態],J$1),
_xlpm.払出,SUMIFS(tbl_ledger[数量],tbl_ledger[ロットID],$B34,tbl_ledger[元状態],J$1),
_xlpm.受入+_xlpm.充当受入-_xlpm.払出))</f>
        <v/>
      </c>
      <c r="K34" s="8" t="str">
        <f>IF($B34="","",_xlfn.LET(
_xlpm.受入,SUMIFS(tbl_ledger[数量],tbl_ledger[ロットID],$B34,tbl_ledger[イベント種類],"発送準備開始"),
_xlpm.充当受入,SUMIFS(tbl_ledger[数量],tbl_ledger[充当先ロットID],$B34,tbl_ledger[イベント種類],"充当",tbl_ledger[元状態],K$1),
_xlpm.払出,SUMIFS(tbl_ledger[数量],tbl_ledger[ロットID],$B34,tbl_ledger[元状態],K$1),
_xlpm.受入+_xlpm.充当受入-_xlpm.払出))</f>
        <v/>
      </c>
      <c r="L34" s="8" t="str">
        <f>IF($B34="","",_xlfn.LET(
_xlpm.受入,SUMIFS(tbl_ledger[数量],tbl_ledger[ロットID],$B34,tbl_ledger[イベント種類],"発送準備完了"),
_xlpm.充当受入,SUMIFS(tbl_ledger[数量],tbl_ledger[充当先ロットID],$B34,tbl_ledger[イベント種類],"充当",tbl_ledger[元状態],L$1),
_xlpm.払出,SUMIFS(tbl_ledger[数量],tbl_ledger[ロットID],$B34,tbl_ledger[元状態],L$1),
_xlpm.受入+_xlpm.充当受入-_xlpm.払出))</f>
        <v/>
      </c>
      <c r="M34" s="8" t="str">
        <f>IF($B34="","",_xlfn.LET(
_xlpm.受入,SUMIFS(tbl_ledger[数量],tbl_ledger[ロットID],$B34,tbl_ledger[イベント種類],"不良発生"),
_xlpm.充当受入,SUMIFS(tbl_ledger[数量],tbl_ledger[充当先ロットID],$B34,tbl_ledger[イベント種類],"充当",tbl_ledger[元状態],M$1),
_xlpm.払出,SUMIFS(tbl_ledger[数量],tbl_ledger[ロットID],$B34,tbl_ledger[元状態],M$1),
_xlpm.受入+_xlpm.充当受入-_xlpm.払出))</f>
        <v/>
      </c>
      <c r="N34" s="8" t="str">
        <f t="shared" si="1"/>
        <v/>
      </c>
    </row>
    <row r="35" spans="1:14" ht="15" customHeight="1" x14ac:dyDescent="0.25">
      <c r="A35" s="4" t="str">
        <f t="shared" si="0"/>
        <v/>
      </c>
      <c r="B35" s="4" t="str">
        <f>IFERROR(IF(COUNTIF($B$1:$B34,INDEX(tbl_plan[ロットID],ROW()-1))&gt;0,"",INDEX(tbl_plan[ロットID],ROW()-1)),"")</f>
        <v/>
      </c>
      <c r="C35" s="4" t="str">
        <f>IF($B35="","",INDEX(tbl_plan[localId],ROW()-1))</f>
        <v/>
      </c>
      <c r="D35" s="8" t="str">
        <f>IF($B35="","",_xlfn.LET(
_xlpm.割当受入,SUMIF(V_充足確認!$A$2:$A$301,$B35,V_充足確認!$F$2:$F$301),
_xlpm.充当受入,SUMIFS(tbl_ledger[数量],tbl_ledger[充当先ロットID],$B35,tbl_ledger[イベント種類],"充当",tbl_ledger[元状態],D$1),
_xlpm.払出,SUMIFS(tbl_ledger[数量],tbl_ledger[ロットID],$B35,tbl_ledger[元状態],D$1),
_xlpm.割当受入+_xlpm.充当受入-_xlpm.払出))</f>
        <v/>
      </c>
      <c r="E35" s="8" t="str">
        <f>IF($B35="","",_xlfn.LET(
_xlpm.受入,SUMIFS(tbl_ledger[数量],tbl_ledger[ロットID],$B35,tbl_ledger[イベント種類],"アニール開始"),
_xlpm.充当受入,SUMIFS(tbl_ledger[数量],tbl_ledger[充当先ロットID],$B35,tbl_ledger[イベント種類],"充当",tbl_ledger[元状態],E$1),
_xlpm.払出,SUMIFS(tbl_ledger[数量],tbl_ledger[ロットID],$B35,tbl_ledger[元状態],E$1),
_xlpm.受入+_xlpm.充当受入-_xlpm.払出))</f>
        <v/>
      </c>
      <c r="F35" s="8" t="str">
        <f>IF($B35="","",_xlfn.LET(
_xlpm.受入,SUMIFS(tbl_ledger[数量],tbl_ledger[ロットID],$B35,tbl_ledger[イベント種類],"アニール完了"),
_xlpm.充当受入,SUMIFS(tbl_ledger[数量],tbl_ledger[充当先ロットID],$B35,tbl_ledger[イベント種類],"充当",tbl_ledger[元状態],F$1),
_xlpm.払出,SUMIFS(tbl_ledger[数量],tbl_ledger[ロットID],$B35,tbl_ledger[元状態],F$1),
_xlpm.受入+_xlpm.充当受入-_xlpm.払出))</f>
        <v/>
      </c>
      <c r="G35" s="8" t="str">
        <f>IF($B35="","",_xlfn.LET(
_xlpm.受入,SUMIFS(tbl_ledger[数量],tbl_ledger[ロットID],$B35,tbl_ledger[イベント種類],"アセンブリ開始"),
_xlpm.充当受入,SUMIFS(tbl_ledger[数量],tbl_ledger[充当先ロットID],$B35,tbl_ledger[イベント種類],"充当",tbl_ledger[元状態],G$1),
_xlpm.払出,SUMIFS(tbl_ledger[数量],tbl_ledger[ロットID],$B35,tbl_ledger[元状態],G$1),
_xlpm.受入+_xlpm.充当受入-_xlpm.払出))</f>
        <v/>
      </c>
      <c r="H35" s="8" t="str">
        <f>IF($B35="","",_xlfn.LET(
_xlpm.受入,SUMIFS(tbl_ledger[数量],tbl_ledger[ロットID],$B35,tbl_ledger[イベント種類],"アセンブリ完了"),
_xlpm.充当受入,SUMIFS(tbl_ledger[数量],tbl_ledger[充当先ロットID],$B35,tbl_ledger[イベント種類],"充当",tbl_ledger[元状態],H$1),
_xlpm.払出,SUMIFS(tbl_ledger[数量],tbl_ledger[ロットID],$B35,tbl_ledger[元状態],H$1),
_xlpm.受入+_xlpm.充当受入-_xlpm.払出))</f>
        <v/>
      </c>
      <c r="I35" s="8" t="str">
        <f>IF($B35="","",_xlfn.LET(
_xlpm.受入,SUMIFS(tbl_ledger[数量],tbl_ledger[ロットID],$B35,tbl_ledger[イベント種類],"梱包開始"),
_xlpm.充当受入,SUMIFS(tbl_ledger[数量],tbl_ledger[充当先ロットID],$B35,tbl_ledger[イベント種類],"充当",tbl_ledger[元状態],I$1),
_xlpm.払出,SUMIFS(tbl_ledger[数量],tbl_ledger[ロットID],$B35,tbl_ledger[元状態],I$1),
_xlpm.受入+_xlpm.充当受入-_xlpm.払出))</f>
        <v/>
      </c>
      <c r="J35" s="8" t="str">
        <f>IF($B35="","",_xlfn.LET(
_xlpm.受入,SUMIFS(tbl_ledger[数量],tbl_ledger[ロットID],$B35,tbl_ledger[イベント種類],"梱包完了"),
_xlpm.充当受入,SUMIFS(tbl_ledger[数量],tbl_ledger[充当先ロットID],$B35,tbl_ledger[イベント種類],"充当",tbl_ledger[元状態],J$1),
_xlpm.払出,SUMIFS(tbl_ledger[数量],tbl_ledger[ロットID],$B35,tbl_ledger[元状態],J$1),
_xlpm.受入+_xlpm.充当受入-_xlpm.払出))</f>
        <v/>
      </c>
      <c r="K35" s="8" t="str">
        <f>IF($B35="","",_xlfn.LET(
_xlpm.受入,SUMIFS(tbl_ledger[数量],tbl_ledger[ロットID],$B35,tbl_ledger[イベント種類],"発送準備開始"),
_xlpm.充当受入,SUMIFS(tbl_ledger[数量],tbl_ledger[充当先ロットID],$B35,tbl_ledger[イベント種類],"充当",tbl_ledger[元状態],K$1),
_xlpm.払出,SUMIFS(tbl_ledger[数量],tbl_ledger[ロットID],$B35,tbl_ledger[元状態],K$1),
_xlpm.受入+_xlpm.充当受入-_xlpm.払出))</f>
        <v/>
      </c>
      <c r="L35" s="8" t="str">
        <f>IF($B35="","",_xlfn.LET(
_xlpm.受入,SUMIFS(tbl_ledger[数量],tbl_ledger[ロットID],$B35,tbl_ledger[イベント種類],"発送準備完了"),
_xlpm.充当受入,SUMIFS(tbl_ledger[数量],tbl_ledger[充当先ロットID],$B35,tbl_ledger[イベント種類],"充当",tbl_ledger[元状態],L$1),
_xlpm.払出,SUMIFS(tbl_ledger[数量],tbl_ledger[ロットID],$B35,tbl_ledger[元状態],L$1),
_xlpm.受入+_xlpm.充当受入-_xlpm.払出))</f>
        <v/>
      </c>
      <c r="M35" s="8" t="str">
        <f>IF($B35="","",_xlfn.LET(
_xlpm.受入,SUMIFS(tbl_ledger[数量],tbl_ledger[ロットID],$B35,tbl_ledger[イベント種類],"不良発生"),
_xlpm.充当受入,SUMIFS(tbl_ledger[数量],tbl_ledger[充当先ロットID],$B35,tbl_ledger[イベント種類],"充当",tbl_ledger[元状態],M$1),
_xlpm.払出,SUMIFS(tbl_ledger[数量],tbl_ledger[ロットID],$B35,tbl_ledger[元状態],M$1),
_xlpm.受入+_xlpm.充当受入-_xlpm.払出))</f>
        <v/>
      </c>
      <c r="N35" s="8" t="str">
        <f t="shared" si="1"/>
        <v/>
      </c>
    </row>
    <row r="36" spans="1:14" ht="15" customHeight="1" x14ac:dyDescent="0.25">
      <c r="A36" s="4" t="str">
        <f t="shared" si="0"/>
        <v/>
      </c>
      <c r="B36" s="4" t="str">
        <f>IFERROR(IF(COUNTIF($B$1:$B35,INDEX(tbl_plan[ロットID],ROW()-1))&gt;0,"",INDEX(tbl_plan[ロットID],ROW()-1)),"")</f>
        <v/>
      </c>
      <c r="C36" s="4" t="str">
        <f>IF($B36="","",INDEX(tbl_plan[localId],ROW()-1))</f>
        <v/>
      </c>
      <c r="D36" s="8" t="str">
        <f>IF($B36="","",_xlfn.LET(
_xlpm.割当受入,SUMIF(V_充足確認!$A$2:$A$301,$B36,V_充足確認!$F$2:$F$301),
_xlpm.充当受入,SUMIFS(tbl_ledger[数量],tbl_ledger[充当先ロットID],$B36,tbl_ledger[イベント種類],"充当",tbl_ledger[元状態],D$1),
_xlpm.払出,SUMIFS(tbl_ledger[数量],tbl_ledger[ロットID],$B36,tbl_ledger[元状態],D$1),
_xlpm.割当受入+_xlpm.充当受入-_xlpm.払出))</f>
        <v/>
      </c>
      <c r="E36" s="8" t="str">
        <f>IF($B36="","",_xlfn.LET(
_xlpm.受入,SUMIFS(tbl_ledger[数量],tbl_ledger[ロットID],$B36,tbl_ledger[イベント種類],"アニール開始"),
_xlpm.充当受入,SUMIFS(tbl_ledger[数量],tbl_ledger[充当先ロットID],$B36,tbl_ledger[イベント種類],"充当",tbl_ledger[元状態],E$1),
_xlpm.払出,SUMIFS(tbl_ledger[数量],tbl_ledger[ロットID],$B36,tbl_ledger[元状態],E$1),
_xlpm.受入+_xlpm.充当受入-_xlpm.払出))</f>
        <v/>
      </c>
      <c r="F36" s="8" t="str">
        <f>IF($B36="","",_xlfn.LET(
_xlpm.受入,SUMIFS(tbl_ledger[数量],tbl_ledger[ロットID],$B36,tbl_ledger[イベント種類],"アニール完了"),
_xlpm.充当受入,SUMIFS(tbl_ledger[数量],tbl_ledger[充当先ロットID],$B36,tbl_ledger[イベント種類],"充当",tbl_ledger[元状態],F$1),
_xlpm.払出,SUMIFS(tbl_ledger[数量],tbl_ledger[ロットID],$B36,tbl_ledger[元状態],F$1),
_xlpm.受入+_xlpm.充当受入-_xlpm.払出))</f>
        <v/>
      </c>
      <c r="G36" s="8" t="str">
        <f>IF($B36="","",_xlfn.LET(
_xlpm.受入,SUMIFS(tbl_ledger[数量],tbl_ledger[ロットID],$B36,tbl_ledger[イベント種類],"アセンブリ開始"),
_xlpm.充当受入,SUMIFS(tbl_ledger[数量],tbl_ledger[充当先ロットID],$B36,tbl_ledger[イベント種類],"充当",tbl_ledger[元状態],G$1),
_xlpm.払出,SUMIFS(tbl_ledger[数量],tbl_ledger[ロットID],$B36,tbl_ledger[元状態],G$1),
_xlpm.受入+_xlpm.充当受入-_xlpm.払出))</f>
        <v/>
      </c>
      <c r="H36" s="8" t="str">
        <f>IF($B36="","",_xlfn.LET(
_xlpm.受入,SUMIFS(tbl_ledger[数量],tbl_ledger[ロットID],$B36,tbl_ledger[イベント種類],"アセンブリ完了"),
_xlpm.充当受入,SUMIFS(tbl_ledger[数量],tbl_ledger[充当先ロットID],$B36,tbl_ledger[イベント種類],"充当",tbl_ledger[元状態],H$1),
_xlpm.払出,SUMIFS(tbl_ledger[数量],tbl_ledger[ロットID],$B36,tbl_ledger[元状態],H$1),
_xlpm.受入+_xlpm.充当受入-_xlpm.払出))</f>
        <v/>
      </c>
      <c r="I36" s="8" t="str">
        <f>IF($B36="","",_xlfn.LET(
_xlpm.受入,SUMIFS(tbl_ledger[数量],tbl_ledger[ロットID],$B36,tbl_ledger[イベント種類],"梱包開始"),
_xlpm.充当受入,SUMIFS(tbl_ledger[数量],tbl_ledger[充当先ロットID],$B36,tbl_ledger[イベント種類],"充当",tbl_ledger[元状態],I$1),
_xlpm.払出,SUMIFS(tbl_ledger[数量],tbl_ledger[ロットID],$B36,tbl_ledger[元状態],I$1),
_xlpm.受入+_xlpm.充当受入-_xlpm.払出))</f>
        <v/>
      </c>
      <c r="J36" s="8" t="str">
        <f>IF($B36="","",_xlfn.LET(
_xlpm.受入,SUMIFS(tbl_ledger[数量],tbl_ledger[ロットID],$B36,tbl_ledger[イベント種類],"梱包完了"),
_xlpm.充当受入,SUMIFS(tbl_ledger[数量],tbl_ledger[充当先ロットID],$B36,tbl_ledger[イベント種類],"充当",tbl_ledger[元状態],J$1),
_xlpm.払出,SUMIFS(tbl_ledger[数量],tbl_ledger[ロットID],$B36,tbl_ledger[元状態],J$1),
_xlpm.受入+_xlpm.充当受入-_xlpm.払出))</f>
        <v/>
      </c>
      <c r="K36" s="8" t="str">
        <f>IF($B36="","",_xlfn.LET(
_xlpm.受入,SUMIFS(tbl_ledger[数量],tbl_ledger[ロットID],$B36,tbl_ledger[イベント種類],"発送準備開始"),
_xlpm.充当受入,SUMIFS(tbl_ledger[数量],tbl_ledger[充当先ロットID],$B36,tbl_ledger[イベント種類],"充当",tbl_ledger[元状態],K$1),
_xlpm.払出,SUMIFS(tbl_ledger[数量],tbl_ledger[ロットID],$B36,tbl_ledger[元状態],K$1),
_xlpm.受入+_xlpm.充当受入-_xlpm.払出))</f>
        <v/>
      </c>
      <c r="L36" s="8" t="str">
        <f>IF($B36="","",_xlfn.LET(
_xlpm.受入,SUMIFS(tbl_ledger[数量],tbl_ledger[ロットID],$B36,tbl_ledger[イベント種類],"発送準備完了"),
_xlpm.充当受入,SUMIFS(tbl_ledger[数量],tbl_ledger[充当先ロットID],$B36,tbl_ledger[イベント種類],"充当",tbl_ledger[元状態],L$1),
_xlpm.払出,SUMIFS(tbl_ledger[数量],tbl_ledger[ロットID],$B36,tbl_ledger[元状態],L$1),
_xlpm.受入+_xlpm.充当受入-_xlpm.払出))</f>
        <v/>
      </c>
      <c r="M36" s="8" t="str">
        <f>IF($B36="","",_xlfn.LET(
_xlpm.受入,SUMIFS(tbl_ledger[数量],tbl_ledger[ロットID],$B36,tbl_ledger[イベント種類],"不良発生"),
_xlpm.充当受入,SUMIFS(tbl_ledger[数量],tbl_ledger[充当先ロットID],$B36,tbl_ledger[イベント種類],"充当",tbl_ledger[元状態],M$1),
_xlpm.払出,SUMIFS(tbl_ledger[数量],tbl_ledger[ロットID],$B36,tbl_ledger[元状態],M$1),
_xlpm.受入+_xlpm.充当受入-_xlpm.払出))</f>
        <v/>
      </c>
      <c r="N36" s="8" t="str">
        <f t="shared" si="1"/>
        <v/>
      </c>
    </row>
    <row r="37" spans="1:14" ht="15" customHeight="1" x14ac:dyDescent="0.25">
      <c r="A37" s="4" t="str">
        <f t="shared" si="0"/>
        <v/>
      </c>
      <c r="B37" s="4" t="str">
        <f>IFERROR(IF(COUNTIF($B$1:$B36,INDEX(tbl_plan[ロットID],ROW()-1))&gt;0,"",INDEX(tbl_plan[ロットID],ROW()-1)),"")</f>
        <v/>
      </c>
      <c r="C37" s="4" t="str">
        <f>IF($B37="","",INDEX(tbl_plan[localId],ROW()-1))</f>
        <v/>
      </c>
      <c r="D37" s="8" t="str">
        <f>IF($B37="","",_xlfn.LET(
_xlpm.割当受入,SUMIF(V_充足確認!$A$2:$A$301,$B37,V_充足確認!$F$2:$F$301),
_xlpm.充当受入,SUMIFS(tbl_ledger[数量],tbl_ledger[充当先ロットID],$B37,tbl_ledger[イベント種類],"充当",tbl_ledger[元状態],D$1),
_xlpm.払出,SUMIFS(tbl_ledger[数量],tbl_ledger[ロットID],$B37,tbl_ledger[元状態],D$1),
_xlpm.割当受入+_xlpm.充当受入-_xlpm.払出))</f>
        <v/>
      </c>
      <c r="E37" s="8" t="str">
        <f>IF($B37="","",_xlfn.LET(
_xlpm.受入,SUMIFS(tbl_ledger[数量],tbl_ledger[ロットID],$B37,tbl_ledger[イベント種類],"アニール開始"),
_xlpm.充当受入,SUMIFS(tbl_ledger[数量],tbl_ledger[充当先ロットID],$B37,tbl_ledger[イベント種類],"充当",tbl_ledger[元状態],E$1),
_xlpm.払出,SUMIFS(tbl_ledger[数量],tbl_ledger[ロットID],$B37,tbl_ledger[元状態],E$1),
_xlpm.受入+_xlpm.充当受入-_xlpm.払出))</f>
        <v/>
      </c>
      <c r="F37" s="8" t="str">
        <f>IF($B37="","",_xlfn.LET(
_xlpm.受入,SUMIFS(tbl_ledger[数量],tbl_ledger[ロットID],$B37,tbl_ledger[イベント種類],"アニール完了"),
_xlpm.充当受入,SUMIFS(tbl_ledger[数量],tbl_ledger[充当先ロットID],$B37,tbl_ledger[イベント種類],"充当",tbl_ledger[元状態],F$1),
_xlpm.払出,SUMIFS(tbl_ledger[数量],tbl_ledger[ロットID],$B37,tbl_ledger[元状態],F$1),
_xlpm.受入+_xlpm.充当受入-_xlpm.払出))</f>
        <v/>
      </c>
      <c r="G37" s="8" t="str">
        <f>IF($B37="","",_xlfn.LET(
_xlpm.受入,SUMIFS(tbl_ledger[数量],tbl_ledger[ロットID],$B37,tbl_ledger[イベント種類],"アセンブリ開始"),
_xlpm.充当受入,SUMIFS(tbl_ledger[数量],tbl_ledger[充当先ロットID],$B37,tbl_ledger[イベント種類],"充当",tbl_ledger[元状態],G$1),
_xlpm.払出,SUMIFS(tbl_ledger[数量],tbl_ledger[ロットID],$B37,tbl_ledger[元状態],G$1),
_xlpm.受入+_xlpm.充当受入-_xlpm.払出))</f>
        <v/>
      </c>
      <c r="H37" s="8" t="str">
        <f>IF($B37="","",_xlfn.LET(
_xlpm.受入,SUMIFS(tbl_ledger[数量],tbl_ledger[ロットID],$B37,tbl_ledger[イベント種類],"アセンブリ完了"),
_xlpm.充当受入,SUMIFS(tbl_ledger[数量],tbl_ledger[充当先ロットID],$B37,tbl_ledger[イベント種類],"充当",tbl_ledger[元状態],H$1),
_xlpm.払出,SUMIFS(tbl_ledger[数量],tbl_ledger[ロットID],$B37,tbl_ledger[元状態],H$1),
_xlpm.受入+_xlpm.充当受入-_xlpm.払出))</f>
        <v/>
      </c>
      <c r="I37" s="8" t="str">
        <f>IF($B37="","",_xlfn.LET(
_xlpm.受入,SUMIFS(tbl_ledger[数量],tbl_ledger[ロットID],$B37,tbl_ledger[イベント種類],"梱包開始"),
_xlpm.充当受入,SUMIFS(tbl_ledger[数量],tbl_ledger[充当先ロットID],$B37,tbl_ledger[イベント種類],"充当",tbl_ledger[元状態],I$1),
_xlpm.払出,SUMIFS(tbl_ledger[数量],tbl_ledger[ロットID],$B37,tbl_ledger[元状態],I$1),
_xlpm.受入+_xlpm.充当受入-_xlpm.払出))</f>
        <v/>
      </c>
      <c r="J37" s="8" t="str">
        <f>IF($B37="","",_xlfn.LET(
_xlpm.受入,SUMIFS(tbl_ledger[数量],tbl_ledger[ロットID],$B37,tbl_ledger[イベント種類],"梱包完了"),
_xlpm.充当受入,SUMIFS(tbl_ledger[数量],tbl_ledger[充当先ロットID],$B37,tbl_ledger[イベント種類],"充当",tbl_ledger[元状態],J$1),
_xlpm.払出,SUMIFS(tbl_ledger[数量],tbl_ledger[ロットID],$B37,tbl_ledger[元状態],J$1),
_xlpm.受入+_xlpm.充当受入-_xlpm.払出))</f>
        <v/>
      </c>
      <c r="K37" s="8" t="str">
        <f>IF($B37="","",_xlfn.LET(
_xlpm.受入,SUMIFS(tbl_ledger[数量],tbl_ledger[ロットID],$B37,tbl_ledger[イベント種類],"発送準備開始"),
_xlpm.充当受入,SUMIFS(tbl_ledger[数量],tbl_ledger[充当先ロットID],$B37,tbl_ledger[イベント種類],"充当",tbl_ledger[元状態],K$1),
_xlpm.払出,SUMIFS(tbl_ledger[数量],tbl_ledger[ロットID],$B37,tbl_ledger[元状態],K$1),
_xlpm.受入+_xlpm.充当受入-_xlpm.払出))</f>
        <v/>
      </c>
      <c r="L37" s="8" t="str">
        <f>IF($B37="","",_xlfn.LET(
_xlpm.受入,SUMIFS(tbl_ledger[数量],tbl_ledger[ロットID],$B37,tbl_ledger[イベント種類],"発送準備完了"),
_xlpm.充当受入,SUMIFS(tbl_ledger[数量],tbl_ledger[充当先ロットID],$B37,tbl_ledger[イベント種類],"充当",tbl_ledger[元状態],L$1),
_xlpm.払出,SUMIFS(tbl_ledger[数量],tbl_ledger[ロットID],$B37,tbl_ledger[元状態],L$1),
_xlpm.受入+_xlpm.充当受入-_xlpm.払出))</f>
        <v/>
      </c>
      <c r="M37" s="8" t="str">
        <f>IF($B37="","",_xlfn.LET(
_xlpm.受入,SUMIFS(tbl_ledger[数量],tbl_ledger[ロットID],$B37,tbl_ledger[イベント種類],"不良発生"),
_xlpm.充当受入,SUMIFS(tbl_ledger[数量],tbl_ledger[充当先ロットID],$B37,tbl_ledger[イベント種類],"充当",tbl_ledger[元状態],M$1),
_xlpm.払出,SUMIFS(tbl_ledger[数量],tbl_ledger[ロットID],$B37,tbl_ledger[元状態],M$1),
_xlpm.受入+_xlpm.充当受入-_xlpm.払出))</f>
        <v/>
      </c>
      <c r="N37" s="8" t="str">
        <f t="shared" si="1"/>
        <v/>
      </c>
    </row>
    <row r="38" spans="1:14" ht="15" customHeight="1" x14ac:dyDescent="0.25">
      <c r="A38" s="4" t="str">
        <f t="shared" si="0"/>
        <v/>
      </c>
      <c r="B38" s="4" t="str">
        <f>IFERROR(IF(COUNTIF($B$1:$B37,INDEX(tbl_plan[ロットID],ROW()-1))&gt;0,"",INDEX(tbl_plan[ロットID],ROW()-1)),"")</f>
        <v/>
      </c>
      <c r="C38" s="4" t="str">
        <f>IF($B38="","",INDEX(tbl_plan[localId],ROW()-1))</f>
        <v/>
      </c>
      <c r="D38" s="8" t="str">
        <f>IF($B38="","",_xlfn.LET(
_xlpm.割当受入,SUMIF(V_充足確認!$A$2:$A$301,$B38,V_充足確認!$F$2:$F$301),
_xlpm.充当受入,SUMIFS(tbl_ledger[数量],tbl_ledger[充当先ロットID],$B38,tbl_ledger[イベント種類],"充当",tbl_ledger[元状態],D$1),
_xlpm.払出,SUMIFS(tbl_ledger[数量],tbl_ledger[ロットID],$B38,tbl_ledger[元状態],D$1),
_xlpm.割当受入+_xlpm.充当受入-_xlpm.払出))</f>
        <v/>
      </c>
      <c r="E38" s="8" t="str">
        <f>IF($B38="","",_xlfn.LET(
_xlpm.受入,SUMIFS(tbl_ledger[数量],tbl_ledger[ロットID],$B38,tbl_ledger[イベント種類],"アニール開始"),
_xlpm.充当受入,SUMIFS(tbl_ledger[数量],tbl_ledger[充当先ロットID],$B38,tbl_ledger[イベント種類],"充当",tbl_ledger[元状態],E$1),
_xlpm.払出,SUMIFS(tbl_ledger[数量],tbl_ledger[ロットID],$B38,tbl_ledger[元状態],E$1),
_xlpm.受入+_xlpm.充当受入-_xlpm.払出))</f>
        <v/>
      </c>
      <c r="F38" s="8" t="str">
        <f>IF($B38="","",_xlfn.LET(
_xlpm.受入,SUMIFS(tbl_ledger[数量],tbl_ledger[ロットID],$B38,tbl_ledger[イベント種類],"アニール完了"),
_xlpm.充当受入,SUMIFS(tbl_ledger[数量],tbl_ledger[充当先ロットID],$B38,tbl_ledger[イベント種類],"充当",tbl_ledger[元状態],F$1),
_xlpm.払出,SUMIFS(tbl_ledger[数量],tbl_ledger[ロットID],$B38,tbl_ledger[元状態],F$1),
_xlpm.受入+_xlpm.充当受入-_xlpm.払出))</f>
        <v/>
      </c>
      <c r="G38" s="8" t="str">
        <f>IF($B38="","",_xlfn.LET(
_xlpm.受入,SUMIFS(tbl_ledger[数量],tbl_ledger[ロットID],$B38,tbl_ledger[イベント種類],"アセンブリ開始"),
_xlpm.充当受入,SUMIFS(tbl_ledger[数量],tbl_ledger[充当先ロットID],$B38,tbl_ledger[イベント種類],"充当",tbl_ledger[元状態],G$1),
_xlpm.払出,SUMIFS(tbl_ledger[数量],tbl_ledger[ロットID],$B38,tbl_ledger[元状態],G$1),
_xlpm.受入+_xlpm.充当受入-_xlpm.払出))</f>
        <v/>
      </c>
      <c r="H38" s="8" t="str">
        <f>IF($B38="","",_xlfn.LET(
_xlpm.受入,SUMIFS(tbl_ledger[数量],tbl_ledger[ロットID],$B38,tbl_ledger[イベント種類],"アセンブリ完了"),
_xlpm.充当受入,SUMIFS(tbl_ledger[数量],tbl_ledger[充当先ロットID],$B38,tbl_ledger[イベント種類],"充当",tbl_ledger[元状態],H$1),
_xlpm.払出,SUMIFS(tbl_ledger[数量],tbl_ledger[ロットID],$B38,tbl_ledger[元状態],H$1),
_xlpm.受入+_xlpm.充当受入-_xlpm.払出))</f>
        <v/>
      </c>
      <c r="I38" s="8" t="str">
        <f>IF($B38="","",_xlfn.LET(
_xlpm.受入,SUMIFS(tbl_ledger[数量],tbl_ledger[ロットID],$B38,tbl_ledger[イベント種類],"梱包開始"),
_xlpm.充当受入,SUMIFS(tbl_ledger[数量],tbl_ledger[充当先ロットID],$B38,tbl_ledger[イベント種類],"充当",tbl_ledger[元状態],I$1),
_xlpm.払出,SUMIFS(tbl_ledger[数量],tbl_ledger[ロットID],$B38,tbl_ledger[元状態],I$1),
_xlpm.受入+_xlpm.充当受入-_xlpm.払出))</f>
        <v/>
      </c>
      <c r="J38" s="8" t="str">
        <f>IF($B38="","",_xlfn.LET(
_xlpm.受入,SUMIFS(tbl_ledger[数量],tbl_ledger[ロットID],$B38,tbl_ledger[イベント種類],"梱包完了"),
_xlpm.充当受入,SUMIFS(tbl_ledger[数量],tbl_ledger[充当先ロットID],$B38,tbl_ledger[イベント種類],"充当",tbl_ledger[元状態],J$1),
_xlpm.払出,SUMIFS(tbl_ledger[数量],tbl_ledger[ロットID],$B38,tbl_ledger[元状態],J$1),
_xlpm.受入+_xlpm.充当受入-_xlpm.払出))</f>
        <v/>
      </c>
      <c r="K38" s="8" t="str">
        <f>IF($B38="","",_xlfn.LET(
_xlpm.受入,SUMIFS(tbl_ledger[数量],tbl_ledger[ロットID],$B38,tbl_ledger[イベント種類],"発送準備開始"),
_xlpm.充当受入,SUMIFS(tbl_ledger[数量],tbl_ledger[充当先ロットID],$B38,tbl_ledger[イベント種類],"充当",tbl_ledger[元状態],K$1),
_xlpm.払出,SUMIFS(tbl_ledger[数量],tbl_ledger[ロットID],$B38,tbl_ledger[元状態],K$1),
_xlpm.受入+_xlpm.充当受入-_xlpm.払出))</f>
        <v/>
      </c>
      <c r="L38" s="8" t="str">
        <f>IF($B38="","",_xlfn.LET(
_xlpm.受入,SUMIFS(tbl_ledger[数量],tbl_ledger[ロットID],$B38,tbl_ledger[イベント種類],"発送準備完了"),
_xlpm.充当受入,SUMIFS(tbl_ledger[数量],tbl_ledger[充当先ロットID],$B38,tbl_ledger[イベント種類],"充当",tbl_ledger[元状態],L$1),
_xlpm.払出,SUMIFS(tbl_ledger[数量],tbl_ledger[ロットID],$B38,tbl_ledger[元状態],L$1),
_xlpm.受入+_xlpm.充当受入-_xlpm.払出))</f>
        <v/>
      </c>
      <c r="M38" s="8" t="str">
        <f>IF($B38="","",_xlfn.LET(
_xlpm.受入,SUMIFS(tbl_ledger[数量],tbl_ledger[ロットID],$B38,tbl_ledger[イベント種類],"不良発生"),
_xlpm.充当受入,SUMIFS(tbl_ledger[数量],tbl_ledger[充当先ロットID],$B38,tbl_ledger[イベント種類],"充当",tbl_ledger[元状態],M$1),
_xlpm.払出,SUMIFS(tbl_ledger[数量],tbl_ledger[ロットID],$B38,tbl_ledger[元状態],M$1),
_xlpm.受入+_xlpm.充当受入-_xlpm.払出))</f>
        <v/>
      </c>
      <c r="N38" s="8" t="str">
        <f t="shared" si="1"/>
        <v/>
      </c>
    </row>
    <row r="39" spans="1:14" ht="15" customHeight="1" x14ac:dyDescent="0.25">
      <c r="A39" s="4" t="str">
        <f t="shared" si="0"/>
        <v/>
      </c>
      <c r="B39" s="4" t="str">
        <f>IFERROR(IF(COUNTIF($B$1:$B38,INDEX(tbl_plan[ロットID],ROW()-1))&gt;0,"",INDEX(tbl_plan[ロットID],ROW()-1)),"")</f>
        <v/>
      </c>
      <c r="C39" s="4" t="str">
        <f>IF($B39="","",INDEX(tbl_plan[localId],ROW()-1))</f>
        <v/>
      </c>
      <c r="D39" s="8" t="str">
        <f>IF($B39="","",_xlfn.LET(
_xlpm.割当受入,SUMIF(V_充足確認!$A$2:$A$301,$B39,V_充足確認!$F$2:$F$301),
_xlpm.充当受入,SUMIFS(tbl_ledger[数量],tbl_ledger[充当先ロットID],$B39,tbl_ledger[イベント種類],"充当",tbl_ledger[元状態],D$1),
_xlpm.払出,SUMIFS(tbl_ledger[数量],tbl_ledger[ロットID],$B39,tbl_ledger[元状態],D$1),
_xlpm.割当受入+_xlpm.充当受入-_xlpm.払出))</f>
        <v/>
      </c>
      <c r="E39" s="8" t="str">
        <f>IF($B39="","",_xlfn.LET(
_xlpm.受入,SUMIFS(tbl_ledger[数量],tbl_ledger[ロットID],$B39,tbl_ledger[イベント種類],"アニール開始"),
_xlpm.充当受入,SUMIFS(tbl_ledger[数量],tbl_ledger[充当先ロットID],$B39,tbl_ledger[イベント種類],"充当",tbl_ledger[元状態],E$1),
_xlpm.払出,SUMIFS(tbl_ledger[数量],tbl_ledger[ロットID],$B39,tbl_ledger[元状態],E$1),
_xlpm.受入+_xlpm.充当受入-_xlpm.払出))</f>
        <v/>
      </c>
      <c r="F39" s="8" t="str">
        <f>IF($B39="","",_xlfn.LET(
_xlpm.受入,SUMIFS(tbl_ledger[数量],tbl_ledger[ロットID],$B39,tbl_ledger[イベント種類],"アニール完了"),
_xlpm.充当受入,SUMIFS(tbl_ledger[数量],tbl_ledger[充当先ロットID],$B39,tbl_ledger[イベント種類],"充当",tbl_ledger[元状態],F$1),
_xlpm.払出,SUMIFS(tbl_ledger[数量],tbl_ledger[ロットID],$B39,tbl_ledger[元状態],F$1),
_xlpm.受入+_xlpm.充当受入-_xlpm.払出))</f>
        <v/>
      </c>
      <c r="G39" s="8" t="str">
        <f>IF($B39="","",_xlfn.LET(
_xlpm.受入,SUMIFS(tbl_ledger[数量],tbl_ledger[ロットID],$B39,tbl_ledger[イベント種類],"アセンブリ開始"),
_xlpm.充当受入,SUMIFS(tbl_ledger[数量],tbl_ledger[充当先ロットID],$B39,tbl_ledger[イベント種類],"充当",tbl_ledger[元状態],G$1),
_xlpm.払出,SUMIFS(tbl_ledger[数量],tbl_ledger[ロットID],$B39,tbl_ledger[元状態],G$1),
_xlpm.受入+_xlpm.充当受入-_xlpm.払出))</f>
        <v/>
      </c>
      <c r="H39" s="8" t="str">
        <f>IF($B39="","",_xlfn.LET(
_xlpm.受入,SUMIFS(tbl_ledger[数量],tbl_ledger[ロットID],$B39,tbl_ledger[イベント種類],"アセンブリ完了"),
_xlpm.充当受入,SUMIFS(tbl_ledger[数量],tbl_ledger[充当先ロットID],$B39,tbl_ledger[イベント種類],"充当",tbl_ledger[元状態],H$1),
_xlpm.払出,SUMIFS(tbl_ledger[数量],tbl_ledger[ロットID],$B39,tbl_ledger[元状態],H$1),
_xlpm.受入+_xlpm.充当受入-_xlpm.払出))</f>
        <v/>
      </c>
      <c r="I39" s="8" t="str">
        <f>IF($B39="","",_xlfn.LET(
_xlpm.受入,SUMIFS(tbl_ledger[数量],tbl_ledger[ロットID],$B39,tbl_ledger[イベント種類],"梱包開始"),
_xlpm.充当受入,SUMIFS(tbl_ledger[数量],tbl_ledger[充当先ロットID],$B39,tbl_ledger[イベント種類],"充当",tbl_ledger[元状態],I$1),
_xlpm.払出,SUMIFS(tbl_ledger[数量],tbl_ledger[ロットID],$B39,tbl_ledger[元状態],I$1),
_xlpm.受入+_xlpm.充当受入-_xlpm.払出))</f>
        <v/>
      </c>
      <c r="J39" s="8" t="str">
        <f>IF($B39="","",_xlfn.LET(
_xlpm.受入,SUMIFS(tbl_ledger[数量],tbl_ledger[ロットID],$B39,tbl_ledger[イベント種類],"梱包完了"),
_xlpm.充当受入,SUMIFS(tbl_ledger[数量],tbl_ledger[充当先ロットID],$B39,tbl_ledger[イベント種類],"充当",tbl_ledger[元状態],J$1),
_xlpm.払出,SUMIFS(tbl_ledger[数量],tbl_ledger[ロットID],$B39,tbl_ledger[元状態],J$1),
_xlpm.受入+_xlpm.充当受入-_xlpm.払出))</f>
        <v/>
      </c>
      <c r="K39" s="8" t="str">
        <f>IF($B39="","",_xlfn.LET(
_xlpm.受入,SUMIFS(tbl_ledger[数量],tbl_ledger[ロットID],$B39,tbl_ledger[イベント種類],"発送準備開始"),
_xlpm.充当受入,SUMIFS(tbl_ledger[数量],tbl_ledger[充当先ロットID],$B39,tbl_ledger[イベント種類],"充当",tbl_ledger[元状態],K$1),
_xlpm.払出,SUMIFS(tbl_ledger[数量],tbl_ledger[ロットID],$B39,tbl_ledger[元状態],K$1),
_xlpm.受入+_xlpm.充当受入-_xlpm.払出))</f>
        <v/>
      </c>
      <c r="L39" s="8" t="str">
        <f>IF($B39="","",_xlfn.LET(
_xlpm.受入,SUMIFS(tbl_ledger[数量],tbl_ledger[ロットID],$B39,tbl_ledger[イベント種類],"発送準備完了"),
_xlpm.充当受入,SUMIFS(tbl_ledger[数量],tbl_ledger[充当先ロットID],$B39,tbl_ledger[イベント種類],"充当",tbl_ledger[元状態],L$1),
_xlpm.払出,SUMIFS(tbl_ledger[数量],tbl_ledger[ロットID],$B39,tbl_ledger[元状態],L$1),
_xlpm.受入+_xlpm.充当受入-_xlpm.払出))</f>
        <v/>
      </c>
      <c r="M39" s="8" t="str">
        <f>IF($B39="","",_xlfn.LET(
_xlpm.受入,SUMIFS(tbl_ledger[数量],tbl_ledger[ロットID],$B39,tbl_ledger[イベント種類],"不良発生"),
_xlpm.充当受入,SUMIFS(tbl_ledger[数量],tbl_ledger[充当先ロットID],$B39,tbl_ledger[イベント種類],"充当",tbl_ledger[元状態],M$1),
_xlpm.払出,SUMIFS(tbl_ledger[数量],tbl_ledger[ロットID],$B39,tbl_ledger[元状態],M$1),
_xlpm.受入+_xlpm.充当受入-_xlpm.払出))</f>
        <v/>
      </c>
      <c r="N39" s="8" t="str">
        <f t="shared" si="1"/>
        <v/>
      </c>
    </row>
    <row r="40" spans="1:14" ht="15" customHeight="1" x14ac:dyDescent="0.25">
      <c r="A40" s="4" t="str">
        <f t="shared" si="0"/>
        <v/>
      </c>
      <c r="B40" s="4" t="str">
        <f>IFERROR(IF(COUNTIF($B$1:$B39,INDEX(tbl_plan[ロットID],ROW()-1))&gt;0,"",INDEX(tbl_plan[ロットID],ROW()-1)),"")</f>
        <v/>
      </c>
      <c r="C40" s="4" t="str">
        <f>IF($B40="","",INDEX(tbl_plan[localId],ROW()-1))</f>
        <v/>
      </c>
      <c r="D40" s="8" t="str">
        <f>IF($B40="","",_xlfn.LET(
_xlpm.割当受入,SUMIF(V_充足確認!$A$2:$A$301,$B40,V_充足確認!$F$2:$F$301),
_xlpm.充当受入,SUMIFS(tbl_ledger[数量],tbl_ledger[充当先ロットID],$B40,tbl_ledger[イベント種類],"充当",tbl_ledger[元状態],D$1),
_xlpm.払出,SUMIFS(tbl_ledger[数量],tbl_ledger[ロットID],$B40,tbl_ledger[元状態],D$1),
_xlpm.割当受入+_xlpm.充当受入-_xlpm.払出))</f>
        <v/>
      </c>
      <c r="E40" s="8" t="str">
        <f>IF($B40="","",_xlfn.LET(
_xlpm.受入,SUMIFS(tbl_ledger[数量],tbl_ledger[ロットID],$B40,tbl_ledger[イベント種類],"アニール開始"),
_xlpm.充当受入,SUMIFS(tbl_ledger[数量],tbl_ledger[充当先ロットID],$B40,tbl_ledger[イベント種類],"充当",tbl_ledger[元状態],E$1),
_xlpm.払出,SUMIFS(tbl_ledger[数量],tbl_ledger[ロットID],$B40,tbl_ledger[元状態],E$1),
_xlpm.受入+_xlpm.充当受入-_xlpm.払出))</f>
        <v/>
      </c>
      <c r="F40" s="8" t="str">
        <f>IF($B40="","",_xlfn.LET(
_xlpm.受入,SUMIFS(tbl_ledger[数量],tbl_ledger[ロットID],$B40,tbl_ledger[イベント種類],"アニール完了"),
_xlpm.充当受入,SUMIFS(tbl_ledger[数量],tbl_ledger[充当先ロットID],$B40,tbl_ledger[イベント種類],"充当",tbl_ledger[元状態],F$1),
_xlpm.払出,SUMIFS(tbl_ledger[数量],tbl_ledger[ロットID],$B40,tbl_ledger[元状態],F$1),
_xlpm.受入+_xlpm.充当受入-_xlpm.払出))</f>
        <v/>
      </c>
      <c r="G40" s="8" t="str">
        <f>IF($B40="","",_xlfn.LET(
_xlpm.受入,SUMIFS(tbl_ledger[数量],tbl_ledger[ロットID],$B40,tbl_ledger[イベント種類],"アセンブリ開始"),
_xlpm.充当受入,SUMIFS(tbl_ledger[数量],tbl_ledger[充当先ロットID],$B40,tbl_ledger[イベント種類],"充当",tbl_ledger[元状態],G$1),
_xlpm.払出,SUMIFS(tbl_ledger[数量],tbl_ledger[ロットID],$B40,tbl_ledger[元状態],G$1),
_xlpm.受入+_xlpm.充当受入-_xlpm.払出))</f>
        <v/>
      </c>
      <c r="H40" s="8" t="str">
        <f>IF($B40="","",_xlfn.LET(
_xlpm.受入,SUMIFS(tbl_ledger[数量],tbl_ledger[ロットID],$B40,tbl_ledger[イベント種類],"アセンブリ完了"),
_xlpm.充当受入,SUMIFS(tbl_ledger[数量],tbl_ledger[充当先ロットID],$B40,tbl_ledger[イベント種類],"充当",tbl_ledger[元状態],H$1),
_xlpm.払出,SUMIFS(tbl_ledger[数量],tbl_ledger[ロットID],$B40,tbl_ledger[元状態],H$1),
_xlpm.受入+_xlpm.充当受入-_xlpm.払出))</f>
        <v/>
      </c>
      <c r="I40" s="8" t="str">
        <f>IF($B40="","",_xlfn.LET(
_xlpm.受入,SUMIFS(tbl_ledger[数量],tbl_ledger[ロットID],$B40,tbl_ledger[イベント種類],"梱包開始"),
_xlpm.充当受入,SUMIFS(tbl_ledger[数量],tbl_ledger[充当先ロットID],$B40,tbl_ledger[イベント種類],"充当",tbl_ledger[元状態],I$1),
_xlpm.払出,SUMIFS(tbl_ledger[数量],tbl_ledger[ロットID],$B40,tbl_ledger[元状態],I$1),
_xlpm.受入+_xlpm.充当受入-_xlpm.払出))</f>
        <v/>
      </c>
      <c r="J40" s="8" t="str">
        <f>IF($B40="","",_xlfn.LET(
_xlpm.受入,SUMIFS(tbl_ledger[数量],tbl_ledger[ロットID],$B40,tbl_ledger[イベント種類],"梱包完了"),
_xlpm.充当受入,SUMIFS(tbl_ledger[数量],tbl_ledger[充当先ロットID],$B40,tbl_ledger[イベント種類],"充当",tbl_ledger[元状態],J$1),
_xlpm.払出,SUMIFS(tbl_ledger[数量],tbl_ledger[ロットID],$B40,tbl_ledger[元状態],J$1),
_xlpm.受入+_xlpm.充当受入-_xlpm.払出))</f>
        <v/>
      </c>
      <c r="K40" s="8" t="str">
        <f>IF($B40="","",_xlfn.LET(
_xlpm.受入,SUMIFS(tbl_ledger[数量],tbl_ledger[ロットID],$B40,tbl_ledger[イベント種類],"発送準備開始"),
_xlpm.充当受入,SUMIFS(tbl_ledger[数量],tbl_ledger[充当先ロットID],$B40,tbl_ledger[イベント種類],"充当",tbl_ledger[元状態],K$1),
_xlpm.払出,SUMIFS(tbl_ledger[数量],tbl_ledger[ロットID],$B40,tbl_ledger[元状態],K$1),
_xlpm.受入+_xlpm.充当受入-_xlpm.払出))</f>
        <v/>
      </c>
      <c r="L40" s="8" t="str">
        <f>IF($B40="","",_xlfn.LET(
_xlpm.受入,SUMIFS(tbl_ledger[数量],tbl_ledger[ロットID],$B40,tbl_ledger[イベント種類],"発送準備完了"),
_xlpm.充当受入,SUMIFS(tbl_ledger[数量],tbl_ledger[充当先ロットID],$B40,tbl_ledger[イベント種類],"充当",tbl_ledger[元状態],L$1),
_xlpm.払出,SUMIFS(tbl_ledger[数量],tbl_ledger[ロットID],$B40,tbl_ledger[元状態],L$1),
_xlpm.受入+_xlpm.充当受入-_xlpm.払出))</f>
        <v/>
      </c>
      <c r="M40" s="8" t="str">
        <f>IF($B40="","",_xlfn.LET(
_xlpm.受入,SUMIFS(tbl_ledger[数量],tbl_ledger[ロットID],$B40,tbl_ledger[イベント種類],"不良発生"),
_xlpm.充当受入,SUMIFS(tbl_ledger[数量],tbl_ledger[充当先ロットID],$B40,tbl_ledger[イベント種類],"充当",tbl_ledger[元状態],M$1),
_xlpm.払出,SUMIFS(tbl_ledger[数量],tbl_ledger[ロットID],$B40,tbl_ledger[元状態],M$1),
_xlpm.受入+_xlpm.充当受入-_xlpm.払出))</f>
        <v/>
      </c>
      <c r="N40" s="8" t="str">
        <f t="shared" si="1"/>
        <v/>
      </c>
    </row>
    <row r="41" spans="1:14" ht="15" customHeight="1" x14ac:dyDescent="0.25">
      <c r="A41" s="4" t="str">
        <f t="shared" si="0"/>
        <v/>
      </c>
      <c r="B41" s="4" t="str">
        <f>IFERROR(IF(COUNTIF($B$1:$B40,INDEX(tbl_plan[ロットID],ROW()-1))&gt;0,"",INDEX(tbl_plan[ロットID],ROW()-1)),"")</f>
        <v/>
      </c>
      <c r="C41" s="4" t="str">
        <f>IF($B41="","",INDEX(tbl_plan[localId],ROW()-1))</f>
        <v/>
      </c>
      <c r="D41" s="8" t="str">
        <f>IF($B41="","",_xlfn.LET(
_xlpm.割当受入,SUMIF(V_充足確認!$A$2:$A$301,$B41,V_充足確認!$F$2:$F$301),
_xlpm.充当受入,SUMIFS(tbl_ledger[数量],tbl_ledger[充当先ロットID],$B41,tbl_ledger[イベント種類],"充当",tbl_ledger[元状態],D$1),
_xlpm.払出,SUMIFS(tbl_ledger[数量],tbl_ledger[ロットID],$B41,tbl_ledger[元状態],D$1),
_xlpm.割当受入+_xlpm.充当受入-_xlpm.払出))</f>
        <v/>
      </c>
      <c r="E41" s="8" t="str">
        <f>IF($B41="","",_xlfn.LET(
_xlpm.受入,SUMIFS(tbl_ledger[数量],tbl_ledger[ロットID],$B41,tbl_ledger[イベント種類],"アニール開始"),
_xlpm.充当受入,SUMIFS(tbl_ledger[数量],tbl_ledger[充当先ロットID],$B41,tbl_ledger[イベント種類],"充当",tbl_ledger[元状態],E$1),
_xlpm.払出,SUMIFS(tbl_ledger[数量],tbl_ledger[ロットID],$B41,tbl_ledger[元状態],E$1),
_xlpm.受入+_xlpm.充当受入-_xlpm.払出))</f>
        <v/>
      </c>
      <c r="F41" s="8" t="str">
        <f>IF($B41="","",_xlfn.LET(
_xlpm.受入,SUMIFS(tbl_ledger[数量],tbl_ledger[ロットID],$B41,tbl_ledger[イベント種類],"アニール完了"),
_xlpm.充当受入,SUMIFS(tbl_ledger[数量],tbl_ledger[充当先ロットID],$B41,tbl_ledger[イベント種類],"充当",tbl_ledger[元状態],F$1),
_xlpm.払出,SUMIFS(tbl_ledger[数量],tbl_ledger[ロットID],$B41,tbl_ledger[元状態],F$1),
_xlpm.受入+_xlpm.充当受入-_xlpm.払出))</f>
        <v/>
      </c>
      <c r="G41" s="8" t="str">
        <f>IF($B41="","",_xlfn.LET(
_xlpm.受入,SUMIFS(tbl_ledger[数量],tbl_ledger[ロットID],$B41,tbl_ledger[イベント種類],"アセンブリ開始"),
_xlpm.充当受入,SUMIFS(tbl_ledger[数量],tbl_ledger[充当先ロットID],$B41,tbl_ledger[イベント種類],"充当",tbl_ledger[元状態],G$1),
_xlpm.払出,SUMIFS(tbl_ledger[数量],tbl_ledger[ロットID],$B41,tbl_ledger[元状態],G$1),
_xlpm.受入+_xlpm.充当受入-_xlpm.払出))</f>
        <v/>
      </c>
      <c r="H41" s="8" t="str">
        <f>IF($B41="","",_xlfn.LET(
_xlpm.受入,SUMIFS(tbl_ledger[数量],tbl_ledger[ロットID],$B41,tbl_ledger[イベント種類],"アセンブリ完了"),
_xlpm.充当受入,SUMIFS(tbl_ledger[数量],tbl_ledger[充当先ロットID],$B41,tbl_ledger[イベント種類],"充当",tbl_ledger[元状態],H$1),
_xlpm.払出,SUMIFS(tbl_ledger[数量],tbl_ledger[ロットID],$B41,tbl_ledger[元状態],H$1),
_xlpm.受入+_xlpm.充当受入-_xlpm.払出))</f>
        <v/>
      </c>
      <c r="I41" s="8" t="str">
        <f>IF($B41="","",_xlfn.LET(
_xlpm.受入,SUMIFS(tbl_ledger[数量],tbl_ledger[ロットID],$B41,tbl_ledger[イベント種類],"梱包開始"),
_xlpm.充当受入,SUMIFS(tbl_ledger[数量],tbl_ledger[充当先ロットID],$B41,tbl_ledger[イベント種類],"充当",tbl_ledger[元状態],I$1),
_xlpm.払出,SUMIFS(tbl_ledger[数量],tbl_ledger[ロットID],$B41,tbl_ledger[元状態],I$1),
_xlpm.受入+_xlpm.充当受入-_xlpm.払出))</f>
        <v/>
      </c>
      <c r="J41" s="8" t="str">
        <f>IF($B41="","",_xlfn.LET(
_xlpm.受入,SUMIFS(tbl_ledger[数量],tbl_ledger[ロットID],$B41,tbl_ledger[イベント種類],"梱包完了"),
_xlpm.充当受入,SUMIFS(tbl_ledger[数量],tbl_ledger[充当先ロットID],$B41,tbl_ledger[イベント種類],"充当",tbl_ledger[元状態],J$1),
_xlpm.払出,SUMIFS(tbl_ledger[数量],tbl_ledger[ロットID],$B41,tbl_ledger[元状態],J$1),
_xlpm.受入+_xlpm.充当受入-_xlpm.払出))</f>
        <v/>
      </c>
      <c r="K41" s="8" t="str">
        <f>IF($B41="","",_xlfn.LET(
_xlpm.受入,SUMIFS(tbl_ledger[数量],tbl_ledger[ロットID],$B41,tbl_ledger[イベント種類],"発送準備開始"),
_xlpm.充当受入,SUMIFS(tbl_ledger[数量],tbl_ledger[充当先ロットID],$B41,tbl_ledger[イベント種類],"充当",tbl_ledger[元状態],K$1),
_xlpm.払出,SUMIFS(tbl_ledger[数量],tbl_ledger[ロットID],$B41,tbl_ledger[元状態],K$1),
_xlpm.受入+_xlpm.充当受入-_xlpm.払出))</f>
        <v/>
      </c>
      <c r="L41" s="8" t="str">
        <f>IF($B41="","",_xlfn.LET(
_xlpm.受入,SUMIFS(tbl_ledger[数量],tbl_ledger[ロットID],$B41,tbl_ledger[イベント種類],"発送準備完了"),
_xlpm.充当受入,SUMIFS(tbl_ledger[数量],tbl_ledger[充当先ロットID],$B41,tbl_ledger[イベント種類],"充当",tbl_ledger[元状態],L$1),
_xlpm.払出,SUMIFS(tbl_ledger[数量],tbl_ledger[ロットID],$B41,tbl_ledger[元状態],L$1),
_xlpm.受入+_xlpm.充当受入-_xlpm.払出))</f>
        <v/>
      </c>
      <c r="M41" s="8" t="str">
        <f>IF($B41="","",_xlfn.LET(
_xlpm.受入,SUMIFS(tbl_ledger[数量],tbl_ledger[ロットID],$B41,tbl_ledger[イベント種類],"不良発生"),
_xlpm.充当受入,SUMIFS(tbl_ledger[数量],tbl_ledger[充当先ロットID],$B41,tbl_ledger[イベント種類],"充当",tbl_ledger[元状態],M$1),
_xlpm.払出,SUMIFS(tbl_ledger[数量],tbl_ledger[ロットID],$B41,tbl_ledger[元状態],M$1),
_xlpm.受入+_xlpm.充当受入-_xlpm.払出))</f>
        <v/>
      </c>
      <c r="N41" s="8" t="str">
        <f t="shared" si="1"/>
        <v/>
      </c>
    </row>
    <row r="42" spans="1:14" ht="15" customHeight="1" x14ac:dyDescent="0.25">
      <c r="A42" s="4" t="str">
        <f t="shared" si="0"/>
        <v/>
      </c>
      <c r="B42" s="4" t="str">
        <f>IFERROR(IF(COUNTIF($B$1:$B41,INDEX(tbl_plan[ロットID],ROW()-1))&gt;0,"",INDEX(tbl_plan[ロットID],ROW()-1)),"")</f>
        <v/>
      </c>
      <c r="C42" s="4" t="str">
        <f>IF($B42="","",INDEX(tbl_plan[localId],ROW()-1))</f>
        <v/>
      </c>
      <c r="D42" s="8" t="str">
        <f>IF($B42="","",_xlfn.LET(
_xlpm.割当受入,SUMIF(V_充足確認!$A$2:$A$301,$B42,V_充足確認!$F$2:$F$301),
_xlpm.充当受入,SUMIFS(tbl_ledger[数量],tbl_ledger[充当先ロットID],$B42,tbl_ledger[イベント種類],"充当",tbl_ledger[元状態],D$1),
_xlpm.払出,SUMIFS(tbl_ledger[数量],tbl_ledger[ロットID],$B42,tbl_ledger[元状態],D$1),
_xlpm.割当受入+_xlpm.充当受入-_xlpm.払出))</f>
        <v/>
      </c>
      <c r="E42" s="8" t="str">
        <f>IF($B42="","",_xlfn.LET(
_xlpm.受入,SUMIFS(tbl_ledger[数量],tbl_ledger[ロットID],$B42,tbl_ledger[イベント種類],"アニール開始"),
_xlpm.充当受入,SUMIFS(tbl_ledger[数量],tbl_ledger[充当先ロットID],$B42,tbl_ledger[イベント種類],"充当",tbl_ledger[元状態],E$1),
_xlpm.払出,SUMIFS(tbl_ledger[数量],tbl_ledger[ロットID],$B42,tbl_ledger[元状態],E$1),
_xlpm.受入+_xlpm.充当受入-_xlpm.払出))</f>
        <v/>
      </c>
      <c r="F42" s="8" t="str">
        <f>IF($B42="","",_xlfn.LET(
_xlpm.受入,SUMIFS(tbl_ledger[数量],tbl_ledger[ロットID],$B42,tbl_ledger[イベント種類],"アニール完了"),
_xlpm.充当受入,SUMIFS(tbl_ledger[数量],tbl_ledger[充当先ロットID],$B42,tbl_ledger[イベント種類],"充当",tbl_ledger[元状態],F$1),
_xlpm.払出,SUMIFS(tbl_ledger[数量],tbl_ledger[ロットID],$B42,tbl_ledger[元状態],F$1),
_xlpm.受入+_xlpm.充当受入-_xlpm.払出))</f>
        <v/>
      </c>
      <c r="G42" s="8" t="str">
        <f>IF($B42="","",_xlfn.LET(
_xlpm.受入,SUMIFS(tbl_ledger[数量],tbl_ledger[ロットID],$B42,tbl_ledger[イベント種類],"アセンブリ開始"),
_xlpm.充当受入,SUMIFS(tbl_ledger[数量],tbl_ledger[充当先ロットID],$B42,tbl_ledger[イベント種類],"充当",tbl_ledger[元状態],G$1),
_xlpm.払出,SUMIFS(tbl_ledger[数量],tbl_ledger[ロットID],$B42,tbl_ledger[元状態],G$1),
_xlpm.受入+_xlpm.充当受入-_xlpm.払出))</f>
        <v/>
      </c>
      <c r="H42" s="8" t="str">
        <f>IF($B42="","",_xlfn.LET(
_xlpm.受入,SUMIFS(tbl_ledger[数量],tbl_ledger[ロットID],$B42,tbl_ledger[イベント種類],"アセンブリ完了"),
_xlpm.充当受入,SUMIFS(tbl_ledger[数量],tbl_ledger[充当先ロットID],$B42,tbl_ledger[イベント種類],"充当",tbl_ledger[元状態],H$1),
_xlpm.払出,SUMIFS(tbl_ledger[数量],tbl_ledger[ロットID],$B42,tbl_ledger[元状態],H$1),
_xlpm.受入+_xlpm.充当受入-_xlpm.払出))</f>
        <v/>
      </c>
      <c r="I42" s="8" t="str">
        <f>IF($B42="","",_xlfn.LET(
_xlpm.受入,SUMIFS(tbl_ledger[数量],tbl_ledger[ロットID],$B42,tbl_ledger[イベント種類],"梱包開始"),
_xlpm.充当受入,SUMIFS(tbl_ledger[数量],tbl_ledger[充当先ロットID],$B42,tbl_ledger[イベント種類],"充当",tbl_ledger[元状態],I$1),
_xlpm.払出,SUMIFS(tbl_ledger[数量],tbl_ledger[ロットID],$B42,tbl_ledger[元状態],I$1),
_xlpm.受入+_xlpm.充当受入-_xlpm.払出))</f>
        <v/>
      </c>
      <c r="J42" s="8" t="str">
        <f>IF($B42="","",_xlfn.LET(
_xlpm.受入,SUMIFS(tbl_ledger[数量],tbl_ledger[ロットID],$B42,tbl_ledger[イベント種類],"梱包完了"),
_xlpm.充当受入,SUMIFS(tbl_ledger[数量],tbl_ledger[充当先ロットID],$B42,tbl_ledger[イベント種類],"充当",tbl_ledger[元状態],J$1),
_xlpm.払出,SUMIFS(tbl_ledger[数量],tbl_ledger[ロットID],$B42,tbl_ledger[元状態],J$1),
_xlpm.受入+_xlpm.充当受入-_xlpm.払出))</f>
        <v/>
      </c>
      <c r="K42" s="8" t="str">
        <f>IF($B42="","",_xlfn.LET(
_xlpm.受入,SUMIFS(tbl_ledger[数量],tbl_ledger[ロットID],$B42,tbl_ledger[イベント種類],"発送準備開始"),
_xlpm.充当受入,SUMIFS(tbl_ledger[数量],tbl_ledger[充当先ロットID],$B42,tbl_ledger[イベント種類],"充当",tbl_ledger[元状態],K$1),
_xlpm.払出,SUMIFS(tbl_ledger[数量],tbl_ledger[ロットID],$B42,tbl_ledger[元状態],K$1),
_xlpm.受入+_xlpm.充当受入-_xlpm.払出))</f>
        <v/>
      </c>
      <c r="L42" s="8" t="str">
        <f>IF($B42="","",_xlfn.LET(
_xlpm.受入,SUMIFS(tbl_ledger[数量],tbl_ledger[ロットID],$B42,tbl_ledger[イベント種類],"発送準備完了"),
_xlpm.充当受入,SUMIFS(tbl_ledger[数量],tbl_ledger[充当先ロットID],$B42,tbl_ledger[イベント種類],"充当",tbl_ledger[元状態],L$1),
_xlpm.払出,SUMIFS(tbl_ledger[数量],tbl_ledger[ロットID],$B42,tbl_ledger[元状態],L$1),
_xlpm.受入+_xlpm.充当受入-_xlpm.払出))</f>
        <v/>
      </c>
      <c r="M42" s="8" t="str">
        <f>IF($B42="","",_xlfn.LET(
_xlpm.受入,SUMIFS(tbl_ledger[数量],tbl_ledger[ロットID],$B42,tbl_ledger[イベント種類],"不良発生"),
_xlpm.充当受入,SUMIFS(tbl_ledger[数量],tbl_ledger[充当先ロットID],$B42,tbl_ledger[イベント種類],"充当",tbl_ledger[元状態],M$1),
_xlpm.払出,SUMIFS(tbl_ledger[数量],tbl_ledger[ロットID],$B42,tbl_ledger[元状態],M$1),
_xlpm.受入+_xlpm.充当受入-_xlpm.払出))</f>
        <v/>
      </c>
      <c r="N42" s="8" t="str">
        <f t="shared" si="1"/>
        <v/>
      </c>
    </row>
    <row r="43" spans="1:14" ht="15" customHeight="1" x14ac:dyDescent="0.25">
      <c r="A43" s="4" t="str">
        <f t="shared" si="0"/>
        <v/>
      </c>
      <c r="B43" s="4" t="str">
        <f>IFERROR(IF(COUNTIF($B$1:$B42,INDEX(tbl_plan[ロットID],ROW()-1))&gt;0,"",INDEX(tbl_plan[ロットID],ROW()-1)),"")</f>
        <v/>
      </c>
      <c r="C43" s="4" t="str">
        <f>IF($B43="","",INDEX(tbl_plan[localId],ROW()-1))</f>
        <v/>
      </c>
      <c r="D43" s="8" t="str">
        <f>IF($B43="","",_xlfn.LET(
_xlpm.割当受入,SUMIF(V_充足確認!$A$2:$A$301,$B43,V_充足確認!$F$2:$F$301),
_xlpm.充当受入,SUMIFS(tbl_ledger[数量],tbl_ledger[充当先ロットID],$B43,tbl_ledger[イベント種類],"充当",tbl_ledger[元状態],D$1),
_xlpm.払出,SUMIFS(tbl_ledger[数量],tbl_ledger[ロットID],$B43,tbl_ledger[元状態],D$1),
_xlpm.割当受入+_xlpm.充当受入-_xlpm.払出))</f>
        <v/>
      </c>
      <c r="E43" s="8" t="str">
        <f>IF($B43="","",_xlfn.LET(
_xlpm.受入,SUMIFS(tbl_ledger[数量],tbl_ledger[ロットID],$B43,tbl_ledger[イベント種類],"アニール開始"),
_xlpm.充当受入,SUMIFS(tbl_ledger[数量],tbl_ledger[充当先ロットID],$B43,tbl_ledger[イベント種類],"充当",tbl_ledger[元状態],E$1),
_xlpm.払出,SUMIFS(tbl_ledger[数量],tbl_ledger[ロットID],$B43,tbl_ledger[元状態],E$1),
_xlpm.受入+_xlpm.充当受入-_xlpm.払出))</f>
        <v/>
      </c>
      <c r="F43" s="8" t="str">
        <f>IF($B43="","",_xlfn.LET(
_xlpm.受入,SUMIFS(tbl_ledger[数量],tbl_ledger[ロットID],$B43,tbl_ledger[イベント種類],"アニール完了"),
_xlpm.充当受入,SUMIFS(tbl_ledger[数量],tbl_ledger[充当先ロットID],$B43,tbl_ledger[イベント種類],"充当",tbl_ledger[元状態],F$1),
_xlpm.払出,SUMIFS(tbl_ledger[数量],tbl_ledger[ロットID],$B43,tbl_ledger[元状態],F$1),
_xlpm.受入+_xlpm.充当受入-_xlpm.払出))</f>
        <v/>
      </c>
      <c r="G43" s="8" t="str">
        <f>IF($B43="","",_xlfn.LET(
_xlpm.受入,SUMIFS(tbl_ledger[数量],tbl_ledger[ロットID],$B43,tbl_ledger[イベント種類],"アセンブリ開始"),
_xlpm.充当受入,SUMIFS(tbl_ledger[数量],tbl_ledger[充当先ロットID],$B43,tbl_ledger[イベント種類],"充当",tbl_ledger[元状態],G$1),
_xlpm.払出,SUMIFS(tbl_ledger[数量],tbl_ledger[ロットID],$B43,tbl_ledger[元状態],G$1),
_xlpm.受入+_xlpm.充当受入-_xlpm.払出))</f>
        <v/>
      </c>
      <c r="H43" s="8" t="str">
        <f>IF($B43="","",_xlfn.LET(
_xlpm.受入,SUMIFS(tbl_ledger[数量],tbl_ledger[ロットID],$B43,tbl_ledger[イベント種類],"アセンブリ完了"),
_xlpm.充当受入,SUMIFS(tbl_ledger[数量],tbl_ledger[充当先ロットID],$B43,tbl_ledger[イベント種類],"充当",tbl_ledger[元状態],H$1),
_xlpm.払出,SUMIFS(tbl_ledger[数量],tbl_ledger[ロットID],$B43,tbl_ledger[元状態],H$1),
_xlpm.受入+_xlpm.充当受入-_xlpm.払出))</f>
        <v/>
      </c>
      <c r="I43" s="8" t="str">
        <f>IF($B43="","",_xlfn.LET(
_xlpm.受入,SUMIFS(tbl_ledger[数量],tbl_ledger[ロットID],$B43,tbl_ledger[イベント種類],"梱包開始"),
_xlpm.充当受入,SUMIFS(tbl_ledger[数量],tbl_ledger[充当先ロットID],$B43,tbl_ledger[イベント種類],"充当",tbl_ledger[元状態],I$1),
_xlpm.払出,SUMIFS(tbl_ledger[数量],tbl_ledger[ロットID],$B43,tbl_ledger[元状態],I$1),
_xlpm.受入+_xlpm.充当受入-_xlpm.払出))</f>
        <v/>
      </c>
      <c r="J43" s="8" t="str">
        <f>IF($B43="","",_xlfn.LET(
_xlpm.受入,SUMIFS(tbl_ledger[数量],tbl_ledger[ロットID],$B43,tbl_ledger[イベント種類],"梱包完了"),
_xlpm.充当受入,SUMIFS(tbl_ledger[数量],tbl_ledger[充当先ロットID],$B43,tbl_ledger[イベント種類],"充当",tbl_ledger[元状態],J$1),
_xlpm.払出,SUMIFS(tbl_ledger[数量],tbl_ledger[ロットID],$B43,tbl_ledger[元状態],J$1),
_xlpm.受入+_xlpm.充当受入-_xlpm.払出))</f>
        <v/>
      </c>
      <c r="K43" s="8" t="str">
        <f>IF($B43="","",_xlfn.LET(
_xlpm.受入,SUMIFS(tbl_ledger[数量],tbl_ledger[ロットID],$B43,tbl_ledger[イベント種類],"発送準備開始"),
_xlpm.充当受入,SUMIFS(tbl_ledger[数量],tbl_ledger[充当先ロットID],$B43,tbl_ledger[イベント種類],"充当",tbl_ledger[元状態],K$1),
_xlpm.払出,SUMIFS(tbl_ledger[数量],tbl_ledger[ロットID],$B43,tbl_ledger[元状態],K$1),
_xlpm.受入+_xlpm.充当受入-_xlpm.払出))</f>
        <v/>
      </c>
      <c r="L43" s="8" t="str">
        <f>IF($B43="","",_xlfn.LET(
_xlpm.受入,SUMIFS(tbl_ledger[数量],tbl_ledger[ロットID],$B43,tbl_ledger[イベント種類],"発送準備完了"),
_xlpm.充当受入,SUMIFS(tbl_ledger[数量],tbl_ledger[充当先ロットID],$B43,tbl_ledger[イベント種類],"充当",tbl_ledger[元状態],L$1),
_xlpm.払出,SUMIFS(tbl_ledger[数量],tbl_ledger[ロットID],$B43,tbl_ledger[元状態],L$1),
_xlpm.受入+_xlpm.充当受入-_xlpm.払出))</f>
        <v/>
      </c>
      <c r="M43" s="8" t="str">
        <f>IF($B43="","",_xlfn.LET(
_xlpm.受入,SUMIFS(tbl_ledger[数量],tbl_ledger[ロットID],$B43,tbl_ledger[イベント種類],"不良発生"),
_xlpm.充当受入,SUMIFS(tbl_ledger[数量],tbl_ledger[充当先ロットID],$B43,tbl_ledger[イベント種類],"充当",tbl_ledger[元状態],M$1),
_xlpm.払出,SUMIFS(tbl_ledger[数量],tbl_ledger[ロットID],$B43,tbl_ledger[元状態],M$1),
_xlpm.受入+_xlpm.充当受入-_xlpm.払出))</f>
        <v/>
      </c>
      <c r="N43" s="8" t="str">
        <f t="shared" si="1"/>
        <v/>
      </c>
    </row>
    <row r="44" spans="1:14" ht="15" customHeight="1" x14ac:dyDescent="0.25">
      <c r="A44" s="4" t="str">
        <f t="shared" si="0"/>
        <v/>
      </c>
      <c r="B44" s="4" t="str">
        <f>IFERROR(IF(COUNTIF($B$1:$B43,INDEX(tbl_plan[ロットID],ROW()-1))&gt;0,"",INDEX(tbl_plan[ロットID],ROW()-1)),"")</f>
        <v/>
      </c>
      <c r="C44" s="4" t="str">
        <f>IF($B44="","",INDEX(tbl_plan[localId],ROW()-1))</f>
        <v/>
      </c>
      <c r="D44" s="8" t="str">
        <f>IF($B44="","",_xlfn.LET(
_xlpm.割当受入,SUMIF(V_充足確認!$A$2:$A$301,$B44,V_充足確認!$F$2:$F$301),
_xlpm.充当受入,SUMIFS(tbl_ledger[数量],tbl_ledger[充当先ロットID],$B44,tbl_ledger[イベント種類],"充当",tbl_ledger[元状態],D$1),
_xlpm.払出,SUMIFS(tbl_ledger[数量],tbl_ledger[ロットID],$B44,tbl_ledger[元状態],D$1),
_xlpm.割当受入+_xlpm.充当受入-_xlpm.払出))</f>
        <v/>
      </c>
      <c r="E44" s="8" t="str">
        <f>IF($B44="","",_xlfn.LET(
_xlpm.受入,SUMIFS(tbl_ledger[数量],tbl_ledger[ロットID],$B44,tbl_ledger[イベント種類],"アニール開始"),
_xlpm.充当受入,SUMIFS(tbl_ledger[数量],tbl_ledger[充当先ロットID],$B44,tbl_ledger[イベント種類],"充当",tbl_ledger[元状態],E$1),
_xlpm.払出,SUMIFS(tbl_ledger[数量],tbl_ledger[ロットID],$B44,tbl_ledger[元状態],E$1),
_xlpm.受入+_xlpm.充当受入-_xlpm.払出))</f>
        <v/>
      </c>
      <c r="F44" s="8" t="str">
        <f>IF($B44="","",_xlfn.LET(
_xlpm.受入,SUMIFS(tbl_ledger[数量],tbl_ledger[ロットID],$B44,tbl_ledger[イベント種類],"アニール完了"),
_xlpm.充当受入,SUMIFS(tbl_ledger[数量],tbl_ledger[充当先ロットID],$B44,tbl_ledger[イベント種類],"充当",tbl_ledger[元状態],F$1),
_xlpm.払出,SUMIFS(tbl_ledger[数量],tbl_ledger[ロットID],$B44,tbl_ledger[元状態],F$1),
_xlpm.受入+_xlpm.充当受入-_xlpm.払出))</f>
        <v/>
      </c>
      <c r="G44" s="8" t="str">
        <f>IF($B44="","",_xlfn.LET(
_xlpm.受入,SUMIFS(tbl_ledger[数量],tbl_ledger[ロットID],$B44,tbl_ledger[イベント種類],"アセンブリ開始"),
_xlpm.充当受入,SUMIFS(tbl_ledger[数量],tbl_ledger[充当先ロットID],$B44,tbl_ledger[イベント種類],"充当",tbl_ledger[元状態],G$1),
_xlpm.払出,SUMIFS(tbl_ledger[数量],tbl_ledger[ロットID],$B44,tbl_ledger[元状態],G$1),
_xlpm.受入+_xlpm.充当受入-_xlpm.払出))</f>
        <v/>
      </c>
      <c r="H44" s="8" t="str">
        <f>IF($B44="","",_xlfn.LET(
_xlpm.受入,SUMIFS(tbl_ledger[数量],tbl_ledger[ロットID],$B44,tbl_ledger[イベント種類],"アセンブリ完了"),
_xlpm.充当受入,SUMIFS(tbl_ledger[数量],tbl_ledger[充当先ロットID],$B44,tbl_ledger[イベント種類],"充当",tbl_ledger[元状態],H$1),
_xlpm.払出,SUMIFS(tbl_ledger[数量],tbl_ledger[ロットID],$B44,tbl_ledger[元状態],H$1),
_xlpm.受入+_xlpm.充当受入-_xlpm.払出))</f>
        <v/>
      </c>
      <c r="I44" s="8" t="str">
        <f>IF($B44="","",_xlfn.LET(
_xlpm.受入,SUMIFS(tbl_ledger[数量],tbl_ledger[ロットID],$B44,tbl_ledger[イベント種類],"梱包開始"),
_xlpm.充当受入,SUMIFS(tbl_ledger[数量],tbl_ledger[充当先ロットID],$B44,tbl_ledger[イベント種類],"充当",tbl_ledger[元状態],I$1),
_xlpm.払出,SUMIFS(tbl_ledger[数量],tbl_ledger[ロットID],$B44,tbl_ledger[元状態],I$1),
_xlpm.受入+_xlpm.充当受入-_xlpm.払出))</f>
        <v/>
      </c>
      <c r="J44" s="8" t="str">
        <f>IF($B44="","",_xlfn.LET(
_xlpm.受入,SUMIFS(tbl_ledger[数量],tbl_ledger[ロットID],$B44,tbl_ledger[イベント種類],"梱包完了"),
_xlpm.充当受入,SUMIFS(tbl_ledger[数量],tbl_ledger[充当先ロットID],$B44,tbl_ledger[イベント種類],"充当",tbl_ledger[元状態],J$1),
_xlpm.払出,SUMIFS(tbl_ledger[数量],tbl_ledger[ロットID],$B44,tbl_ledger[元状態],J$1),
_xlpm.受入+_xlpm.充当受入-_xlpm.払出))</f>
        <v/>
      </c>
      <c r="K44" s="8" t="str">
        <f>IF($B44="","",_xlfn.LET(
_xlpm.受入,SUMIFS(tbl_ledger[数量],tbl_ledger[ロットID],$B44,tbl_ledger[イベント種類],"発送準備開始"),
_xlpm.充当受入,SUMIFS(tbl_ledger[数量],tbl_ledger[充当先ロットID],$B44,tbl_ledger[イベント種類],"充当",tbl_ledger[元状態],K$1),
_xlpm.払出,SUMIFS(tbl_ledger[数量],tbl_ledger[ロットID],$B44,tbl_ledger[元状態],K$1),
_xlpm.受入+_xlpm.充当受入-_xlpm.払出))</f>
        <v/>
      </c>
      <c r="L44" s="8" t="str">
        <f>IF($B44="","",_xlfn.LET(
_xlpm.受入,SUMIFS(tbl_ledger[数量],tbl_ledger[ロットID],$B44,tbl_ledger[イベント種類],"発送準備完了"),
_xlpm.充当受入,SUMIFS(tbl_ledger[数量],tbl_ledger[充当先ロットID],$B44,tbl_ledger[イベント種類],"充当",tbl_ledger[元状態],L$1),
_xlpm.払出,SUMIFS(tbl_ledger[数量],tbl_ledger[ロットID],$B44,tbl_ledger[元状態],L$1),
_xlpm.受入+_xlpm.充当受入-_xlpm.払出))</f>
        <v/>
      </c>
      <c r="M44" s="8" t="str">
        <f>IF($B44="","",_xlfn.LET(
_xlpm.受入,SUMIFS(tbl_ledger[数量],tbl_ledger[ロットID],$B44,tbl_ledger[イベント種類],"不良発生"),
_xlpm.充当受入,SUMIFS(tbl_ledger[数量],tbl_ledger[充当先ロットID],$B44,tbl_ledger[イベント種類],"充当",tbl_ledger[元状態],M$1),
_xlpm.払出,SUMIFS(tbl_ledger[数量],tbl_ledger[ロットID],$B44,tbl_ledger[元状態],M$1),
_xlpm.受入+_xlpm.充当受入-_xlpm.払出))</f>
        <v/>
      </c>
      <c r="N44" s="8" t="str">
        <f t="shared" si="1"/>
        <v/>
      </c>
    </row>
    <row r="45" spans="1:14" ht="15" customHeight="1" x14ac:dyDescent="0.25">
      <c r="A45" s="4" t="str">
        <f t="shared" si="0"/>
        <v/>
      </c>
      <c r="B45" s="4" t="str">
        <f>IFERROR(IF(COUNTIF($B$1:$B44,INDEX(tbl_plan[ロットID],ROW()-1))&gt;0,"",INDEX(tbl_plan[ロットID],ROW()-1)),"")</f>
        <v/>
      </c>
      <c r="C45" s="4" t="str">
        <f>IF($B45="","",INDEX(tbl_plan[localId],ROW()-1))</f>
        <v/>
      </c>
      <c r="D45" s="8" t="str">
        <f>IF($B45="","",_xlfn.LET(
_xlpm.割当受入,SUMIF(V_充足確認!$A$2:$A$301,$B45,V_充足確認!$F$2:$F$301),
_xlpm.充当受入,SUMIFS(tbl_ledger[数量],tbl_ledger[充当先ロットID],$B45,tbl_ledger[イベント種類],"充当",tbl_ledger[元状態],D$1),
_xlpm.払出,SUMIFS(tbl_ledger[数量],tbl_ledger[ロットID],$B45,tbl_ledger[元状態],D$1),
_xlpm.割当受入+_xlpm.充当受入-_xlpm.払出))</f>
        <v/>
      </c>
      <c r="E45" s="8" t="str">
        <f>IF($B45="","",_xlfn.LET(
_xlpm.受入,SUMIFS(tbl_ledger[数量],tbl_ledger[ロットID],$B45,tbl_ledger[イベント種類],"アニール開始"),
_xlpm.充当受入,SUMIFS(tbl_ledger[数量],tbl_ledger[充当先ロットID],$B45,tbl_ledger[イベント種類],"充当",tbl_ledger[元状態],E$1),
_xlpm.払出,SUMIFS(tbl_ledger[数量],tbl_ledger[ロットID],$B45,tbl_ledger[元状態],E$1),
_xlpm.受入+_xlpm.充当受入-_xlpm.払出))</f>
        <v/>
      </c>
      <c r="F45" s="8" t="str">
        <f>IF($B45="","",_xlfn.LET(
_xlpm.受入,SUMIFS(tbl_ledger[数量],tbl_ledger[ロットID],$B45,tbl_ledger[イベント種類],"アニール完了"),
_xlpm.充当受入,SUMIFS(tbl_ledger[数量],tbl_ledger[充当先ロットID],$B45,tbl_ledger[イベント種類],"充当",tbl_ledger[元状態],F$1),
_xlpm.払出,SUMIFS(tbl_ledger[数量],tbl_ledger[ロットID],$B45,tbl_ledger[元状態],F$1),
_xlpm.受入+_xlpm.充当受入-_xlpm.払出))</f>
        <v/>
      </c>
      <c r="G45" s="8" t="str">
        <f>IF($B45="","",_xlfn.LET(
_xlpm.受入,SUMIFS(tbl_ledger[数量],tbl_ledger[ロットID],$B45,tbl_ledger[イベント種類],"アセンブリ開始"),
_xlpm.充当受入,SUMIFS(tbl_ledger[数量],tbl_ledger[充当先ロットID],$B45,tbl_ledger[イベント種類],"充当",tbl_ledger[元状態],G$1),
_xlpm.払出,SUMIFS(tbl_ledger[数量],tbl_ledger[ロットID],$B45,tbl_ledger[元状態],G$1),
_xlpm.受入+_xlpm.充当受入-_xlpm.払出))</f>
        <v/>
      </c>
      <c r="H45" s="8" t="str">
        <f>IF($B45="","",_xlfn.LET(
_xlpm.受入,SUMIFS(tbl_ledger[数量],tbl_ledger[ロットID],$B45,tbl_ledger[イベント種類],"アセンブリ完了"),
_xlpm.充当受入,SUMIFS(tbl_ledger[数量],tbl_ledger[充当先ロットID],$B45,tbl_ledger[イベント種類],"充当",tbl_ledger[元状態],H$1),
_xlpm.払出,SUMIFS(tbl_ledger[数量],tbl_ledger[ロットID],$B45,tbl_ledger[元状態],H$1),
_xlpm.受入+_xlpm.充当受入-_xlpm.払出))</f>
        <v/>
      </c>
      <c r="I45" s="8" t="str">
        <f>IF($B45="","",_xlfn.LET(
_xlpm.受入,SUMIFS(tbl_ledger[数量],tbl_ledger[ロットID],$B45,tbl_ledger[イベント種類],"梱包開始"),
_xlpm.充当受入,SUMIFS(tbl_ledger[数量],tbl_ledger[充当先ロットID],$B45,tbl_ledger[イベント種類],"充当",tbl_ledger[元状態],I$1),
_xlpm.払出,SUMIFS(tbl_ledger[数量],tbl_ledger[ロットID],$B45,tbl_ledger[元状態],I$1),
_xlpm.受入+_xlpm.充当受入-_xlpm.払出))</f>
        <v/>
      </c>
      <c r="J45" s="8" t="str">
        <f>IF($B45="","",_xlfn.LET(
_xlpm.受入,SUMIFS(tbl_ledger[数量],tbl_ledger[ロットID],$B45,tbl_ledger[イベント種類],"梱包完了"),
_xlpm.充当受入,SUMIFS(tbl_ledger[数量],tbl_ledger[充当先ロットID],$B45,tbl_ledger[イベント種類],"充当",tbl_ledger[元状態],J$1),
_xlpm.払出,SUMIFS(tbl_ledger[数量],tbl_ledger[ロットID],$B45,tbl_ledger[元状態],J$1),
_xlpm.受入+_xlpm.充当受入-_xlpm.払出))</f>
        <v/>
      </c>
      <c r="K45" s="8" t="str">
        <f>IF($B45="","",_xlfn.LET(
_xlpm.受入,SUMIFS(tbl_ledger[数量],tbl_ledger[ロットID],$B45,tbl_ledger[イベント種類],"発送準備開始"),
_xlpm.充当受入,SUMIFS(tbl_ledger[数量],tbl_ledger[充当先ロットID],$B45,tbl_ledger[イベント種類],"充当",tbl_ledger[元状態],K$1),
_xlpm.払出,SUMIFS(tbl_ledger[数量],tbl_ledger[ロットID],$B45,tbl_ledger[元状態],K$1),
_xlpm.受入+_xlpm.充当受入-_xlpm.払出))</f>
        <v/>
      </c>
      <c r="L45" s="8" t="str">
        <f>IF($B45="","",_xlfn.LET(
_xlpm.受入,SUMIFS(tbl_ledger[数量],tbl_ledger[ロットID],$B45,tbl_ledger[イベント種類],"発送準備完了"),
_xlpm.充当受入,SUMIFS(tbl_ledger[数量],tbl_ledger[充当先ロットID],$B45,tbl_ledger[イベント種類],"充当",tbl_ledger[元状態],L$1),
_xlpm.払出,SUMIFS(tbl_ledger[数量],tbl_ledger[ロットID],$B45,tbl_ledger[元状態],L$1),
_xlpm.受入+_xlpm.充当受入-_xlpm.払出))</f>
        <v/>
      </c>
      <c r="M45" s="8" t="str">
        <f>IF($B45="","",_xlfn.LET(
_xlpm.受入,SUMIFS(tbl_ledger[数量],tbl_ledger[ロットID],$B45,tbl_ledger[イベント種類],"不良発生"),
_xlpm.充当受入,SUMIFS(tbl_ledger[数量],tbl_ledger[充当先ロットID],$B45,tbl_ledger[イベント種類],"充当",tbl_ledger[元状態],M$1),
_xlpm.払出,SUMIFS(tbl_ledger[数量],tbl_ledger[ロットID],$B45,tbl_ledger[元状態],M$1),
_xlpm.受入+_xlpm.充当受入-_xlpm.払出))</f>
        <v/>
      </c>
      <c r="N45" s="8" t="str">
        <f t="shared" si="1"/>
        <v/>
      </c>
    </row>
    <row r="46" spans="1:14" ht="15" customHeight="1" x14ac:dyDescent="0.25">
      <c r="A46" s="4" t="str">
        <f t="shared" si="0"/>
        <v/>
      </c>
      <c r="B46" s="4" t="str">
        <f>IFERROR(IF(COUNTIF($B$1:$B45,INDEX(tbl_plan[ロットID],ROW()-1))&gt;0,"",INDEX(tbl_plan[ロットID],ROW()-1)),"")</f>
        <v/>
      </c>
      <c r="C46" s="4" t="str">
        <f>IF($B46="","",INDEX(tbl_plan[localId],ROW()-1))</f>
        <v/>
      </c>
      <c r="D46" s="8" t="str">
        <f>IF($B46="","",_xlfn.LET(
_xlpm.割当受入,SUMIF(V_充足確認!$A$2:$A$301,$B46,V_充足確認!$F$2:$F$301),
_xlpm.充当受入,SUMIFS(tbl_ledger[数量],tbl_ledger[充当先ロットID],$B46,tbl_ledger[イベント種類],"充当",tbl_ledger[元状態],D$1),
_xlpm.払出,SUMIFS(tbl_ledger[数量],tbl_ledger[ロットID],$B46,tbl_ledger[元状態],D$1),
_xlpm.割当受入+_xlpm.充当受入-_xlpm.払出))</f>
        <v/>
      </c>
      <c r="E46" s="8" t="str">
        <f>IF($B46="","",_xlfn.LET(
_xlpm.受入,SUMIFS(tbl_ledger[数量],tbl_ledger[ロットID],$B46,tbl_ledger[イベント種類],"アニール開始"),
_xlpm.充当受入,SUMIFS(tbl_ledger[数量],tbl_ledger[充当先ロットID],$B46,tbl_ledger[イベント種類],"充当",tbl_ledger[元状態],E$1),
_xlpm.払出,SUMIFS(tbl_ledger[数量],tbl_ledger[ロットID],$B46,tbl_ledger[元状態],E$1),
_xlpm.受入+_xlpm.充当受入-_xlpm.払出))</f>
        <v/>
      </c>
      <c r="F46" s="8" t="str">
        <f>IF($B46="","",_xlfn.LET(
_xlpm.受入,SUMIFS(tbl_ledger[数量],tbl_ledger[ロットID],$B46,tbl_ledger[イベント種類],"アニール完了"),
_xlpm.充当受入,SUMIFS(tbl_ledger[数量],tbl_ledger[充当先ロットID],$B46,tbl_ledger[イベント種類],"充当",tbl_ledger[元状態],F$1),
_xlpm.払出,SUMIFS(tbl_ledger[数量],tbl_ledger[ロットID],$B46,tbl_ledger[元状態],F$1),
_xlpm.受入+_xlpm.充当受入-_xlpm.払出))</f>
        <v/>
      </c>
      <c r="G46" s="8" t="str">
        <f>IF($B46="","",_xlfn.LET(
_xlpm.受入,SUMIFS(tbl_ledger[数量],tbl_ledger[ロットID],$B46,tbl_ledger[イベント種類],"アセンブリ開始"),
_xlpm.充当受入,SUMIFS(tbl_ledger[数量],tbl_ledger[充当先ロットID],$B46,tbl_ledger[イベント種類],"充当",tbl_ledger[元状態],G$1),
_xlpm.払出,SUMIFS(tbl_ledger[数量],tbl_ledger[ロットID],$B46,tbl_ledger[元状態],G$1),
_xlpm.受入+_xlpm.充当受入-_xlpm.払出))</f>
        <v/>
      </c>
      <c r="H46" s="8" t="str">
        <f>IF($B46="","",_xlfn.LET(
_xlpm.受入,SUMIFS(tbl_ledger[数量],tbl_ledger[ロットID],$B46,tbl_ledger[イベント種類],"アセンブリ完了"),
_xlpm.充当受入,SUMIFS(tbl_ledger[数量],tbl_ledger[充当先ロットID],$B46,tbl_ledger[イベント種類],"充当",tbl_ledger[元状態],H$1),
_xlpm.払出,SUMIFS(tbl_ledger[数量],tbl_ledger[ロットID],$B46,tbl_ledger[元状態],H$1),
_xlpm.受入+_xlpm.充当受入-_xlpm.払出))</f>
        <v/>
      </c>
      <c r="I46" s="8" t="str">
        <f>IF($B46="","",_xlfn.LET(
_xlpm.受入,SUMIFS(tbl_ledger[数量],tbl_ledger[ロットID],$B46,tbl_ledger[イベント種類],"梱包開始"),
_xlpm.充当受入,SUMIFS(tbl_ledger[数量],tbl_ledger[充当先ロットID],$B46,tbl_ledger[イベント種類],"充当",tbl_ledger[元状態],I$1),
_xlpm.払出,SUMIFS(tbl_ledger[数量],tbl_ledger[ロットID],$B46,tbl_ledger[元状態],I$1),
_xlpm.受入+_xlpm.充当受入-_xlpm.払出))</f>
        <v/>
      </c>
      <c r="J46" s="8" t="str">
        <f>IF($B46="","",_xlfn.LET(
_xlpm.受入,SUMIFS(tbl_ledger[数量],tbl_ledger[ロットID],$B46,tbl_ledger[イベント種類],"梱包完了"),
_xlpm.充当受入,SUMIFS(tbl_ledger[数量],tbl_ledger[充当先ロットID],$B46,tbl_ledger[イベント種類],"充当",tbl_ledger[元状態],J$1),
_xlpm.払出,SUMIFS(tbl_ledger[数量],tbl_ledger[ロットID],$B46,tbl_ledger[元状態],J$1),
_xlpm.受入+_xlpm.充当受入-_xlpm.払出))</f>
        <v/>
      </c>
      <c r="K46" s="8" t="str">
        <f>IF($B46="","",_xlfn.LET(
_xlpm.受入,SUMIFS(tbl_ledger[数量],tbl_ledger[ロットID],$B46,tbl_ledger[イベント種類],"発送準備開始"),
_xlpm.充当受入,SUMIFS(tbl_ledger[数量],tbl_ledger[充当先ロットID],$B46,tbl_ledger[イベント種類],"充当",tbl_ledger[元状態],K$1),
_xlpm.払出,SUMIFS(tbl_ledger[数量],tbl_ledger[ロットID],$B46,tbl_ledger[元状態],K$1),
_xlpm.受入+_xlpm.充当受入-_xlpm.払出))</f>
        <v/>
      </c>
      <c r="L46" s="8" t="str">
        <f>IF($B46="","",_xlfn.LET(
_xlpm.受入,SUMIFS(tbl_ledger[数量],tbl_ledger[ロットID],$B46,tbl_ledger[イベント種類],"発送準備完了"),
_xlpm.充当受入,SUMIFS(tbl_ledger[数量],tbl_ledger[充当先ロットID],$B46,tbl_ledger[イベント種類],"充当",tbl_ledger[元状態],L$1),
_xlpm.払出,SUMIFS(tbl_ledger[数量],tbl_ledger[ロットID],$B46,tbl_ledger[元状態],L$1),
_xlpm.受入+_xlpm.充当受入-_xlpm.払出))</f>
        <v/>
      </c>
      <c r="M46" s="8" t="str">
        <f>IF($B46="","",_xlfn.LET(
_xlpm.受入,SUMIFS(tbl_ledger[数量],tbl_ledger[ロットID],$B46,tbl_ledger[イベント種類],"不良発生"),
_xlpm.充当受入,SUMIFS(tbl_ledger[数量],tbl_ledger[充当先ロットID],$B46,tbl_ledger[イベント種類],"充当",tbl_ledger[元状態],M$1),
_xlpm.払出,SUMIFS(tbl_ledger[数量],tbl_ledger[ロットID],$B46,tbl_ledger[元状態],M$1),
_xlpm.受入+_xlpm.充当受入-_xlpm.払出))</f>
        <v/>
      </c>
      <c r="N46" s="8" t="str">
        <f t="shared" si="1"/>
        <v/>
      </c>
    </row>
    <row r="47" spans="1:14" ht="15" customHeight="1" x14ac:dyDescent="0.25">
      <c r="A47" s="4" t="str">
        <f t="shared" si="0"/>
        <v/>
      </c>
      <c r="B47" s="4" t="str">
        <f>IFERROR(IF(COUNTIF($B$1:$B46,INDEX(tbl_plan[ロットID],ROW()-1))&gt;0,"",INDEX(tbl_plan[ロットID],ROW()-1)),"")</f>
        <v/>
      </c>
      <c r="C47" s="4" t="str">
        <f>IF($B47="","",INDEX(tbl_plan[localId],ROW()-1))</f>
        <v/>
      </c>
      <c r="D47" s="8" t="str">
        <f>IF($B47="","",_xlfn.LET(
_xlpm.割当受入,SUMIF(V_充足確認!$A$2:$A$301,$B47,V_充足確認!$F$2:$F$301),
_xlpm.充当受入,SUMIFS(tbl_ledger[数量],tbl_ledger[充当先ロットID],$B47,tbl_ledger[イベント種類],"充当",tbl_ledger[元状態],D$1),
_xlpm.払出,SUMIFS(tbl_ledger[数量],tbl_ledger[ロットID],$B47,tbl_ledger[元状態],D$1),
_xlpm.割当受入+_xlpm.充当受入-_xlpm.払出))</f>
        <v/>
      </c>
      <c r="E47" s="8" t="str">
        <f>IF($B47="","",_xlfn.LET(
_xlpm.受入,SUMIFS(tbl_ledger[数量],tbl_ledger[ロットID],$B47,tbl_ledger[イベント種類],"アニール開始"),
_xlpm.充当受入,SUMIFS(tbl_ledger[数量],tbl_ledger[充当先ロットID],$B47,tbl_ledger[イベント種類],"充当",tbl_ledger[元状態],E$1),
_xlpm.払出,SUMIFS(tbl_ledger[数量],tbl_ledger[ロットID],$B47,tbl_ledger[元状態],E$1),
_xlpm.受入+_xlpm.充当受入-_xlpm.払出))</f>
        <v/>
      </c>
      <c r="F47" s="8" t="str">
        <f>IF($B47="","",_xlfn.LET(
_xlpm.受入,SUMIFS(tbl_ledger[数量],tbl_ledger[ロットID],$B47,tbl_ledger[イベント種類],"アニール完了"),
_xlpm.充当受入,SUMIFS(tbl_ledger[数量],tbl_ledger[充当先ロットID],$B47,tbl_ledger[イベント種類],"充当",tbl_ledger[元状態],F$1),
_xlpm.払出,SUMIFS(tbl_ledger[数量],tbl_ledger[ロットID],$B47,tbl_ledger[元状態],F$1),
_xlpm.受入+_xlpm.充当受入-_xlpm.払出))</f>
        <v/>
      </c>
      <c r="G47" s="8" t="str">
        <f>IF($B47="","",_xlfn.LET(
_xlpm.受入,SUMIFS(tbl_ledger[数量],tbl_ledger[ロットID],$B47,tbl_ledger[イベント種類],"アセンブリ開始"),
_xlpm.充当受入,SUMIFS(tbl_ledger[数量],tbl_ledger[充当先ロットID],$B47,tbl_ledger[イベント種類],"充当",tbl_ledger[元状態],G$1),
_xlpm.払出,SUMIFS(tbl_ledger[数量],tbl_ledger[ロットID],$B47,tbl_ledger[元状態],G$1),
_xlpm.受入+_xlpm.充当受入-_xlpm.払出))</f>
        <v/>
      </c>
      <c r="H47" s="8" t="str">
        <f>IF($B47="","",_xlfn.LET(
_xlpm.受入,SUMIFS(tbl_ledger[数量],tbl_ledger[ロットID],$B47,tbl_ledger[イベント種類],"アセンブリ完了"),
_xlpm.充当受入,SUMIFS(tbl_ledger[数量],tbl_ledger[充当先ロットID],$B47,tbl_ledger[イベント種類],"充当",tbl_ledger[元状態],H$1),
_xlpm.払出,SUMIFS(tbl_ledger[数量],tbl_ledger[ロットID],$B47,tbl_ledger[元状態],H$1),
_xlpm.受入+_xlpm.充当受入-_xlpm.払出))</f>
        <v/>
      </c>
      <c r="I47" s="8" t="str">
        <f>IF($B47="","",_xlfn.LET(
_xlpm.受入,SUMIFS(tbl_ledger[数量],tbl_ledger[ロットID],$B47,tbl_ledger[イベント種類],"梱包開始"),
_xlpm.充当受入,SUMIFS(tbl_ledger[数量],tbl_ledger[充当先ロットID],$B47,tbl_ledger[イベント種類],"充当",tbl_ledger[元状態],I$1),
_xlpm.払出,SUMIFS(tbl_ledger[数量],tbl_ledger[ロットID],$B47,tbl_ledger[元状態],I$1),
_xlpm.受入+_xlpm.充当受入-_xlpm.払出))</f>
        <v/>
      </c>
      <c r="J47" s="8" t="str">
        <f>IF($B47="","",_xlfn.LET(
_xlpm.受入,SUMIFS(tbl_ledger[数量],tbl_ledger[ロットID],$B47,tbl_ledger[イベント種類],"梱包完了"),
_xlpm.充当受入,SUMIFS(tbl_ledger[数量],tbl_ledger[充当先ロットID],$B47,tbl_ledger[イベント種類],"充当",tbl_ledger[元状態],J$1),
_xlpm.払出,SUMIFS(tbl_ledger[数量],tbl_ledger[ロットID],$B47,tbl_ledger[元状態],J$1),
_xlpm.受入+_xlpm.充当受入-_xlpm.払出))</f>
        <v/>
      </c>
      <c r="K47" s="8" t="str">
        <f>IF($B47="","",_xlfn.LET(
_xlpm.受入,SUMIFS(tbl_ledger[数量],tbl_ledger[ロットID],$B47,tbl_ledger[イベント種類],"発送準備開始"),
_xlpm.充当受入,SUMIFS(tbl_ledger[数量],tbl_ledger[充当先ロットID],$B47,tbl_ledger[イベント種類],"充当",tbl_ledger[元状態],K$1),
_xlpm.払出,SUMIFS(tbl_ledger[数量],tbl_ledger[ロットID],$B47,tbl_ledger[元状態],K$1),
_xlpm.受入+_xlpm.充当受入-_xlpm.払出))</f>
        <v/>
      </c>
      <c r="L47" s="8" t="str">
        <f>IF($B47="","",_xlfn.LET(
_xlpm.受入,SUMIFS(tbl_ledger[数量],tbl_ledger[ロットID],$B47,tbl_ledger[イベント種類],"発送準備完了"),
_xlpm.充当受入,SUMIFS(tbl_ledger[数量],tbl_ledger[充当先ロットID],$B47,tbl_ledger[イベント種類],"充当",tbl_ledger[元状態],L$1),
_xlpm.払出,SUMIFS(tbl_ledger[数量],tbl_ledger[ロットID],$B47,tbl_ledger[元状態],L$1),
_xlpm.受入+_xlpm.充当受入-_xlpm.払出))</f>
        <v/>
      </c>
      <c r="M47" s="8" t="str">
        <f>IF($B47="","",_xlfn.LET(
_xlpm.受入,SUMIFS(tbl_ledger[数量],tbl_ledger[ロットID],$B47,tbl_ledger[イベント種類],"不良発生"),
_xlpm.充当受入,SUMIFS(tbl_ledger[数量],tbl_ledger[充当先ロットID],$B47,tbl_ledger[イベント種類],"充当",tbl_ledger[元状態],M$1),
_xlpm.払出,SUMIFS(tbl_ledger[数量],tbl_ledger[ロットID],$B47,tbl_ledger[元状態],M$1),
_xlpm.受入+_xlpm.充当受入-_xlpm.払出))</f>
        <v/>
      </c>
      <c r="N47" s="8" t="str">
        <f t="shared" si="1"/>
        <v/>
      </c>
    </row>
    <row r="48" spans="1:14" ht="15" customHeight="1" x14ac:dyDescent="0.25">
      <c r="A48" s="4" t="str">
        <f t="shared" si="0"/>
        <v/>
      </c>
      <c r="B48" s="4" t="str">
        <f>IFERROR(IF(COUNTIF($B$1:$B47,INDEX(tbl_plan[ロットID],ROW()-1))&gt;0,"",INDEX(tbl_plan[ロットID],ROW()-1)),"")</f>
        <v/>
      </c>
      <c r="C48" s="4" t="str">
        <f>IF($B48="","",INDEX(tbl_plan[localId],ROW()-1))</f>
        <v/>
      </c>
      <c r="D48" s="8" t="str">
        <f>IF($B48="","",_xlfn.LET(
_xlpm.割当受入,SUMIF(V_充足確認!$A$2:$A$301,$B48,V_充足確認!$F$2:$F$301),
_xlpm.充当受入,SUMIFS(tbl_ledger[数量],tbl_ledger[充当先ロットID],$B48,tbl_ledger[イベント種類],"充当",tbl_ledger[元状態],D$1),
_xlpm.払出,SUMIFS(tbl_ledger[数量],tbl_ledger[ロットID],$B48,tbl_ledger[元状態],D$1),
_xlpm.割当受入+_xlpm.充当受入-_xlpm.払出))</f>
        <v/>
      </c>
      <c r="E48" s="8" t="str">
        <f>IF($B48="","",_xlfn.LET(
_xlpm.受入,SUMIFS(tbl_ledger[数量],tbl_ledger[ロットID],$B48,tbl_ledger[イベント種類],"アニール開始"),
_xlpm.充当受入,SUMIFS(tbl_ledger[数量],tbl_ledger[充当先ロットID],$B48,tbl_ledger[イベント種類],"充当",tbl_ledger[元状態],E$1),
_xlpm.払出,SUMIFS(tbl_ledger[数量],tbl_ledger[ロットID],$B48,tbl_ledger[元状態],E$1),
_xlpm.受入+_xlpm.充当受入-_xlpm.払出))</f>
        <v/>
      </c>
      <c r="F48" s="8" t="str">
        <f>IF($B48="","",_xlfn.LET(
_xlpm.受入,SUMIFS(tbl_ledger[数量],tbl_ledger[ロットID],$B48,tbl_ledger[イベント種類],"アニール完了"),
_xlpm.充当受入,SUMIFS(tbl_ledger[数量],tbl_ledger[充当先ロットID],$B48,tbl_ledger[イベント種類],"充当",tbl_ledger[元状態],F$1),
_xlpm.払出,SUMIFS(tbl_ledger[数量],tbl_ledger[ロットID],$B48,tbl_ledger[元状態],F$1),
_xlpm.受入+_xlpm.充当受入-_xlpm.払出))</f>
        <v/>
      </c>
      <c r="G48" s="8" t="str">
        <f>IF($B48="","",_xlfn.LET(
_xlpm.受入,SUMIFS(tbl_ledger[数量],tbl_ledger[ロットID],$B48,tbl_ledger[イベント種類],"アセンブリ開始"),
_xlpm.充当受入,SUMIFS(tbl_ledger[数量],tbl_ledger[充当先ロットID],$B48,tbl_ledger[イベント種類],"充当",tbl_ledger[元状態],G$1),
_xlpm.払出,SUMIFS(tbl_ledger[数量],tbl_ledger[ロットID],$B48,tbl_ledger[元状態],G$1),
_xlpm.受入+_xlpm.充当受入-_xlpm.払出))</f>
        <v/>
      </c>
      <c r="H48" s="8" t="str">
        <f>IF($B48="","",_xlfn.LET(
_xlpm.受入,SUMIFS(tbl_ledger[数量],tbl_ledger[ロットID],$B48,tbl_ledger[イベント種類],"アセンブリ完了"),
_xlpm.充当受入,SUMIFS(tbl_ledger[数量],tbl_ledger[充当先ロットID],$B48,tbl_ledger[イベント種類],"充当",tbl_ledger[元状態],H$1),
_xlpm.払出,SUMIFS(tbl_ledger[数量],tbl_ledger[ロットID],$B48,tbl_ledger[元状態],H$1),
_xlpm.受入+_xlpm.充当受入-_xlpm.払出))</f>
        <v/>
      </c>
      <c r="I48" s="8" t="str">
        <f>IF($B48="","",_xlfn.LET(
_xlpm.受入,SUMIFS(tbl_ledger[数量],tbl_ledger[ロットID],$B48,tbl_ledger[イベント種類],"梱包開始"),
_xlpm.充当受入,SUMIFS(tbl_ledger[数量],tbl_ledger[充当先ロットID],$B48,tbl_ledger[イベント種類],"充当",tbl_ledger[元状態],I$1),
_xlpm.払出,SUMIFS(tbl_ledger[数量],tbl_ledger[ロットID],$B48,tbl_ledger[元状態],I$1),
_xlpm.受入+_xlpm.充当受入-_xlpm.払出))</f>
        <v/>
      </c>
      <c r="J48" s="8" t="str">
        <f>IF($B48="","",_xlfn.LET(
_xlpm.受入,SUMIFS(tbl_ledger[数量],tbl_ledger[ロットID],$B48,tbl_ledger[イベント種類],"梱包完了"),
_xlpm.充当受入,SUMIFS(tbl_ledger[数量],tbl_ledger[充当先ロットID],$B48,tbl_ledger[イベント種類],"充当",tbl_ledger[元状態],J$1),
_xlpm.払出,SUMIFS(tbl_ledger[数量],tbl_ledger[ロットID],$B48,tbl_ledger[元状態],J$1),
_xlpm.受入+_xlpm.充当受入-_xlpm.払出))</f>
        <v/>
      </c>
      <c r="K48" s="8" t="str">
        <f>IF($B48="","",_xlfn.LET(
_xlpm.受入,SUMIFS(tbl_ledger[数量],tbl_ledger[ロットID],$B48,tbl_ledger[イベント種類],"発送準備開始"),
_xlpm.充当受入,SUMIFS(tbl_ledger[数量],tbl_ledger[充当先ロットID],$B48,tbl_ledger[イベント種類],"充当",tbl_ledger[元状態],K$1),
_xlpm.払出,SUMIFS(tbl_ledger[数量],tbl_ledger[ロットID],$B48,tbl_ledger[元状態],K$1),
_xlpm.受入+_xlpm.充当受入-_xlpm.払出))</f>
        <v/>
      </c>
      <c r="L48" s="8" t="str">
        <f>IF($B48="","",_xlfn.LET(
_xlpm.受入,SUMIFS(tbl_ledger[数量],tbl_ledger[ロットID],$B48,tbl_ledger[イベント種類],"発送準備完了"),
_xlpm.充当受入,SUMIFS(tbl_ledger[数量],tbl_ledger[充当先ロットID],$B48,tbl_ledger[イベント種類],"充当",tbl_ledger[元状態],L$1),
_xlpm.払出,SUMIFS(tbl_ledger[数量],tbl_ledger[ロットID],$B48,tbl_ledger[元状態],L$1),
_xlpm.受入+_xlpm.充当受入-_xlpm.払出))</f>
        <v/>
      </c>
      <c r="M48" s="8" t="str">
        <f>IF($B48="","",_xlfn.LET(
_xlpm.受入,SUMIFS(tbl_ledger[数量],tbl_ledger[ロットID],$B48,tbl_ledger[イベント種類],"不良発生"),
_xlpm.充当受入,SUMIFS(tbl_ledger[数量],tbl_ledger[充当先ロットID],$B48,tbl_ledger[イベント種類],"充当",tbl_ledger[元状態],M$1),
_xlpm.払出,SUMIFS(tbl_ledger[数量],tbl_ledger[ロットID],$B48,tbl_ledger[元状態],M$1),
_xlpm.受入+_xlpm.充当受入-_xlpm.払出))</f>
        <v/>
      </c>
      <c r="N48" s="8" t="str">
        <f t="shared" si="1"/>
        <v/>
      </c>
    </row>
    <row r="49" spans="1:14" ht="15" customHeight="1" x14ac:dyDescent="0.25">
      <c r="A49" s="4" t="str">
        <f t="shared" si="0"/>
        <v/>
      </c>
      <c r="B49" s="4" t="str">
        <f>IFERROR(IF(COUNTIF($B$1:$B48,INDEX(tbl_plan[ロットID],ROW()-1))&gt;0,"",INDEX(tbl_plan[ロットID],ROW()-1)),"")</f>
        <v/>
      </c>
      <c r="C49" s="4" t="str">
        <f>IF($B49="","",INDEX(tbl_plan[localId],ROW()-1))</f>
        <v/>
      </c>
      <c r="D49" s="8" t="str">
        <f>IF($B49="","",_xlfn.LET(
_xlpm.割当受入,SUMIF(V_充足確認!$A$2:$A$301,$B49,V_充足確認!$F$2:$F$301),
_xlpm.充当受入,SUMIFS(tbl_ledger[数量],tbl_ledger[充当先ロットID],$B49,tbl_ledger[イベント種類],"充当",tbl_ledger[元状態],D$1),
_xlpm.払出,SUMIFS(tbl_ledger[数量],tbl_ledger[ロットID],$B49,tbl_ledger[元状態],D$1),
_xlpm.割当受入+_xlpm.充当受入-_xlpm.払出))</f>
        <v/>
      </c>
      <c r="E49" s="8" t="str">
        <f>IF($B49="","",_xlfn.LET(
_xlpm.受入,SUMIFS(tbl_ledger[数量],tbl_ledger[ロットID],$B49,tbl_ledger[イベント種類],"アニール開始"),
_xlpm.充当受入,SUMIFS(tbl_ledger[数量],tbl_ledger[充当先ロットID],$B49,tbl_ledger[イベント種類],"充当",tbl_ledger[元状態],E$1),
_xlpm.払出,SUMIFS(tbl_ledger[数量],tbl_ledger[ロットID],$B49,tbl_ledger[元状態],E$1),
_xlpm.受入+_xlpm.充当受入-_xlpm.払出))</f>
        <v/>
      </c>
      <c r="F49" s="8" t="str">
        <f>IF($B49="","",_xlfn.LET(
_xlpm.受入,SUMIFS(tbl_ledger[数量],tbl_ledger[ロットID],$B49,tbl_ledger[イベント種類],"アニール完了"),
_xlpm.充当受入,SUMIFS(tbl_ledger[数量],tbl_ledger[充当先ロットID],$B49,tbl_ledger[イベント種類],"充当",tbl_ledger[元状態],F$1),
_xlpm.払出,SUMIFS(tbl_ledger[数量],tbl_ledger[ロットID],$B49,tbl_ledger[元状態],F$1),
_xlpm.受入+_xlpm.充当受入-_xlpm.払出))</f>
        <v/>
      </c>
      <c r="G49" s="8" t="str">
        <f>IF($B49="","",_xlfn.LET(
_xlpm.受入,SUMIFS(tbl_ledger[数量],tbl_ledger[ロットID],$B49,tbl_ledger[イベント種類],"アセンブリ開始"),
_xlpm.充当受入,SUMIFS(tbl_ledger[数量],tbl_ledger[充当先ロットID],$B49,tbl_ledger[イベント種類],"充当",tbl_ledger[元状態],G$1),
_xlpm.払出,SUMIFS(tbl_ledger[数量],tbl_ledger[ロットID],$B49,tbl_ledger[元状態],G$1),
_xlpm.受入+_xlpm.充当受入-_xlpm.払出))</f>
        <v/>
      </c>
      <c r="H49" s="8" t="str">
        <f>IF($B49="","",_xlfn.LET(
_xlpm.受入,SUMIFS(tbl_ledger[数量],tbl_ledger[ロットID],$B49,tbl_ledger[イベント種類],"アセンブリ完了"),
_xlpm.充当受入,SUMIFS(tbl_ledger[数量],tbl_ledger[充当先ロットID],$B49,tbl_ledger[イベント種類],"充当",tbl_ledger[元状態],H$1),
_xlpm.払出,SUMIFS(tbl_ledger[数量],tbl_ledger[ロットID],$B49,tbl_ledger[元状態],H$1),
_xlpm.受入+_xlpm.充当受入-_xlpm.払出))</f>
        <v/>
      </c>
      <c r="I49" s="8" t="str">
        <f>IF($B49="","",_xlfn.LET(
_xlpm.受入,SUMIFS(tbl_ledger[数量],tbl_ledger[ロットID],$B49,tbl_ledger[イベント種類],"梱包開始"),
_xlpm.充当受入,SUMIFS(tbl_ledger[数量],tbl_ledger[充当先ロットID],$B49,tbl_ledger[イベント種類],"充当",tbl_ledger[元状態],I$1),
_xlpm.払出,SUMIFS(tbl_ledger[数量],tbl_ledger[ロットID],$B49,tbl_ledger[元状態],I$1),
_xlpm.受入+_xlpm.充当受入-_xlpm.払出))</f>
        <v/>
      </c>
      <c r="J49" s="8" t="str">
        <f>IF($B49="","",_xlfn.LET(
_xlpm.受入,SUMIFS(tbl_ledger[数量],tbl_ledger[ロットID],$B49,tbl_ledger[イベント種類],"梱包完了"),
_xlpm.充当受入,SUMIFS(tbl_ledger[数量],tbl_ledger[充当先ロットID],$B49,tbl_ledger[イベント種類],"充当",tbl_ledger[元状態],J$1),
_xlpm.払出,SUMIFS(tbl_ledger[数量],tbl_ledger[ロットID],$B49,tbl_ledger[元状態],J$1),
_xlpm.受入+_xlpm.充当受入-_xlpm.払出))</f>
        <v/>
      </c>
      <c r="K49" s="8" t="str">
        <f>IF($B49="","",_xlfn.LET(
_xlpm.受入,SUMIFS(tbl_ledger[数量],tbl_ledger[ロットID],$B49,tbl_ledger[イベント種類],"発送準備開始"),
_xlpm.充当受入,SUMIFS(tbl_ledger[数量],tbl_ledger[充当先ロットID],$B49,tbl_ledger[イベント種類],"充当",tbl_ledger[元状態],K$1),
_xlpm.払出,SUMIFS(tbl_ledger[数量],tbl_ledger[ロットID],$B49,tbl_ledger[元状態],K$1),
_xlpm.受入+_xlpm.充当受入-_xlpm.払出))</f>
        <v/>
      </c>
      <c r="L49" s="8" t="str">
        <f>IF($B49="","",_xlfn.LET(
_xlpm.受入,SUMIFS(tbl_ledger[数量],tbl_ledger[ロットID],$B49,tbl_ledger[イベント種類],"発送準備完了"),
_xlpm.充当受入,SUMIFS(tbl_ledger[数量],tbl_ledger[充当先ロットID],$B49,tbl_ledger[イベント種類],"充当",tbl_ledger[元状態],L$1),
_xlpm.払出,SUMIFS(tbl_ledger[数量],tbl_ledger[ロットID],$B49,tbl_ledger[元状態],L$1),
_xlpm.受入+_xlpm.充当受入-_xlpm.払出))</f>
        <v/>
      </c>
      <c r="M49" s="8" t="str">
        <f>IF($B49="","",_xlfn.LET(
_xlpm.受入,SUMIFS(tbl_ledger[数量],tbl_ledger[ロットID],$B49,tbl_ledger[イベント種類],"不良発生"),
_xlpm.充当受入,SUMIFS(tbl_ledger[数量],tbl_ledger[充当先ロットID],$B49,tbl_ledger[イベント種類],"充当",tbl_ledger[元状態],M$1),
_xlpm.払出,SUMIFS(tbl_ledger[数量],tbl_ledger[ロットID],$B49,tbl_ledger[元状態],M$1),
_xlpm.受入+_xlpm.充当受入-_xlpm.払出))</f>
        <v/>
      </c>
      <c r="N49" s="8" t="str">
        <f t="shared" si="1"/>
        <v/>
      </c>
    </row>
    <row r="50" spans="1:14" ht="15" customHeight="1" x14ac:dyDescent="0.25">
      <c r="A50" s="4" t="str">
        <f t="shared" si="0"/>
        <v/>
      </c>
      <c r="B50" s="4" t="str">
        <f>IFERROR(IF(COUNTIF($B$1:$B49,INDEX(tbl_plan[ロットID],ROW()-1))&gt;0,"",INDEX(tbl_plan[ロットID],ROW()-1)),"")</f>
        <v/>
      </c>
      <c r="C50" s="4" t="str">
        <f>IF($B50="","",INDEX(tbl_plan[localId],ROW()-1))</f>
        <v/>
      </c>
      <c r="D50" s="8" t="str">
        <f>IF($B50="","",_xlfn.LET(
_xlpm.割当受入,SUMIF(V_充足確認!$A$2:$A$301,$B50,V_充足確認!$F$2:$F$301),
_xlpm.充当受入,SUMIFS(tbl_ledger[数量],tbl_ledger[充当先ロットID],$B50,tbl_ledger[イベント種類],"充当",tbl_ledger[元状態],D$1),
_xlpm.払出,SUMIFS(tbl_ledger[数量],tbl_ledger[ロットID],$B50,tbl_ledger[元状態],D$1),
_xlpm.割当受入+_xlpm.充当受入-_xlpm.払出))</f>
        <v/>
      </c>
      <c r="E50" s="8" t="str">
        <f>IF($B50="","",_xlfn.LET(
_xlpm.受入,SUMIFS(tbl_ledger[数量],tbl_ledger[ロットID],$B50,tbl_ledger[イベント種類],"アニール開始"),
_xlpm.充当受入,SUMIFS(tbl_ledger[数量],tbl_ledger[充当先ロットID],$B50,tbl_ledger[イベント種類],"充当",tbl_ledger[元状態],E$1),
_xlpm.払出,SUMIFS(tbl_ledger[数量],tbl_ledger[ロットID],$B50,tbl_ledger[元状態],E$1),
_xlpm.受入+_xlpm.充当受入-_xlpm.払出))</f>
        <v/>
      </c>
      <c r="F50" s="8" t="str">
        <f>IF($B50="","",_xlfn.LET(
_xlpm.受入,SUMIFS(tbl_ledger[数量],tbl_ledger[ロットID],$B50,tbl_ledger[イベント種類],"アニール完了"),
_xlpm.充当受入,SUMIFS(tbl_ledger[数量],tbl_ledger[充当先ロットID],$B50,tbl_ledger[イベント種類],"充当",tbl_ledger[元状態],F$1),
_xlpm.払出,SUMIFS(tbl_ledger[数量],tbl_ledger[ロットID],$B50,tbl_ledger[元状態],F$1),
_xlpm.受入+_xlpm.充当受入-_xlpm.払出))</f>
        <v/>
      </c>
      <c r="G50" s="8" t="str">
        <f>IF($B50="","",_xlfn.LET(
_xlpm.受入,SUMIFS(tbl_ledger[数量],tbl_ledger[ロットID],$B50,tbl_ledger[イベント種類],"アセンブリ開始"),
_xlpm.充当受入,SUMIFS(tbl_ledger[数量],tbl_ledger[充当先ロットID],$B50,tbl_ledger[イベント種類],"充当",tbl_ledger[元状態],G$1),
_xlpm.払出,SUMIFS(tbl_ledger[数量],tbl_ledger[ロットID],$B50,tbl_ledger[元状態],G$1),
_xlpm.受入+_xlpm.充当受入-_xlpm.払出))</f>
        <v/>
      </c>
      <c r="H50" s="8" t="str">
        <f>IF($B50="","",_xlfn.LET(
_xlpm.受入,SUMIFS(tbl_ledger[数量],tbl_ledger[ロットID],$B50,tbl_ledger[イベント種類],"アセンブリ完了"),
_xlpm.充当受入,SUMIFS(tbl_ledger[数量],tbl_ledger[充当先ロットID],$B50,tbl_ledger[イベント種類],"充当",tbl_ledger[元状態],H$1),
_xlpm.払出,SUMIFS(tbl_ledger[数量],tbl_ledger[ロットID],$B50,tbl_ledger[元状態],H$1),
_xlpm.受入+_xlpm.充当受入-_xlpm.払出))</f>
        <v/>
      </c>
      <c r="I50" s="8" t="str">
        <f>IF($B50="","",_xlfn.LET(
_xlpm.受入,SUMIFS(tbl_ledger[数量],tbl_ledger[ロットID],$B50,tbl_ledger[イベント種類],"梱包開始"),
_xlpm.充当受入,SUMIFS(tbl_ledger[数量],tbl_ledger[充当先ロットID],$B50,tbl_ledger[イベント種類],"充当",tbl_ledger[元状態],I$1),
_xlpm.払出,SUMIFS(tbl_ledger[数量],tbl_ledger[ロットID],$B50,tbl_ledger[元状態],I$1),
_xlpm.受入+_xlpm.充当受入-_xlpm.払出))</f>
        <v/>
      </c>
      <c r="J50" s="8" t="str">
        <f>IF($B50="","",_xlfn.LET(
_xlpm.受入,SUMIFS(tbl_ledger[数量],tbl_ledger[ロットID],$B50,tbl_ledger[イベント種類],"梱包完了"),
_xlpm.充当受入,SUMIFS(tbl_ledger[数量],tbl_ledger[充当先ロットID],$B50,tbl_ledger[イベント種類],"充当",tbl_ledger[元状態],J$1),
_xlpm.払出,SUMIFS(tbl_ledger[数量],tbl_ledger[ロットID],$B50,tbl_ledger[元状態],J$1),
_xlpm.受入+_xlpm.充当受入-_xlpm.払出))</f>
        <v/>
      </c>
      <c r="K50" s="8" t="str">
        <f>IF($B50="","",_xlfn.LET(
_xlpm.受入,SUMIFS(tbl_ledger[数量],tbl_ledger[ロットID],$B50,tbl_ledger[イベント種類],"発送準備開始"),
_xlpm.充当受入,SUMIFS(tbl_ledger[数量],tbl_ledger[充当先ロットID],$B50,tbl_ledger[イベント種類],"充当",tbl_ledger[元状態],K$1),
_xlpm.払出,SUMIFS(tbl_ledger[数量],tbl_ledger[ロットID],$B50,tbl_ledger[元状態],K$1),
_xlpm.受入+_xlpm.充当受入-_xlpm.払出))</f>
        <v/>
      </c>
      <c r="L50" s="8" t="str">
        <f>IF($B50="","",_xlfn.LET(
_xlpm.受入,SUMIFS(tbl_ledger[数量],tbl_ledger[ロットID],$B50,tbl_ledger[イベント種類],"発送準備完了"),
_xlpm.充当受入,SUMIFS(tbl_ledger[数量],tbl_ledger[充当先ロットID],$B50,tbl_ledger[イベント種類],"充当",tbl_ledger[元状態],L$1),
_xlpm.払出,SUMIFS(tbl_ledger[数量],tbl_ledger[ロットID],$B50,tbl_ledger[元状態],L$1),
_xlpm.受入+_xlpm.充当受入-_xlpm.払出))</f>
        <v/>
      </c>
      <c r="M50" s="8" t="str">
        <f>IF($B50="","",_xlfn.LET(
_xlpm.受入,SUMIFS(tbl_ledger[数量],tbl_ledger[ロットID],$B50,tbl_ledger[イベント種類],"不良発生"),
_xlpm.充当受入,SUMIFS(tbl_ledger[数量],tbl_ledger[充当先ロットID],$B50,tbl_ledger[イベント種類],"充当",tbl_ledger[元状態],M$1),
_xlpm.払出,SUMIFS(tbl_ledger[数量],tbl_ledger[ロットID],$B50,tbl_ledger[元状態],M$1),
_xlpm.受入+_xlpm.充当受入-_xlpm.払出))</f>
        <v/>
      </c>
      <c r="N50" s="8" t="str">
        <f t="shared" si="1"/>
        <v/>
      </c>
    </row>
    <row r="51" spans="1:14" ht="15" customHeight="1" x14ac:dyDescent="0.25">
      <c r="A51" s="4" t="str">
        <f t="shared" si="0"/>
        <v/>
      </c>
      <c r="B51" s="4" t="str">
        <f>IFERROR(IF(COUNTIF($B$1:$B50,INDEX(tbl_plan[ロットID],ROW()-1))&gt;0,"",INDEX(tbl_plan[ロットID],ROW()-1)),"")</f>
        <v/>
      </c>
      <c r="C51" s="4" t="str">
        <f>IF($B51="","",INDEX(tbl_plan[localId],ROW()-1))</f>
        <v/>
      </c>
      <c r="D51" s="8" t="str">
        <f>IF($B51="","",_xlfn.LET(
_xlpm.割当受入,SUMIF(V_充足確認!$A$2:$A$301,$B51,V_充足確認!$F$2:$F$301),
_xlpm.充当受入,SUMIFS(tbl_ledger[数量],tbl_ledger[充当先ロットID],$B51,tbl_ledger[イベント種類],"充当",tbl_ledger[元状態],D$1),
_xlpm.払出,SUMIFS(tbl_ledger[数量],tbl_ledger[ロットID],$B51,tbl_ledger[元状態],D$1),
_xlpm.割当受入+_xlpm.充当受入-_xlpm.払出))</f>
        <v/>
      </c>
      <c r="E51" s="8" t="str">
        <f>IF($B51="","",_xlfn.LET(
_xlpm.受入,SUMIFS(tbl_ledger[数量],tbl_ledger[ロットID],$B51,tbl_ledger[イベント種類],"アニール開始"),
_xlpm.充当受入,SUMIFS(tbl_ledger[数量],tbl_ledger[充当先ロットID],$B51,tbl_ledger[イベント種類],"充当",tbl_ledger[元状態],E$1),
_xlpm.払出,SUMIFS(tbl_ledger[数量],tbl_ledger[ロットID],$B51,tbl_ledger[元状態],E$1),
_xlpm.受入+_xlpm.充当受入-_xlpm.払出))</f>
        <v/>
      </c>
      <c r="F51" s="8" t="str">
        <f>IF($B51="","",_xlfn.LET(
_xlpm.受入,SUMIFS(tbl_ledger[数量],tbl_ledger[ロットID],$B51,tbl_ledger[イベント種類],"アニール完了"),
_xlpm.充当受入,SUMIFS(tbl_ledger[数量],tbl_ledger[充当先ロットID],$B51,tbl_ledger[イベント種類],"充当",tbl_ledger[元状態],F$1),
_xlpm.払出,SUMIFS(tbl_ledger[数量],tbl_ledger[ロットID],$B51,tbl_ledger[元状態],F$1),
_xlpm.受入+_xlpm.充当受入-_xlpm.払出))</f>
        <v/>
      </c>
      <c r="G51" s="8" t="str">
        <f>IF($B51="","",_xlfn.LET(
_xlpm.受入,SUMIFS(tbl_ledger[数量],tbl_ledger[ロットID],$B51,tbl_ledger[イベント種類],"アセンブリ開始"),
_xlpm.充当受入,SUMIFS(tbl_ledger[数量],tbl_ledger[充当先ロットID],$B51,tbl_ledger[イベント種類],"充当",tbl_ledger[元状態],G$1),
_xlpm.払出,SUMIFS(tbl_ledger[数量],tbl_ledger[ロットID],$B51,tbl_ledger[元状態],G$1),
_xlpm.受入+_xlpm.充当受入-_xlpm.払出))</f>
        <v/>
      </c>
      <c r="H51" s="8" t="str">
        <f>IF($B51="","",_xlfn.LET(
_xlpm.受入,SUMIFS(tbl_ledger[数量],tbl_ledger[ロットID],$B51,tbl_ledger[イベント種類],"アセンブリ完了"),
_xlpm.充当受入,SUMIFS(tbl_ledger[数量],tbl_ledger[充当先ロットID],$B51,tbl_ledger[イベント種類],"充当",tbl_ledger[元状態],H$1),
_xlpm.払出,SUMIFS(tbl_ledger[数量],tbl_ledger[ロットID],$B51,tbl_ledger[元状態],H$1),
_xlpm.受入+_xlpm.充当受入-_xlpm.払出))</f>
        <v/>
      </c>
      <c r="I51" s="8" t="str">
        <f>IF($B51="","",_xlfn.LET(
_xlpm.受入,SUMIFS(tbl_ledger[数量],tbl_ledger[ロットID],$B51,tbl_ledger[イベント種類],"梱包開始"),
_xlpm.充当受入,SUMIFS(tbl_ledger[数量],tbl_ledger[充当先ロットID],$B51,tbl_ledger[イベント種類],"充当",tbl_ledger[元状態],I$1),
_xlpm.払出,SUMIFS(tbl_ledger[数量],tbl_ledger[ロットID],$B51,tbl_ledger[元状態],I$1),
_xlpm.受入+_xlpm.充当受入-_xlpm.払出))</f>
        <v/>
      </c>
      <c r="J51" s="8" t="str">
        <f>IF($B51="","",_xlfn.LET(
_xlpm.受入,SUMIFS(tbl_ledger[数量],tbl_ledger[ロットID],$B51,tbl_ledger[イベント種類],"梱包完了"),
_xlpm.充当受入,SUMIFS(tbl_ledger[数量],tbl_ledger[充当先ロットID],$B51,tbl_ledger[イベント種類],"充当",tbl_ledger[元状態],J$1),
_xlpm.払出,SUMIFS(tbl_ledger[数量],tbl_ledger[ロットID],$B51,tbl_ledger[元状態],J$1),
_xlpm.受入+_xlpm.充当受入-_xlpm.払出))</f>
        <v/>
      </c>
      <c r="K51" s="8" t="str">
        <f>IF($B51="","",_xlfn.LET(
_xlpm.受入,SUMIFS(tbl_ledger[数量],tbl_ledger[ロットID],$B51,tbl_ledger[イベント種類],"発送準備開始"),
_xlpm.充当受入,SUMIFS(tbl_ledger[数量],tbl_ledger[充当先ロットID],$B51,tbl_ledger[イベント種類],"充当",tbl_ledger[元状態],K$1),
_xlpm.払出,SUMIFS(tbl_ledger[数量],tbl_ledger[ロットID],$B51,tbl_ledger[元状態],K$1),
_xlpm.受入+_xlpm.充当受入-_xlpm.払出))</f>
        <v/>
      </c>
      <c r="L51" s="8" t="str">
        <f>IF($B51="","",_xlfn.LET(
_xlpm.受入,SUMIFS(tbl_ledger[数量],tbl_ledger[ロットID],$B51,tbl_ledger[イベント種類],"発送準備完了"),
_xlpm.充当受入,SUMIFS(tbl_ledger[数量],tbl_ledger[充当先ロットID],$B51,tbl_ledger[イベント種類],"充当",tbl_ledger[元状態],L$1),
_xlpm.払出,SUMIFS(tbl_ledger[数量],tbl_ledger[ロットID],$B51,tbl_ledger[元状態],L$1),
_xlpm.受入+_xlpm.充当受入-_xlpm.払出))</f>
        <v/>
      </c>
      <c r="M51" s="8" t="str">
        <f>IF($B51="","",_xlfn.LET(
_xlpm.受入,SUMIFS(tbl_ledger[数量],tbl_ledger[ロットID],$B51,tbl_ledger[イベント種類],"不良発生"),
_xlpm.充当受入,SUMIFS(tbl_ledger[数量],tbl_ledger[充当先ロットID],$B51,tbl_ledger[イベント種類],"充当",tbl_ledger[元状態],M$1),
_xlpm.払出,SUMIFS(tbl_ledger[数量],tbl_ledger[ロットID],$B51,tbl_ledger[元状態],M$1),
_xlpm.受入+_xlpm.充当受入-_xlpm.払出))</f>
        <v/>
      </c>
      <c r="N51" s="8" t="str">
        <f t="shared" si="1"/>
        <v/>
      </c>
    </row>
    <row r="52" spans="1:14" ht="15" customHeight="1" x14ac:dyDescent="0.25">
      <c r="A52" s="4" t="str">
        <f t="shared" si="0"/>
        <v/>
      </c>
      <c r="B52" s="4" t="str">
        <f>IFERROR(IF(COUNTIF($B$1:$B51,INDEX(tbl_plan[ロットID],ROW()-1))&gt;0,"",INDEX(tbl_plan[ロットID],ROW()-1)),"")</f>
        <v/>
      </c>
      <c r="C52" s="4" t="str">
        <f>IF($B52="","",INDEX(tbl_plan[localId],ROW()-1))</f>
        <v/>
      </c>
      <c r="D52" s="8" t="str">
        <f>IF($B52="","",_xlfn.LET(
_xlpm.割当受入,SUMIF(V_充足確認!$A$2:$A$301,$B52,V_充足確認!$F$2:$F$301),
_xlpm.充当受入,SUMIFS(tbl_ledger[数量],tbl_ledger[充当先ロットID],$B52,tbl_ledger[イベント種類],"充当",tbl_ledger[元状態],D$1),
_xlpm.払出,SUMIFS(tbl_ledger[数量],tbl_ledger[ロットID],$B52,tbl_ledger[元状態],D$1),
_xlpm.割当受入+_xlpm.充当受入-_xlpm.払出))</f>
        <v/>
      </c>
      <c r="E52" s="8" t="str">
        <f>IF($B52="","",_xlfn.LET(
_xlpm.受入,SUMIFS(tbl_ledger[数量],tbl_ledger[ロットID],$B52,tbl_ledger[イベント種類],"アニール開始"),
_xlpm.充当受入,SUMIFS(tbl_ledger[数量],tbl_ledger[充当先ロットID],$B52,tbl_ledger[イベント種類],"充当",tbl_ledger[元状態],E$1),
_xlpm.払出,SUMIFS(tbl_ledger[数量],tbl_ledger[ロットID],$B52,tbl_ledger[元状態],E$1),
_xlpm.受入+_xlpm.充当受入-_xlpm.払出))</f>
        <v/>
      </c>
      <c r="F52" s="8" t="str">
        <f>IF($B52="","",_xlfn.LET(
_xlpm.受入,SUMIFS(tbl_ledger[数量],tbl_ledger[ロットID],$B52,tbl_ledger[イベント種類],"アニール完了"),
_xlpm.充当受入,SUMIFS(tbl_ledger[数量],tbl_ledger[充当先ロットID],$B52,tbl_ledger[イベント種類],"充当",tbl_ledger[元状態],F$1),
_xlpm.払出,SUMIFS(tbl_ledger[数量],tbl_ledger[ロットID],$B52,tbl_ledger[元状態],F$1),
_xlpm.受入+_xlpm.充当受入-_xlpm.払出))</f>
        <v/>
      </c>
      <c r="G52" s="8" t="str">
        <f>IF($B52="","",_xlfn.LET(
_xlpm.受入,SUMIFS(tbl_ledger[数量],tbl_ledger[ロットID],$B52,tbl_ledger[イベント種類],"アセンブリ開始"),
_xlpm.充当受入,SUMIFS(tbl_ledger[数量],tbl_ledger[充当先ロットID],$B52,tbl_ledger[イベント種類],"充当",tbl_ledger[元状態],G$1),
_xlpm.払出,SUMIFS(tbl_ledger[数量],tbl_ledger[ロットID],$B52,tbl_ledger[元状態],G$1),
_xlpm.受入+_xlpm.充当受入-_xlpm.払出))</f>
        <v/>
      </c>
      <c r="H52" s="8" t="str">
        <f>IF($B52="","",_xlfn.LET(
_xlpm.受入,SUMIFS(tbl_ledger[数量],tbl_ledger[ロットID],$B52,tbl_ledger[イベント種類],"アセンブリ完了"),
_xlpm.充当受入,SUMIFS(tbl_ledger[数量],tbl_ledger[充当先ロットID],$B52,tbl_ledger[イベント種類],"充当",tbl_ledger[元状態],H$1),
_xlpm.払出,SUMIFS(tbl_ledger[数量],tbl_ledger[ロットID],$B52,tbl_ledger[元状態],H$1),
_xlpm.受入+_xlpm.充当受入-_xlpm.払出))</f>
        <v/>
      </c>
      <c r="I52" s="8" t="str">
        <f>IF($B52="","",_xlfn.LET(
_xlpm.受入,SUMIFS(tbl_ledger[数量],tbl_ledger[ロットID],$B52,tbl_ledger[イベント種類],"梱包開始"),
_xlpm.充当受入,SUMIFS(tbl_ledger[数量],tbl_ledger[充当先ロットID],$B52,tbl_ledger[イベント種類],"充当",tbl_ledger[元状態],I$1),
_xlpm.払出,SUMIFS(tbl_ledger[数量],tbl_ledger[ロットID],$B52,tbl_ledger[元状態],I$1),
_xlpm.受入+_xlpm.充当受入-_xlpm.払出))</f>
        <v/>
      </c>
      <c r="J52" s="8" t="str">
        <f>IF($B52="","",_xlfn.LET(
_xlpm.受入,SUMIFS(tbl_ledger[数量],tbl_ledger[ロットID],$B52,tbl_ledger[イベント種類],"梱包完了"),
_xlpm.充当受入,SUMIFS(tbl_ledger[数量],tbl_ledger[充当先ロットID],$B52,tbl_ledger[イベント種類],"充当",tbl_ledger[元状態],J$1),
_xlpm.払出,SUMIFS(tbl_ledger[数量],tbl_ledger[ロットID],$B52,tbl_ledger[元状態],J$1),
_xlpm.受入+_xlpm.充当受入-_xlpm.払出))</f>
        <v/>
      </c>
      <c r="K52" s="8" t="str">
        <f>IF($B52="","",_xlfn.LET(
_xlpm.受入,SUMIFS(tbl_ledger[数量],tbl_ledger[ロットID],$B52,tbl_ledger[イベント種類],"発送準備開始"),
_xlpm.充当受入,SUMIFS(tbl_ledger[数量],tbl_ledger[充当先ロットID],$B52,tbl_ledger[イベント種類],"充当",tbl_ledger[元状態],K$1),
_xlpm.払出,SUMIFS(tbl_ledger[数量],tbl_ledger[ロットID],$B52,tbl_ledger[元状態],K$1),
_xlpm.受入+_xlpm.充当受入-_xlpm.払出))</f>
        <v/>
      </c>
      <c r="L52" s="8" t="str">
        <f>IF($B52="","",_xlfn.LET(
_xlpm.受入,SUMIFS(tbl_ledger[数量],tbl_ledger[ロットID],$B52,tbl_ledger[イベント種類],"発送準備完了"),
_xlpm.充当受入,SUMIFS(tbl_ledger[数量],tbl_ledger[充当先ロットID],$B52,tbl_ledger[イベント種類],"充当",tbl_ledger[元状態],L$1),
_xlpm.払出,SUMIFS(tbl_ledger[数量],tbl_ledger[ロットID],$B52,tbl_ledger[元状態],L$1),
_xlpm.受入+_xlpm.充当受入-_xlpm.払出))</f>
        <v/>
      </c>
      <c r="M52" s="8" t="str">
        <f>IF($B52="","",_xlfn.LET(
_xlpm.受入,SUMIFS(tbl_ledger[数量],tbl_ledger[ロットID],$B52,tbl_ledger[イベント種類],"不良発生"),
_xlpm.充当受入,SUMIFS(tbl_ledger[数量],tbl_ledger[充当先ロットID],$B52,tbl_ledger[イベント種類],"充当",tbl_ledger[元状態],M$1),
_xlpm.払出,SUMIFS(tbl_ledger[数量],tbl_ledger[ロットID],$B52,tbl_ledger[元状態],M$1),
_xlpm.受入+_xlpm.充当受入-_xlpm.払出))</f>
        <v/>
      </c>
      <c r="N52" s="8" t="str">
        <f t="shared" si="1"/>
        <v/>
      </c>
    </row>
    <row r="53" spans="1:14" ht="15" customHeight="1" x14ac:dyDescent="0.25">
      <c r="A53" s="4" t="str">
        <f t="shared" si="0"/>
        <v/>
      </c>
      <c r="B53" s="4" t="str">
        <f>IFERROR(IF(COUNTIF($B$1:$B52,INDEX(tbl_plan[ロットID],ROW()-1))&gt;0,"",INDEX(tbl_plan[ロットID],ROW()-1)),"")</f>
        <v/>
      </c>
      <c r="C53" s="4" t="str">
        <f>IF($B53="","",INDEX(tbl_plan[localId],ROW()-1))</f>
        <v/>
      </c>
      <c r="D53" s="8" t="str">
        <f>IF($B53="","",_xlfn.LET(
_xlpm.割当受入,SUMIF(V_充足確認!$A$2:$A$301,$B53,V_充足確認!$F$2:$F$301),
_xlpm.充当受入,SUMIFS(tbl_ledger[数量],tbl_ledger[充当先ロットID],$B53,tbl_ledger[イベント種類],"充当",tbl_ledger[元状態],D$1),
_xlpm.払出,SUMIFS(tbl_ledger[数量],tbl_ledger[ロットID],$B53,tbl_ledger[元状態],D$1),
_xlpm.割当受入+_xlpm.充当受入-_xlpm.払出))</f>
        <v/>
      </c>
      <c r="E53" s="8" t="str">
        <f>IF($B53="","",_xlfn.LET(
_xlpm.受入,SUMIFS(tbl_ledger[数量],tbl_ledger[ロットID],$B53,tbl_ledger[イベント種類],"アニール開始"),
_xlpm.充当受入,SUMIFS(tbl_ledger[数量],tbl_ledger[充当先ロットID],$B53,tbl_ledger[イベント種類],"充当",tbl_ledger[元状態],E$1),
_xlpm.払出,SUMIFS(tbl_ledger[数量],tbl_ledger[ロットID],$B53,tbl_ledger[元状態],E$1),
_xlpm.受入+_xlpm.充当受入-_xlpm.払出))</f>
        <v/>
      </c>
      <c r="F53" s="8" t="str">
        <f>IF($B53="","",_xlfn.LET(
_xlpm.受入,SUMIFS(tbl_ledger[数量],tbl_ledger[ロットID],$B53,tbl_ledger[イベント種類],"アニール完了"),
_xlpm.充当受入,SUMIFS(tbl_ledger[数量],tbl_ledger[充当先ロットID],$B53,tbl_ledger[イベント種類],"充当",tbl_ledger[元状態],F$1),
_xlpm.払出,SUMIFS(tbl_ledger[数量],tbl_ledger[ロットID],$B53,tbl_ledger[元状態],F$1),
_xlpm.受入+_xlpm.充当受入-_xlpm.払出))</f>
        <v/>
      </c>
      <c r="G53" s="8" t="str">
        <f>IF($B53="","",_xlfn.LET(
_xlpm.受入,SUMIFS(tbl_ledger[数量],tbl_ledger[ロットID],$B53,tbl_ledger[イベント種類],"アセンブリ開始"),
_xlpm.充当受入,SUMIFS(tbl_ledger[数量],tbl_ledger[充当先ロットID],$B53,tbl_ledger[イベント種類],"充当",tbl_ledger[元状態],G$1),
_xlpm.払出,SUMIFS(tbl_ledger[数量],tbl_ledger[ロットID],$B53,tbl_ledger[元状態],G$1),
_xlpm.受入+_xlpm.充当受入-_xlpm.払出))</f>
        <v/>
      </c>
      <c r="H53" s="8" t="str">
        <f>IF($B53="","",_xlfn.LET(
_xlpm.受入,SUMIFS(tbl_ledger[数量],tbl_ledger[ロットID],$B53,tbl_ledger[イベント種類],"アセンブリ完了"),
_xlpm.充当受入,SUMIFS(tbl_ledger[数量],tbl_ledger[充当先ロットID],$B53,tbl_ledger[イベント種類],"充当",tbl_ledger[元状態],H$1),
_xlpm.払出,SUMIFS(tbl_ledger[数量],tbl_ledger[ロットID],$B53,tbl_ledger[元状態],H$1),
_xlpm.受入+_xlpm.充当受入-_xlpm.払出))</f>
        <v/>
      </c>
      <c r="I53" s="8" t="str">
        <f>IF($B53="","",_xlfn.LET(
_xlpm.受入,SUMIFS(tbl_ledger[数量],tbl_ledger[ロットID],$B53,tbl_ledger[イベント種類],"梱包開始"),
_xlpm.充当受入,SUMIFS(tbl_ledger[数量],tbl_ledger[充当先ロットID],$B53,tbl_ledger[イベント種類],"充当",tbl_ledger[元状態],I$1),
_xlpm.払出,SUMIFS(tbl_ledger[数量],tbl_ledger[ロットID],$B53,tbl_ledger[元状態],I$1),
_xlpm.受入+_xlpm.充当受入-_xlpm.払出))</f>
        <v/>
      </c>
      <c r="J53" s="8" t="str">
        <f>IF($B53="","",_xlfn.LET(
_xlpm.受入,SUMIFS(tbl_ledger[数量],tbl_ledger[ロットID],$B53,tbl_ledger[イベント種類],"梱包完了"),
_xlpm.充当受入,SUMIFS(tbl_ledger[数量],tbl_ledger[充当先ロットID],$B53,tbl_ledger[イベント種類],"充当",tbl_ledger[元状態],J$1),
_xlpm.払出,SUMIFS(tbl_ledger[数量],tbl_ledger[ロットID],$B53,tbl_ledger[元状態],J$1),
_xlpm.受入+_xlpm.充当受入-_xlpm.払出))</f>
        <v/>
      </c>
      <c r="K53" s="8" t="str">
        <f>IF($B53="","",_xlfn.LET(
_xlpm.受入,SUMIFS(tbl_ledger[数量],tbl_ledger[ロットID],$B53,tbl_ledger[イベント種類],"発送準備開始"),
_xlpm.充当受入,SUMIFS(tbl_ledger[数量],tbl_ledger[充当先ロットID],$B53,tbl_ledger[イベント種類],"充当",tbl_ledger[元状態],K$1),
_xlpm.払出,SUMIFS(tbl_ledger[数量],tbl_ledger[ロットID],$B53,tbl_ledger[元状態],K$1),
_xlpm.受入+_xlpm.充当受入-_xlpm.払出))</f>
        <v/>
      </c>
      <c r="L53" s="8" t="str">
        <f>IF($B53="","",_xlfn.LET(
_xlpm.受入,SUMIFS(tbl_ledger[数量],tbl_ledger[ロットID],$B53,tbl_ledger[イベント種類],"発送準備完了"),
_xlpm.充当受入,SUMIFS(tbl_ledger[数量],tbl_ledger[充当先ロットID],$B53,tbl_ledger[イベント種類],"充当",tbl_ledger[元状態],L$1),
_xlpm.払出,SUMIFS(tbl_ledger[数量],tbl_ledger[ロットID],$B53,tbl_ledger[元状態],L$1),
_xlpm.受入+_xlpm.充当受入-_xlpm.払出))</f>
        <v/>
      </c>
      <c r="M53" s="8" t="str">
        <f>IF($B53="","",_xlfn.LET(
_xlpm.受入,SUMIFS(tbl_ledger[数量],tbl_ledger[ロットID],$B53,tbl_ledger[イベント種類],"不良発生"),
_xlpm.充当受入,SUMIFS(tbl_ledger[数量],tbl_ledger[充当先ロットID],$B53,tbl_ledger[イベント種類],"充当",tbl_ledger[元状態],M$1),
_xlpm.払出,SUMIFS(tbl_ledger[数量],tbl_ledger[ロットID],$B53,tbl_ledger[元状態],M$1),
_xlpm.受入+_xlpm.充当受入-_xlpm.払出))</f>
        <v/>
      </c>
      <c r="N53" s="8" t="str">
        <f t="shared" si="1"/>
        <v/>
      </c>
    </row>
    <row r="54" spans="1:14" ht="15" customHeight="1" x14ac:dyDescent="0.25">
      <c r="A54" s="4" t="str">
        <f t="shared" si="0"/>
        <v/>
      </c>
      <c r="B54" s="4" t="str">
        <f>IFERROR(IF(COUNTIF($B$1:$B53,INDEX(tbl_plan[ロットID],ROW()-1))&gt;0,"",INDEX(tbl_plan[ロットID],ROW()-1)),"")</f>
        <v/>
      </c>
      <c r="C54" s="4" t="str">
        <f>IF($B54="","",INDEX(tbl_plan[localId],ROW()-1))</f>
        <v/>
      </c>
      <c r="D54" s="8" t="str">
        <f>IF($B54="","",_xlfn.LET(
_xlpm.割当受入,SUMIF(V_充足確認!$A$2:$A$301,$B54,V_充足確認!$F$2:$F$301),
_xlpm.充当受入,SUMIFS(tbl_ledger[数量],tbl_ledger[充当先ロットID],$B54,tbl_ledger[イベント種類],"充当",tbl_ledger[元状態],D$1),
_xlpm.払出,SUMIFS(tbl_ledger[数量],tbl_ledger[ロットID],$B54,tbl_ledger[元状態],D$1),
_xlpm.割当受入+_xlpm.充当受入-_xlpm.払出))</f>
        <v/>
      </c>
      <c r="E54" s="8" t="str">
        <f>IF($B54="","",_xlfn.LET(
_xlpm.受入,SUMIFS(tbl_ledger[数量],tbl_ledger[ロットID],$B54,tbl_ledger[イベント種類],"アニール開始"),
_xlpm.充当受入,SUMIFS(tbl_ledger[数量],tbl_ledger[充当先ロットID],$B54,tbl_ledger[イベント種類],"充当",tbl_ledger[元状態],E$1),
_xlpm.払出,SUMIFS(tbl_ledger[数量],tbl_ledger[ロットID],$B54,tbl_ledger[元状態],E$1),
_xlpm.受入+_xlpm.充当受入-_xlpm.払出))</f>
        <v/>
      </c>
      <c r="F54" s="8" t="str">
        <f>IF($B54="","",_xlfn.LET(
_xlpm.受入,SUMIFS(tbl_ledger[数量],tbl_ledger[ロットID],$B54,tbl_ledger[イベント種類],"アニール完了"),
_xlpm.充当受入,SUMIFS(tbl_ledger[数量],tbl_ledger[充当先ロットID],$B54,tbl_ledger[イベント種類],"充当",tbl_ledger[元状態],F$1),
_xlpm.払出,SUMIFS(tbl_ledger[数量],tbl_ledger[ロットID],$B54,tbl_ledger[元状態],F$1),
_xlpm.受入+_xlpm.充当受入-_xlpm.払出))</f>
        <v/>
      </c>
      <c r="G54" s="8" t="str">
        <f>IF($B54="","",_xlfn.LET(
_xlpm.受入,SUMIFS(tbl_ledger[数量],tbl_ledger[ロットID],$B54,tbl_ledger[イベント種類],"アセンブリ開始"),
_xlpm.充当受入,SUMIFS(tbl_ledger[数量],tbl_ledger[充当先ロットID],$B54,tbl_ledger[イベント種類],"充当",tbl_ledger[元状態],G$1),
_xlpm.払出,SUMIFS(tbl_ledger[数量],tbl_ledger[ロットID],$B54,tbl_ledger[元状態],G$1),
_xlpm.受入+_xlpm.充当受入-_xlpm.払出))</f>
        <v/>
      </c>
      <c r="H54" s="8" t="str">
        <f>IF($B54="","",_xlfn.LET(
_xlpm.受入,SUMIFS(tbl_ledger[数量],tbl_ledger[ロットID],$B54,tbl_ledger[イベント種類],"アセンブリ完了"),
_xlpm.充当受入,SUMIFS(tbl_ledger[数量],tbl_ledger[充当先ロットID],$B54,tbl_ledger[イベント種類],"充当",tbl_ledger[元状態],H$1),
_xlpm.払出,SUMIFS(tbl_ledger[数量],tbl_ledger[ロットID],$B54,tbl_ledger[元状態],H$1),
_xlpm.受入+_xlpm.充当受入-_xlpm.払出))</f>
        <v/>
      </c>
      <c r="I54" s="8" t="str">
        <f>IF($B54="","",_xlfn.LET(
_xlpm.受入,SUMIFS(tbl_ledger[数量],tbl_ledger[ロットID],$B54,tbl_ledger[イベント種類],"梱包開始"),
_xlpm.充当受入,SUMIFS(tbl_ledger[数量],tbl_ledger[充当先ロットID],$B54,tbl_ledger[イベント種類],"充当",tbl_ledger[元状態],I$1),
_xlpm.払出,SUMIFS(tbl_ledger[数量],tbl_ledger[ロットID],$B54,tbl_ledger[元状態],I$1),
_xlpm.受入+_xlpm.充当受入-_xlpm.払出))</f>
        <v/>
      </c>
      <c r="J54" s="8" t="str">
        <f>IF($B54="","",_xlfn.LET(
_xlpm.受入,SUMIFS(tbl_ledger[数量],tbl_ledger[ロットID],$B54,tbl_ledger[イベント種類],"梱包完了"),
_xlpm.充当受入,SUMIFS(tbl_ledger[数量],tbl_ledger[充当先ロットID],$B54,tbl_ledger[イベント種類],"充当",tbl_ledger[元状態],J$1),
_xlpm.払出,SUMIFS(tbl_ledger[数量],tbl_ledger[ロットID],$B54,tbl_ledger[元状態],J$1),
_xlpm.受入+_xlpm.充当受入-_xlpm.払出))</f>
        <v/>
      </c>
      <c r="K54" s="8" t="str">
        <f>IF($B54="","",_xlfn.LET(
_xlpm.受入,SUMIFS(tbl_ledger[数量],tbl_ledger[ロットID],$B54,tbl_ledger[イベント種類],"発送準備開始"),
_xlpm.充当受入,SUMIFS(tbl_ledger[数量],tbl_ledger[充当先ロットID],$B54,tbl_ledger[イベント種類],"充当",tbl_ledger[元状態],K$1),
_xlpm.払出,SUMIFS(tbl_ledger[数量],tbl_ledger[ロットID],$B54,tbl_ledger[元状態],K$1),
_xlpm.受入+_xlpm.充当受入-_xlpm.払出))</f>
        <v/>
      </c>
      <c r="L54" s="8" t="str">
        <f>IF($B54="","",_xlfn.LET(
_xlpm.受入,SUMIFS(tbl_ledger[数量],tbl_ledger[ロットID],$B54,tbl_ledger[イベント種類],"発送準備完了"),
_xlpm.充当受入,SUMIFS(tbl_ledger[数量],tbl_ledger[充当先ロットID],$B54,tbl_ledger[イベント種類],"充当",tbl_ledger[元状態],L$1),
_xlpm.払出,SUMIFS(tbl_ledger[数量],tbl_ledger[ロットID],$B54,tbl_ledger[元状態],L$1),
_xlpm.受入+_xlpm.充当受入-_xlpm.払出))</f>
        <v/>
      </c>
      <c r="M54" s="8" t="str">
        <f>IF($B54="","",_xlfn.LET(
_xlpm.受入,SUMIFS(tbl_ledger[数量],tbl_ledger[ロットID],$B54,tbl_ledger[イベント種類],"不良発生"),
_xlpm.充当受入,SUMIFS(tbl_ledger[数量],tbl_ledger[充当先ロットID],$B54,tbl_ledger[イベント種類],"充当",tbl_ledger[元状態],M$1),
_xlpm.払出,SUMIFS(tbl_ledger[数量],tbl_ledger[ロットID],$B54,tbl_ledger[元状態],M$1),
_xlpm.受入+_xlpm.充当受入-_xlpm.払出))</f>
        <v/>
      </c>
      <c r="N54" s="8" t="str">
        <f t="shared" si="1"/>
        <v/>
      </c>
    </row>
    <row r="55" spans="1:14" ht="15" customHeight="1" x14ac:dyDescent="0.25">
      <c r="A55" s="4" t="str">
        <f t="shared" si="0"/>
        <v/>
      </c>
      <c r="B55" s="4" t="str">
        <f>IFERROR(IF(COUNTIF($B$1:$B54,INDEX(tbl_plan[ロットID],ROW()-1))&gt;0,"",INDEX(tbl_plan[ロットID],ROW()-1)),"")</f>
        <v/>
      </c>
      <c r="C55" s="4" t="str">
        <f>IF($B55="","",INDEX(tbl_plan[localId],ROW()-1))</f>
        <v/>
      </c>
      <c r="D55" s="8" t="str">
        <f>IF($B55="","",_xlfn.LET(
_xlpm.割当受入,SUMIF(V_充足確認!$A$2:$A$301,$B55,V_充足確認!$F$2:$F$301),
_xlpm.充当受入,SUMIFS(tbl_ledger[数量],tbl_ledger[充当先ロットID],$B55,tbl_ledger[イベント種類],"充当",tbl_ledger[元状態],D$1),
_xlpm.払出,SUMIFS(tbl_ledger[数量],tbl_ledger[ロットID],$B55,tbl_ledger[元状態],D$1),
_xlpm.割当受入+_xlpm.充当受入-_xlpm.払出))</f>
        <v/>
      </c>
      <c r="E55" s="8" t="str">
        <f>IF($B55="","",_xlfn.LET(
_xlpm.受入,SUMIFS(tbl_ledger[数量],tbl_ledger[ロットID],$B55,tbl_ledger[イベント種類],"アニール開始"),
_xlpm.充当受入,SUMIFS(tbl_ledger[数量],tbl_ledger[充当先ロットID],$B55,tbl_ledger[イベント種類],"充当",tbl_ledger[元状態],E$1),
_xlpm.払出,SUMIFS(tbl_ledger[数量],tbl_ledger[ロットID],$B55,tbl_ledger[元状態],E$1),
_xlpm.受入+_xlpm.充当受入-_xlpm.払出))</f>
        <v/>
      </c>
      <c r="F55" s="8" t="str">
        <f>IF($B55="","",_xlfn.LET(
_xlpm.受入,SUMIFS(tbl_ledger[数量],tbl_ledger[ロットID],$B55,tbl_ledger[イベント種類],"アニール完了"),
_xlpm.充当受入,SUMIFS(tbl_ledger[数量],tbl_ledger[充当先ロットID],$B55,tbl_ledger[イベント種類],"充当",tbl_ledger[元状態],F$1),
_xlpm.払出,SUMIFS(tbl_ledger[数量],tbl_ledger[ロットID],$B55,tbl_ledger[元状態],F$1),
_xlpm.受入+_xlpm.充当受入-_xlpm.払出))</f>
        <v/>
      </c>
      <c r="G55" s="8" t="str">
        <f>IF($B55="","",_xlfn.LET(
_xlpm.受入,SUMIFS(tbl_ledger[数量],tbl_ledger[ロットID],$B55,tbl_ledger[イベント種類],"アセンブリ開始"),
_xlpm.充当受入,SUMIFS(tbl_ledger[数量],tbl_ledger[充当先ロットID],$B55,tbl_ledger[イベント種類],"充当",tbl_ledger[元状態],G$1),
_xlpm.払出,SUMIFS(tbl_ledger[数量],tbl_ledger[ロットID],$B55,tbl_ledger[元状態],G$1),
_xlpm.受入+_xlpm.充当受入-_xlpm.払出))</f>
        <v/>
      </c>
      <c r="H55" s="8" t="str">
        <f>IF($B55="","",_xlfn.LET(
_xlpm.受入,SUMIFS(tbl_ledger[数量],tbl_ledger[ロットID],$B55,tbl_ledger[イベント種類],"アセンブリ完了"),
_xlpm.充当受入,SUMIFS(tbl_ledger[数量],tbl_ledger[充当先ロットID],$B55,tbl_ledger[イベント種類],"充当",tbl_ledger[元状態],H$1),
_xlpm.払出,SUMIFS(tbl_ledger[数量],tbl_ledger[ロットID],$B55,tbl_ledger[元状態],H$1),
_xlpm.受入+_xlpm.充当受入-_xlpm.払出))</f>
        <v/>
      </c>
      <c r="I55" s="8" t="str">
        <f>IF($B55="","",_xlfn.LET(
_xlpm.受入,SUMIFS(tbl_ledger[数量],tbl_ledger[ロットID],$B55,tbl_ledger[イベント種類],"梱包開始"),
_xlpm.充当受入,SUMIFS(tbl_ledger[数量],tbl_ledger[充当先ロットID],$B55,tbl_ledger[イベント種類],"充当",tbl_ledger[元状態],I$1),
_xlpm.払出,SUMIFS(tbl_ledger[数量],tbl_ledger[ロットID],$B55,tbl_ledger[元状態],I$1),
_xlpm.受入+_xlpm.充当受入-_xlpm.払出))</f>
        <v/>
      </c>
      <c r="J55" s="8" t="str">
        <f>IF($B55="","",_xlfn.LET(
_xlpm.受入,SUMIFS(tbl_ledger[数量],tbl_ledger[ロットID],$B55,tbl_ledger[イベント種類],"梱包完了"),
_xlpm.充当受入,SUMIFS(tbl_ledger[数量],tbl_ledger[充当先ロットID],$B55,tbl_ledger[イベント種類],"充当",tbl_ledger[元状態],J$1),
_xlpm.払出,SUMIFS(tbl_ledger[数量],tbl_ledger[ロットID],$B55,tbl_ledger[元状態],J$1),
_xlpm.受入+_xlpm.充当受入-_xlpm.払出))</f>
        <v/>
      </c>
      <c r="K55" s="8" t="str">
        <f>IF($B55="","",_xlfn.LET(
_xlpm.受入,SUMIFS(tbl_ledger[数量],tbl_ledger[ロットID],$B55,tbl_ledger[イベント種類],"発送準備開始"),
_xlpm.充当受入,SUMIFS(tbl_ledger[数量],tbl_ledger[充当先ロットID],$B55,tbl_ledger[イベント種類],"充当",tbl_ledger[元状態],K$1),
_xlpm.払出,SUMIFS(tbl_ledger[数量],tbl_ledger[ロットID],$B55,tbl_ledger[元状態],K$1),
_xlpm.受入+_xlpm.充当受入-_xlpm.払出))</f>
        <v/>
      </c>
      <c r="L55" s="8" t="str">
        <f>IF($B55="","",_xlfn.LET(
_xlpm.受入,SUMIFS(tbl_ledger[数量],tbl_ledger[ロットID],$B55,tbl_ledger[イベント種類],"発送準備完了"),
_xlpm.充当受入,SUMIFS(tbl_ledger[数量],tbl_ledger[充当先ロットID],$B55,tbl_ledger[イベント種類],"充当",tbl_ledger[元状態],L$1),
_xlpm.払出,SUMIFS(tbl_ledger[数量],tbl_ledger[ロットID],$B55,tbl_ledger[元状態],L$1),
_xlpm.受入+_xlpm.充当受入-_xlpm.払出))</f>
        <v/>
      </c>
      <c r="M55" s="8" t="str">
        <f>IF($B55="","",_xlfn.LET(
_xlpm.受入,SUMIFS(tbl_ledger[数量],tbl_ledger[ロットID],$B55,tbl_ledger[イベント種類],"不良発生"),
_xlpm.充当受入,SUMIFS(tbl_ledger[数量],tbl_ledger[充当先ロットID],$B55,tbl_ledger[イベント種類],"充当",tbl_ledger[元状態],M$1),
_xlpm.払出,SUMIFS(tbl_ledger[数量],tbl_ledger[ロットID],$B55,tbl_ledger[元状態],M$1),
_xlpm.受入+_xlpm.充当受入-_xlpm.払出))</f>
        <v/>
      </c>
      <c r="N55" s="8" t="str">
        <f t="shared" si="1"/>
        <v/>
      </c>
    </row>
    <row r="56" spans="1:14" ht="15" customHeight="1" x14ac:dyDescent="0.25">
      <c r="A56" s="4" t="str">
        <f t="shared" si="0"/>
        <v/>
      </c>
      <c r="B56" s="4" t="str">
        <f>IFERROR(IF(COUNTIF($B$1:$B55,INDEX(tbl_plan[ロットID],ROW()-1))&gt;0,"",INDEX(tbl_plan[ロットID],ROW()-1)),"")</f>
        <v/>
      </c>
      <c r="C56" s="4" t="str">
        <f>IF($B56="","",INDEX(tbl_plan[localId],ROW()-1))</f>
        <v/>
      </c>
      <c r="D56" s="8" t="str">
        <f>IF($B56="","",_xlfn.LET(
_xlpm.割当受入,SUMIF(V_充足確認!$A$2:$A$301,$B56,V_充足確認!$F$2:$F$301),
_xlpm.充当受入,SUMIFS(tbl_ledger[数量],tbl_ledger[充当先ロットID],$B56,tbl_ledger[イベント種類],"充当",tbl_ledger[元状態],D$1),
_xlpm.払出,SUMIFS(tbl_ledger[数量],tbl_ledger[ロットID],$B56,tbl_ledger[元状態],D$1),
_xlpm.割当受入+_xlpm.充当受入-_xlpm.払出))</f>
        <v/>
      </c>
      <c r="E56" s="8" t="str">
        <f>IF($B56="","",_xlfn.LET(
_xlpm.受入,SUMIFS(tbl_ledger[数量],tbl_ledger[ロットID],$B56,tbl_ledger[イベント種類],"アニール開始"),
_xlpm.充当受入,SUMIFS(tbl_ledger[数量],tbl_ledger[充当先ロットID],$B56,tbl_ledger[イベント種類],"充当",tbl_ledger[元状態],E$1),
_xlpm.払出,SUMIFS(tbl_ledger[数量],tbl_ledger[ロットID],$B56,tbl_ledger[元状態],E$1),
_xlpm.受入+_xlpm.充当受入-_xlpm.払出))</f>
        <v/>
      </c>
      <c r="F56" s="8" t="str">
        <f>IF($B56="","",_xlfn.LET(
_xlpm.受入,SUMIFS(tbl_ledger[数量],tbl_ledger[ロットID],$B56,tbl_ledger[イベント種類],"アニール完了"),
_xlpm.充当受入,SUMIFS(tbl_ledger[数量],tbl_ledger[充当先ロットID],$B56,tbl_ledger[イベント種類],"充当",tbl_ledger[元状態],F$1),
_xlpm.払出,SUMIFS(tbl_ledger[数量],tbl_ledger[ロットID],$B56,tbl_ledger[元状態],F$1),
_xlpm.受入+_xlpm.充当受入-_xlpm.払出))</f>
        <v/>
      </c>
      <c r="G56" s="8" t="str">
        <f>IF($B56="","",_xlfn.LET(
_xlpm.受入,SUMIFS(tbl_ledger[数量],tbl_ledger[ロットID],$B56,tbl_ledger[イベント種類],"アセンブリ開始"),
_xlpm.充当受入,SUMIFS(tbl_ledger[数量],tbl_ledger[充当先ロットID],$B56,tbl_ledger[イベント種類],"充当",tbl_ledger[元状態],G$1),
_xlpm.払出,SUMIFS(tbl_ledger[数量],tbl_ledger[ロットID],$B56,tbl_ledger[元状態],G$1),
_xlpm.受入+_xlpm.充当受入-_xlpm.払出))</f>
        <v/>
      </c>
      <c r="H56" s="8" t="str">
        <f>IF($B56="","",_xlfn.LET(
_xlpm.受入,SUMIFS(tbl_ledger[数量],tbl_ledger[ロットID],$B56,tbl_ledger[イベント種類],"アセンブリ完了"),
_xlpm.充当受入,SUMIFS(tbl_ledger[数量],tbl_ledger[充当先ロットID],$B56,tbl_ledger[イベント種類],"充当",tbl_ledger[元状態],H$1),
_xlpm.払出,SUMIFS(tbl_ledger[数量],tbl_ledger[ロットID],$B56,tbl_ledger[元状態],H$1),
_xlpm.受入+_xlpm.充当受入-_xlpm.払出))</f>
        <v/>
      </c>
      <c r="I56" s="8" t="str">
        <f>IF($B56="","",_xlfn.LET(
_xlpm.受入,SUMIFS(tbl_ledger[数量],tbl_ledger[ロットID],$B56,tbl_ledger[イベント種類],"梱包開始"),
_xlpm.充当受入,SUMIFS(tbl_ledger[数量],tbl_ledger[充当先ロットID],$B56,tbl_ledger[イベント種類],"充当",tbl_ledger[元状態],I$1),
_xlpm.払出,SUMIFS(tbl_ledger[数量],tbl_ledger[ロットID],$B56,tbl_ledger[元状態],I$1),
_xlpm.受入+_xlpm.充当受入-_xlpm.払出))</f>
        <v/>
      </c>
      <c r="J56" s="8" t="str">
        <f>IF($B56="","",_xlfn.LET(
_xlpm.受入,SUMIFS(tbl_ledger[数量],tbl_ledger[ロットID],$B56,tbl_ledger[イベント種類],"梱包完了"),
_xlpm.充当受入,SUMIFS(tbl_ledger[数量],tbl_ledger[充当先ロットID],$B56,tbl_ledger[イベント種類],"充当",tbl_ledger[元状態],J$1),
_xlpm.払出,SUMIFS(tbl_ledger[数量],tbl_ledger[ロットID],$B56,tbl_ledger[元状態],J$1),
_xlpm.受入+_xlpm.充当受入-_xlpm.払出))</f>
        <v/>
      </c>
      <c r="K56" s="8" t="str">
        <f>IF($B56="","",_xlfn.LET(
_xlpm.受入,SUMIFS(tbl_ledger[数量],tbl_ledger[ロットID],$B56,tbl_ledger[イベント種類],"発送準備開始"),
_xlpm.充当受入,SUMIFS(tbl_ledger[数量],tbl_ledger[充当先ロットID],$B56,tbl_ledger[イベント種類],"充当",tbl_ledger[元状態],K$1),
_xlpm.払出,SUMIFS(tbl_ledger[数量],tbl_ledger[ロットID],$B56,tbl_ledger[元状態],K$1),
_xlpm.受入+_xlpm.充当受入-_xlpm.払出))</f>
        <v/>
      </c>
      <c r="L56" s="8" t="str">
        <f>IF($B56="","",_xlfn.LET(
_xlpm.受入,SUMIFS(tbl_ledger[数量],tbl_ledger[ロットID],$B56,tbl_ledger[イベント種類],"発送準備完了"),
_xlpm.充当受入,SUMIFS(tbl_ledger[数量],tbl_ledger[充当先ロットID],$B56,tbl_ledger[イベント種類],"充当",tbl_ledger[元状態],L$1),
_xlpm.払出,SUMIFS(tbl_ledger[数量],tbl_ledger[ロットID],$B56,tbl_ledger[元状態],L$1),
_xlpm.受入+_xlpm.充当受入-_xlpm.払出))</f>
        <v/>
      </c>
      <c r="M56" s="8" t="str">
        <f>IF($B56="","",_xlfn.LET(
_xlpm.受入,SUMIFS(tbl_ledger[数量],tbl_ledger[ロットID],$B56,tbl_ledger[イベント種類],"不良発生"),
_xlpm.充当受入,SUMIFS(tbl_ledger[数量],tbl_ledger[充当先ロットID],$B56,tbl_ledger[イベント種類],"充当",tbl_ledger[元状態],M$1),
_xlpm.払出,SUMIFS(tbl_ledger[数量],tbl_ledger[ロットID],$B56,tbl_ledger[元状態],M$1),
_xlpm.受入+_xlpm.充当受入-_xlpm.払出))</f>
        <v/>
      </c>
      <c r="N56" s="8" t="str">
        <f t="shared" si="1"/>
        <v/>
      </c>
    </row>
    <row r="57" spans="1:14" ht="15" customHeight="1" x14ac:dyDescent="0.25">
      <c r="A57" s="4" t="str">
        <f t="shared" si="0"/>
        <v/>
      </c>
      <c r="B57" s="4" t="str">
        <f>IFERROR(IF(COUNTIF($B$1:$B56,INDEX(tbl_plan[ロットID],ROW()-1))&gt;0,"",INDEX(tbl_plan[ロットID],ROW()-1)),"")</f>
        <v/>
      </c>
      <c r="C57" s="4" t="str">
        <f>IF($B57="","",INDEX(tbl_plan[localId],ROW()-1))</f>
        <v/>
      </c>
      <c r="D57" s="8" t="str">
        <f>IF($B57="","",_xlfn.LET(
_xlpm.割当受入,SUMIF(V_充足確認!$A$2:$A$301,$B57,V_充足確認!$F$2:$F$301),
_xlpm.充当受入,SUMIFS(tbl_ledger[数量],tbl_ledger[充当先ロットID],$B57,tbl_ledger[イベント種類],"充当",tbl_ledger[元状態],D$1),
_xlpm.払出,SUMIFS(tbl_ledger[数量],tbl_ledger[ロットID],$B57,tbl_ledger[元状態],D$1),
_xlpm.割当受入+_xlpm.充当受入-_xlpm.払出))</f>
        <v/>
      </c>
      <c r="E57" s="8" t="str">
        <f>IF($B57="","",_xlfn.LET(
_xlpm.受入,SUMIFS(tbl_ledger[数量],tbl_ledger[ロットID],$B57,tbl_ledger[イベント種類],"アニール開始"),
_xlpm.充当受入,SUMIFS(tbl_ledger[数量],tbl_ledger[充当先ロットID],$B57,tbl_ledger[イベント種類],"充当",tbl_ledger[元状態],E$1),
_xlpm.払出,SUMIFS(tbl_ledger[数量],tbl_ledger[ロットID],$B57,tbl_ledger[元状態],E$1),
_xlpm.受入+_xlpm.充当受入-_xlpm.払出))</f>
        <v/>
      </c>
      <c r="F57" s="8" t="str">
        <f>IF($B57="","",_xlfn.LET(
_xlpm.受入,SUMIFS(tbl_ledger[数量],tbl_ledger[ロットID],$B57,tbl_ledger[イベント種類],"アニール完了"),
_xlpm.充当受入,SUMIFS(tbl_ledger[数量],tbl_ledger[充当先ロットID],$B57,tbl_ledger[イベント種類],"充当",tbl_ledger[元状態],F$1),
_xlpm.払出,SUMIFS(tbl_ledger[数量],tbl_ledger[ロットID],$B57,tbl_ledger[元状態],F$1),
_xlpm.受入+_xlpm.充当受入-_xlpm.払出))</f>
        <v/>
      </c>
      <c r="G57" s="8" t="str">
        <f>IF($B57="","",_xlfn.LET(
_xlpm.受入,SUMIFS(tbl_ledger[数量],tbl_ledger[ロットID],$B57,tbl_ledger[イベント種類],"アセンブリ開始"),
_xlpm.充当受入,SUMIFS(tbl_ledger[数量],tbl_ledger[充当先ロットID],$B57,tbl_ledger[イベント種類],"充当",tbl_ledger[元状態],G$1),
_xlpm.払出,SUMIFS(tbl_ledger[数量],tbl_ledger[ロットID],$B57,tbl_ledger[元状態],G$1),
_xlpm.受入+_xlpm.充当受入-_xlpm.払出))</f>
        <v/>
      </c>
      <c r="H57" s="8" t="str">
        <f>IF($B57="","",_xlfn.LET(
_xlpm.受入,SUMIFS(tbl_ledger[数量],tbl_ledger[ロットID],$B57,tbl_ledger[イベント種類],"アセンブリ完了"),
_xlpm.充当受入,SUMIFS(tbl_ledger[数量],tbl_ledger[充当先ロットID],$B57,tbl_ledger[イベント種類],"充当",tbl_ledger[元状態],H$1),
_xlpm.払出,SUMIFS(tbl_ledger[数量],tbl_ledger[ロットID],$B57,tbl_ledger[元状態],H$1),
_xlpm.受入+_xlpm.充当受入-_xlpm.払出))</f>
        <v/>
      </c>
      <c r="I57" s="8" t="str">
        <f>IF($B57="","",_xlfn.LET(
_xlpm.受入,SUMIFS(tbl_ledger[数量],tbl_ledger[ロットID],$B57,tbl_ledger[イベント種類],"梱包開始"),
_xlpm.充当受入,SUMIFS(tbl_ledger[数量],tbl_ledger[充当先ロットID],$B57,tbl_ledger[イベント種類],"充当",tbl_ledger[元状態],I$1),
_xlpm.払出,SUMIFS(tbl_ledger[数量],tbl_ledger[ロットID],$B57,tbl_ledger[元状態],I$1),
_xlpm.受入+_xlpm.充当受入-_xlpm.払出))</f>
        <v/>
      </c>
      <c r="J57" s="8" t="str">
        <f>IF($B57="","",_xlfn.LET(
_xlpm.受入,SUMIFS(tbl_ledger[数量],tbl_ledger[ロットID],$B57,tbl_ledger[イベント種類],"梱包完了"),
_xlpm.充当受入,SUMIFS(tbl_ledger[数量],tbl_ledger[充当先ロットID],$B57,tbl_ledger[イベント種類],"充当",tbl_ledger[元状態],J$1),
_xlpm.払出,SUMIFS(tbl_ledger[数量],tbl_ledger[ロットID],$B57,tbl_ledger[元状態],J$1),
_xlpm.受入+_xlpm.充当受入-_xlpm.払出))</f>
        <v/>
      </c>
      <c r="K57" s="8" t="str">
        <f>IF($B57="","",_xlfn.LET(
_xlpm.受入,SUMIFS(tbl_ledger[数量],tbl_ledger[ロットID],$B57,tbl_ledger[イベント種類],"発送準備開始"),
_xlpm.充当受入,SUMIFS(tbl_ledger[数量],tbl_ledger[充当先ロットID],$B57,tbl_ledger[イベント種類],"充当",tbl_ledger[元状態],K$1),
_xlpm.払出,SUMIFS(tbl_ledger[数量],tbl_ledger[ロットID],$B57,tbl_ledger[元状態],K$1),
_xlpm.受入+_xlpm.充当受入-_xlpm.払出))</f>
        <v/>
      </c>
      <c r="L57" s="8" t="str">
        <f>IF($B57="","",_xlfn.LET(
_xlpm.受入,SUMIFS(tbl_ledger[数量],tbl_ledger[ロットID],$B57,tbl_ledger[イベント種類],"発送準備完了"),
_xlpm.充当受入,SUMIFS(tbl_ledger[数量],tbl_ledger[充当先ロットID],$B57,tbl_ledger[イベント種類],"充当",tbl_ledger[元状態],L$1),
_xlpm.払出,SUMIFS(tbl_ledger[数量],tbl_ledger[ロットID],$B57,tbl_ledger[元状態],L$1),
_xlpm.受入+_xlpm.充当受入-_xlpm.払出))</f>
        <v/>
      </c>
      <c r="M57" s="8" t="str">
        <f>IF($B57="","",_xlfn.LET(
_xlpm.受入,SUMIFS(tbl_ledger[数量],tbl_ledger[ロットID],$B57,tbl_ledger[イベント種類],"不良発生"),
_xlpm.充当受入,SUMIFS(tbl_ledger[数量],tbl_ledger[充当先ロットID],$B57,tbl_ledger[イベント種類],"充当",tbl_ledger[元状態],M$1),
_xlpm.払出,SUMIFS(tbl_ledger[数量],tbl_ledger[ロットID],$B57,tbl_ledger[元状態],M$1),
_xlpm.受入+_xlpm.充当受入-_xlpm.払出))</f>
        <v/>
      </c>
      <c r="N57" s="8" t="str">
        <f t="shared" si="1"/>
        <v/>
      </c>
    </row>
    <row r="58" spans="1:14" ht="15" customHeight="1" x14ac:dyDescent="0.25">
      <c r="A58" s="4" t="str">
        <f t="shared" si="0"/>
        <v/>
      </c>
      <c r="B58" s="4" t="str">
        <f>IFERROR(IF(COUNTIF($B$1:$B57,INDEX(tbl_plan[ロットID],ROW()-1))&gt;0,"",INDEX(tbl_plan[ロットID],ROW()-1)),"")</f>
        <v/>
      </c>
      <c r="C58" s="4" t="str">
        <f>IF($B58="","",INDEX(tbl_plan[localId],ROW()-1))</f>
        <v/>
      </c>
      <c r="D58" s="8" t="str">
        <f>IF($B58="","",_xlfn.LET(
_xlpm.割当受入,SUMIF(V_充足確認!$A$2:$A$301,$B58,V_充足確認!$F$2:$F$301),
_xlpm.充当受入,SUMIFS(tbl_ledger[数量],tbl_ledger[充当先ロットID],$B58,tbl_ledger[イベント種類],"充当",tbl_ledger[元状態],D$1),
_xlpm.払出,SUMIFS(tbl_ledger[数量],tbl_ledger[ロットID],$B58,tbl_ledger[元状態],D$1),
_xlpm.割当受入+_xlpm.充当受入-_xlpm.払出))</f>
        <v/>
      </c>
      <c r="E58" s="8" t="str">
        <f>IF($B58="","",_xlfn.LET(
_xlpm.受入,SUMIFS(tbl_ledger[数量],tbl_ledger[ロットID],$B58,tbl_ledger[イベント種類],"アニール開始"),
_xlpm.充当受入,SUMIFS(tbl_ledger[数量],tbl_ledger[充当先ロットID],$B58,tbl_ledger[イベント種類],"充当",tbl_ledger[元状態],E$1),
_xlpm.払出,SUMIFS(tbl_ledger[数量],tbl_ledger[ロットID],$B58,tbl_ledger[元状態],E$1),
_xlpm.受入+_xlpm.充当受入-_xlpm.払出))</f>
        <v/>
      </c>
      <c r="F58" s="8" t="str">
        <f>IF($B58="","",_xlfn.LET(
_xlpm.受入,SUMIFS(tbl_ledger[数量],tbl_ledger[ロットID],$B58,tbl_ledger[イベント種類],"アニール完了"),
_xlpm.充当受入,SUMIFS(tbl_ledger[数量],tbl_ledger[充当先ロットID],$B58,tbl_ledger[イベント種類],"充当",tbl_ledger[元状態],F$1),
_xlpm.払出,SUMIFS(tbl_ledger[数量],tbl_ledger[ロットID],$B58,tbl_ledger[元状態],F$1),
_xlpm.受入+_xlpm.充当受入-_xlpm.払出))</f>
        <v/>
      </c>
      <c r="G58" s="8" t="str">
        <f>IF($B58="","",_xlfn.LET(
_xlpm.受入,SUMIFS(tbl_ledger[数量],tbl_ledger[ロットID],$B58,tbl_ledger[イベント種類],"アセンブリ開始"),
_xlpm.充当受入,SUMIFS(tbl_ledger[数量],tbl_ledger[充当先ロットID],$B58,tbl_ledger[イベント種類],"充当",tbl_ledger[元状態],G$1),
_xlpm.払出,SUMIFS(tbl_ledger[数量],tbl_ledger[ロットID],$B58,tbl_ledger[元状態],G$1),
_xlpm.受入+_xlpm.充当受入-_xlpm.払出))</f>
        <v/>
      </c>
      <c r="H58" s="8" t="str">
        <f>IF($B58="","",_xlfn.LET(
_xlpm.受入,SUMIFS(tbl_ledger[数量],tbl_ledger[ロットID],$B58,tbl_ledger[イベント種類],"アセンブリ完了"),
_xlpm.充当受入,SUMIFS(tbl_ledger[数量],tbl_ledger[充当先ロットID],$B58,tbl_ledger[イベント種類],"充当",tbl_ledger[元状態],H$1),
_xlpm.払出,SUMIFS(tbl_ledger[数量],tbl_ledger[ロットID],$B58,tbl_ledger[元状態],H$1),
_xlpm.受入+_xlpm.充当受入-_xlpm.払出))</f>
        <v/>
      </c>
      <c r="I58" s="8" t="str">
        <f>IF($B58="","",_xlfn.LET(
_xlpm.受入,SUMIFS(tbl_ledger[数量],tbl_ledger[ロットID],$B58,tbl_ledger[イベント種類],"梱包開始"),
_xlpm.充当受入,SUMIFS(tbl_ledger[数量],tbl_ledger[充当先ロットID],$B58,tbl_ledger[イベント種類],"充当",tbl_ledger[元状態],I$1),
_xlpm.払出,SUMIFS(tbl_ledger[数量],tbl_ledger[ロットID],$B58,tbl_ledger[元状態],I$1),
_xlpm.受入+_xlpm.充当受入-_xlpm.払出))</f>
        <v/>
      </c>
      <c r="J58" s="8" t="str">
        <f>IF($B58="","",_xlfn.LET(
_xlpm.受入,SUMIFS(tbl_ledger[数量],tbl_ledger[ロットID],$B58,tbl_ledger[イベント種類],"梱包完了"),
_xlpm.充当受入,SUMIFS(tbl_ledger[数量],tbl_ledger[充当先ロットID],$B58,tbl_ledger[イベント種類],"充当",tbl_ledger[元状態],J$1),
_xlpm.払出,SUMIFS(tbl_ledger[数量],tbl_ledger[ロットID],$B58,tbl_ledger[元状態],J$1),
_xlpm.受入+_xlpm.充当受入-_xlpm.払出))</f>
        <v/>
      </c>
      <c r="K58" s="8" t="str">
        <f>IF($B58="","",_xlfn.LET(
_xlpm.受入,SUMIFS(tbl_ledger[数量],tbl_ledger[ロットID],$B58,tbl_ledger[イベント種類],"発送準備開始"),
_xlpm.充当受入,SUMIFS(tbl_ledger[数量],tbl_ledger[充当先ロットID],$B58,tbl_ledger[イベント種類],"充当",tbl_ledger[元状態],K$1),
_xlpm.払出,SUMIFS(tbl_ledger[数量],tbl_ledger[ロットID],$B58,tbl_ledger[元状態],K$1),
_xlpm.受入+_xlpm.充当受入-_xlpm.払出))</f>
        <v/>
      </c>
      <c r="L58" s="8" t="str">
        <f>IF($B58="","",_xlfn.LET(
_xlpm.受入,SUMIFS(tbl_ledger[数量],tbl_ledger[ロットID],$B58,tbl_ledger[イベント種類],"発送準備完了"),
_xlpm.充当受入,SUMIFS(tbl_ledger[数量],tbl_ledger[充当先ロットID],$B58,tbl_ledger[イベント種類],"充当",tbl_ledger[元状態],L$1),
_xlpm.払出,SUMIFS(tbl_ledger[数量],tbl_ledger[ロットID],$B58,tbl_ledger[元状態],L$1),
_xlpm.受入+_xlpm.充当受入-_xlpm.払出))</f>
        <v/>
      </c>
      <c r="M58" s="8" t="str">
        <f>IF($B58="","",_xlfn.LET(
_xlpm.受入,SUMIFS(tbl_ledger[数量],tbl_ledger[ロットID],$B58,tbl_ledger[イベント種類],"不良発生"),
_xlpm.充当受入,SUMIFS(tbl_ledger[数量],tbl_ledger[充当先ロットID],$B58,tbl_ledger[イベント種類],"充当",tbl_ledger[元状態],M$1),
_xlpm.払出,SUMIFS(tbl_ledger[数量],tbl_ledger[ロットID],$B58,tbl_ledger[元状態],M$1),
_xlpm.受入+_xlpm.充当受入-_xlpm.払出))</f>
        <v/>
      </c>
      <c r="N58" s="8" t="str">
        <f t="shared" si="1"/>
        <v/>
      </c>
    </row>
    <row r="59" spans="1:14" ht="15" customHeight="1" x14ac:dyDescent="0.25">
      <c r="A59" s="4" t="str">
        <f t="shared" si="0"/>
        <v/>
      </c>
      <c r="B59" s="4" t="str">
        <f>IFERROR(IF(COUNTIF($B$1:$B58,INDEX(tbl_plan[ロットID],ROW()-1))&gt;0,"",INDEX(tbl_plan[ロットID],ROW()-1)),"")</f>
        <v/>
      </c>
      <c r="C59" s="4" t="str">
        <f>IF($B59="","",INDEX(tbl_plan[localId],ROW()-1))</f>
        <v/>
      </c>
      <c r="D59" s="8" t="str">
        <f>IF($B59="","",_xlfn.LET(
_xlpm.割当受入,SUMIF(V_充足確認!$A$2:$A$301,$B59,V_充足確認!$F$2:$F$301),
_xlpm.充当受入,SUMIFS(tbl_ledger[数量],tbl_ledger[充当先ロットID],$B59,tbl_ledger[イベント種類],"充当",tbl_ledger[元状態],D$1),
_xlpm.払出,SUMIFS(tbl_ledger[数量],tbl_ledger[ロットID],$B59,tbl_ledger[元状態],D$1),
_xlpm.割当受入+_xlpm.充当受入-_xlpm.払出))</f>
        <v/>
      </c>
      <c r="E59" s="8" t="str">
        <f>IF($B59="","",_xlfn.LET(
_xlpm.受入,SUMIFS(tbl_ledger[数量],tbl_ledger[ロットID],$B59,tbl_ledger[イベント種類],"アニール開始"),
_xlpm.充当受入,SUMIFS(tbl_ledger[数量],tbl_ledger[充当先ロットID],$B59,tbl_ledger[イベント種類],"充当",tbl_ledger[元状態],E$1),
_xlpm.払出,SUMIFS(tbl_ledger[数量],tbl_ledger[ロットID],$B59,tbl_ledger[元状態],E$1),
_xlpm.受入+_xlpm.充当受入-_xlpm.払出))</f>
        <v/>
      </c>
      <c r="F59" s="8" t="str">
        <f>IF($B59="","",_xlfn.LET(
_xlpm.受入,SUMIFS(tbl_ledger[数量],tbl_ledger[ロットID],$B59,tbl_ledger[イベント種類],"アニール完了"),
_xlpm.充当受入,SUMIFS(tbl_ledger[数量],tbl_ledger[充当先ロットID],$B59,tbl_ledger[イベント種類],"充当",tbl_ledger[元状態],F$1),
_xlpm.払出,SUMIFS(tbl_ledger[数量],tbl_ledger[ロットID],$B59,tbl_ledger[元状態],F$1),
_xlpm.受入+_xlpm.充当受入-_xlpm.払出))</f>
        <v/>
      </c>
      <c r="G59" s="8" t="str">
        <f>IF($B59="","",_xlfn.LET(
_xlpm.受入,SUMIFS(tbl_ledger[数量],tbl_ledger[ロットID],$B59,tbl_ledger[イベント種類],"アセンブリ開始"),
_xlpm.充当受入,SUMIFS(tbl_ledger[数量],tbl_ledger[充当先ロットID],$B59,tbl_ledger[イベント種類],"充当",tbl_ledger[元状態],G$1),
_xlpm.払出,SUMIFS(tbl_ledger[数量],tbl_ledger[ロットID],$B59,tbl_ledger[元状態],G$1),
_xlpm.受入+_xlpm.充当受入-_xlpm.払出))</f>
        <v/>
      </c>
      <c r="H59" s="8" t="str">
        <f>IF($B59="","",_xlfn.LET(
_xlpm.受入,SUMIFS(tbl_ledger[数量],tbl_ledger[ロットID],$B59,tbl_ledger[イベント種類],"アセンブリ完了"),
_xlpm.充当受入,SUMIFS(tbl_ledger[数量],tbl_ledger[充当先ロットID],$B59,tbl_ledger[イベント種類],"充当",tbl_ledger[元状態],H$1),
_xlpm.払出,SUMIFS(tbl_ledger[数量],tbl_ledger[ロットID],$B59,tbl_ledger[元状態],H$1),
_xlpm.受入+_xlpm.充当受入-_xlpm.払出))</f>
        <v/>
      </c>
      <c r="I59" s="8" t="str">
        <f>IF($B59="","",_xlfn.LET(
_xlpm.受入,SUMIFS(tbl_ledger[数量],tbl_ledger[ロットID],$B59,tbl_ledger[イベント種類],"梱包開始"),
_xlpm.充当受入,SUMIFS(tbl_ledger[数量],tbl_ledger[充当先ロットID],$B59,tbl_ledger[イベント種類],"充当",tbl_ledger[元状態],I$1),
_xlpm.払出,SUMIFS(tbl_ledger[数量],tbl_ledger[ロットID],$B59,tbl_ledger[元状態],I$1),
_xlpm.受入+_xlpm.充当受入-_xlpm.払出))</f>
        <v/>
      </c>
      <c r="J59" s="8" t="str">
        <f>IF($B59="","",_xlfn.LET(
_xlpm.受入,SUMIFS(tbl_ledger[数量],tbl_ledger[ロットID],$B59,tbl_ledger[イベント種類],"梱包完了"),
_xlpm.充当受入,SUMIFS(tbl_ledger[数量],tbl_ledger[充当先ロットID],$B59,tbl_ledger[イベント種類],"充当",tbl_ledger[元状態],J$1),
_xlpm.払出,SUMIFS(tbl_ledger[数量],tbl_ledger[ロットID],$B59,tbl_ledger[元状態],J$1),
_xlpm.受入+_xlpm.充当受入-_xlpm.払出))</f>
        <v/>
      </c>
      <c r="K59" s="8" t="str">
        <f>IF($B59="","",_xlfn.LET(
_xlpm.受入,SUMIFS(tbl_ledger[数量],tbl_ledger[ロットID],$B59,tbl_ledger[イベント種類],"発送準備開始"),
_xlpm.充当受入,SUMIFS(tbl_ledger[数量],tbl_ledger[充当先ロットID],$B59,tbl_ledger[イベント種類],"充当",tbl_ledger[元状態],K$1),
_xlpm.払出,SUMIFS(tbl_ledger[数量],tbl_ledger[ロットID],$B59,tbl_ledger[元状態],K$1),
_xlpm.受入+_xlpm.充当受入-_xlpm.払出))</f>
        <v/>
      </c>
      <c r="L59" s="8" t="str">
        <f>IF($B59="","",_xlfn.LET(
_xlpm.受入,SUMIFS(tbl_ledger[数量],tbl_ledger[ロットID],$B59,tbl_ledger[イベント種類],"発送準備完了"),
_xlpm.充当受入,SUMIFS(tbl_ledger[数量],tbl_ledger[充当先ロットID],$B59,tbl_ledger[イベント種類],"充当",tbl_ledger[元状態],L$1),
_xlpm.払出,SUMIFS(tbl_ledger[数量],tbl_ledger[ロットID],$B59,tbl_ledger[元状態],L$1),
_xlpm.受入+_xlpm.充当受入-_xlpm.払出))</f>
        <v/>
      </c>
      <c r="M59" s="8" t="str">
        <f>IF($B59="","",_xlfn.LET(
_xlpm.受入,SUMIFS(tbl_ledger[数量],tbl_ledger[ロットID],$B59,tbl_ledger[イベント種類],"不良発生"),
_xlpm.充当受入,SUMIFS(tbl_ledger[数量],tbl_ledger[充当先ロットID],$B59,tbl_ledger[イベント種類],"充当",tbl_ledger[元状態],M$1),
_xlpm.払出,SUMIFS(tbl_ledger[数量],tbl_ledger[ロットID],$B59,tbl_ledger[元状態],M$1),
_xlpm.受入+_xlpm.充当受入-_xlpm.払出))</f>
        <v/>
      </c>
      <c r="N59" s="8" t="str">
        <f t="shared" si="1"/>
        <v/>
      </c>
    </row>
    <row r="60" spans="1:14" ht="15" customHeight="1" x14ac:dyDescent="0.25">
      <c r="A60" s="4" t="str">
        <f t="shared" si="0"/>
        <v/>
      </c>
      <c r="B60" s="4" t="str">
        <f>IFERROR(IF(COUNTIF($B$1:$B59,INDEX(tbl_plan[ロットID],ROW()-1))&gt;0,"",INDEX(tbl_plan[ロットID],ROW()-1)),"")</f>
        <v/>
      </c>
      <c r="C60" s="4" t="str">
        <f>IF($B60="","",INDEX(tbl_plan[localId],ROW()-1))</f>
        <v/>
      </c>
      <c r="D60" s="8" t="str">
        <f>IF($B60="","",_xlfn.LET(
_xlpm.割当受入,SUMIF(V_充足確認!$A$2:$A$301,$B60,V_充足確認!$F$2:$F$301),
_xlpm.充当受入,SUMIFS(tbl_ledger[数量],tbl_ledger[充当先ロットID],$B60,tbl_ledger[イベント種類],"充当",tbl_ledger[元状態],D$1),
_xlpm.払出,SUMIFS(tbl_ledger[数量],tbl_ledger[ロットID],$B60,tbl_ledger[元状態],D$1),
_xlpm.割当受入+_xlpm.充当受入-_xlpm.払出))</f>
        <v/>
      </c>
      <c r="E60" s="8" t="str">
        <f>IF($B60="","",_xlfn.LET(
_xlpm.受入,SUMIFS(tbl_ledger[数量],tbl_ledger[ロットID],$B60,tbl_ledger[イベント種類],"アニール開始"),
_xlpm.充当受入,SUMIFS(tbl_ledger[数量],tbl_ledger[充当先ロットID],$B60,tbl_ledger[イベント種類],"充当",tbl_ledger[元状態],E$1),
_xlpm.払出,SUMIFS(tbl_ledger[数量],tbl_ledger[ロットID],$B60,tbl_ledger[元状態],E$1),
_xlpm.受入+_xlpm.充当受入-_xlpm.払出))</f>
        <v/>
      </c>
      <c r="F60" s="8" t="str">
        <f>IF($B60="","",_xlfn.LET(
_xlpm.受入,SUMIFS(tbl_ledger[数量],tbl_ledger[ロットID],$B60,tbl_ledger[イベント種類],"アニール完了"),
_xlpm.充当受入,SUMIFS(tbl_ledger[数量],tbl_ledger[充当先ロットID],$B60,tbl_ledger[イベント種類],"充当",tbl_ledger[元状態],F$1),
_xlpm.払出,SUMIFS(tbl_ledger[数量],tbl_ledger[ロットID],$B60,tbl_ledger[元状態],F$1),
_xlpm.受入+_xlpm.充当受入-_xlpm.払出))</f>
        <v/>
      </c>
      <c r="G60" s="8" t="str">
        <f>IF($B60="","",_xlfn.LET(
_xlpm.受入,SUMIFS(tbl_ledger[数量],tbl_ledger[ロットID],$B60,tbl_ledger[イベント種類],"アセンブリ開始"),
_xlpm.充当受入,SUMIFS(tbl_ledger[数量],tbl_ledger[充当先ロットID],$B60,tbl_ledger[イベント種類],"充当",tbl_ledger[元状態],G$1),
_xlpm.払出,SUMIFS(tbl_ledger[数量],tbl_ledger[ロットID],$B60,tbl_ledger[元状態],G$1),
_xlpm.受入+_xlpm.充当受入-_xlpm.払出))</f>
        <v/>
      </c>
      <c r="H60" s="8" t="str">
        <f>IF($B60="","",_xlfn.LET(
_xlpm.受入,SUMIFS(tbl_ledger[数量],tbl_ledger[ロットID],$B60,tbl_ledger[イベント種類],"アセンブリ完了"),
_xlpm.充当受入,SUMIFS(tbl_ledger[数量],tbl_ledger[充当先ロットID],$B60,tbl_ledger[イベント種類],"充当",tbl_ledger[元状態],H$1),
_xlpm.払出,SUMIFS(tbl_ledger[数量],tbl_ledger[ロットID],$B60,tbl_ledger[元状態],H$1),
_xlpm.受入+_xlpm.充当受入-_xlpm.払出))</f>
        <v/>
      </c>
      <c r="I60" s="8" t="str">
        <f>IF($B60="","",_xlfn.LET(
_xlpm.受入,SUMIFS(tbl_ledger[数量],tbl_ledger[ロットID],$B60,tbl_ledger[イベント種類],"梱包開始"),
_xlpm.充当受入,SUMIFS(tbl_ledger[数量],tbl_ledger[充当先ロットID],$B60,tbl_ledger[イベント種類],"充当",tbl_ledger[元状態],I$1),
_xlpm.払出,SUMIFS(tbl_ledger[数量],tbl_ledger[ロットID],$B60,tbl_ledger[元状態],I$1),
_xlpm.受入+_xlpm.充当受入-_xlpm.払出))</f>
        <v/>
      </c>
      <c r="J60" s="8" t="str">
        <f>IF($B60="","",_xlfn.LET(
_xlpm.受入,SUMIFS(tbl_ledger[数量],tbl_ledger[ロットID],$B60,tbl_ledger[イベント種類],"梱包完了"),
_xlpm.充当受入,SUMIFS(tbl_ledger[数量],tbl_ledger[充当先ロットID],$B60,tbl_ledger[イベント種類],"充当",tbl_ledger[元状態],J$1),
_xlpm.払出,SUMIFS(tbl_ledger[数量],tbl_ledger[ロットID],$B60,tbl_ledger[元状態],J$1),
_xlpm.受入+_xlpm.充当受入-_xlpm.払出))</f>
        <v/>
      </c>
      <c r="K60" s="8" t="str">
        <f>IF($B60="","",_xlfn.LET(
_xlpm.受入,SUMIFS(tbl_ledger[数量],tbl_ledger[ロットID],$B60,tbl_ledger[イベント種類],"発送準備開始"),
_xlpm.充当受入,SUMIFS(tbl_ledger[数量],tbl_ledger[充当先ロットID],$B60,tbl_ledger[イベント種類],"充当",tbl_ledger[元状態],K$1),
_xlpm.払出,SUMIFS(tbl_ledger[数量],tbl_ledger[ロットID],$B60,tbl_ledger[元状態],K$1),
_xlpm.受入+_xlpm.充当受入-_xlpm.払出))</f>
        <v/>
      </c>
      <c r="L60" s="8" t="str">
        <f>IF($B60="","",_xlfn.LET(
_xlpm.受入,SUMIFS(tbl_ledger[数量],tbl_ledger[ロットID],$B60,tbl_ledger[イベント種類],"発送準備完了"),
_xlpm.充当受入,SUMIFS(tbl_ledger[数量],tbl_ledger[充当先ロットID],$B60,tbl_ledger[イベント種類],"充当",tbl_ledger[元状態],L$1),
_xlpm.払出,SUMIFS(tbl_ledger[数量],tbl_ledger[ロットID],$B60,tbl_ledger[元状態],L$1),
_xlpm.受入+_xlpm.充当受入-_xlpm.払出))</f>
        <v/>
      </c>
      <c r="M60" s="8" t="str">
        <f>IF($B60="","",_xlfn.LET(
_xlpm.受入,SUMIFS(tbl_ledger[数量],tbl_ledger[ロットID],$B60,tbl_ledger[イベント種類],"不良発生"),
_xlpm.充当受入,SUMIFS(tbl_ledger[数量],tbl_ledger[充当先ロットID],$B60,tbl_ledger[イベント種類],"充当",tbl_ledger[元状態],M$1),
_xlpm.払出,SUMIFS(tbl_ledger[数量],tbl_ledger[ロットID],$B60,tbl_ledger[元状態],M$1),
_xlpm.受入+_xlpm.充当受入-_xlpm.払出))</f>
        <v/>
      </c>
      <c r="N60" s="8" t="str">
        <f t="shared" si="1"/>
        <v/>
      </c>
    </row>
    <row r="61" spans="1:14" ht="15" customHeight="1" x14ac:dyDescent="0.25">
      <c r="A61" s="4" t="str">
        <f t="shared" si="0"/>
        <v/>
      </c>
      <c r="B61" s="4" t="str">
        <f>IFERROR(IF(COUNTIF($B$1:$B60,INDEX(tbl_plan[ロットID],ROW()-1))&gt;0,"",INDEX(tbl_plan[ロットID],ROW()-1)),"")</f>
        <v/>
      </c>
      <c r="C61" s="4" t="str">
        <f>IF($B61="","",INDEX(tbl_plan[localId],ROW()-1))</f>
        <v/>
      </c>
      <c r="D61" s="8" t="str">
        <f>IF($B61="","",_xlfn.LET(
_xlpm.割当受入,SUMIF(V_充足確認!$A$2:$A$301,$B61,V_充足確認!$F$2:$F$301),
_xlpm.充当受入,SUMIFS(tbl_ledger[数量],tbl_ledger[充当先ロットID],$B61,tbl_ledger[イベント種類],"充当",tbl_ledger[元状態],D$1),
_xlpm.払出,SUMIFS(tbl_ledger[数量],tbl_ledger[ロットID],$B61,tbl_ledger[元状態],D$1),
_xlpm.割当受入+_xlpm.充当受入-_xlpm.払出))</f>
        <v/>
      </c>
      <c r="E61" s="8" t="str">
        <f>IF($B61="","",_xlfn.LET(
_xlpm.受入,SUMIFS(tbl_ledger[数量],tbl_ledger[ロットID],$B61,tbl_ledger[イベント種類],"アニール開始"),
_xlpm.充当受入,SUMIFS(tbl_ledger[数量],tbl_ledger[充当先ロットID],$B61,tbl_ledger[イベント種類],"充当",tbl_ledger[元状態],E$1),
_xlpm.払出,SUMIFS(tbl_ledger[数量],tbl_ledger[ロットID],$B61,tbl_ledger[元状態],E$1),
_xlpm.受入+_xlpm.充当受入-_xlpm.払出))</f>
        <v/>
      </c>
      <c r="F61" s="8" t="str">
        <f>IF($B61="","",_xlfn.LET(
_xlpm.受入,SUMIFS(tbl_ledger[数量],tbl_ledger[ロットID],$B61,tbl_ledger[イベント種類],"アニール完了"),
_xlpm.充当受入,SUMIFS(tbl_ledger[数量],tbl_ledger[充当先ロットID],$B61,tbl_ledger[イベント種類],"充当",tbl_ledger[元状態],F$1),
_xlpm.払出,SUMIFS(tbl_ledger[数量],tbl_ledger[ロットID],$B61,tbl_ledger[元状態],F$1),
_xlpm.受入+_xlpm.充当受入-_xlpm.払出))</f>
        <v/>
      </c>
      <c r="G61" s="8" t="str">
        <f>IF($B61="","",_xlfn.LET(
_xlpm.受入,SUMIFS(tbl_ledger[数量],tbl_ledger[ロットID],$B61,tbl_ledger[イベント種類],"アセンブリ開始"),
_xlpm.充当受入,SUMIFS(tbl_ledger[数量],tbl_ledger[充当先ロットID],$B61,tbl_ledger[イベント種類],"充当",tbl_ledger[元状態],G$1),
_xlpm.払出,SUMIFS(tbl_ledger[数量],tbl_ledger[ロットID],$B61,tbl_ledger[元状態],G$1),
_xlpm.受入+_xlpm.充当受入-_xlpm.払出))</f>
        <v/>
      </c>
      <c r="H61" s="8" t="str">
        <f>IF($B61="","",_xlfn.LET(
_xlpm.受入,SUMIFS(tbl_ledger[数量],tbl_ledger[ロットID],$B61,tbl_ledger[イベント種類],"アセンブリ完了"),
_xlpm.充当受入,SUMIFS(tbl_ledger[数量],tbl_ledger[充当先ロットID],$B61,tbl_ledger[イベント種類],"充当",tbl_ledger[元状態],H$1),
_xlpm.払出,SUMIFS(tbl_ledger[数量],tbl_ledger[ロットID],$B61,tbl_ledger[元状態],H$1),
_xlpm.受入+_xlpm.充当受入-_xlpm.払出))</f>
        <v/>
      </c>
      <c r="I61" s="8" t="str">
        <f>IF($B61="","",_xlfn.LET(
_xlpm.受入,SUMIFS(tbl_ledger[数量],tbl_ledger[ロットID],$B61,tbl_ledger[イベント種類],"梱包開始"),
_xlpm.充当受入,SUMIFS(tbl_ledger[数量],tbl_ledger[充当先ロットID],$B61,tbl_ledger[イベント種類],"充当",tbl_ledger[元状態],I$1),
_xlpm.払出,SUMIFS(tbl_ledger[数量],tbl_ledger[ロットID],$B61,tbl_ledger[元状態],I$1),
_xlpm.受入+_xlpm.充当受入-_xlpm.払出))</f>
        <v/>
      </c>
      <c r="J61" s="8" t="str">
        <f>IF($B61="","",_xlfn.LET(
_xlpm.受入,SUMIFS(tbl_ledger[数量],tbl_ledger[ロットID],$B61,tbl_ledger[イベント種類],"梱包完了"),
_xlpm.充当受入,SUMIFS(tbl_ledger[数量],tbl_ledger[充当先ロットID],$B61,tbl_ledger[イベント種類],"充当",tbl_ledger[元状態],J$1),
_xlpm.払出,SUMIFS(tbl_ledger[数量],tbl_ledger[ロットID],$B61,tbl_ledger[元状態],J$1),
_xlpm.受入+_xlpm.充当受入-_xlpm.払出))</f>
        <v/>
      </c>
      <c r="K61" s="8" t="str">
        <f>IF($B61="","",_xlfn.LET(
_xlpm.受入,SUMIFS(tbl_ledger[数量],tbl_ledger[ロットID],$B61,tbl_ledger[イベント種類],"発送準備開始"),
_xlpm.充当受入,SUMIFS(tbl_ledger[数量],tbl_ledger[充当先ロットID],$B61,tbl_ledger[イベント種類],"充当",tbl_ledger[元状態],K$1),
_xlpm.払出,SUMIFS(tbl_ledger[数量],tbl_ledger[ロットID],$B61,tbl_ledger[元状態],K$1),
_xlpm.受入+_xlpm.充当受入-_xlpm.払出))</f>
        <v/>
      </c>
      <c r="L61" s="8" t="str">
        <f>IF($B61="","",_xlfn.LET(
_xlpm.受入,SUMIFS(tbl_ledger[数量],tbl_ledger[ロットID],$B61,tbl_ledger[イベント種類],"発送準備完了"),
_xlpm.充当受入,SUMIFS(tbl_ledger[数量],tbl_ledger[充当先ロットID],$B61,tbl_ledger[イベント種類],"充当",tbl_ledger[元状態],L$1),
_xlpm.払出,SUMIFS(tbl_ledger[数量],tbl_ledger[ロットID],$B61,tbl_ledger[元状態],L$1),
_xlpm.受入+_xlpm.充当受入-_xlpm.払出))</f>
        <v/>
      </c>
      <c r="M61" s="8" t="str">
        <f>IF($B61="","",_xlfn.LET(
_xlpm.受入,SUMIFS(tbl_ledger[数量],tbl_ledger[ロットID],$B61,tbl_ledger[イベント種類],"不良発生"),
_xlpm.充当受入,SUMIFS(tbl_ledger[数量],tbl_ledger[充当先ロットID],$B61,tbl_ledger[イベント種類],"充当",tbl_ledger[元状態],M$1),
_xlpm.払出,SUMIFS(tbl_ledger[数量],tbl_ledger[ロットID],$B61,tbl_ledger[元状態],M$1),
_xlpm.受入+_xlpm.充当受入-_xlpm.払出))</f>
        <v/>
      </c>
      <c r="N61" s="8" t="str">
        <f t="shared" si="1"/>
        <v/>
      </c>
    </row>
    <row r="62" spans="1:14" ht="15" customHeight="1" x14ac:dyDescent="0.25">
      <c r="A62" s="4" t="str">
        <f t="shared" si="0"/>
        <v/>
      </c>
      <c r="B62" s="4" t="str">
        <f>IFERROR(IF(COUNTIF($B$1:$B61,INDEX(tbl_plan[ロットID],ROW()-1))&gt;0,"",INDEX(tbl_plan[ロットID],ROW()-1)),"")</f>
        <v/>
      </c>
      <c r="C62" s="4" t="str">
        <f>IF($B62="","",INDEX(tbl_plan[localId],ROW()-1))</f>
        <v/>
      </c>
      <c r="D62" s="8" t="str">
        <f>IF($B62="","",_xlfn.LET(
_xlpm.割当受入,SUMIF(V_充足確認!$A$2:$A$301,$B62,V_充足確認!$F$2:$F$301),
_xlpm.充当受入,SUMIFS(tbl_ledger[数量],tbl_ledger[充当先ロットID],$B62,tbl_ledger[イベント種類],"充当",tbl_ledger[元状態],D$1),
_xlpm.払出,SUMIFS(tbl_ledger[数量],tbl_ledger[ロットID],$B62,tbl_ledger[元状態],D$1),
_xlpm.割当受入+_xlpm.充当受入-_xlpm.払出))</f>
        <v/>
      </c>
      <c r="E62" s="8" t="str">
        <f>IF($B62="","",_xlfn.LET(
_xlpm.受入,SUMIFS(tbl_ledger[数量],tbl_ledger[ロットID],$B62,tbl_ledger[イベント種類],"アニール開始"),
_xlpm.充当受入,SUMIFS(tbl_ledger[数量],tbl_ledger[充当先ロットID],$B62,tbl_ledger[イベント種類],"充当",tbl_ledger[元状態],E$1),
_xlpm.払出,SUMIFS(tbl_ledger[数量],tbl_ledger[ロットID],$B62,tbl_ledger[元状態],E$1),
_xlpm.受入+_xlpm.充当受入-_xlpm.払出))</f>
        <v/>
      </c>
      <c r="F62" s="8" t="str">
        <f>IF($B62="","",_xlfn.LET(
_xlpm.受入,SUMIFS(tbl_ledger[数量],tbl_ledger[ロットID],$B62,tbl_ledger[イベント種類],"アニール完了"),
_xlpm.充当受入,SUMIFS(tbl_ledger[数量],tbl_ledger[充当先ロットID],$B62,tbl_ledger[イベント種類],"充当",tbl_ledger[元状態],F$1),
_xlpm.払出,SUMIFS(tbl_ledger[数量],tbl_ledger[ロットID],$B62,tbl_ledger[元状態],F$1),
_xlpm.受入+_xlpm.充当受入-_xlpm.払出))</f>
        <v/>
      </c>
      <c r="G62" s="8" t="str">
        <f>IF($B62="","",_xlfn.LET(
_xlpm.受入,SUMIFS(tbl_ledger[数量],tbl_ledger[ロットID],$B62,tbl_ledger[イベント種類],"アセンブリ開始"),
_xlpm.充当受入,SUMIFS(tbl_ledger[数量],tbl_ledger[充当先ロットID],$B62,tbl_ledger[イベント種類],"充当",tbl_ledger[元状態],G$1),
_xlpm.払出,SUMIFS(tbl_ledger[数量],tbl_ledger[ロットID],$B62,tbl_ledger[元状態],G$1),
_xlpm.受入+_xlpm.充当受入-_xlpm.払出))</f>
        <v/>
      </c>
      <c r="H62" s="8" t="str">
        <f>IF($B62="","",_xlfn.LET(
_xlpm.受入,SUMIFS(tbl_ledger[数量],tbl_ledger[ロットID],$B62,tbl_ledger[イベント種類],"アセンブリ完了"),
_xlpm.充当受入,SUMIFS(tbl_ledger[数量],tbl_ledger[充当先ロットID],$B62,tbl_ledger[イベント種類],"充当",tbl_ledger[元状態],H$1),
_xlpm.払出,SUMIFS(tbl_ledger[数量],tbl_ledger[ロットID],$B62,tbl_ledger[元状態],H$1),
_xlpm.受入+_xlpm.充当受入-_xlpm.払出))</f>
        <v/>
      </c>
      <c r="I62" s="8" t="str">
        <f>IF($B62="","",_xlfn.LET(
_xlpm.受入,SUMIFS(tbl_ledger[数量],tbl_ledger[ロットID],$B62,tbl_ledger[イベント種類],"梱包開始"),
_xlpm.充当受入,SUMIFS(tbl_ledger[数量],tbl_ledger[充当先ロットID],$B62,tbl_ledger[イベント種類],"充当",tbl_ledger[元状態],I$1),
_xlpm.払出,SUMIFS(tbl_ledger[数量],tbl_ledger[ロットID],$B62,tbl_ledger[元状態],I$1),
_xlpm.受入+_xlpm.充当受入-_xlpm.払出))</f>
        <v/>
      </c>
      <c r="J62" s="8" t="str">
        <f>IF($B62="","",_xlfn.LET(
_xlpm.受入,SUMIFS(tbl_ledger[数量],tbl_ledger[ロットID],$B62,tbl_ledger[イベント種類],"梱包完了"),
_xlpm.充当受入,SUMIFS(tbl_ledger[数量],tbl_ledger[充当先ロットID],$B62,tbl_ledger[イベント種類],"充当",tbl_ledger[元状態],J$1),
_xlpm.払出,SUMIFS(tbl_ledger[数量],tbl_ledger[ロットID],$B62,tbl_ledger[元状態],J$1),
_xlpm.受入+_xlpm.充当受入-_xlpm.払出))</f>
        <v/>
      </c>
      <c r="K62" s="8" t="str">
        <f>IF($B62="","",_xlfn.LET(
_xlpm.受入,SUMIFS(tbl_ledger[数量],tbl_ledger[ロットID],$B62,tbl_ledger[イベント種類],"発送準備開始"),
_xlpm.充当受入,SUMIFS(tbl_ledger[数量],tbl_ledger[充当先ロットID],$B62,tbl_ledger[イベント種類],"充当",tbl_ledger[元状態],K$1),
_xlpm.払出,SUMIFS(tbl_ledger[数量],tbl_ledger[ロットID],$B62,tbl_ledger[元状態],K$1),
_xlpm.受入+_xlpm.充当受入-_xlpm.払出))</f>
        <v/>
      </c>
      <c r="L62" s="8" t="str">
        <f>IF($B62="","",_xlfn.LET(
_xlpm.受入,SUMIFS(tbl_ledger[数量],tbl_ledger[ロットID],$B62,tbl_ledger[イベント種類],"発送準備完了"),
_xlpm.充当受入,SUMIFS(tbl_ledger[数量],tbl_ledger[充当先ロットID],$B62,tbl_ledger[イベント種類],"充当",tbl_ledger[元状態],L$1),
_xlpm.払出,SUMIFS(tbl_ledger[数量],tbl_ledger[ロットID],$B62,tbl_ledger[元状態],L$1),
_xlpm.受入+_xlpm.充当受入-_xlpm.払出))</f>
        <v/>
      </c>
      <c r="M62" s="8" t="str">
        <f>IF($B62="","",_xlfn.LET(
_xlpm.受入,SUMIFS(tbl_ledger[数量],tbl_ledger[ロットID],$B62,tbl_ledger[イベント種類],"不良発生"),
_xlpm.充当受入,SUMIFS(tbl_ledger[数量],tbl_ledger[充当先ロットID],$B62,tbl_ledger[イベント種類],"充当",tbl_ledger[元状態],M$1),
_xlpm.払出,SUMIFS(tbl_ledger[数量],tbl_ledger[ロットID],$B62,tbl_ledger[元状態],M$1),
_xlpm.受入+_xlpm.充当受入-_xlpm.払出))</f>
        <v/>
      </c>
      <c r="N62" s="8" t="str">
        <f t="shared" si="1"/>
        <v/>
      </c>
    </row>
    <row r="63" spans="1:14" ht="15" customHeight="1" x14ac:dyDescent="0.25">
      <c r="A63" s="4" t="str">
        <f t="shared" si="0"/>
        <v/>
      </c>
      <c r="B63" s="4" t="str">
        <f>IFERROR(IF(COUNTIF($B$1:$B62,INDEX(tbl_plan[ロットID],ROW()-1))&gt;0,"",INDEX(tbl_plan[ロットID],ROW()-1)),"")</f>
        <v/>
      </c>
      <c r="C63" s="4" t="str">
        <f>IF($B63="","",INDEX(tbl_plan[localId],ROW()-1))</f>
        <v/>
      </c>
      <c r="D63" s="8" t="str">
        <f>IF($B63="","",_xlfn.LET(
_xlpm.割当受入,SUMIF(V_充足確認!$A$2:$A$301,$B63,V_充足確認!$F$2:$F$301),
_xlpm.充当受入,SUMIFS(tbl_ledger[数量],tbl_ledger[充当先ロットID],$B63,tbl_ledger[イベント種類],"充当",tbl_ledger[元状態],D$1),
_xlpm.払出,SUMIFS(tbl_ledger[数量],tbl_ledger[ロットID],$B63,tbl_ledger[元状態],D$1),
_xlpm.割当受入+_xlpm.充当受入-_xlpm.払出))</f>
        <v/>
      </c>
      <c r="E63" s="8" t="str">
        <f>IF($B63="","",_xlfn.LET(
_xlpm.受入,SUMIFS(tbl_ledger[数量],tbl_ledger[ロットID],$B63,tbl_ledger[イベント種類],"アニール開始"),
_xlpm.充当受入,SUMIFS(tbl_ledger[数量],tbl_ledger[充当先ロットID],$B63,tbl_ledger[イベント種類],"充当",tbl_ledger[元状態],E$1),
_xlpm.払出,SUMIFS(tbl_ledger[数量],tbl_ledger[ロットID],$B63,tbl_ledger[元状態],E$1),
_xlpm.受入+_xlpm.充当受入-_xlpm.払出))</f>
        <v/>
      </c>
      <c r="F63" s="8" t="str">
        <f>IF($B63="","",_xlfn.LET(
_xlpm.受入,SUMIFS(tbl_ledger[数量],tbl_ledger[ロットID],$B63,tbl_ledger[イベント種類],"アニール完了"),
_xlpm.充当受入,SUMIFS(tbl_ledger[数量],tbl_ledger[充当先ロットID],$B63,tbl_ledger[イベント種類],"充当",tbl_ledger[元状態],F$1),
_xlpm.払出,SUMIFS(tbl_ledger[数量],tbl_ledger[ロットID],$B63,tbl_ledger[元状態],F$1),
_xlpm.受入+_xlpm.充当受入-_xlpm.払出))</f>
        <v/>
      </c>
      <c r="G63" s="8" t="str">
        <f>IF($B63="","",_xlfn.LET(
_xlpm.受入,SUMIFS(tbl_ledger[数量],tbl_ledger[ロットID],$B63,tbl_ledger[イベント種類],"アセンブリ開始"),
_xlpm.充当受入,SUMIFS(tbl_ledger[数量],tbl_ledger[充当先ロットID],$B63,tbl_ledger[イベント種類],"充当",tbl_ledger[元状態],G$1),
_xlpm.払出,SUMIFS(tbl_ledger[数量],tbl_ledger[ロットID],$B63,tbl_ledger[元状態],G$1),
_xlpm.受入+_xlpm.充当受入-_xlpm.払出))</f>
        <v/>
      </c>
      <c r="H63" s="8" t="str">
        <f>IF($B63="","",_xlfn.LET(
_xlpm.受入,SUMIFS(tbl_ledger[数量],tbl_ledger[ロットID],$B63,tbl_ledger[イベント種類],"アセンブリ完了"),
_xlpm.充当受入,SUMIFS(tbl_ledger[数量],tbl_ledger[充当先ロットID],$B63,tbl_ledger[イベント種類],"充当",tbl_ledger[元状態],H$1),
_xlpm.払出,SUMIFS(tbl_ledger[数量],tbl_ledger[ロットID],$B63,tbl_ledger[元状態],H$1),
_xlpm.受入+_xlpm.充当受入-_xlpm.払出))</f>
        <v/>
      </c>
      <c r="I63" s="8" t="str">
        <f>IF($B63="","",_xlfn.LET(
_xlpm.受入,SUMIFS(tbl_ledger[数量],tbl_ledger[ロットID],$B63,tbl_ledger[イベント種類],"梱包開始"),
_xlpm.充当受入,SUMIFS(tbl_ledger[数量],tbl_ledger[充当先ロットID],$B63,tbl_ledger[イベント種類],"充当",tbl_ledger[元状態],I$1),
_xlpm.払出,SUMIFS(tbl_ledger[数量],tbl_ledger[ロットID],$B63,tbl_ledger[元状態],I$1),
_xlpm.受入+_xlpm.充当受入-_xlpm.払出))</f>
        <v/>
      </c>
      <c r="J63" s="8" t="str">
        <f>IF($B63="","",_xlfn.LET(
_xlpm.受入,SUMIFS(tbl_ledger[数量],tbl_ledger[ロットID],$B63,tbl_ledger[イベント種類],"梱包完了"),
_xlpm.充当受入,SUMIFS(tbl_ledger[数量],tbl_ledger[充当先ロットID],$B63,tbl_ledger[イベント種類],"充当",tbl_ledger[元状態],J$1),
_xlpm.払出,SUMIFS(tbl_ledger[数量],tbl_ledger[ロットID],$B63,tbl_ledger[元状態],J$1),
_xlpm.受入+_xlpm.充当受入-_xlpm.払出))</f>
        <v/>
      </c>
      <c r="K63" s="8" t="str">
        <f>IF($B63="","",_xlfn.LET(
_xlpm.受入,SUMIFS(tbl_ledger[数量],tbl_ledger[ロットID],$B63,tbl_ledger[イベント種類],"発送準備開始"),
_xlpm.充当受入,SUMIFS(tbl_ledger[数量],tbl_ledger[充当先ロットID],$B63,tbl_ledger[イベント種類],"充当",tbl_ledger[元状態],K$1),
_xlpm.払出,SUMIFS(tbl_ledger[数量],tbl_ledger[ロットID],$B63,tbl_ledger[元状態],K$1),
_xlpm.受入+_xlpm.充当受入-_xlpm.払出))</f>
        <v/>
      </c>
      <c r="L63" s="8" t="str">
        <f>IF($B63="","",_xlfn.LET(
_xlpm.受入,SUMIFS(tbl_ledger[数量],tbl_ledger[ロットID],$B63,tbl_ledger[イベント種類],"発送準備完了"),
_xlpm.充当受入,SUMIFS(tbl_ledger[数量],tbl_ledger[充当先ロットID],$B63,tbl_ledger[イベント種類],"充当",tbl_ledger[元状態],L$1),
_xlpm.払出,SUMIFS(tbl_ledger[数量],tbl_ledger[ロットID],$B63,tbl_ledger[元状態],L$1),
_xlpm.受入+_xlpm.充当受入-_xlpm.払出))</f>
        <v/>
      </c>
      <c r="M63" s="8" t="str">
        <f>IF($B63="","",_xlfn.LET(
_xlpm.受入,SUMIFS(tbl_ledger[数量],tbl_ledger[ロットID],$B63,tbl_ledger[イベント種類],"不良発生"),
_xlpm.充当受入,SUMIFS(tbl_ledger[数量],tbl_ledger[充当先ロットID],$B63,tbl_ledger[イベント種類],"充当",tbl_ledger[元状態],M$1),
_xlpm.払出,SUMIFS(tbl_ledger[数量],tbl_ledger[ロットID],$B63,tbl_ledger[元状態],M$1),
_xlpm.受入+_xlpm.充当受入-_xlpm.払出))</f>
        <v/>
      </c>
      <c r="N63" s="8" t="str">
        <f t="shared" si="1"/>
        <v/>
      </c>
    </row>
    <row r="64" spans="1:14" ht="15" customHeight="1" x14ac:dyDescent="0.25">
      <c r="A64" s="4" t="str">
        <f t="shared" si="0"/>
        <v/>
      </c>
      <c r="B64" s="4" t="str">
        <f>IFERROR(IF(COUNTIF($B$1:$B63,INDEX(tbl_plan[ロットID],ROW()-1))&gt;0,"",INDEX(tbl_plan[ロットID],ROW()-1)),"")</f>
        <v/>
      </c>
      <c r="C64" s="4" t="str">
        <f>IF($B64="","",INDEX(tbl_plan[localId],ROW()-1))</f>
        <v/>
      </c>
      <c r="D64" s="8" t="str">
        <f>IF($B64="","",_xlfn.LET(
_xlpm.割当受入,SUMIF(V_充足確認!$A$2:$A$301,$B64,V_充足確認!$F$2:$F$301),
_xlpm.充当受入,SUMIFS(tbl_ledger[数量],tbl_ledger[充当先ロットID],$B64,tbl_ledger[イベント種類],"充当",tbl_ledger[元状態],D$1),
_xlpm.払出,SUMIFS(tbl_ledger[数量],tbl_ledger[ロットID],$B64,tbl_ledger[元状態],D$1),
_xlpm.割当受入+_xlpm.充当受入-_xlpm.払出))</f>
        <v/>
      </c>
      <c r="E64" s="8" t="str">
        <f>IF($B64="","",_xlfn.LET(
_xlpm.受入,SUMIFS(tbl_ledger[数量],tbl_ledger[ロットID],$B64,tbl_ledger[イベント種類],"アニール開始"),
_xlpm.充当受入,SUMIFS(tbl_ledger[数量],tbl_ledger[充当先ロットID],$B64,tbl_ledger[イベント種類],"充当",tbl_ledger[元状態],E$1),
_xlpm.払出,SUMIFS(tbl_ledger[数量],tbl_ledger[ロットID],$B64,tbl_ledger[元状態],E$1),
_xlpm.受入+_xlpm.充当受入-_xlpm.払出))</f>
        <v/>
      </c>
      <c r="F64" s="8" t="str">
        <f>IF($B64="","",_xlfn.LET(
_xlpm.受入,SUMIFS(tbl_ledger[数量],tbl_ledger[ロットID],$B64,tbl_ledger[イベント種類],"アニール完了"),
_xlpm.充当受入,SUMIFS(tbl_ledger[数量],tbl_ledger[充当先ロットID],$B64,tbl_ledger[イベント種類],"充当",tbl_ledger[元状態],F$1),
_xlpm.払出,SUMIFS(tbl_ledger[数量],tbl_ledger[ロットID],$B64,tbl_ledger[元状態],F$1),
_xlpm.受入+_xlpm.充当受入-_xlpm.払出))</f>
        <v/>
      </c>
      <c r="G64" s="8" t="str">
        <f>IF($B64="","",_xlfn.LET(
_xlpm.受入,SUMIFS(tbl_ledger[数量],tbl_ledger[ロットID],$B64,tbl_ledger[イベント種類],"アセンブリ開始"),
_xlpm.充当受入,SUMIFS(tbl_ledger[数量],tbl_ledger[充当先ロットID],$B64,tbl_ledger[イベント種類],"充当",tbl_ledger[元状態],G$1),
_xlpm.払出,SUMIFS(tbl_ledger[数量],tbl_ledger[ロットID],$B64,tbl_ledger[元状態],G$1),
_xlpm.受入+_xlpm.充当受入-_xlpm.払出))</f>
        <v/>
      </c>
      <c r="H64" s="8" t="str">
        <f>IF($B64="","",_xlfn.LET(
_xlpm.受入,SUMIFS(tbl_ledger[数量],tbl_ledger[ロットID],$B64,tbl_ledger[イベント種類],"アセンブリ完了"),
_xlpm.充当受入,SUMIFS(tbl_ledger[数量],tbl_ledger[充当先ロットID],$B64,tbl_ledger[イベント種類],"充当",tbl_ledger[元状態],H$1),
_xlpm.払出,SUMIFS(tbl_ledger[数量],tbl_ledger[ロットID],$B64,tbl_ledger[元状態],H$1),
_xlpm.受入+_xlpm.充当受入-_xlpm.払出))</f>
        <v/>
      </c>
      <c r="I64" s="8" t="str">
        <f>IF($B64="","",_xlfn.LET(
_xlpm.受入,SUMIFS(tbl_ledger[数量],tbl_ledger[ロットID],$B64,tbl_ledger[イベント種類],"梱包開始"),
_xlpm.充当受入,SUMIFS(tbl_ledger[数量],tbl_ledger[充当先ロットID],$B64,tbl_ledger[イベント種類],"充当",tbl_ledger[元状態],I$1),
_xlpm.払出,SUMIFS(tbl_ledger[数量],tbl_ledger[ロットID],$B64,tbl_ledger[元状態],I$1),
_xlpm.受入+_xlpm.充当受入-_xlpm.払出))</f>
        <v/>
      </c>
      <c r="J64" s="8" t="str">
        <f>IF($B64="","",_xlfn.LET(
_xlpm.受入,SUMIFS(tbl_ledger[数量],tbl_ledger[ロットID],$B64,tbl_ledger[イベント種類],"梱包完了"),
_xlpm.充当受入,SUMIFS(tbl_ledger[数量],tbl_ledger[充当先ロットID],$B64,tbl_ledger[イベント種類],"充当",tbl_ledger[元状態],J$1),
_xlpm.払出,SUMIFS(tbl_ledger[数量],tbl_ledger[ロットID],$B64,tbl_ledger[元状態],J$1),
_xlpm.受入+_xlpm.充当受入-_xlpm.払出))</f>
        <v/>
      </c>
      <c r="K64" s="8" t="str">
        <f>IF($B64="","",_xlfn.LET(
_xlpm.受入,SUMIFS(tbl_ledger[数量],tbl_ledger[ロットID],$B64,tbl_ledger[イベント種類],"発送準備開始"),
_xlpm.充当受入,SUMIFS(tbl_ledger[数量],tbl_ledger[充当先ロットID],$B64,tbl_ledger[イベント種類],"充当",tbl_ledger[元状態],K$1),
_xlpm.払出,SUMIFS(tbl_ledger[数量],tbl_ledger[ロットID],$B64,tbl_ledger[元状態],K$1),
_xlpm.受入+_xlpm.充当受入-_xlpm.払出))</f>
        <v/>
      </c>
      <c r="L64" s="8" t="str">
        <f>IF($B64="","",_xlfn.LET(
_xlpm.受入,SUMIFS(tbl_ledger[数量],tbl_ledger[ロットID],$B64,tbl_ledger[イベント種類],"発送準備完了"),
_xlpm.充当受入,SUMIFS(tbl_ledger[数量],tbl_ledger[充当先ロットID],$B64,tbl_ledger[イベント種類],"充当",tbl_ledger[元状態],L$1),
_xlpm.払出,SUMIFS(tbl_ledger[数量],tbl_ledger[ロットID],$B64,tbl_ledger[元状態],L$1),
_xlpm.受入+_xlpm.充当受入-_xlpm.払出))</f>
        <v/>
      </c>
      <c r="M64" s="8" t="str">
        <f>IF($B64="","",_xlfn.LET(
_xlpm.受入,SUMIFS(tbl_ledger[数量],tbl_ledger[ロットID],$B64,tbl_ledger[イベント種類],"不良発生"),
_xlpm.充当受入,SUMIFS(tbl_ledger[数量],tbl_ledger[充当先ロットID],$B64,tbl_ledger[イベント種類],"充当",tbl_ledger[元状態],M$1),
_xlpm.払出,SUMIFS(tbl_ledger[数量],tbl_ledger[ロットID],$B64,tbl_ledger[元状態],M$1),
_xlpm.受入+_xlpm.充当受入-_xlpm.払出))</f>
        <v/>
      </c>
      <c r="N64" s="8" t="str">
        <f t="shared" si="1"/>
        <v/>
      </c>
    </row>
    <row r="65" spans="1:14" ht="15" customHeight="1" x14ac:dyDescent="0.25">
      <c r="A65" s="4" t="str">
        <f t="shared" si="0"/>
        <v/>
      </c>
      <c r="B65" s="4" t="str">
        <f>IFERROR(IF(COUNTIF($B$1:$B64,INDEX(tbl_plan[ロットID],ROW()-1))&gt;0,"",INDEX(tbl_plan[ロットID],ROW()-1)),"")</f>
        <v/>
      </c>
      <c r="C65" s="4" t="str">
        <f>IF($B65="","",INDEX(tbl_plan[localId],ROW()-1))</f>
        <v/>
      </c>
      <c r="D65" s="8" t="str">
        <f>IF($B65="","",_xlfn.LET(
_xlpm.割当受入,SUMIF(V_充足確認!$A$2:$A$301,$B65,V_充足確認!$F$2:$F$301),
_xlpm.充当受入,SUMIFS(tbl_ledger[数量],tbl_ledger[充当先ロットID],$B65,tbl_ledger[イベント種類],"充当",tbl_ledger[元状態],D$1),
_xlpm.払出,SUMIFS(tbl_ledger[数量],tbl_ledger[ロットID],$B65,tbl_ledger[元状態],D$1),
_xlpm.割当受入+_xlpm.充当受入-_xlpm.払出))</f>
        <v/>
      </c>
      <c r="E65" s="8" t="str">
        <f>IF($B65="","",_xlfn.LET(
_xlpm.受入,SUMIFS(tbl_ledger[数量],tbl_ledger[ロットID],$B65,tbl_ledger[イベント種類],"アニール開始"),
_xlpm.充当受入,SUMIFS(tbl_ledger[数量],tbl_ledger[充当先ロットID],$B65,tbl_ledger[イベント種類],"充当",tbl_ledger[元状態],E$1),
_xlpm.払出,SUMIFS(tbl_ledger[数量],tbl_ledger[ロットID],$B65,tbl_ledger[元状態],E$1),
_xlpm.受入+_xlpm.充当受入-_xlpm.払出))</f>
        <v/>
      </c>
      <c r="F65" s="8" t="str">
        <f>IF($B65="","",_xlfn.LET(
_xlpm.受入,SUMIFS(tbl_ledger[数量],tbl_ledger[ロットID],$B65,tbl_ledger[イベント種類],"アニール完了"),
_xlpm.充当受入,SUMIFS(tbl_ledger[数量],tbl_ledger[充当先ロットID],$B65,tbl_ledger[イベント種類],"充当",tbl_ledger[元状態],F$1),
_xlpm.払出,SUMIFS(tbl_ledger[数量],tbl_ledger[ロットID],$B65,tbl_ledger[元状態],F$1),
_xlpm.受入+_xlpm.充当受入-_xlpm.払出))</f>
        <v/>
      </c>
      <c r="G65" s="8" t="str">
        <f>IF($B65="","",_xlfn.LET(
_xlpm.受入,SUMIFS(tbl_ledger[数量],tbl_ledger[ロットID],$B65,tbl_ledger[イベント種類],"アセンブリ開始"),
_xlpm.充当受入,SUMIFS(tbl_ledger[数量],tbl_ledger[充当先ロットID],$B65,tbl_ledger[イベント種類],"充当",tbl_ledger[元状態],G$1),
_xlpm.払出,SUMIFS(tbl_ledger[数量],tbl_ledger[ロットID],$B65,tbl_ledger[元状態],G$1),
_xlpm.受入+_xlpm.充当受入-_xlpm.払出))</f>
        <v/>
      </c>
      <c r="H65" s="8" t="str">
        <f>IF($B65="","",_xlfn.LET(
_xlpm.受入,SUMIFS(tbl_ledger[数量],tbl_ledger[ロットID],$B65,tbl_ledger[イベント種類],"アセンブリ完了"),
_xlpm.充当受入,SUMIFS(tbl_ledger[数量],tbl_ledger[充当先ロットID],$B65,tbl_ledger[イベント種類],"充当",tbl_ledger[元状態],H$1),
_xlpm.払出,SUMIFS(tbl_ledger[数量],tbl_ledger[ロットID],$B65,tbl_ledger[元状態],H$1),
_xlpm.受入+_xlpm.充当受入-_xlpm.払出))</f>
        <v/>
      </c>
      <c r="I65" s="8" t="str">
        <f>IF($B65="","",_xlfn.LET(
_xlpm.受入,SUMIFS(tbl_ledger[数量],tbl_ledger[ロットID],$B65,tbl_ledger[イベント種類],"梱包開始"),
_xlpm.充当受入,SUMIFS(tbl_ledger[数量],tbl_ledger[充当先ロットID],$B65,tbl_ledger[イベント種類],"充当",tbl_ledger[元状態],I$1),
_xlpm.払出,SUMIFS(tbl_ledger[数量],tbl_ledger[ロットID],$B65,tbl_ledger[元状態],I$1),
_xlpm.受入+_xlpm.充当受入-_xlpm.払出))</f>
        <v/>
      </c>
      <c r="J65" s="8" t="str">
        <f>IF($B65="","",_xlfn.LET(
_xlpm.受入,SUMIFS(tbl_ledger[数量],tbl_ledger[ロットID],$B65,tbl_ledger[イベント種類],"梱包完了"),
_xlpm.充当受入,SUMIFS(tbl_ledger[数量],tbl_ledger[充当先ロットID],$B65,tbl_ledger[イベント種類],"充当",tbl_ledger[元状態],J$1),
_xlpm.払出,SUMIFS(tbl_ledger[数量],tbl_ledger[ロットID],$B65,tbl_ledger[元状態],J$1),
_xlpm.受入+_xlpm.充当受入-_xlpm.払出))</f>
        <v/>
      </c>
      <c r="K65" s="8" t="str">
        <f>IF($B65="","",_xlfn.LET(
_xlpm.受入,SUMIFS(tbl_ledger[数量],tbl_ledger[ロットID],$B65,tbl_ledger[イベント種類],"発送準備開始"),
_xlpm.充当受入,SUMIFS(tbl_ledger[数量],tbl_ledger[充当先ロットID],$B65,tbl_ledger[イベント種類],"充当",tbl_ledger[元状態],K$1),
_xlpm.払出,SUMIFS(tbl_ledger[数量],tbl_ledger[ロットID],$B65,tbl_ledger[元状態],K$1),
_xlpm.受入+_xlpm.充当受入-_xlpm.払出))</f>
        <v/>
      </c>
      <c r="L65" s="8" t="str">
        <f>IF($B65="","",_xlfn.LET(
_xlpm.受入,SUMIFS(tbl_ledger[数量],tbl_ledger[ロットID],$B65,tbl_ledger[イベント種類],"発送準備完了"),
_xlpm.充当受入,SUMIFS(tbl_ledger[数量],tbl_ledger[充当先ロットID],$B65,tbl_ledger[イベント種類],"充当",tbl_ledger[元状態],L$1),
_xlpm.払出,SUMIFS(tbl_ledger[数量],tbl_ledger[ロットID],$B65,tbl_ledger[元状態],L$1),
_xlpm.受入+_xlpm.充当受入-_xlpm.払出))</f>
        <v/>
      </c>
      <c r="M65" s="8" t="str">
        <f>IF($B65="","",_xlfn.LET(
_xlpm.受入,SUMIFS(tbl_ledger[数量],tbl_ledger[ロットID],$B65,tbl_ledger[イベント種類],"不良発生"),
_xlpm.充当受入,SUMIFS(tbl_ledger[数量],tbl_ledger[充当先ロットID],$B65,tbl_ledger[イベント種類],"充当",tbl_ledger[元状態],M$1),
_xlpm.払出,SUMIFS(tbl_ledger[数量],tbl_ledger[ロットID],$B65,tbl_ledger[元状態],M$1),
_xlpm.受入+_xlpm.充当受入-_xlpm.払出))</f>
        <v/>
      </c>
      <c r="N65" s="8" t="str">
        <f t="shared" si="1"/>
        <v/>
      </c>
    </row>
    <row r="66" spans="1:14" ht="15" customHeight="1" x14ac:dyDescent="0.25">
      <c r="A66" s="4" t="str">
        <f t="shared" ref="A66:A129" si="2">IF($B66="","","ロット")</f>
        <v/>
      </c>
      <c r="B66" s="4" t="str">
        <f>IFERROR(IF(COUNTIF($B$1:$B65,INDEX(tbl_plan[ロットID],ROW()-1))&gt;0,"",INDEX(tbl_plan[ロットID],ROW()-1)),"")</f>
        <v/>
      </c>
      <c r="C66" s="4" t="str">
        <f>IF($B66="","",INDEX(tbl_plan[localId],ROW()-1))</f>
        <v/>
      </c>
      <c r="D66" s="8" t="str">
        <f>IF($B66="","",_xlfn.LET(
_xlpm.割当受入,SUMIF(V_充足確認!$A$2:$A$301,$B66,V_充足確認!$F$2:$F$301),
_xlpm.充当受入,SUMIFS(tbl_ledger[数量],tbl_ledger[充当先ロットID],$B66,tbl_ledger[イベント種類],"充当",tbl_ledger[元状態],D$1),
_xlpm.払出,SUMIFS(tbl_ledger[数量],tbl_ledger[ロットID],$B66,tbl_ledger[元状態],D$1),
_xlpm.割当受入+_xlpm.充当受入-_xlpm.払出))</f>
        <v/>
      </c>
      <c r="E66" s="8" t="str">
        <f>IF($B66="","",_xlfn.LET(
_xlpm.受入,SUMIFS(tbl_ledger[数量],tbl_ledger[ロットID],$B66,tbl_ledger[イベント種類],"アニール開始"),
_xlpm.充当受入,SUMIFS(tbl_ledger[数量],tbl_ledger[充当先ロットID],$B66,tbl_ledger[イベント種類],"充当",tbl_ledger[元状態],E$1),
_xlpm.払出,SUMIFS(tbl_ledger[数量],tbl_ledger[ロットID],$B66,tbl_ledger[元状態],E$1),
_xlpm.受入+_xlpm.充当受入-_xlpm.払出))</f>
        <v/>
      </c>
      <c r="F66" s="8" t="str">
        <f>IF($B66="","",_xlfn.LET(
_xlpm.受入,SUMIFS(tbl_ledger[数量],tbl_ledger[ロットID],$B66,tbl_ledger[イベント種類],"アニール完了"),
_xlpm.充当受入,SUMIFS(tbl_ledger[数量],tbl_ledger[充当先ロットID],$B66,tbl_ledger[イベント種類],"充当",tbl_ledger[元状態],F$1),
_xlpm.払出,SUMIFS(tbl_ledger[数量],tbl_ledger[ロットID],$B66,tbl_ledger[元状態],F$1),
_xlpm.受入+_xlpm.充当受入-_xlpm.払出))</f>
        <v/>
      </c>
      <c r="G66" s="8" t="str">
        <f>IF($B66="","",_xlfn.LET(
_xlpm.受入,SUMIFS(tbl_ledger[数量],tbl_ledger[ロットID],$B66,tbl_ledger[イベント種類],"アセンブリ開始"),
_xlpm.充当受入,SUMIFS(tbl_ledger[数量],tbl_ledger[充当先ロットID],$B66,tbl_ledger[イベント種類],"充当",tbl_ledger[元状態],G$1),
_xlpm.払出,SUMIFS(tbl_ledger[数量],tbl_ledger[ロットID],$B66,tbl_ledger[元状態],G$1),
_xlpm.受入+_xlpm.充当受入-_xlpm.払出))</f>
        <v/>
      </c>
      <c r="H66" s="8" t="str">
        <f>IF($B66="","",_xlfn.LET(
_xlpm.受入,SUMIFS(tbl_ledger[数量],tbl_ledger[ロットID],$B66,tbl_ledger[イベント種類],"アセンブリ完了"),
_xlpm.充当受入,SUMIFS(tbl_ledger[数量],tbl_ledger[充当先ロットID],$B66,tbl_ledger[イベント種類],"充当",tbl_ledger[元状態],H$1),
_xlpm.払出,SUMIFS(tbl_ledger[数量],tbl_ledger[ロットID],$B66,tbl_ledger[元状態],H$1),
_xlpm.受入+_xlpm.充当受入-_xlpm.払出))</f>
        <v/>
      </c>
      <c r="I66" s="8" t="str">
        <f>IF($B66="","",_xlfn.LET(
_xlpm.受入,SUMIFS(tbl_ledger[数量],tbl_ledger[ロットID],$B66,tbl_ledger[イベント種類],"梱包開始"),
_xlpm.充当受入,SUMIFS(tbl_ledger[数量],tbl_ledger[充当先ロットID],$B66,tbl_ledger[イベント種類],"充当",tbl_ledger[元状態],I$1),
_xlpm.払出,SUMIFS(tbl_ledger[数量],tbl_ledger[ロットID],$B66,tbl_ledger[元状態],I$1),
_xlpm.受入+_xlpm.充当受入-_xlpm.払出))</f>
        <v/>
      </c>
      <c r="J66" s="8" t="str">
        <f>IF($B66="","",_xlfn.LET(
_xlpm.受入,SUMIFS(tbl_ledger[数量],tbl_ledger[ロットID],$B66,tbl_ledger[イベント種類],"梱包完了"),
_xlpm.充当受入,SUMIFS(tbl_ledger[数量],tbl_ledger[充当先ロットID],$B66,tbl_ledger[イベント種類],"充当",tbl_ledger[元状態],J$1),
_xlpm.払出,SUMIFS(tbl_ledger[数量],tbl_ledger[ロットID],$B66,tbl_ledger[元状態],J$1),
_xlpm.受入+_xlpm.充当受入-_xlpm.払出))</f>
        <v/>
      </c>
      <c r="K66" s="8" t="str">
        <f>IF($B66="","",_xlfn.LET(
_xlpm.受入,SUMIFS(tbl_ledger[数量],tbl_ledger[ロットID],$B66,tbl_ledger[イベント種類],"発送準備開始"),
_xlpm.充当受入,SUMIFS(tbl_ledger[数量],tbl_ledger[充当先ロットID],$B66,tbl_ledger[イベント種類],"充当",tbl_ledger[元状態],K$1),
_xlpm.払出,SUMIFS(tbl_ledger[数量],tbl_ledger[ロットID],$B66,tbl_ledger[元状態],K$1),
_xlpm.受入+_xlpm.充当受入-_xlpm.払出))</f>
        <v/>
      </c>
      <c r="L66" s="8" t="str">
        <f>IF($B66="","",_xlfn.LET(
_xlpm.受入,SUMIFS(tbl_ledger[数量],tbl_ledger[ロットID],$B66,tbl_ledger[イベント種類],"発送準備完了"),
_xlpm.充当受入,SUMIFS(tbl_ledger[数量],tbl_ledger[充当先ロットID],$B66,tbl_ledger[イベント種類],"充当",tbl_ledger[元状態],L$1),
_xlpm.払出,SUMIFS(tbl_ledger[数量],tbl_ledger[ロットID],$B66,tbl_ledger[元状態],L$1),
_xlpm.受入+_xlpm.充当受入-_xlpm.払出))</f>
        <v/>
      </c>
      <c r="M66" s="8" t="str">
        <f>IF($B66="","",_xlfn.LET(
_xlpm.受入,SUMIFS(tbl_ledger[数量],tbl_ledger[ロットID],$B66,tbl_ledger[イベント種類],"不良発生"),
_xlpm.充当受入,SUMIFS(tbl_ledger[数量],tbl_ledger[充当先ロットID],$B66,tbl_ledger[イベント種類],"充当",tbl_ledger[元状態],M$1),
_xlpm.払出,SUMIFS(tbl_ledger[数量],tbl_ledger[ロットID],$B66,tbl_ledger[元状態],M$1),
_xlpm.受入+_xlpm.充当受入-_xlpm.払出))</f>
        <v/>
      </c>
      <c r="N66" s="8" t="str">
        <f t="shared" ref="N66:N129" si="3">IF($B66="","",SUM(D66:M66))</f>
        <v/>
      </c>
    </row>
    <row r="67" spans="1:14" ht="15" customHeight="1" x14ac:dyDescent="0.25">
      <c r="A67" s="4" t="str">
        <f t="shared" si="2"/>
        <v/>
      </c>
      <c r="B67" s="4" t="str">
        <f>IFERROR(IF(COUNTIF($B$1:$B66,INDEX(tbl_plan[ロットID],ROW()-1))&gt;0,"",INDEX(tbl_plan[ロットID],ROW()-1)),"")</f>
        <v/>
      </c>
      <c r="C67" s="4" t="str">
        <f>IF($B67="","",INDEX(tbl_plan[localId],ROW()-1))</f>
        <v/>
      </c>
      <c r="D67" s="8" t="str">
        <f>IF($B67="","",_xlfn.LET(
_xlpm.割当受入,SUMIF(V_充足確認!$A$2:$A$301,$B67,V_充足確認!$F$2:$F$301),
_xlpm.充当受入,SUMIFS(tbl_ledger[数量],tbl_ledger[充当先ロットID],$B67,tbl_ledger[イベント種類],"充当",tbl_ledger[元状態],D$1),
_xlpm.払出,SUMIFS(tbl_ledger[数量],tbl_ledger[ロットID],$B67,tbl_ledger[元状態],D$1),
_xlpm.割当受入+_xlpm.充当受入-_xlpm.払出))</f>
        <v/>
      </c>
      <c r="E67" s="8" t="str">
        <f>IF($B67="","",_xlfn.LET(
_xlpm.受入,SUMIFS(tbl_ledger[数量],tbl_ledger[ロットID],$B67,tbl_ledger[イベント種類],"アニール開始"),
_xlpm.充当受入,SUMIFS(tbl_ledger[数量],tbl_ledger[充当先ロットID],$B67,tbl_ledger[イベント種類],"充当",tbl_ledger[元状態],E$1),
_xlpm.払出,SUMIFS(tbl_ledger[数量],tbl_ledger[ロットID],$B67,tbl_ledger[元状態],E$1),
_xlpm.受入+_xlpm.充当受入-_xlpm.払出))</f>
        <v/>
      </c>
      <c r="F67" s="8" t="str">
        <f>IF($B67="","",_xlfn.LET(
_xlpm.受入,SUMIFS(tbl_ledger[数量],tbl_ledger[ロットID],$B67,tbl_ledger[イベント種類],"アニール完了"),
_xlpm.充当受入,SUMIFS(tbl_ledger[数量],tbl_ledger[充当先ロットID],$B67,tbl_ledger[イベント種類],"充当",tbl_ledger[元状態],F$1),
_xlpm.払出,SUMIFS(tbl_ledger[数量],tbl_ledger[ロットID],$B67,tbl_ledger[元状態],F$1),
_xlpm.受入+_xlpm.充当受入-_xlpm.払出))</f>
        <v/>
      </c>
      <c r="G67" s="8" t="str">
        <f>IF($B67="","",_xlfn.LET(
_xlpm.受入,SUMIFS(tbl_ledger[数量],tbl_ledger[ロットID],$B67,tbl_ledger[イベント種類],"アセンブリ開始"),
_xlpm.充当受入,SUMIFS(tbl_ledger[数量],tbl_ledger[充当先ロットID],$B67,tbl_ledger[イベント種類],"充当",tbl_ledger[元状態],G$1),
_xlpm.払出,SUMIFS(tbl_ledger[数量],tbl_ledger[ロットID],$B67,tbl_ledger[元状態],G$1),
_xlpm.受入+_xlpm.充当受入-_xlpm.払出))</f>
        <v/>
      </c>
      <c r="H67" s="8" t="str">
        <f>IF($B67="","",_xlfn.LET(
_xlpm.受入,SUMIFS(tbl_ledger[数量],tbl_ledger[ロットID],$B67,tbl_ledger[イベント種類],"アセンブリ完了"),
_xlpm.充当受入,SUMIFS(tbl_ledger[数量],tbl_ledger[充当先ロットID],$B67,tbl_ledger[イベント種類],"充当",tbl_ledger[元状態],H$1),
_xlpm.払出,SUMIFS(tbl_ledger[数量],tbl_ledger[ロットID],$B67,tbl_ledger[元状態],H$1),
_xlpm.受入+_xlpm.充当受入-_xlpm.払出))</f>
        <v/>
      </c>
      <c r="I67" s="8" t="str">
        <f>IF($B67="","",_xlfn.LET(
_xlpm.受入,SUMIFS(tbl_ledger[数量],tbl_ledger[ロットID],$B67,tbl_ledger[イベント種類],"梱包開始"),
_xlpm.充当受入,SUMIFS(tbl_ledger[数量],tbl_ledger[充当先ロットID],$B67,tbl_ledger[イベント種類],"充当",tbl_ledger[元状態],I$1),
_xlpm.払出,SUMIFS(tbl_ledger[数量],tbl_ledger[ロットID],$B67,tbl_ledger[元状態],I$1),
_xlpm.受入+_xlpm.充当受入-_xlpm.払出))</f>
        <v/>
      </c>
      <c r="J67" s="8" t="str">
        <f>IF($B67="","",_xlfn.LET(
_xlpm.受入,SUMIFS(tbl_ledger[数量],tbl_ledger[ロットID],$B67,tbl_ledger[イベント種類],"梱包完了"),
_xlpm.充当受入,SUMIFS(tbl_ledger[数量],tbl_ledger[充当先ロットID],$B67,tbl_ledger[イベント種類],"充当",tbl_ledger[元状態],J$1),
_xlpm.払出,SUMIFS(tbl_ledger[数量],tbl_ledger[ロットID],$B67,tbl_ledger[元状態],J$1),
_xlpm.受入+_xlpm.充当受入-_xlpm.払出))</f>
        <v/>
      </c>
      <c r="K67" s="8" t="str">
        <f>IF($B67="","",_xlfn.LET(
_xlpm.受入,SUMIFS(tbl_ledger[数量],tbl_ledger[ロットID],$B67,tbl_ledger[イベント種類],"発送準備開始"),
_xlpm.充当受入,SUMIFS(tbl_ledger[数量],tbl_ledger[充当先ロットID],$B67,tbl_ledger[イベント種類],"充当",tbl_ledger[元状態],K$1),
_xlpm.払出,SUMIFS(tbl_ledger[数量],tbl_ledger[ロットID],$B67,tbl_ledger[元状態],K$1),
_xlpm.受入+_xlpm.充当受入-_xlpm.払出))</f>
        <v/>
      </c>
      <c r="L67" s="8" t="str">
        <f>IF($B67="","",_xlfn.LET(
_xlpm.受入,SUMIFS(tbl_ledger[数量],tbl_ledger[ロットID],$B67,tbl_ledger[イベント種類],"発送準備完了"),
_xlpm.充当受入,SUMIFS(tbl_ledger[数量],tbl_ledger[充当先ロットID],$B67,tbl_ledger[イベント種類],"充当",tbl_ledger[元状態],L$1),
_xlpm.払出,SUMIFS(tbl_ledger[数量],tbl_ledger[ロットID],$B67,tbl_ledger[元状態],L$1),
_xlpm.受入+_xlpm.充当受入-_xlpm.払出))</f>
        <v/>
      </c>
      <c r="M67" s="8" t="str">
        <f>IF($B67="","",_xlfn.LET(
_xlpm.受入,SUMIFS(tbl_ledger[数量],tbl_ledger[ロットID],$B67,tbl_ledger[イベント種類],"不良発生"),
_xlpm.充当受入,SUMIFS(tbl_ledger[数量],tbl_ledger[充当先ロットID],$B67,tbl_ledger[イベント種類],"充当",tbl_ledger[元状態],M$1),
_xlpm.払出,SUMIFS(tbl_ledger[数量],tbl_ledger[ロットID],$B67,tbl_ledger[元状態],M$1),
_xlpm.受入+_xlpm.充当受入-_xlpm.払出))</f>
        <v/>
      </c>
      <c r="N67" s="8" t="str">
        <f t="shared" si="3"/>
        <v/>
      </c>
    </row>
    <row r="68" spans="1:14" ht="15" customHeight="1" x14ac:dyDescent="0.25">
      <c r="A68" s="4" t="str">
        <f t="shared" si="2"/>
        <v/>
      </c>
      <c r="B68" s="4" t="str">
        <f>IFERROR(IF(COUNTIF($B$1:$B67,INDEX(tbl_plan[ロットID],ROW()-1))&gt;0,"",INDEX(tbl_plan[ロットID],ROW()-1)),"")</f>
        <v/>
      </c>
      <c r="C68" s="4" t="str">
        <f>IF($B68="","",INDEX(tbl_plan[localId],ROW()-1))</f>
        <v/>
      </c>
      <c r="D68" s="8" t="str">
        <f>IF($B68="","",_xlfn.LET(
_xlpm.割当受入,SUMIF(V_充足確認!$A$2:$A$301,$B68,V_充足確認!$F$2:$F$301),
_xlpm.充当受入,SUMIFS(tbl_ledger[数量],tbl_ledger[充当先ロットID],$B68,tbl_ledger[イベント種類],"充当",tbl_ledger[元状態],D$1),
_xlpm.払出,SUMIFS(tbl_ledger[数量],tbl_ledger[ロットID],$B68,tbl_ledger[元状態],D$1),
_xlpm.割当受入+_xlpm.充当受入-_xlpm.払出))</f>
        <v/>
      </c>
      <c r="E68" s="8" t="str">
        <f>IF($B68="","",_xlfn.LET(
_xlpm.受入,SUMIFS(tbl_ledger[数量],tbl_ledger[ロットID],$B68,tbl_ledger[イベント種類],"アニール開始"),
_xlpm.充当受入,SUMIFS(tbl_ledger[数量],tbl_ledger[充当先ロットID],$B68,tbl_ledger[イベント種類],"充当",tbl_ledger[元状態],E$1),
_xlpm.払出,SUMIFS(tbl_ledger[数量],tbl_ledger[ロットID],$B68,tbl_ledger[元状態],E$1),
_xlpm.受入+_xlpm.充当受入-_xlpm.払出))</f>
        <v/>
      </c>
      <c r="F68" s="8" t="str">
        <f>IF($B68="","",_xlfn.LET(
_xlpm.受入,SUMIFS(tbl_ledger[数量],tbl_ledger[ロットID],$B68,tbl_ledger[イベント種類],"アニール完了"),
_xlpm.充当受入,SUMIFS(tbl_ledger[数量],tbl_ledger[充当先ロットID],$B68,tbl_ledger[イベント種類],"充当",tbl_ledger[元状態],F$1),
_xlpm.払出,SUMIFS(tbl_ledger[数量],tbl_ledger[ロットID],$B68,tbl_ledger[元状態],F$1),
_xlpm.受入+_xlpm.充当受入-_xlpm.払出))</f>
        <v/>
      </c>
      <c r="G68" s="8" t="str">
        <f>IF($B68="","",_xlfn.LET(
_xlpm.受入,SUMIFS(tbl_ledger[数量],tbl_ledger[ロットID],$B68,tbl_ledger[イベント種類],"アセンブリ開始"),
_xlpm.充当受入,SUMIFS(tbl_ledger[数量],tbl_ledger[充当先ロットID],$B68,tbl_ledger[イベント種類],"充当",tbl_ledger[元状態],G$1),
_xlpm.払出,SUMIFS(tbl_ledger[数量],tbl_ledger[ロットID],$B68,tbl_ledger[元状態],G$1),
_xlpm.受入+_xlpm.充当受入-_xlpm.払出))</f>
        <v/>
      </c>
      <c r="H68" s="8" t="str">
        <f>IF($B68="","",_xlfn.LET(
_xlpm.受入,SUMIFS(tbl_ledger[数量],tbl_ledger[ロットID],$B68,tbl_ledger[イベント種類],"アセンブリ完了"),
_xlpm.充当受入,SUMIFS(tbl_ledger[数量],tbl_ledger[充当先ロットID],$B68,tbl_ledger[イベント種類],"充当",tbl_ledger[元状態],H$1),
_xlpm.払出,SUMIFS(tbl_ledger[数量],tbl_ledger[ロットID],$B68,tbl_ledger[元状態],H$1),
_xlpm.受入+_xlpm.充当受入-_xlpm.払出))</f>
        <v/>
      </c>
      <c r="I68" s="8" t="str">
        <f>IF($B68="","",_xlfn.LET(
_xlpm.受入,SUMIFS(tbl_ledger[数量],tbl_ledger[ロットID],$B68,tbl_ledger[イベント種類],"梱包開始"),
_xlpm.充当受入,SUMIFS(tbl_ledger[数量],tbl_ledger[充当先ロットID],$B68,tbl_ledger[イベント種類],"充当",tbl_ledger[元状態],I$1),
_xlpm.払出,SUMIFS(tbl_ledger[数量],tbl_ledger[ロットID],$B68,tbl_ledger[元状態],I$1),
_xlpm.受入+_xlpm.充当受入-_xlpm.払出))</f>
        <v/>
      </c>
      <c r="J68" s="8" t="str">
        <f>IF($B68="","",_xlfn.LET(
_xlpm.受入,SUMIFS(tbl_ledger[数量],tbl_ledger[ロットID],$B68,tbl_ledger[イベント種類],"梱包完了"),
_xlpm.充当受入,SUMIFS(tbl_ledger[数量],tbl_ledger[充当先ロットID],$B68,tbl_ledger[イベント種類],"充当",tbl_ledger[元状態],J$1),
_xlpm.払出,SUMIFS(tbl_ledger[数量],tbl_ledger[ロットID],$B68,tbl_ledger[元状態],J$1),
_xlpm.受入+_xlpm.充当受入-_xlpm.払出))</f>
        <v/>
      </c>
      <c r="K68" s="8" t="str">
        <f>IF($B68="","",_xlfn.LET(
_xlpm.受入,SUMIFS(tbl_ledger[数量],tbl_ledger[ロットID],$B68,tbl_ledger[イベント種類],"発送準備開始"),
_xlpm.充当受入,SUMIFS(tbl_ledger[数量],tbl_ledger[充当先ロットID],$B68,tbl_ledger[イベント種類],"充当",tbl_ledger[元状態],K$1),
_xlpm.払出,SUMIFS(tbl_ledger[数量],tbl_ledger[ロットID],$B68,tbl_ledger[元状態],K$1),
_xlpm.受入+_xlpm.充当受入-_xlpm.払出))</f>
        <v/>
      </c>
      <c r="L68" s="8" t="str">
        <f>IF($B68="","",_xlfn.LET(
_xlpm.受入,SUMIFS(tbl_ledger[数量],tbl_ledger[ロットID],$B68,tbl_ledger[イベント種類],"発送準備完了"),
_xlpm.充当受入,SUMIFS(tbl_ledger[数量],tbl_ledger[充当先ロットID],$B68,tbl_ledger[イベント種類],"充当",tbl_ledger[元状態],L$1),
_xlpm.払出,SUMIFS(tbl_ledger[数量],tbl_ledger[ロットID],$B68,tbl_ledger[元状態],L$1),
_xlpm.受入+_xlpm.充当受入-_xlpm.払出))</f>
        <v/>
      </c>
      <c r="M68" s="8" t="str">
        <f>IF($B68="","",_xlfn.LET(
_xlpm.受入,SUMIFS(tbl_ledger[数量],tbl_ledger[ロットID],$B68,tbl_ledger[イベント種類],"不良発生"),
_xlpm.充当受入,SUMIFS(tbl_ledger[数量],tbl_ledger[充当先ロットID],$B68,tbl_ledger[イベント種類],"充当",tbl_ledger[元状態],M$1),
_xlpm.払出,SUMIFS(tbl_ledger[数量],tbl_ledger[ロットID],$B68,tbl_ledger[元状態],M$1),
_xlpm.受入+_xlpm.充当受入-_xlpm.払出))</f>
        <v/>
      </c>
      <c r="N68" s="8" t="str">
        <f t="shared" si="3"/>
        <v/>
      </c>
    </row>
    <row r="69" spans="1:14" ht="15" customHeight="1" x14ac:dyDescent="0.25">
      <c r="A69" s="4" t="str">
        <f t="shared" si="2"/>
        <v/>
      </c>
      <c r="B69" s="4" t="str">
        <f>IFERROR(IF(COUNTIF($B$1:$B68,INDEX(tbl_plan[ロットID],ROW()-1))&gt;0,"",INDEX(tbl_plan[ロットID],ROW()-1)),"")</f>
        <v/>
      </c>
      <c r="C69" s="4" t="str">
        <f>IF($B69="","",INDEX(tbl_plan[localId],ROW()-1))</f>
        <v/>
      </c>
      <c r="D69" s="8" t="str">
        <f>IF($B69="","",_xlfn.LET(
_xlpm.割当受入,SUMIF(V_充足確認!$A$2:$A$301,$B69,V_充足確認!$F$2:$F$301),
_xlpm.充当受入,SUMIFS(tbl_ledger[数量],tbl_ledger[充当先ロットID],$B69,tbl_ledger[イベント種類],"充当",tbl_ledger[元状態],D$1),
_xlpm.払出,SUMIFS(tbl_ledger[数量],tbl_ledger[ロットID],$B69,tbl_ledger[元状態],D$1),
_xlpm.割当受入+_xlpm.充当受入-_xlpm.払出))</f>
        <v/>
      </c>
      <c r="E69" s="8" t="str">
        <f>IF($B69="","",_xlfn.LET(
_xlpm.受入,SUMIFS(tbl_ledger[数量],tbl_ledger[ロットID],$B69,tbl_ledger[イベント種類],"アニール開始"),
_xlpm.充当受入,SUMIFS(tbl_ledger[数量],tbl_ledger[充当先ロットID],$B69,tbl_ledger[イベント種類],"充当",tbl_ledger[元状態],E$1),
_xlpm.払出,SUMIFS(tbl_ledger[数量],tbl_ledger[ロットID],$B69,tbl_ledger[元状態],E$1),
_xlpm.受入+_xlpm.充当受入-_xlpm.払出))</f>
        <v/>
      </c>
      <c r="F69" s="8" t="str">
        <f>IF($B69="","",_xlfn.LET(
_xlpm.受入,SUMIFS(tbl_ledger[数量],tbl_ledger[ロットID],$B69,tbl_ledger[イベント種類],"アニール完了"),
_xlpm.充当受入,SUMIFS(tbl_ledger[数量],tbl_ledger[充当先ロットID],$B69,tbl_ledger[イベント種類],"充当",tbl_ledger[元状態],F$1),
_xlpm.払出,SUMIFS(tbl_ledger[数量],tbl_ledger[ロットID],$B69,tbl_ledger[元状態],F$1),
_xlpm.受入+_xlpm.充当受入-_xlpm.払出))</f>
        <v/>
      </c>
      <c r="G69" s="8" t="str">
        <f>IF($B69="","",_xlfn.LET(
_xlpm.受入,SUMIFS(tbl_ledger[数量],tbl_ledger[ロットID],$B69,tbl_ledger[イベント種類],"アセンブリ開始"),
_xlpm.充当受入,SUMIFS(tbl_ledger[数量],tbl_ledger[充当先ロットID],$B69,tbl_ledger[イベント種類],"充当",tbl_ledger[元状態],G$1),
_xlpm.払出,SUMIFS(tbl_ledger[数量],tbl_ledger[ロットID],$B69,tbl_ledger[元状態],G$1),
_xlpm.受入+_xlpm.充当受入-_xlpm.払出))</f>
        <v/>
      </c>
      <c r="H69" s="8" t="str">
        <f>IF($B69="","",_xlfn.LET(
_xlpm.受入,SUMIFS(tbl_ledger[数量],tbl_ledger[ロットID],$B69,tbl_ledger[イベント種類],"アセンブリ完了"),
_xlpm.充当受入,SUMIFS(tbl_ledger[数量],tbl_ledger[充当先ロットID],$B69,tbl_ledger[イベント種類],"充当",tbl_ledger[元状態],H$1),
_xlpm.払出,SUMIFS(tbl_ledger[数量],tbl_ledger[ロットID],$B69,tbl_ledger[元状態],H$1),
_xlpm.受入+_xlpm.充当受入-_xlpm.払出))</f>
        <v/>
      </c>
      <c r="I69" s="8" t="str">
        <f>IF($B69="","",_xlfn.LET(
_xlpm.受入,SUMIFS(tbl_ledger[数量],tbl_ledger[ロットID],$B69,tbl_ledger[イベント種類],"梱包開始"),
_xlpm.充当受入,SUMIFS(tbl_ledger[数量],tbl_ledger[充当先ロットID],$B69,tbl_ledger[イベント種類],"充当",tbl_ledger[元状態],I$1),
_xlpm.払出,SUMIFS(tbl_ledger[数量],tbl_ledger[ロットID],$B69,tbl_ledger[元状態],I$1),
_xlpm.受入+_xlpm.充当受入-_xlpm.払出))</f>
        <v/>
      </c>
      <c r="J69" s="8" t="str">
        <f>IF($B69="","",_xlfn.LET(
_xlpm.受入,SUMIFS(tbl_ledger[数量],tbl_ledger[ロットID],$B69,tbl_ledger[イベント種類],"梱包完了"),
_xlpm.充当受入,SUMIFS(tbl_ledger[数量],tbl_ledger[充当先ロットID],$B69,tbl_ledger[イベント種類],"充当",tbl_ledger[元状態],J$1),
_xlpm.払出,SUMIFS(tbl_ledger[数量],tbl_ledger[ロットID],$B69,tbl_ledger[元状態],J$1),
_xlpm.受入+_xlpm.充当受入-_xlpm.払出))</f>
        <v/>
      </c>
      <c r="K69" s="8" t="str">
        <f>IF($B69="","",_xlfn.LET(
_xlpm.受入,SUMIFS(tbl_ledger[数量],tbl_ledger[ロットID],$B69,tbl_ledger[イベント種類],"発送準備開始"),
_xlpm.充当受入,SUMIFS(tbl_ledger[数量],tbl_ledger[充当先ロットID],$B69,tbl_ledger[イベント種類],"充当",tbl_ledger[元状態],K$1),
_xlpm.払出,SUMIFS(tbl_ledger[数量],tbl_ledger[ロットID],$B69,tbl_ledger[元状態],K$1),
_xlpm.受入+_xlpm.充当受入-_xlpm.払出))</f>
        <v/>
      </c>
      <c r="L69" s="8" t="str">
        <f>IF($B69="","",_xlfn.LET(
_xlpm.受入,SUMIFS(tbl_ledger[数量],tbl_ledger[ロットID],$B69,tbl_ledger[イベント種類],"発送準備完了"),
_xlpm.充当受入,SUMIFS(tbl_ledger[数量],tbl_ledger[充当先ロットID],$B69,tbl_ledger[イベント種類],"充当",tbl_ledger[元状態],L$1),
_xlpm.払出,SUMIFS(tbl_ledger[数量],tbl_ledger[ロットID],$B69,tbl_ledger[元状態],L$1),
_xlpm.受入+_xlpm.充当受入-_xlpm.払出))</f>
        <v/>
      </c>
      <c r="M69" s="8" t="str">
        <f>IF($B69="","",_xlfn.LET(
_xlpm.受入,SUMIFS(tbl_ledger[数量],tbl_ledger[ロットID],$B69,tbl_ledger[イベント種類],"不良発生"),
_xlpm.充当受入,SUMIFS(tbl_ledger[数量],tbl_ledger[充当先ロットID],$B69,tbl_ledger[イベント種類],"充当",tbl_ledger[元状態],M$1),
_xlpm.払出,SUMIFS(tbl_ledger[数量],tbl_ledger[ロットID],$B69,tbl_ledger[元状態],M$1),
_xlpm.受入+_xlpm.充当受入-_xlpm.払出))</f>
        <v/>
      </c>
      <c r="N69" s="8" t="str">
        <f t="shared" si="3"/>
        <v/>
      </c>
    </row>
    <row r="70" spans="1:14" ht="15" customHeight="1" x14ac:dyDescent="0.25">
      <c r="A70" s="4" t="str">
        <f t="shared" si="2"/>
        <v/>
      </c>
      <c r="B70" s="4" t="str">
        <f>IFERROR(IF(COUNTIF($B$1:$B69,INDEX(tbl_plan[ロットID],ROW()-1))&gt;0,"",INDEX(tbl_plan[ロットID],ROW()-1)),"")</f>
        <v/>
      </c>
      <c r="C70" s="4" t="str">
        <f>IF($B70="","",INDEX(tbl_plan[localId],ROW()-1))</f>
        <v/>
      </c>
      <c r="D70" s="8" t="str">
        <f>IF($B70="","",_xlfn.LET(
_xlpm.割当受入,SUMIF(V_充足確認!$A$2:$A$301,$B70,V_充足確認!$F$2:$F$301),
_xlpm.充当受入,SUMIFS(tbl_ledger[数量],tbl_ledger[充当先ロットID],$B70,tbl_ledger[イベント種類],"充当",tbl_ledger[元状態],D$1),
_xlpm.払出,SUMIFS(tbl_ledger[数量],tbl_ledger[ロットID],$B70,tbl_ledger[元状態],D$1),
_xlpm.割当受入+_xlpm.充当受入-_xlpm.払出))</f>
        <v/>
      </c>
      <c r="E70" s="8" t="str">
        <f>IF($B70="","",_xlfn.LET(
_xlpm.受入,SUMIFS(tbl_ledger[数量],tbl_ledger[ロットID],$B70,tbl_ledger[イベント種類],"アニール開始"),
_xlpm.充当受入,SUMIFS(tbl_ledger[数量],tbl_ledger[充当先ロットID],$B70,tbl_ledger[イベント種類],"充当",tbl_ledger[元状態],E$1),
_xlpm.払出,SUMIFS(tbl_ledger[数量],tbl_ledger[ロットID],$B70,tbl_ledger[元状態],E$1),
_xlpm.受入+_xlpm.充当受入-_xlpm.払出))</f>
        <v/>
      </c>
      <c r="F70" s="8" t="str">
        <f>IF($B70="","",_xlfn.LET(
_xlpm.受入,SUMIFS(tbl_ledger[数量],tbl_ledger[ロットID],$B70,tbl_ledger[イベント種類],"アニール完了"),
_xlpm.充当受入,SUMIFS(tbl_ledger[数量],tbl_ledger[充当先ロットID],$B70,tbl_ledger[イベント種類],"充当",tbl_ledger[元状態],F$1),
_xlpm.払出,SUMIFS(tbl_ledger[数量],tbl_ledger[ロットID],$B70,tbl_ledger[元状態],F$1),
_xlpm.受入+_xlpm.充当受入-_xlpm.払出))</f>
        <v/>
      </c>
      <c r="G70" s="8" t="str">
        <f>IF($B70="","",_xlfn.LET(
_xlpm.受入,SUMIFS(tbl_ledger[数量],tbl_ledger[ロットID],$B70,tbl_ledger[イベント種類],"アセンブリ開始"),
_xlpm.充当受入,SUMIFS(tbl_ledger[数量],tbl_ledger[充当先ロットID],$B70,tbl_ledger[イベント種類],"充当",tbl_ledger[元状態],G$1),
_xlpm.払出,SUMIFS(tbl_ledger[数量],tbl_ledger[ロットID],$B70,tbl_ledger[元状態],G$1),
_xlpm.受入+_xlpm.充当受入-_xlpm.払出))</f>
        <v/>
      </c>
      <c r="H70" s="8" t="str">
        <f>IF($B70="","",_xlfn.LET(
_xlpm.受入,SUMIFS(tbl_ledger[数量],tbl_ledger[ロットID],$B70,tbl_ledger[イベント種類],"アセンブリ完了"),
_xlpm.充当受入,SUMIFS(tbl_ledger[数量],tbl_ledger[充当先ロットID],$B70,tbl_ledger[イベント種類],"充当",tbl_ledger[元状態],H$1),
_xlpm.払出,SUMIFS(tbl_ledger[数量],tbl_ledger[ロットID],$B70,tbl_ledger[元状態],H$1),
_xlpm.受入+_xlpm.充当受入-_xlpm.払出))</f>
        <v/>
      </c>
      <c r="I70" s="8" t="str">
        <f>IF($B70="","",_xlfn.LET(
_xlpm.受入,SUMIFS(tbl_ledger[数量],tbl_ledger[ロットID],$B70,tbl_ledger[イベント種類],"梱包開始"),
_xlpm.充当受入,SUMIFS(tbl_ledger[数量],tbl_ledger[充当先ロットID],$B70,tbl_ledger[イベント種類],"充当",tbl_ledger[元状態],I$1),
_xlpm.払出,SUMIFS(tbl_ledger[数量],tbl_ledger[ロットID],$B70,tbl_ledger[元状態],I$1),
_xlpm.受入+_xlpm.充当受入-_xlpm.払出))</f>
        <v/>
      </c>
      <c r="J70" s="8" t="str">
        <f>IF($B70="","",_xlfn.LET(
_xlpm.受入,SUMIFS(tbl_ledger[数量],tbl_ledger[ロットID],$B70,tbl_ledger[イベント種類],"梱包完了"),
_xlpm.充当受入,SUMIFS(tbl_ledger[数量],tbl_ledger[充当先ロットID],$B70,tbl_ledger[イベント種類],"充当",tbl_ledger[元状態],J$1),
_xlpm.払出,SUMIFS(tbl_ledger[数量],tbl_ledger[ロットID],$B70,tbl_ledger[元状態],J$1),
_xlpm.受入+_xlpm.充当受入-_xlpm.払出))</f>
        <v/>
      </c>
      <c r="K70" s="8" t="str">
        <f>IF($B70="","",_xlfn.LET(
_xlpm.受入,SUMIFS(tbl_ledger[数量],tbl_ledger[ロットID],$B70,tbl_ledger[イベント種類],"発送準備開始"),
_xlpm.充当受入,SUMIFS(tbl_ledger[数量],tbl_ledger[充当先ロットID],$B70,tbl_ledger[イベント種類],"充当",tbl_ledger[元状態],K$1),
_xlpm.払出,SUMIFS(tbl_ledger[数量],tbl_ledger[ロットID],$B70,tbl_ledger[元状態],K$1),
_xlpm.受入+_xlpm.充当受入-_xlpm.払出))</f>
        <v/>
      </c>
      <c r="L70" s="8" t="str">
        <f>IF($B70="","",_xlfn.LET(
_xlpm.受入,SUMIFS(tbl_ledger[数量],tbl_ledger[ロットID],$B70,tbl_ledger[イベント種類],"発送準備完了"),
_xlpm.充当受入,SUMIFS(tbl_ledger[数量],tbl_ledger[充当先ロットID],$B70,tbl_ledger[イベント種類],"充当",tbl_ledger[元状態],L$1),
_xlpm.払出,SUMIFS(tbl_ledger[数量],tbl_ledger[ロットID],$B70,tbl_ledger[元状態],L$1),
_xlpm.受入+_xlpm.充当受入-_xlpm.払出))</f>
        <v/>
      </c>
      <c r="M70" s="8" t="str">
        <f>IF($B70="","",_xlfn.LET(
_xlpm.受入,SUMIFS(tbl_ledger[数量],tbl_ledger[ロットID],$B70,tbl_ledger[イベント種類],"不良発生"),
_xlpm.充当受入,SUMIFS(tbl_ledger[数量],tbl_ledger[充当先ロットID],$B70,tbl_ledger[イベント種類],"充当",tbl_ledger[元状態],M$1),
_xlpm.払出,SUMIFS(tbl_ledger[数量],tbl_ledger[ロットID],$B70,tbl_ledger[元状態],M$1),
_xlpm.受入+_xlpm.充当受入-_xlpm.払出))</f>
        <v/>
      </c>
      <c r="N70" s="8" t="str">
        <f t="shared" si="3"/>
        <v/>
      </c>
    </row>
    <row r="71" spans="1:14" ht="15" customHeight="1" x14ac:dyDescent="0.25">
      <c r="A71" s="4" t="str">
        <f t="shared" si="2"/>
        <v/>
      </c>
      <c r="B71" s="4" t="str">
        <f>IFERROR(IF(COUNTIF($B$1:$B70,INDEX(tbl_plan[ロットID],ROW()-1))&gt;0,"",INDEX(tbl_plan[ロットID],ROW()-1)),"")</f>
        <v/>
      </c>
      <c r="C71" s="4" t="str">
        <f>IF($B71="","",INDEX(tbl_plan[localId],ROW()-1))</f>
        <v/>
      </c>
      <c r="D71" s="8" t="str">
        <f>IF($B71="","",_xlfn.LET(
_xlpm.割当受入,SUMIF(V_充足確認!$A$2:$A$301,$B71,V_充足確認!$F$2:$F$301),
_xlpm.充当受入,SUMIFS(tbl_ledger[数量],tbl_ledger[充当先ロットID],$B71,tbl_ledger[イベント種類],"充当",tbl_ledger[元状態],D$1),
_xlpm.払出,SUMIFS(tbl_ledger[数量],tbl_ledger[ロットID],$B71,tbl_ledger[元状態],D$1),
_xlpm.割当受入+_xlpm.充当受入-_xlpm.払出))</f>
        <v/>
      </c>
      <c r="E71" s="8" t="str">
        <f>IF($B71="","",_xlfn.LET(
_xlpm.受入,SUMIFS(tbl_ledger[数量],tbl_ledger[ロットID],$B71,tbl_ledger[イベント種類],"アニール開始"),
_xlpm.充当受入,SUMIFS(tbl_ledger[数量],tbl_ledger[充当先ロットID],$B71,tbl_ledger[イベント種類],"充当",tbl_ledger[元状態],E$1),
_xlpm.払出,SUMIFS(tbl_ledger[数量],tbl_ledger[ロットID],$B71,tbl_ledger[元状態],E$1),
_xlpm.受入+_xlpm.充当受入-_xlpm.払出))</f>
        <v/>
      </c>
      <c r="F71" s="8" t="str">
        <f>IF($B71="","",_xlfn.LET(
_xlpm.受入,SUMIFS(tbl_ledger[数量],tbl_ledger[ロットID],$B71,tbl_ledger[イベント種類],"アニール完了"),
_xlpm.充当受入,SUMIFS(tbl_ledger[数量],tbl_ledger[充当先ロットID],$B71,tbl_ledger[イベント種類],"充当",tbl_ledger[元状態],F$1),
_xlpm.払出,SUMIFS(tbl_ledger[数量],tbl_ledger[ロットID],$B71,tbl_ledger[元状態],F$1),
_xlpm.受入+_xlpm.充当受入-_xlpm.払出))</f>
        <v/>
      </c>
      <c r="G71" s="8" t="str">
        <f>IF($B71="","",_xlfn.LET(
_xlpm.受入,SUMIFS(tbl_ledger[数量],tbl_ledger[ロットID],$B71,tbl_ledger[イベント種類],"アセンブリ開始"),
_xlpm.充当受入,SUMIFS(tbl_ledger[数量],tbl_ledger[充当先ロットID],$B71,tbl_ledger[イベント種類],"充当",tbl_ledger[元状態],G$1),
_xlpm.払出,SUMIFS(tbl_ledger[数量],tbl_ledger[ロットID],$B71,tbl_ledger[元状態],G$1),
_xlpm.受入+_xlpm.充当受入-_xlpm.払出))</f>
        <v/>
      </c>
      <c r="H71" s="8" t="str">
        <f>IF($B71="","",_xlfn.LET(
_xlpm.受入,SUMIFS(tbl_ledger[数量],tbl_ledger[ロットID],$B71,tbl_ledger[イベント種類],"アセンブリ完了"),
_xlpm.充当受入,SUMIFS(tbl_ledger[数量],tbl_ledger[充当先ロットID],$B71,tbl_ledger[イベント種類],"充当",tbl_ledger[元状態],H$1),
_xlpm.払出,SUMIFS(tbl_ledger[数量],tbl_ledger[ロットID],$B71,tbl_ledger[元状態],H$1),
_xlpm.受入+_xlpm.充当受入-_xlpm.払出))</f>
        <v/>
      </c>
      <c r="I71" s="8" t="str">
        <f>IF($B71="","",_xlfn.LET(
_xlpm.受入,SUMIFS(tbl_ledger[数量],tbl_ledger[ロットID],$B71,tbl_ledger[イベント種類],"梱包開始"),
_xlpm.充当受入,SUMIFS(tbl_ledger[数量],tbl_ledger[充当先ロットID],$B71,tbl_ledger[イベント種類],"充当",tbl_ledger[元状態],I$1),
_xlpm.払出,SUMIFS(tbl_ledger[数量],tbl_ledger[ロットID],$B71,tbl_ledger[元状態],I$1),
_xlpm.受入+_xlpm.充当受入-_xlpm.払出))</f>
        <v/>
      </c>
      <c r="J71" s="8" t="str">
        <f>IF($B71="","",_xlfn.LET(
_xlpm.受入,SUMIFS(tbl_ledger[数量],tbl_ledger[ロットID],$B71,tbl_ledger[イベント種類],"梱包完了"),
_xlpm.充当受入,SUMIFS(tbl_ledger[数量],tbl_ledger[充当先ロットID],$B71,tbl_ledger[イベント種類],"充当",tbl_ledger[元状態],J$1),
_xlpm.払出,SUMIFS(tbl_ledger[数量],tbl_ledger[ロットID],$B71,tbl_ledger[元状態],J$1),
_xlpm.受入+_xlpm.充当受入-_xlpm.払出))</f>
        <v/>
      </c>
      <c r="K71" s="8" t="str">
        <f>IF($B71="","",_xlfn.LET(
_xlpm.受入,SUMIFS(tbl_ledger[数量],tbl_ledger[ロットID],$B71,tbl_ledger[イベント種類],"発送準備開始"),
_xlpm.充当受入,SUMIFS(tbl_ledger[数量],tbl_ledger[充当先ロットID],$B71,tbl_ledger[イベント種類],"充当",tbl_ledger[元状態],K$1),
_xlpm.払出,SUMIFS(tbl_ledger[数量],tbl_ledger[ロットID],$B71,tbl_ledger[元状態],K$1),
_xlpm.受入+_xlpm.充当受入-_xlpm.払出))</f>
        <v/>
      </c>
      <c r="L71" s="8" t="str">
        <f>IF($B71="","",_xlfn.LET(
_xlpm.受入,SUMIFS(tbl_ledger[数量],tbl_ledger[ロットID],$B71,tbl_ledger[イベント種類],"発送準備完了"),
_xlpm.充当受入,SUMIFS(tbl_ledger[数量],tbl_ledger[充当先ロットID],$B71,tbl_ledger[イベント種類],"充当",tbl_ledger[元状態],L$1),
_xlpm.払出,SUMIFS(tbl_ledger[数量],tbl_ledger[ロットID],$B71,tbl_ledger[元状態],L$1),
_xlpm.受入+_xlpm.充当受入-_xlpm.払出))</f>
        <v/>
      </c>
      <c r="M71" s="8" t="str">
        <f>IF($B71="","",_xlfn.LET(
_xlpm.受入,SUMIFS(tbl_ledger[数量],tbl_ledger[ロットID],$B71,tbl_ledger[イベント種類],"不良発生"),
_xlpm.充当受入,SUMIFS(tbl_ledger[数量],tbl_ledger[充当先ロットID],$B71,tbl_ledger[イベント種類],"充当",tbl_ledger[元状態],M$1),
_xlpm.払出,SUMIFS(tbl_ledger[数量],tbl_ledger[ロットID],$B71,tbl_ledger[元状態],M$1),
_xlpm.受入+_xlpm.充当受入-_xlpm.払出))</f>
        <v/>
      </c>
      <c r="N71" s="8" t="str">
        <f t="shared" si="3"/>
        <v/>
      </c>
    </row>
    <row r="72" spans="1:14" ht="15" customHeight="1" x14ac:dyDescent="0.25">
      <c r="A72" s="4" t="str">
        <f t="shared" si="2"/>
        <v/>
      </c>
      <c r="B72" s="4" t="str">
        <f>IFERROR(IF(COUNTIF($B$1:$B71,INDEX(tbl_plan[ロットID],ROW()-1))&gt;0,"",INDEX(tbl_plan[ロットID],ROW()-1)),"")</f>
        <v/>
      </c>
      <c r="C72" s="4" t="str">
        <f>IF($B72="","",INDEX(tbl_plan[localId],ROW()-1))</f>
        <v/>
      </c>
      <c r="D72" s="8" t="str">
        <f>IF($B72="","",_xlfn.LET(
_xlpm.割当受入,SUMIF(V_充足確認!$A$2:$A$301,$B72,V_充足確認!$F$2:$F$301),
_xlpm.充当受入,SUMIFS(tbl_ledger[数量],tbl_ledger[充当先ロットID],$B72,tbl_ledger[イベント種類],"充当",tbl_ledger[元状態],D$1),
_xlpm.払出,SUMIFS(tbl_ledger[数量],tbl_ledger[ロットID],$B72,tbl_ledger[元状態],D$1),
_xlpm.割当受入+_xlpm.充当受入-_xlpm.払出))</f>
        <v/>
      </c>
      <c r="E72" s="8" t="str">
        <f>IF($B72="","",_xlfn.LET(
_xlpm.受入,SUMIFS(tbl_ledger[数量],tbl_ledger[ロットID],$B72,tbl_ledger[イベント種類],"アニール開始"),
_xlpm.充当受入,SUMIFS(tbl_ledger[数量],tbl_ledger[充当先ロットID],$B72,tbl_ledger[イベント種類],"充当",tbl_ledger[元状態],E$1),
_xlpm.払出,SUMIFS(tbl_ledger[数量],tbl_ledger[ロットID],$B72,tbl_ledger[元状態],E$1),
_xlpm.受入+_xlpm.充当受入-_xlpm.払出))</f>
        <v/>
      </c>
      <c r="F72" s="8" t="str">
        <f>IF($B72="","",_xlfn.LET(
_xlpm.受入,SUMIFS(tbl_ledger[数量],tbl_ledger[ロットID],$B72,tbl_ledger[イベント種類],"アニール完了"),
_xlpm.充当受入,SUMIFS(tbl_ledger[数量],tbl_ledger[充当先ロットID],$B72,tbl_ledger[イベント種類],"充当",tbl_ledger[元状態],F$1),
_xlpm.払出,SUMIFS(tbl_ledger[数量],tbl_ledger[ロットID],$B72,tbl_ledger[元状態],F$1),
_xlpm.受入+_xlpm.充当受入-_xlpm.払出))</f>
        <v/>
      </c>
      <c r="G72" s="8" t="str">
        <f>IF($B72="","",_xlfn.LET(
_xlpm.受入,SUMIFS(tbl_ledger[数量],tbl_ledger[ロットID],$B72,tbl_ledger[イベント種類],"アセンブリ開始"),
_xlpm.充当受入,SUMIFS(tbl_ledger[数量],tbl_ledger[充当先ロットID],$B72,tbl_ledger[イベント種類],"充当",tbl_ledger[元状態],G$1),
_xlpm.払出,SUMIFS(tbl_ledger[数量],tbl_ledger[ロットID],$B72,tbl_ledger[元状態],G$1),
_xlpm.受入+_xlpm.充当受入-_xlpm.払出))</f>
        <v/>
      </c>
      <c r="H72" s="8" t="str">
        <f>IF($B72="","",_xlfn.LET(
_xlpm.受入,SUMIFS(tbl_ledger[数量],tbl_ledger[ロットID],$B72,tbl_ledger[イベント種類],"アセンブリ完了"),
_xlpm.充当受入,SUMIFS(tbl_ledger[数量],tbl_ledger[充当先ロットID],$B72,tbl_ledger[イベント種類],"充当",tbl_ledger[元状態],H$1),
_xlpm.払出,SUMIFS(tbl_ledger[数量],tbl_ledger[ロットID],$B72,tbl_ledger[元状態],H$1),
_xlpm.受入+_xlpm.充当受入-_xlpm.払出))</f>
        <v/>
      </c>
      <c r="I72" s="8" t="str">
        <f>IF($B72="","",_xlfn.LET(
_xlpm.受入,SUMIFS(tbl_ledger[数量],tbl_ledger[ロットID],$B72,tbl_ledger[イベント種類],"梱包開始"),
_xlpm.充当受入,SUMIFS(tbl_ledger[数量],tbl_ledger[充当先ロットID],$B72,tbl_ledger[イベント種類],"充当",tbl_ledger[元状態],I$1),
_xlpm.払出,SUMIFS(tbl_ledger[数量],tbl_ledger[ロットID],$B72,tbl_ledger[元状態],I$1),
_xlpm.受入+_xlpm.充当受入-_xlpm.払出))</f>
        <v/>
      </c>
      <c r="J72" s="8" t="str">
        <f>IF($B72="","",_xlfn.LET(
_xlpm.受入,SUMIFS(tbl_ledger[数量],tbl_ledger[ロットID],$B72,tbl_ledger[イベント種類],"梱包完了"),
_xlpm.充当受入,SUMIFS(tbl_ledger[数量],tbl_ledger[充当先ロットID],$B72,tbl_ledger[イベント種類],"充当",tbl_ledger[元状態],J$1),
_xlpm.払出,SUMIFS(tbl_ledger[数量],tbl_ledger[ロットID],$B72,tbl_ledger[元状態],J$1),
_xlpm.受入+_xlpm.充当受入-_xlpm.払出))</f>
        <v/>
      </c>
      <c r="K72" s="8" t="str">
        <f>IF($B72="","",_xlfn.LET(
_xlpm.受入,SUMIFS(tbl_ledger[数量],tbl_ledger[ロットID],$B72,tbl_ledger[イベント種類],"発送準備開始"),
_xlpm.充当受入,SUMIFS(tbl_ledger[数量],tbl_ledger[充当先ロットID],$B72,tbl_ledger[イベント種類],"充当",tbl_ledger[元状態],K$1),
_xlpm.払出,SUMIFS(tbl_ledger[数量],tbl_ledger[ロットID],$B72,tbl_ledger[元状態],K$1),
_xlpm.受入+_xlpm.充当受入-_xlpm.払出))</f>
        <v/>
      </c>
      <c r="L72" s="8" t="str">
        <f>IF($B72="","",_xlfn.LET(
_xlpm.受入,SUMIFS(tbl_ledger[数量],tbl_ledger[ロットID],$B72,tbl_ledger[イベント種類],"発送準備完了"),
_xlpm.充当受入,SUMIFS(tbl_ledger[数量],tbl_ledger[充当先ロットID],$B72,tbl_ledger[イベント種類],"充当",tbl_ledger[元状態],L$1),
_xlpm.払出,SUMIFS(tbl_ledger[数量],tbl_ledger[ロットID],$B72,tbl_ledger[元状態],L$1),
_xlpm.受入+_xlpm.充当受入-_xlpm.払出))</f>
        <v/>
      </c>
      <c r="M72" s="8" t="str">
        <f>IF($B72="","",_xlfn.LET(
_xlpm.受入,SUMIFS(tbl_ledger[数量],tbl_ledger[ロットID],$B72,tbl_ledger[イベント種類],"不良発生"),
_xlpm.充当受入,SUMIFS(tbl_ledger[数量],tbl_ledger[充当先ロットID],$B72,tbl_ledger[イベント種類],"充当",tbl_ledger[元状態],M$1),
_xlpm.払出,SUMIFS(tbl_ledger[数量],tbl_ledger[ロットID],$B72,tbl_ledger[元状態],M$1),
_xlpm.受入+_xlpm.充当受入-_xlpm.払出))</f>
        <v/>
      </c>
      <c r="N72" s="8" t="str">
        <f t="shared" si="3"/>
        <v/>
      </c>
    </row>
    <row r="73" spans="1:14" ht="15" customHeight="1" x14ac:dyDescent="0.25">
      <c r="A73" s="4" t="str">
        <f t="shared" si="2"/>
        <v/>
      </c>
      <c r="B73" s="4" t="str">
        <f>IFERROR(IF(COUNTIF($B$1:$B72,INDEX(tbl_plan[ロットID],ROW()-1))&gt;0,"",INDEX(tbl_plan[ロットID],ROW()-1)),"")</f>
        <v/>
      </c>
      <c r="C73" s="4" t="str">
        <f>IF($B73="","",INDEX(tbl_plan[localId],ROW()-1))</f>
        <v/>
      </c>
      <c r="D73" s="8" t="str">
        <f>IF($B73="","",_xlfn.LET(
_xlpm.割当受入,SUMIF(V_充足確認!$A$2:$A$301,$B73,V_充足確認!$F$2:$F$301),
_xlpm.充当受入,SUMIFS(tbl_ledger[数量],tbl_ledger[充当先ロットID],$B73,tbl_ledger[イベント種類],"充当",tbl_ledger[元状態],D$1),
_xlpm.払出,SUMIFS(tbl_ledger[数量],tbl_ledger[ロットID],$B73,tbl_ledger[元状態],D$1),
_xlpm.割当受入+_xlpm.充当受入-_xlpm.払出))</f>
        <v/>
      </c>
      <c r="E73" s="8" t="str">
        <f>IF($B73="","",_xlfn.LET(
_xlpm.受入,SUMIFS(tbl_ledger[数量],tbl_ledger[ロットID],$B73,tbl_ledger[イベント種類],"アニール開始"),
_xlpm.充当受入,SUMIFS(tbl_ledger[数量],tbl_ledger[充当先ロットID],$B73,tbl_ledger[イベント種類],"充当",tbl_ledger[元状態],E$1),
_xlpm.払出,SUMIFS(tbl_ledger[数量],tbl_ledger[ロットID],$B73,tbl_ledger[元状態],E$1),
_xlpm.受入+_xlpm.充当受入-_xlpm.払出))</f>
        <v/>
      </c>
      <c r="F73" s="8" t="str">
        <f>IF($B73="","",_xlfn.LET(
_xlpm.受入,SUMIFS(tbl_ledger[数量],tbl_ledger[ロットID],$B73,tbl_ledger[イベント種類],"アニール完了"),
_xlpm.充当受入,SUMIFS(tbl_ledger[数量],tbl_ledger[充当先ロットID],$B73,tbl_ledger[イベント種類],"充当",tbl_ledger[元状態],F$1),
_xlpm.払出,SUMIFS(tbl_ledger[数量],tbl_ledger[ロットID],$B73,tbl_ledger[元状態],F$1),
_xlpm.受入+_xlpm.充当受入-_xlpm.払出))</f>
        <v/>
      </c>
      <c r="G73" s="8" t="str">
        <f>IF($B73="","",_xlfn.LET(
_xlpm.受入,SUMIFS(tbl_ledger[数量],tbl_ledger[ロットID],$B73,tbl_ledger[イベント種類],"アセンブリ開始"),
_xlpm.充当受入,SUMIFS(tbl_ledger[数量],tbl_ledger[充当先ロットID],$B73,tbl_ledger[イベント種類],"充当",tbl_ledger[元状態],G$1),
_xlpm.払出,SUMIFS(tbl_ledger[数量],tbl_ledger[ロットID],$B73,tbl_ledger[元状態],G$1),
_xlpm.受入+_xlpm.充当受入-_xlpm.払出))</f>
        <v/>
      </c>
      <c r="H73" s="8" t="str">
        <f>IF($B73="","",_xlfn.LET(
_xlpm.受入,SUMIFS(tbl_ledger[数量],tbl_ledger[ロットID],$B73,tbl_ledger[イベント種類],"アセンブリ完了"),
_xlpm.充当受入,SUMIFS(tbl_ledger[数量],tbl_ledger[充当先ロットID],$B73,tbl_ledger[イベント種類],"充当",tbl_ledger[元状態],H$1),
_xlpm.払出,SUMIFS(tbl_ledger[数量],tbl_ledger[ロットID],$B73,tbl_ledger[元状態],H$1),
_xlpm.受入+_xlpm.充当受入-_xlpm.払出))</f>
        <v/>
      </c>
      <c r="I73" s="8" t="str">
        <f>IF($B73="","",_xlfn.LET(
_xlpm.受入,SUMIFS(tbl_ledger[数量],tbl_ledger[ロットID],$B73,tbl_ledger[イベント種類],"梱包開始"),
_xlpm.充当受入,SUMIFS(tbl_ledger[数量],tbl_ledger[充当先ロットID],$B73,tbl_ledger[イベント種類],"充当",tbl_ledger[元状態],I$1),
_xlpm.払出,SUMIFS(tbl_ledger[数量],tbl_ledger[ロットID],$B73,tbl_ledger[元状態],I$1),
_xlpm.受入+_xlpm.充当受入-_xlpm.払出))</f>
        <v/>
      </c>
      <c r="J73" s="8" t="str">
        <f>IF($B73="","",_xlfn.LET(
_xlpm.受入,SUMIFS(tbl_ledger[数量],tbl_ledger[ロットID],$B73,tbl_ledger[イベント種類],"梱包完了"),
_xlpm.充当受入,SUMIFS(tbl_ledger[数量],tbl_ledger[充当先ロットID],$B73,tbl_ledger[イベント種類],"充当",tbl_ledger[元状態],J$1),
_xlpm.払出,SUMIFS(tbl_ledger[数量],tbl_ledger[ロットID],$B73,tbl_ledger[元状態],J$1),
_xlpm.受入+_xlpm.充当受入-_xlpm.払出))</f>
        <v/>
      </c>
      <c r="K73" s="8" t="str">
        <f>IF($B73="","",_xlfn.LET(
_xlpm.受入,SUMIFS(tbl_ledger[数量],tbl_ledger[ロットID],$B73,tbl_ledger[イベント種類],"発送準備開始"),
_xlpm.充当受入,SUMIFS(tbl_ledger[数量],tbl_ledger[充当先ロットID],$B73,tbl_ledger[イベント種類],"充当",tbl_ledger[元状態],K$1),
_xlpm.払出,SUMIFS(tbl_ledger[数量],tbl_ledger[ロットID],$B73,tbl_ledger[元状態],K$1),
_xlpm.受入+_xlpm.充当受入-_xlpm.払出))</f>
        <v/>
      </c>
      <c r="L73" s="8" t="str">
        <f>IF($B73="","",_xlfn.LET(
_xlpm.受入,SUMIFS(tbl_ledger[数量],tbl_ledger[ロットID],$B73,tbl_ledger[イベント種類],"発送準備完了"),
_xlpm.充当受入,SUMIFS(tbl_ledger[数量],tbl_ledger[充当先ロットID],$B73,tbl_ledger[イベント種類],"充当",tbl_ledger[元状態],L$1),
_xlpm.払出,SUMIFS(tbl_ledger[数量],tbl_ledger[ロットID],$B73,tbl_ledger[元状態],L$1),
_xlpm.受入+_xlpm.充当受入-_xlpm.払出))</f>
        <v/>
      </c>
      <c r="M73" s="8" t="str">
        <f>IF($B73="","",_xlfn.LET(
_xlpm.受入,SUMIFS(tbl_ledger[数量],tbl_ledger[ロットID],$B73,tbl_ledger[イベント種類],"不良発生"),
_xlpm.充当受入,SUMIFS(tbl_ledger[数量],tbl_ledger[充当先ロットID],$B73,tbl_ledger[イベント種類],"充当",tbl_ledger[元状態],M$1),
_xlpm.払出,SUMIFS(tbl_ledger[数量],tbl_ledger[ロットID],$B73,tbl_ledger[元状態],M$1),
_xlpm.受入+_xlpm.充当受入-_xlpm.払出))</f>
        <v/>
      </c>
      <c r="N73" s="8" t="str">
        <f t="shared" si="3"/>
        <v/>
      </c>
    </row>
    <row r="74" spans="1:14" ht="15" customHeight="1" x14ac:dyDescent="0.25">
      <c r="A74" s="4" t="str">
        <f t="shared" si="2"/>
        <v/>
      </c>
      <c r="B74" s="4" t="str">
        <f>IFERROR(IF(COUNTIF($B$1:$B73,INDEX(tbl_plan[ロットID],ROW()-1))&gt;0,"",INDEX(tbl_plan[ロットID],ROW()-1)),"")</f>
        <v/>
      </c>
      <c r="C74" s="4" t="str">
        <f>IF($B74="","",INDEX(tbl_plan[localId],ROW()-1))</f>
        <v/>
      </c>
      <c r="D74" s="8" t="str">
        <f>IF($B74="","",_xlfn.LET(
_xlpm.割当受入,SUMIF(V_充足確認!$A$2:$A$301,$B74,V_充足確認!$F$2:$F$301),
_xlpm.充当受入,SUMIFS(tbl_ledger[数量],tbl_ledger[充当先ロットID],$B74,tbl_ledger[イベント種類],"充当",tbl_ledger[元状態],D$1),
_xlpm.払出,SUMIFS(tbl_ledger[数量],tbl_ledger[ロットID],$B74,tbl_ledger[元状態],D$1),
_xlpm.割当受入+_xlpm.充当受入-_xlpm.払出))</f>
        <v/>
      </c>
      <c r="E74" s="8" t="str">
        <f>IF($B74="","",_xlfn.LET(
_xlpm.受入,SUMIFS(tbl_ledger[数量],tbl_ledger[ロットID],$B74,tbl_ledger[イベント種類],"アニール開始"),
_xlpm.充当受入,SUMIFS(tbl_ledger[数量],tbl_ledger[充当先ロットID],$B74,tbl_ledger[イベント種類],"充当",tbl_ledger[元状態],E$1),
_xlpm.払出,SUMIFS(tbl_ledger[数量],tbl_ledger[ロットID],$B74,tbl_ledger[元状態],E$1),
_xlpm.受入+_xlpm.充当受入-_xlpm.払出))</f>
        <v/>
      </c>
      <c r="F74" s="8" t="str">
        <f>IF($B74="","",_xlfn.LET(
_xlpm.受入,SUMIFS(tbl_ledger[数量],tbl_ledger[ロットID],$B74,tbl_ledger[イベント種類],"アニール完了"),
_xlpm.充当受入,SUMIFS(tbl_ledger[数量],tbl_ledger[充当先ロットID],$B74,tbl_ledger[イベント種類],"充当",tbl_ledger[元状態],F$1),
_xlpm.払出,SUMIFS(tbl_ledger[数量],tbl_ledger[ロットID],$B74,tbl_ledger[元状態],F$1),
_xlpm.受入+_xlpm.充当受入-_xlpm.払出))</f>
        <v/>
      </c>
      <c r="G74" s="8" t="str">
        <f>IF($B74="","",_xlfn.LET(
_xlpm.受入,SUMIFS(tbl_ledger[数量],tbl_ledger[ロットID],$B74,tbl_ledger[イベント種類],"アセンブリ開始"),
_xlpm.充当受入,SUMIFS(tbl_ledger[数量],tbl_ledger[充当先ロットID],$B74,tbl_ledger[イベント種類],"充当",tbl_ledger[元状態],G$1),
_xlpm.払出,SUMIFS(tbl_ledger[数量],tbl_ledger[ロットID],$B74,tbl_ledger[元状態],G$1),
_xlpm.受入+_xlpm.充当受入-_xlpm.払出))</f>
        <v/>
      </c>
      <c r="H74" s="8" t="str">
        <f>IF($B74="","",_xlfn.LET(
_xlpm.受入,SUMIFS(tbl_ledger[数量],tbl_ledger[ロットID],$B74,tbl_ledger[イベント種類],"アセンブリ完了"),
_xlpm.充当受入,SUMIFS(tbl_ledger[数量],tbl_ledger[充当先ロットID],$B74,tbl_ledger[イベント種類],"充当",tbl_ledger[元状態],H$1),
_xlpm.払出,SUMIFS(tbl_ledger[数量],tbl_ledger[ロットID],$B74,tbl_ledger[元状態],H$1),
_xlpm.受入+_xlpm.充当受入-_xlpm.払出))</f>
        <v/>
      </c>
      <c r="I74" s="8" t="str">
        <f>IF($B74="","",_xlfn.LET(
_xlpm.受入,SUMIFS(tbl_ledger[数量],tbl_ledger[ロットID],$B74,tbl_ledger[イベント種類],"梱包開始"),
_xlpm.充当受入,SUMIFS(tbl_ledger[数量],tbl_ledger[充当先ロットID],$B74,tbl_ledger[イベント種類],"充当",tbl_ledger[元状態],I$1),
_xlpm.払出,SUMIFS(tbl_ledger[数量],tbl_ledger[ロットID],$B74,tbl_ledger[元状態],I$1),
_xlpm.受入+_xlpm.充当受入-_xlpm.払出))</f>
        <v/>
      </c>
      <c r="J74" s="8" t="str">
        <f>IF($B74="","",_xlfn.LET(
_xlpm.受入,SUMIFS(tbl_ledger[数量],tbl_ledger[ロットID],$B74,tbl_ledger[イベント種類],"梱包完了"),
_xlpm.充当受入,SUMIFS(tbl_ledger[数量],tbl_ledger[充当先ロットID],$B74,tbl_ledger[イベント種類],"充当",tbl_ledger[元状態],J$1),
_xlpm.払出,SUMIFS(tbl_ledger[数量],tbl_ledger[ロットID],$B74,tbl_ledger[元状態],J$1),
_xlpm.受入+_xlpm.充当受入-_xlpm.払出))</f>
        <v/>
      </c>
      <c r="K74" s="8" t="str">
        <f>IF($B74="","",_xlfn.LET(
_xlpm.受入,SUMIFS(tbl_ledger[数量],tbl_ledger[ロットID],$B74,tbl_ledger[イベント種類],"発送準備開始"),
_xlpm.充当受入,SUMIFS(tbl_ledger[数量],tbl_ledger[充当先ロットID],$B74,tbl_ledger[イベント種類],"充当",tbl_ledger[元状態],K$1),
_xlpm.払出,SUMIFS(tbl_ledger[数量],tbl_ledger[ロットID],$B74,tbl_ledger[元状態],K$1),
_xlpm.受入+_xlpm.充当受入-_xlpm.払出))</f>
        <v/>
      </c>
      <c r="L74" s="8" t="str">
        <f>IF($B74="","",_xlfn.LET(
_xlpm.受入,SUMIFS(tbl_ledger[数量],tbl_ledger[ロットID],$B74,tbl_ledger[イベント種類],"発送準備完了"),
_xlpm.充当受入,SUMIFS(tbl_ledger[数量],tbl_ledger[充当先ロットID],$B74,tbl_ledger[イベント種類],"充当",tbl_ledger[元状態],L$1),
_xlpm.払出,SUMIFS(tbl_ledger[数量],tbl_ledger[ロットID],$B74,tbl_ledger[元状態],L$1),
_xlpm.受入+_xlpm.充当受入-_xlpm.払出))</f>
        <v/>
      </c>
      <c r="M74" s="8" t="str">
        <f>IF($B74="","",_xlfn.LET(
_xlpm.受入,SUMIFS(tbl_ledger[数量],tbl_ledger[ロットID],$B74,tbl_ledger[イベント種類],"不良発生"),
_xlpm.充当受入,SUMIFS(tbl_ledger[数量],tbl_ledger[充当先ロットID],$B74,tbl_ledger[イベント種類],"充当",tbl_ledger[元状態],M$1),
_xlpm.払出,SUMIFS(tbl_ledger[数量],tbl_ledger[ロットID],$B74,tbl_ledger[元状態],M$1),
_xlpm.受入+_xlpm.充当受入-_xlpm.払出))</f>
        <v/>
      </c>
      <c r="N74" s="8" t="str">
        <f t="shared" si="3"/>
        <v/>
      </c>
    </row>
    <row r="75" spans="1:14" ht="15" customHeight="1" x14ac:dyDescent="0.25">
      <c r="A75" s="4" t="str">
        <f t="shared" si="2"/>
        <v/>
      </c>
      <c r="B75" s="4" t="str">
        <f>IFERROR(IF(COUNTIF($B$1:$B74,INDEX(tbl_plan[ロットID],ROW()-1))&gt;0,"",INDEX(tbl_plan[ロットID],ROW()-1)),"")</f>
        <v/>
      </c>
      <c r="C75" s="4" t="str">
        <f>IF($B75="","",INDEX(tbl_plan[localId],ROW()-1))</f>
        <v/>
      </c>
      <c r="D75" s="8" t="str">
        <f>IF($B75="","",_xlfn.LET(
_xlpm.割当受入,SUMIF(V_充足確認!$A$2:$A$301,$B75,V_充足確認!$F$2:$F$301),
_xlpm.充当受入,SUMIFS(tbl_ledger[数量],tbl_ledger[充当先ロットID],$B75,tbl_ledger[イベント種類],"充当",tbl_ledger[元状態],D$1),
_xlpm.払出,SUMIFS(tbl_ledger[数量],tbl_ledger[ロットID],$B75,tbl_ledger[元状態],D$1),
_xlpm.割当受入+_xlpm.充当受入-_xlpm.払出))</f>
        <v/>
      </c>
      <c r="E75" s="8" t="str">
        <f>IF($B75="","",_xlfn.LET(
_xlpm.受入,SUMIFS(tbl_ledger[数量],tbl_ledger[ロットID],$B75,tbl_ledger[イベント種類],"アニール開始"),
_xlpm.充当受入,SUMIFS(tbl_ledger[数量],tbl_ledger[充当先ロットID],$B75,tbl_ledger[イベント種類],"充当",tbl_ledger[元状態],E$1),
_xlpm.払出,SUMIFS(tbl_ledger[数量],tbl_ledger[ロットID],$B75,tbl_ledger[元状態],E$1),
_xlpm.受入+_xlpm.充当受入-_xlpm.払出))</f>
        <v/>
      </c>
      <c r="F75" s="8" t="str">
        <f>IF($B75="","",_xlfn.LET(
_xlpm.受入,SUMIFS(tbl_ledger[数量],tbl_ledger[ロットID],$B75,tbl_ledger[イベント種類],"アニール完了"),
_xlpm.充当受入,SUMIFS(tbl_ledger[数量],tbl_ledger[充当先ロットID],$B75,tbl_ledger[イベント種類],"充当",tbl_ledger[元状態],F$1),
_xlpm.払出,SUMIFS(tbl_ledger[数量],tbl_ledger[ロットID],$B75,tbl_ledger[元状態],F$1),
_xlpm.受入+_xlpm.充当受入-_xlpm.払出))</f>
        <v/>
      </c>
      <c r="G75" s="8" t="str">
        <f>IF($B75="","",_xlfn.LET(
_xlpm.受入,SUMIFS(tbl_ledger[数量],tbl_ledger[ロットID],$B75,tbl_ledger[イベント種類],"アセンブリ開始"),
_xlpm.充当受入,SUMIFS(tbl_ledger[数量],tbl_ledger[充当先ロットID],$B75,tbl_ledger[イベント種類],"充当",tbl_ledger[元状態],G$1),
_xlpm.払出,SUMIFS(tbl_ledger[数量],tbl_ledger[ロットID],$B75,tbl_ledger[元状態],G$1),
_xlpm.受入+_xlpm.充当受入-_xlpm.払出))</f>
        <v/>
      </c>
      <c r="H75" s="8" t="str">
        <f>IF($B75="","",_xlfn.LET(
_xlpm.受入,SUMIFS(tbl_ledger[数量],tbl_ledger[ロットID],$B75,tbl_ledger[イベント種類],"アセンブリ完了"),
_xlpm.充当受入,SUMIFS(tbl_ledger[数量],tbl_ledger[充当先ロットID],$B75,tbl_ledger[イベント種類],"充当",tbl_ledger[元状態],H$1),
_xlpm.払出,SUMIFS(tbl_ledger[数量],tbl_ledger[ロットID],$B75,tbl_ledger[元状態],H$1),
_xlpm.受入+_xlpm.充当受入-_xlpm.払出))</f>
        <v/>
      </c>
      <c r="I75" s="8" t="str">
        <f>IF($B75="","",_xlfn.LET(
_xlpm.受入,SUMIFS(tbl_ledger[数量],tbl_ledger[ロットID],$B75,tbl_ledger[イベント種類],"梱包開始"),
_xlpm.充当受入,SUMIFS(tbl_ledger[数量],tbl_ledger[充当先ロットID],$B75,tbl_ledger[イベント種類],"充当",tbl_ledger[元状態],I$1),
_xlpm.払出,SUMIFS(tbl_ledger[数量],tbl_ledger[ロットID],$B75,tbl_ledger[元状態],I$1),
_xlpm.受入+_xlpm.充当受入-_xlpm.払出))</f>
        <v/>
      </c>
      <c r="J75" s="8" t="str">
        <f>IF($B75="","",_xlfn.LET(
_xlpm.受入,SUMIFS(tbl_ledger[数量],tbl_ledger[ロットID],$B75,tbl_ledger[イベント種類],"梱包完了"),
_xlpm.充当受入,SUMIFS(tbl_ledger[数量],tbl_ledger[充当先ロットID],$B75,tbl_ledger[イベント種類],"充当",tbl_ledger[元状態],J$1),
_xlpm.払出,SUMIFS(tbl_ledger[数量],tbl_ledger[ロットID],$B75,tbl_ledger[元状態],J$1),
_xlpm.受入+_xlpm.充当受入-_xlpm.払出))</f>
        <v/>
      </c>
      <c r="K75" s="8" t="str">
        <f>IF($B75="","",_xlfn.LET(
_xlpm.受入,SUMIFS(tbl_ledger[数量],tbl_ledger[ロットID],$B75,tbl_ledger[イベント種類],"発送準備開始"),
_xlpm.充当受入,SUMIFS(tbl_ledger[数量],tbl_ledger[充当先ロットID],$B75,tbl_ledger[イベント種類],"充当",tbl_ledger[元状態],K$1),
_xlpm.払出,SUMIFS(tbl_ledger[数量],tbl_ledger[ロットID],$B75,tbl_ledger[元状態],K$1),
_xlpm.受入+_xlpm.充当受入-_xlpm.払出))</f>
        <v/>
      </c>
      <c r="L75" s="8" t="str">
        <f>IF($B75="","",_xlfn.LET(
_xlpm.受入,SUMIFS(tbl_ledger[数量],tbl_ledger[ロットID],$B75,tbl_ledger[イベント種類],"発送準備完了"),
_xlpm.充当受入,SUMIFS(tbl_ledger[数量],tbl_ledger[充当先ロットID],$B75,tbl_ledger[イベント種類],"充当",tbl_ledger[元状態],L$1),
_xlpm.払出,SUMIFS(tbl_ledger[数量],tbl_ledger[ロットID],$B75,tbl_ledger[元状態],L$1),
_xlpm.受入+_xlpm.充当受入-_xlpm.払出))</f>
        <v/>
      </c>
      <c r="M75" s="8" t="str">
        <f>IF($B75="","",_xlfn.LET(
_xlpm.受入,SUMIFS(tbl_ledger[数量],tbl_ledger[ロットID],$B75,tbl_ledger[イベント種類],"不良発生"),
_xlpm.充当受入,SUMIFS(tbl_ledger[数量],tbl_ledger[充当先ロットID],$B75,tbl_ledger[イベント種類],"充当",tbl_ledger[元状態],M$1),
_xlpm.払出,SUMIFS(tbl_ledger[数量],tbl_ledger[ロットID],$B75,tbl_ledger[元状態],M$1),
_xlpm.受入+_xlpm.充当受入-_xlpm.払出))</f>
        <v/>
      </c>
      <c r="N75" s="8" t="str">
        <f t="shared" si="3"/>
        <v/>
      </c>
    </row>
    <row r="76" spans="1:14" ht="15" customHeight="1" x14ac:dyDescent="0.25">
      <c r="A76" s="4" t="str">
        <f t="shared" si="2"/>
        <v/>
      </c>
      <c r="B76" s="4" t="str">
        <f>IFERROR(IF(COUNTIF($B$1:$B75,INDEX(tbl_plan[ロットID],ROW()-1))&gt;0,"",INDEX(tbl_plan[ロットID],ROW()-1)),"")</f>
        <v/>
      </c>
      <c r="C76" s="4" t="str">
        <f>IF($B76="","",INDEX(tbl_plan[localId],ROW()-1))</f>
        <v/>
      </c>
      <c r="D76" s="8" t="str">
        <f>IF($B76="","",_xlfn.LET(
_xlpm.割当受入,SUMIF(V_充足確認!$A$2:$A$301,$B76,V_充足確認!$F$2:$F$301),
_xlpm.充当受入,SUMIFS(tbl_ledger[数量],tbl_ledger[充当先ロットID],$B76,tbl_ledger[イベント種類],"充当",tbl_ledger[元状態],D$1),
_xlpm.払出,SUMIFS(tbl_ledger[数量],tbl_ledger[ロットID],$B76,tbl_ledger[元状態],D$1),
_xlpm.割当受入+_xlpm.充当受入-_xlpm.払出))</f>
        <v/>
      </c>
      <c r="E76" s="8" t="str">
        <f>IF($B76="","",_xlfn.LET(
_xlpm.受入,SUMIFS(tbl_ledger[数量],tbl_ledger[ロットID],$B76,tbl_ledger[イベント種類],"アニール開始"),
_xlpm.充当受入,SUMIFS(tbl_ledger[数量],tbl_ledger[充当先ロットID],$B76,tbl_ledger[イベント種類],"充当",tbl_ledger[元状態],E$1),
_xlpm.払出,SUMIFS(tbl_ledger[数量],tbl_ledger[ロットID],$B76,tbl_ledger[元状態],E$1),
_xlpm.受入+_xlpm.充当受入-_xlpm.払出))</f>
        <v/>
      </c>
      <c r="F76" s="8" t="str">
        <f>IF($B76="","",_xlfn.LET(
_xlpm.受入,SUMIFS(tbl_ledger[数量],tbl_ledger[ロットID],$B76,tbl_ledger[イベント種類],"アニール完了"),
_xlpm.充当受入,SUMIFS(tbl_ledger[数量],tbl_ledger[充当先ロットID],$B76,tbl_ledger[イベント種類],"充当",tbl_ledger[元状態],F$1),
_xlpm.払出,SUMIFS(tbl_ledger[数量],tbl_ledger[ロットID],$B76,tbl_ledger[元状態],F$1),
_xlpm.受入+_xlpm.充当受入-_xlpm.払出))</f>
        <v/>
      </c>
      <c r="G76" s="8" t="str">
        <f>IF($B76="","",_xlfn.LET(
_xlpm.受入,SUMIFS(tbl_ledger[数量],tbl_ledger[ロットID],$B76,tbl_ledger[イベント種類],"アセンブリ開始"),
_xlpm.充当受入,SUMIFS(tbl_ledger[数量],tbl_ledger[充当先ロットID],$B76,tbl_ledger[イベント種類],"充当",tbl_ledger[元状態],G$1),
_xlpm.払出,SUMIFS(tbl_ledger[数量],tbl_ledger[ロットID],$B76,tbl_ledger[元状態],G$1),
_xlpm.受入+_xlpm.充当受入-_xlpm.払出))</f>
        <v/>
      </c>
      <c r="H76" s="8" t="str">
        <f>IF($B76="","",_xlfn.LET(
_xlpm.受入,SUMIFS(tbl_ledger[数量],tbl_ledger[ロットID],$B76,tbl_ledger[イベント種類],"アセンブリ完了"),
_xlpm.充当受入,SUMIFS(tbl_ledger[数量],tbl_ledger[充当先ロットID],$B76,tbl_ledger[イベント種類],"充当",tbl_ledger[元状態],H$1),
_xlpm.払出,SUMIFS(tbl_ledger[数量],tbl_ledger[ロットID],$B76,tbl_ledger[元状態],H$1),
_xlpm.受入+_xlpm.充当受入-_xlpm.払出))</f>
        <v/>
      </c>
      <c r="I76" s="8" t="str">
        <f>IF($B76="","",_xlfn.LET(
_xlpm.受入,SUMIFS(tbl_ledger[数量],tbl_ledger[ロットID],$B76,tbl_ledger[イベント種類],"梱包開始"),
_xlpm.充当受入,SUMIFS(tbl_ledger[数量],tbl_ledger[充当先ロットID],$B76,tbl_ledger[イベント種類],"充当",tbl_ledger[元状態],I$1),
_xlpm.払出,SUMIFS(tbl_ledger[数量],tbl_ledger[ロットID],$B76,tbl_ledger[元状態],I$1),
_xlpm.受入+_xlpm.充当受入-_xlpm.払出))</f>
        <v/>
      </c>
      <c r="J76" s="8" t="str">
        <f>IF($B76="","",_xlfn.LET(
_xlpm.受入,SUMIFS(tbl_ledger[数量],tbl_ledger[ロットID],$B76,tbl_ledger[イベント種類],"梱包完了"),
_xlpm.充当受入,SUMIFS(tbl_ledger[数量],tbl_ledger[充当先ロットID],$B76,tbl_ledger[イベント種類],"充当",tbl_ledger[元状態],J$1),
_xlpm.払出,SUMIFS(tbl_ledger[数量],tbl_ledger[ロットID],$B76,tbl_ledger[元状態],J$1),
_xlpm.受入+_xlpm.充当受入-_xlpm.払出))</f>
        <v/>
      </c>
      <c r="K76" s="8" t="str">
        <f>IF($B76="","",_xlfn.LET(
_xlpm.受入,SUMIFS(tbl_ledger[数量],tbl_ledger[ロットID],$B76,tbl_ledger[イベント種類],"発送準備開始"),
_xlpm.充当受入,SUMIFS(tbl_ledger[数量],tbl_ledger[充当先ロットID],$B76,tbl_ledger[イベント種類],"充当",tbl_ledger[元状態],K$1),
_xlpm.払出,SUMIFS(tbl_ledger[数量],tbl_ledger[ロットID],$B76,tbl_ledger[元状態],K$1),
_xlpm.受入+_xlpm.充当受入-_xlpm.払出))</f>
        <v/>
      </c>
      <c r="L76" s="8" t="str">
        <f>IF($B76="","",_xlfn.LET(
_xlpm.受入,SUMIFS(tbl_ledger[数量],tbl_ledger[ロットID],$B76,tbl_ledger[イベント種類],"発送準備完了"),
_xlpm.充当受入,SUMIFS(tbl_ledger[数量],tbl_ledger[充当先ロットID],$B76,tbl_ledger[イベント種類],"充当",tbl_ledger[元状態],L$1),
_xlpm.払出,SUMIFS(tbl_ledger[数量],tbl_ledger[ロットID],$B76,tbl_ledger[元状態],L$1),
_xlpm.受入+_xlpm.充当受入-_xlpm.払出))</f>
        <v/>
      </c>
      <c r="M76" s="8" t="str">
        <f>IF($B76="","",_xlfn.LET(
_xlpm.受入,SUMIFS(tbl_ledger[数量],tbl_ledger[ロットID],$B76,tbl_ledger[イベント種類],"不良発生"),
_xlpm.充当受入,SUMIFS(tbl_ledger[数量],tbl_ledger[充当先ロットID],$B76,tbl_ledger[イベント種類],"充当",tbl_ledger[元状態],M$1),
_xlpm.払出,SUMIFS(tbl_ledger[数量],tbl_ledger[ロットID],$B76,tbl_ledger[元状態],M$1),
_xlpm.受入+_xlpm.充当受入-_xlpm.払出))</f>
        <v/>
      </c>
      <c r="N76" s="8" t="str">
        <f t="shared" si="3"/>
        <v/>
      </c>
    </row>
    <row r="77" spans="1:14" ht="15" customHeight="1" x14ac:dyDescent="0.25">
      <c r="A77" s="4" t="str">
        <f t="shared" si="2"/>
        <v/>
      </c>
      <c r="B77" s="4" t="str">
        <f>IFERROR(IF(COUNTIF($B$1:$B76,INDEX(tbl_plan[ロットID],ROW()-1))&gt;0,"",INDEX(tbl_plan[ロットID],ROW()-1)),"")</f>
        <v/>
      </c>
      <c r="C77" s="4" t="str">
        <f>IF($B77="","",INDEX(tbl_plan[localId],ROW()-1))</f>
        <v/>
      </c>
      <c r="D77" s="8" t="str">
        <f>IF($B77="","",_xlfn.LET(
_xlpm.割当受入,SUMIF(V_充足確認!$A$2:$A$301,$B77,V_充足確認!$F$2:$F$301),
_xlpm.充当受入,SUMIFS(tbl_ledger[数量],tbl_ledger[充当先ロットID],$B77,tbl_ledger[イベント種類],"充当",tbl_ledger[元状態],D$1),
_xlpm.払出,SUMIFS(tbl_ledger[数量],tbl_ledger[ロットID],$B77,tbl_ledger[元状態],D$1),
_xlpm.割当受入+_xlpm.充当受入-_xlpm.払出))</f>
        <v/>
      </c>
      <c r="E77" s="8" t="str">
        <f>IF($B77="","",_xlfn.LET(
_xlpm.受入,SUMIFS(tbl_ledger[数量],tbl_ledger[ロットID],$B77,tbl_ledger[イベント種類],"アニール開始"),
_xlpm.充当受入,SUMIFS(tbl_ledger[数量],tbl_ledger[充当先ロットID],$B77,tbl_ledger[イベント種類],"充当",tbl_ledger[元状態],E$1),
_xlpm.払出,SUMIFS(tbl_ledger[数量],tbl_ledger[ロットID],$B77,tbl_ledger[元状態],E$1),
_xlpm.受入+_xlpm.充当受入-_xlpm.払出))</f>
        <v/>
      </c>
      <c r="F77" s="8" t="str">
        <f>IF($B77="","",_xlfn.LET(
_xlpm.受入,SUMIFS(tbl_ledger[数量],tbl_ledger[ロットID],$B77,tbl_ledger[イベント種類],"アニール完了"),
_xlpm.充当受入,SUMIFS(tbl_ledger[数量],tbl_ledger[充当先ロットID],$B77,tbl_ledger[イベント種類],"充当",tbl_ledger[元状態],F$1),
_xlpm.払出,SUMIFS(tbl_ledger[数量],tbl_ledger[ロットID],$B77,tbl_ledger[元状態],F$1),
_xlpm.受入+_xlpm.充当受入-_xlpm.払出))</f>
        <v/>
      </c>
      <c r="G77" s="8" t="str">
        <f>IF($B77="","",_xlfn.LET(
_xlpm.受入,SUMIFS(tbl_ledger[数量],tbl_ledger[ロットID],$B77,tbl_ledger[イベント種類],"アセンブリ開始"),
_xlpm.充当受入,SUMIFS(tbl_ledger[数量],tbl_ledger[充当先ロットID],$B77,tbl_ledger[イベント種類],"充当",tbl_ledger[元状態],G$1),
_xlpm.払出,SUMIFS(tbl_ledger[数量],tbl_ledger[ロットID],$B77,tbl_ledger[元状態],G$1),
_xlpm.受入+_xlpm.充当受入-_xlpm.払出))</f>
        <v/>
      </c>
      <c r="H77" s="8" t="str">
        <f>IF($B77="","",_xlfn.LET(
_xlpm.受入,SUMIFS(tbl_ledger[数量],tbl_ledger[ロットID],$B77,tbl_ledger[イベント種類],"アセンブリ完了"),
_xlpm.充当受入,SUMIFS(tbl_ledger[数量],tbl_ledger[充当先ロットID],$B77,tbl_ledger[イベント種類],"充当",tbl_ledger[元状態],H$1),
_xlpm.払出,SUMIFS(tbl_ledger[数量],tbl_ledger[ロットID],$B77,tbl_ledger[元状態],H$1),
_xlpm.受入+_xlpm.充当受入-_xlpm.払出))</f>
        <v/>
      </c>
      <c r="I77" s="8" t="str">
        <f>IF($B77="","",_xlfn.LET(
_xlpm.受入,SUMIFS(tbl_ledger[数量],tbl_ledger[ロットID],$B77,tbl_ledger[イベント種類],"梱包開始"),
_xlpm.充当受入,SUMIFS(tbl_ledger[数量],tbl_ledger[充当先ロットID],$B77,tbl_ledger[イベント種類],"充当",tbl_ledger[元状態],I$1),
_xlpm.払出,SUMIFS(tbl_ledger[数量],tbl_ledger[ロットID],$B77,tbl_ledger[元状態],I$1),
_xlpm.受入+_xlpm.充当受入-_xlpm.払出))</f>
        <v/>
      </c>
      <c r="J77" s="8" t="str">
        <f>IF($B77="","",_xlfn.LET(
_xlpm.受入,SUMIFS(tbl_ledger[数量],tbl_ledger[ロットID],$B77,tbl_ledger[イベント種類],"梱包完了"),
_xlpm.充当受入,SUMIFS(tbl_ledger[数量],tbl_ledger[充当先ロットID],$B77,tbl_ledger[イベント種類],"充当",tbl_ledger[元状態],J$1),
_xlpm.払出,SUMIFS(tbl_ledger[数量],tbl_ledger[ロットID],$B77,tbl_ledger[元状態],J$1),
_xlpm.受入+_xlpm.充当受入-_xlpm.払出))</f>
        <v/>
      </c>
      <c r="K77" s="8" t="str">
        <f>IF($B77="","",_xlfn.LET(
_xlpm.受入,SUMIFS(tbl_ledger[数量],tbl_ledger[ロットID],$B77,tbl_ledger[イベント種類],"発送準備開始"),
_xlpm.充当受入,SUMIFS(tbl_ledger[数量],tbl_ledger[充当先ロットID],$B77,tbl_ledger[イベント種類],"充当",tbl_ledger[元状態],K$1),
_xlpm.払出,SUMIFS(tbl_ledger[数量],tbl_ledger[ロットID],$B77,tbl_ledger[元状態],K$1),
_xlpm.受入+_xlpm.充当受入-_xlpm.払出))</f>
        <v/>
      </c>
      <c r="L77" s="8" t="str">
        <f>IF($B77="","",_xlfn.LET(
_xlpm.受入,SUMIFS(tbl_ledger[数量],tbl_ledger[ロットID],$B77,tbl_ledger[イベント種類],"発送準備完了"),
_xlpm.充当受入,SUMIFS(tbl_ledger[数量],tbl_ledger[充当先ロットID],$B77,tbl_ledger[イベント種類],"充当",tbl_ledger[元状態],L$1),
_xlpm.払出,SUMIFS(tbl_ledger[数量],tbl_ledger[ロットID],$B77,tbl_ledger[元状態],L$1),
_xlpm.受入+_xlpm.充当受入-_xlpm.払出))</f>
        <v/>
      </c>
      <c r="M77" s="8" t="str">
        <f>IF($B77="","",_xlfn.LET(
_xlpm.受入,SUMIFS(tbl_ledger[数量],tbl_ledger[ロットID],$B77,tbl_ledger[イベント種類],"不良発生"),
_xlpm.充当受入,SUMIFS(tbl_ledger[数量],tbl_ledger[充当先ロットID],$B77,tbl_ledger[イベント種類],"充当",tbl_ledger[元状態],M$1),
_xlpm.払出,SUMIFS(tbl_ledger[数量],tbl_ledger[ロットID],$B77,tbl_ledger[元状態],M$1),
_xlpm.受入+_xlpm.充当受入-_xlpm.払出))</f>
        <v/>
      </c>
      <c r="N77" s="8" t="str">
        <f t="shared" si="3"/>
        <v/>
      </c>
    </row>
    <row r="78" spans="1:14" ht="15" customHeight="1" x14ac:dyDescent="0.25">
      <c r="A78" s="4" t="str">
        <f t="shared" si="2"/>
        <v/>
      </c>
      <c r="B78" s="4" t="str">
        <f>IFERROR(IF(COUNTIF($B$1:$B77,INDEX(tbl_plan[ロットID],ROW()-1))&gt;0,"",INDEX(tbl_plan[ロットID],ROW()-1)),"")</f>
        <v/>
      </c>
      <c r="C78" s="4" t="str">
        <f>IF($B78="","",INDEX(tbl_plan[localId],ROW()-1))</f>
        <v/>
      </c>
      <c r="D78" s="8" t="str">
        <f>IF($B78="","",_xlfn.LET(
_xlpm.割当受入,SUMIF(V_充足確認!$A$2:$A$301,$B78,V_充足確認!$F$2:$F$301),
_xlpm.充当受入,SUMIFS(tbl_ledger[数量],tbl_ledger[充当先ロットID],$B78,tbl_ledger[イベント種類],"充当",tbl_ledger[元状態],D$1),
_xlpm.払出,SUMIFS(tbl_ledger[数量],tbl_ledger[ロットID],$B78,tbl_ledger[元状態],D$1),
_xlpm.割当受入+_xlpm.充当受入-_xlpm.払出))</f>
        <v/>
      </c>
      <c r="E78" s="8" t="str">
        <f>IF($B78="","",_xlfn.LET(
_xlpm.受入,SUMIFS(tbl_ledger[数量],tbl_ledger[ロットID],$B78,tbl_ledger[イベント種類],"アニール開始"),
_xlpm.充当受入,SUMIFS(tbl_ledger[数量],tbl_ledger[充当先ロットID],$B78,tbl_ledger[イベント種類],"充当",tbl_ledger[元状態],E$1),
_xlpm.払出,SUMIFS(tbl_ledger[数量],tbl_ledger[ロットID],$B78,tbl_ledger[元状態],E$1),
_xlpm.受入+_xlpm.充当受入-_xlpm.払出))</f>
        <v/>
      </c>
      <c r="F78" s="8" t="str">
        <f>IF($B78="","",_xlfn.LET(
_xlpm.受入,SUMIFS(tbl_ledger[数量],tbl_ledger[ロットID],$B78,tbl_ledger[イベント種類],"アニール完了"),
_xlpm.充当受入,SUMIFS(tbl_ledger[数量],tbl_ledger[充当先ロットID],$B78,tbl_ledger[イベント種類],"充当",tbl_ledger[元状態],F$1),
_xlpm.払出,SUMIFS(tbl_ledger[数量],tbl_ledger[ロットID],$B78,tbl_ledger[元状態],F$1),
_xlpm.受入+_xlpm.充当受入-_xlpm.払出))</f>
        <v/>
      </c>
      <c r="G78" s="8" t="str">
        <f>IF($B78="","",_xlfn.LET(
_xlpm.受入,SUMIFS(tbl_ledger[数量],tbl_ledger[ロットID],$B78,tbl_ledger[イベント種類],"アセンブリ開始"),
_xlpm.充当受入,SUMIFS(tbl_ledger[数量],tbl_ledger[充当先ロットID],$B78,tbl_ledger[イベント種類],"充当",tbl_ledger[元状態],G$1),
_xlpm.払出,SUMIFS(tbl_ledger[数量],tbl_ledger[ロットID],$B78,tbl_ledger[元状態],G$1),
_xlpm.受入+_xlpm.充当受入-_xlpm.払出))</f>
        <v/>
      </c>
      <c r="H78" s="8" t="str">
        <f>IF($B78="","",_xlfn.LET(
_xlpm.受入,SUMIFS(tbl_ledger[数量],tbl_ledger[ロットID],$B78,tbl_ledger[イベント種類],"アセンブリ完了"),
_xlpm.充当受入,SUMIFS(tbl_ledger[数量],tbl_ledger[充当先ロットID],$B78,tbl_ledger[イベント種類],"充当",tbl_ledger[元状態],H$1),
_xlpm.払出,SUMIFS(tbl_ledger[数量],tbl_ledger[ロットID],$B78,tbl_ledger[元状態],H$1),
_xlpm.受入+_xlpm.充当受入-_xlpm.払出))</f>
        <v/>
      </c>
      <c r="I78" s="8" t="str">
        <f>IF($B78="","",_xlfn.LET(
_xlpm.受入,SUMIFS(tbl_ledger[数量],tbl_ledger[ロットID],$B78,tbl_ledger[イベント種類],"梱包開始"),
_xlpm.充当受入,SUMIFS(tbl_ledger[数量],tbl_ledger[充当先ロットID],$B78,tbl_ledger[イベント種類],"充当",tbl_ledger[元状態],I$1),
_xlpm.払出,SUMIFS(tbl_ledger[数量],tbl_ledger[ロットID],$B78,tbl_ledger[元状態],I$1),
_xlpm.受入+_xlpm.充当受入-_xlpm.払出))</f>
        <v/>
      </c>
      <c r="J78" s="8" t="str">
        <f>IF($B78="","",_xlfn.LET(
_xlpm.受入,SUMIFS(tbl_ledger[数量],tbl_ledger[ロットID],$B78,tbl_ledger[イベント種類],"梱包完了"),
_xlpm.充当受入,SUMIFS(tbl_ledger[数量],tbl_ledger[充当先ロットID],$B78,tbl_ledger[イベント種類],"充当",tbl_ledger[元状態],J$1),
_xlpm.払出,SUMIFS(tbl_ledger[数量],tbl_ledger[ロットID],$B78,tbl_ledger[元状態],J$1),
_xlpm.受入+_xlpm.充当受入-_xlpm.払出))</f>
        <v/>
      </c>
      <c r="K78" s="8" t="str">
        <f>IF($B78="","",_xlfn.LET(
_xlpm.受入,SUMIFS(tbl_ledger[数量],tbl_ledger[ロットID],$B78,tbl_ledger[イベント種類],"発送準備開始"),
_xlpm.充当受入,SUMIFS(tbl_ledger[数量],tbl_ledger[充当先ロットID],$B78,tbl_ledger[イベント種類],"充当",tbl_ledger[元状態],K$1),
_xlpm.払出,SUMIFS(tbl_ledger[数量],tbl_ledger[ロットID],$B78,tbl_ledger[元状態],K$1),
_xlpm.受入+_xlpm.充当受入-_xlpm.払出))</f>
        <v/>
      </c>
      <c r="L78" s="8" t="str">
        <f>IF($B78="","",_xlfn.LET(
_xlpm.受入,SUMIFS(tbl_ledger[数量],tbl_ledger[ロットID],$B78,tbl_ledger[イベント種類],"発送準備完了"),
_xlpm.充当受入,SUMIFS(tbl_ledger[数量],tbl_ledger[充当先ロットID],$B78,tbl_ledger[イベント種類],"充当",tbl_ledger[元状態],L$1),
_xlpm.払出,SUMIFS(tbl_ledger[数量],tbl_ledger[ロットID],$B78,tbl_ledger[元状態],L$1),
_xlpm.受入+_xlpm.充当受入-_xlpm.払出))</f>
        <v/>
      </c>
      <c r="M78" s="8" t="str">
        <f>IF($B78="","",_xlfn.LET(
_xlpm.受入,SUMIFS(tbl_ledger[数量],tbl_ledger[ロットID],$B78,tbl_ledger[イベント種類],"不良発生"),
_xlpm.充当受入,SUMIFS(tbl_ledger[数量],tbl_ledger[充当先ロットID],$B78,tbl_ledger[イベント種類],"充当",tbl_ledger[元状態],M$1),
_xlpm.払出,SUMIFS(tbl_ledger[数量],tbl_ledger[ロットID],$B78,tbl_ledger[元状態],M$1),
_xlpm.受入+_xlpm.充当受入-_xlpm.払出))</f>
        <v/>
      </c>
      <c r="N78" s="8" t="str">
        <f t="shared" si="3"/>
        <v/>
      </c>
    </row>
    <row r="79" spans="1:14" ht="15" customHeight="1" x14ac:dyDescent="0.25">
      <c r="A79" s="4" t="str">
        <f t="shared" si="2"/>
        <v/>
      </c>
      <c r="B79" s="4" t="str">
        <f>IFERROR(IF(COUNTIF($B$1:$B78,INDEX(tbl_plan[ロットID],ROW()-1))&gt;0,"",INDEX(tbl_plan[ロットID],ROW()-1)),"")</f>
        <v/>
      </c>
      <c r="C79" s="4" t="str">
        <f>IF($B79="","",INDEX(tbl_plan[localId],ROW()-1))</f>
        <v/>
      </c>
      <c r="D79" s="8" t="str">
        <f>IF($B79="","",_xlfn.LET(
_xlpm.割当受入,SUMIF(V_充足確認!$A$2:$A$301,$B79,V_充足確認!$F$2:$F$301),
_xlpm.充当受入,SUMIFS(tbl_ledger[数量],tbl_ledger[充当先ロットID],$B79,tbl_ledger[イベント種類],"充当",tbl_ledger[元状態],D$1),
_xlpm.払出,SUMIFS(tbl_ledger[数量],tbl_ledger[ロットID],$B79,tbl_ledger[元状態],D$1),
_xlpm.割当受入+_xlpm.充当受入-_xlpm.払出))</f>
        <v/>
      </c>
      <c r="E79" s="8" t="str">
        <f>IF($B79="","",_xlfn.LET(
_xlpm.受入,SUMIFS(tbl_ledger[数量],tbl_ledger[ロットID],$B79,tbl_ledger[イベント種類],"アニール開始"),
_xlpm.充当受入,SUMIFS(tbl_ledger[数量],tbl_ledger[充当先ロットID],$B79,tbl_ledger[イベント種類],"充当",tbl_ledger[元状態],E$1),
_xlpm.払出,SUMIFS(tbl_ledger[数量],tbl_ledger[ロットID],$B79,tbl_ledger[元状態],E$1),
_xlpm.受入+_xlpm.充当受入-_xlpm.払出))</f>
        <v/>
      </c>
      <c r="F79" s="8" t="str">
        <f>IF($B79="","",_xlfn.LET(
_xlpm.受入,SUMIFS(tbl_ledger[数量],tbl_ledger[ロットID],$B79,tbl_ledger[イベント種類],"アニール完了"),
_xlpm.充当受入,SUMIFS(tbl_ledger[数量],tbl_ledger[充当先ロットID],$B79,tbl_ledger[イベント種類],"充当",tbl_ledger[元状態],F$1),
_xlpm.払出,SUMIFS(tbl_ledger[数量],tbl_ledger[ロットID],$B79,tbl_ledger[元状態],F$1),
_xlpm.受入+_xlpm.充当受入-_xlpm.払出))</f>
        <v/>
      </c>
      <c r="G79" s="8" t="str">
        <f>IF($B79="","",_xlfn.LET(
_xlpm.受入,SUMIFS(tbl_ledger[数量],tbl_ledger[ロットID],$B79,tbl_ledger[イベント種類],"アセンブリ開始"),
_xlpm.充当受入,SUMIFS(tbl_ledger[数量],tbl_ledger[充当先ロットID],$B79,tbl_ledger[イベント種類],"充当",tbl_ledger[元状態],G$1),
_xlpm.払出,SUMIFS(tbl_ledger[数量],tbl_ledger[ロットID],$B79,tbl_ledger[元状態],G$1),
_xlpm.受入+_xlpm.充当受入-_xlpm.払出))</f>
        <v/>
      </c>
      <c r="H79" s="8" t="str">
        <f>IF($B79="","",_xlfn.LET(
_xlpm.受入,SUMIFS(tbl_ledger[数量],tbl_ledger[ロットID],$B79,tbl_ledger[イベント種類],"アセンブリ完了"),
_xlpm.充当受入,SUMIFS(tbl_ledger[数量],tbl_ledger[充当先ロットID],$B79,tbl_ledger[イベント種類],"充当",tbl_ledger[元状態],H$1),
_xlpm.払出,SUMIFS(tbl_ledger[数量],tbl_ledger[ロットID],$B79,tbl_ledger[元状態],H$1),
_xlpm.受入+_xlpm.充当受入-_xlpm.払出))</f>
        <v/>
      </c>
      <c r="I79" s="8" t="str">
        <f>IF($B79="","",_xlfn.LET(
_xlpm.受入,SUMIFS(tbl_ledger[数量],tbl_ledger[ロットID],$B79,tbl_ledger[イベント種類],"梱包開始"),
_xlpm.充当受入,SUMIFS(tbl_ledger[数量],tbl_ledger[充当先ロットID],$B79,tbl_ledger[イベント種類],"充当",tbl_ledger[元状態],I$1),
_xlpm.払出,SUMIFS(tbl_ledger[数量],tbl_ledger[ロットID],$B79,tbl_ledger[元状態],I$1),
_xlpm.受入+_xlpm.充当受入-_xlpm.払出))</f>
        <v/>
      </c>
      <c r="J79" s="8" t="str">
        <f>IF($B79="","",_xlfn.LET(
_xlpm.受入,SUMIFS(tbl_ledger[数量],tbl_ledger[ロットID],$B79,tbl_ledger[イベント種類],"梱包完了"),
_xlpm.充当受入,SUMIFS(tbl_ledger[数量],tbl_ledger[充当先ロットID],$B79,tbl_ledger[イベント種類],"充当",tbl_ledger[元状態],J$1),
_xlpm.払出,SUMIFS(tbl_ledger[数量],tbl_ledger[ロットID],$B79,tbl_ledger[元状態],J$1),
_xlpm.受入+_xlpm.充当受入-_xlpm.払出))</f>
        <v/>
      </c>
      <c r="K79" s="8" t="str">
        <f>IF($B79="","",_xlfn.LET(
_xlpm.受入,SUMIFS(tbl_ledger[数量],tbl_ledger[ロットID],$B79,tbl_ledger[イベント種類],"発送準備開始"),
_xlpm.充当受入,SUMIFS(tbl_ledger[数量],tbl_ledger[充当先ロットID],$B79,tbl_ledger[イベント種類],"充当",tbl_ledger[元状態],K$1),
_xlpm.払出,SUMIFS(tbl_ledger[数量],tbl_ledger[ロットID],$B79,tbl_ledger[元状態],K$1),
_xlpm.受入+_xlpm.充当受入-_xlpm.払出))</f>
        <v/>
      </c>
      <c r="L79" s="8" t="str">
        <f>IF($B79="","",_xlfn.LET(
_xlpm.受入,SUMIFS(tbl_ledger[数量],tbl_ledger[ロットID],$B79,tbl_ledger[イベント種類],"発送準備完了"),
_xlpm.充当受入,SUMIFS(tbl_ledger[数量],tbl_ledger[充当先ロットID],$B79,tbl_ledger[イベント種類],"充当",tbl_ledger[元状態],L$1),
_xlpm.払出,SUMIFS(tbl_ledger[数量],tbl_ledger[ロットID],$B79,tbl_ledger[元状態],L$1),
_xlpm.受入+_xlpm.充当受入-_xlpm.払出))</f>
        <v/>
      </c>
      <c r="M79" s="8" t="str">
        <f>IF($B79="","",_xlfn.LET(
_xlpm.受入,SUMIFS(tbl_ledger[数量],tbl_ledger[ロットID],$B79,tbl_ledger[イベント種類],"不良発生"),
_xlpm.充当受入,SUMIFS(tbl_ledger[数量],tbl_ledger[充当先ロットID],$B79,tbl_ledger[イベント種類],"充当",tbl_ledger[元状態],M$1),
_xlpm.払出,SUMIFS(tbl_ledger[数量],tbl_ledger[ロットID],$B79,tbl_ledger[元状態],M$1),
_xlpm.受入+_xlpm.充当受入-_xlpm.払出))</f>
        <v/>
      </c>
      <c r="N79" s="8" t="str">
        <f t="shared" si="3"/>
        <v/>
      </c>
    </row>
    <row r="80" spans="1:14" ht="15" customHeight="1" x14ac:dyDescent="0.25">
      <c r="A80" s="4" t="str">
        <f t="shared" si="2"/>
        <v/>
      </c>
      <c r="B80" s="4" t="str">
        <f>IFERROR(IF(COUNTIF($B$1:$B79,INDEX(tbl_plan[ロットID],ROW()-1))&gt;0,"",INDEX(tbl_plan[ロットID],ROW()-1)),"")</f>
        <v/>
      </c>
      <c r="C80" s="4" t="str">
        <f>IF($B80="","",INDEX(tbl_plan[localId],ROW()-1))</f>
        <v/>
      </c>
      <c r="D80" s="8" t="str">
        <f>IF($B80="","",_xlfn.LET(
_xlpm.割当受入,SUMIF(V_充足確認!$A$2:$A$301,$B80,V_充足確認!$F$2:$F$301),
_xlpm.充当受入,SUMIFS(tbl_ledger[数量],tbl_ledger[充当先ロットID],$B80,tbl_ledger[イベント種類],"充当",tbl_ledger[元状態],D$1),
_xlpm.払出,SUMIFS(tbl_ledger[数量],tbl_ledger[ロットID],$B80,tbl_ledger[元状態],D$1),
_xlpm.割当受入+_xlpm.充当受入-_xlpm.払出))</f>
        <v/>
      </c>
      <c r="E80" s="8" t="str">
        <f>IF($B80="","",_xlfn.LET(
_xlpm.受入,SUMIFS(tbl_ledger[数量],tbl_ledger[ロットID],$B80,tbl_ledger[イベント種類],"アニール開始"),
_xlpm.充当受入,SUMIFS(tbl_ledger[数量],tbl_ledger[充当先ロットID],$B80,tbl_ledger[イベント種類],"充当",tbl_ledger[元状態],E$1),
_xlpm.払出,SUMIFS(tbl_ledger[数量],tbl_ledger[ロットID],$B80,tbl_ledger[元状態],E$1),
_xlpm.受入+_xlpm.充当受入-_xlpm.払出))</f>
        <v/>
      </c>
      <c r="F80" s="8" t="str">
        <f>IF($B80="","",_xlfn.LET(
_xlpm.受入,SUMIFS(tbl_ledger[数量],tbl_ledger[ロットID],$B80,tbl_ledger[イベント種類],"アニール完了"),
_xlpm.充当受入,SUMIFS(tbl_ledger[数量],tbl_ledger[充当先ロットID],$B80,tbl_ledger[イベント種類],"充当",tbl_ledger[元状態],F$1),
_xlpm.払出,SUMIFS(tbl_ledger[数量],tbl_ledger[ロットID],$B80,tbl_ledger[元状態],F$1),
_xlpm.受入+_xlpm.充当受入-_xlpm.払出))</f>
        <v/>
      </c>
      <c r="G80" s="8" t="str">
        <f>IF($B80="","",_xlfn.LET(
_xlpm.受入,SUMIFS(tbl_ledger[数量],tbl_ledger[ロットID],$B80,tbl_ledger[イベント種類],"アセンブリ開始"),
_xlpm.充当受入,SUMIFS(tbl_ledger[数量],tbl_ledger[充当先ロットID],$B80,tbl_ledger[イベント種類],"充当",tbl_ledger[元状態],G$1),
_xlpm.払出,SUMIFS(tbl_ledger[数量],tbl_ledger[ロットID],$B80,tbl_ledger[元状態],G$1),
_xlpm.受入+_xlpm.充当受入-_xlpm.払出))</f>
        <v/>
      </c>
      <c r="H80" s="8" t="str">
        <f>IF($B80="","",_xlfn.LET(
_xlpm.受入,SUMIFS(tbl_ledger[数量],tbl_ledger[ロットID],$B80,tbl_ledger[イベント種類],"アセンブリ完了"),
_xlpm.充当受入,SUMIFS(tbl_ledger[数量],tbl_ledger[充当先ロットID],$B80,tbl_ledger[イベント種類],"充当",tbl_ledger[元状態],H$1),
_xlpm.払出,SUMIFS(tbl_ledger[数量],tbl_ledger[ロットID],$B80,tbl_ledger[元状態],H$1),
_xlpm.受入+_xlpm.充当受入-_xlpm.払出))</f>
        <v/>
      </c>
      <c r="I80" s="8" t="str">
        <f>IF($B80="","",_xlfn.LET(
_xlpm.受入,SUMIFS(tbl_ledger[数量],tbl_ledger[ロットID],$B80,tbl_ledger[イベント種類],"梱包開始"),
_xlpm.充当受入,SUMIFS(tbl_ledger[数量],tbl_ledger[充当先ロットID],$B80,tbl_ledger[イベント種類],"充当",tbl_ledger[元状態],I$1),
_xlpm.払出,SUMIFS(tbl_ledger[数量],tbl_ledger[ロットID],$B80,tbl_ledger[元状態],I$1),
_xlpm.受入+_xlpm.充当受入-_xlpm.払出))</f>
        <v/>
      </c>
      <c r="J80" s="8" t="str">
        <f>IF($B80="","",_xlfn.LET(
_xlpm.受入,SUMIFS(tbl_ledger[数量],tbl_ledger[ロットID],$B80,tbl_ledger[イベント種類],"梱包完了"),
_xlpm.充当受入,SUMIFS(tbl_ledger[数量],tbl_ledger[充当先ロットID],$B80,tbl_ledger[イベント種類],"充当",tbl_ledger[元状態],J$1),
_xlpm.払出,SUMIFS(tbl_ledger[数量],tbl_ledger[ロットID],$B80,tbl_ledger[元状態],J$1),
_xlpm.受入+_xlpm.充当受入-_xlpm.払出))</f>
        <v/>
      </c>
      <c r="K80" s="8" t="str">
        <f>IF($B80="","",_xlfn.LET(
_xlpm.受入,SUMIFS(tbl_ledger[数量],tbl_ledger[ロットID],$B80,tbl_ledger[イベント種類],"発送準備開始"),
_xlpm.充当受入,SUMIFS(tbl_ledger[数量],tbl_ledger[充当先ロットID],$B80,tbl_ledger[イベント種類],"充当",tbl_ledger[元状態],K$1),
_xlpm.払出,SUMIFS(tbl_ledger[数量],tbl_ledger[ロットID],$B80,tbl_ledger[元状態],K$1),
_xlpm.受入+_xlpm.充当受入-_xlpm.払出))</f>
        <v/>
      </c>
      <c r="L80" s="8" t="str">
        <f>IF($B80="","",_xlfn.LET(
_xlpm.受入,SUMIFS(tbl_ledger[数量],tbl_ledger[ロットID],$B80,tbl_ledger[イベント種類],"発送準備完了"),
_xlpm.充当受入,SUMIFS(tbl_ledger[数量],tbl_ledger[充当先ロットID],$B80,tbl_ledger[イベント種類],"充当",tbl_ledger[元状態],L$1),
_xlpm.払出,SUMIFS(tbl_ledger[数量],tbl_ledger[ロットID],$B80,tbl_ledger[元状態],L$1),
_xlpm.受入+_xlpm.充当受入-_xlpm.払出))</f>
        <v/>
      </c>
      <c r="M80" s="8" t="str">
        <f>IF($B80="","",_xlfn.LET(
_xlpm.受入,SUMIFS(tbl_ledger[数量],tbl_ledger[ロットID],$B80,tbl_ledger[イベント種類],"不良発生"),
_xlpm.充当受入,SUMIFS(tbl_ledger[数量],tbl_ledger[充当先ロットID],$B80,tbl_ledger[イベント種類],"充当",tbl_ledger[元状態],M$1),
_xlpm.払出,SUMIFS(tbl_ledger[数量],tbl_ledger[ロットID],$B80,tbl_ledger[元状態],M$1),
_xlpm.受入+_xlpm.充当受入-_xlpm.払出))</f>
        <v/>
      </c>
      <c r="N80" s="8" t="str">
        <f t="shared" si="3"/>
        <v/>
      </c>
    </row>
    <row r="81" spans="1:14" ht="15" customHeight="1" x14ac:dyDescent="0.25">
      <c r="A81" s="4" t="str">
        <f t="shared" si="2"/>
        <v/>
      </c>
      <c r="B81" s="4" t="str">
        <f>IFERROR(IF(COUNTIF($B$1:$B80,INDEX(tbl_plan[ロットID],ROW()-1))&gt;0,"",INDEX(tbl_plan[ロットID],ROW()-1)),"")</f>
        <v/>
      </c>
      <c r="C81" s="4" t="str">
        <f>IF($B81="","",INDEX(tbl_plan[localId],ROW()-1))</f>
        <v/>
      </c>
      <c r="D81" s="8" t="str">
        <f>IF($B81="","",_xlfn.LET(
_xlpm.割当受入,SUMIF(V_充足確認!$A$2:$A$301,$B81,V_充足確認!$F$2:$F$301),
_xlpm.充当受入,SUMIFS(tbl_ledger[数量],tbl_ledger[充当先ロットID],$B81,tbl_ledger[イベント種類],"充当",tbl_ledger[元状態],D$1),
_xlpm.払出,SUMIFS(tbl_ledger[数量],tbl_ledger[ロットID],$B81,tbl_ledger[元状態],D$1),
_xlpm.割当受入+_xlpm.充当受入-_xlpm.払出))</f>
        <v/>
      </c>
      <c r="E81" s="8" t="str">
        <f>IF($B81="","",_xlfn.LET(
_xlpm.受入,SUMIFS(tbl_ledger[数量],tbl_ledger[ロットID],$B81,tbl_ledger[イベント種類],"アニール開始"),
_xlpm.充当受入,SUMIFS(tbl_ledger[数量],tbl_ledger[充当先ロットID],$B81,tbl_ledger[イベント種類],"充当",tbl_ledger[元状態],E$1),
_xlpm.払出,SUMIFS(tbl_ledger[数量],tbl_ledger[ロットID],$B81,tbl_ledger[元状態],E$1),
_xlpm.受入+_xlpm.充当受入-_xlpm.払出))</f>
        <v/>
      </c>
      <c r="F81" s="8" t="str">
        <f>IF($B81="","",_xlfn.LET(
_xlpm.受入,SUMIFS(tbl_ledger[数量],tbl_ledger[ロットID],$B81,tbl_ledger[イベント種類],"アニール完了"),
_xlpm.充当受入,SUMIFS(tbl_ledger[数量],tbl_ledger[充当先ロットID],$B81,tbl_ledger[イベント種類],"充当",tbl_ledger[元状態],F$1),
_xlpm.払出,SUMIFS(tbl_ledger[数量],tbl_ledger[ロットID],$B81,tbl_ledger[元状態],F$1),
_xlpm.受入+_xlpm.充当受入-_xlpm.払出))</f>
        <v/>
      </c>
      <c r="G81" s="8" t="str">
        <f>IF($B81="","",_xlfn.LET(
_xlpm.受入,SUMIFS(tbl_ledger[数量],tbl_ledger[ロットID],$B81,tbl_ledger[イベント種類],"アセンブリ開始"),
_xlpm.充当受入,SUMIFS(tbl_ledger[数量],tbl_ledger[充当先ロットID],$B81,tbl_ledger[イベント種類],"充当",tbl_ledger[元状態],G$1),
_xlpm.払出,SUMIFS(tbl_ledger[数量],tbl_ledger[ロットID],$B81,tbl_ledger[元状態],G$1),
_xlpm.受入+_xlpm.充当受入-_xlpm.払出))</f>
        <v/>
      </c>
      <c r="H81" s="8" t="str">
        <f>IF($B81="","",_xlfn.LET(
_xlpm.受入,SUMIFS(tbl_ledger[数量],tbl_ledger[ロットID],$B81,tbl_ledger[イベント種類],"アセンブリ完了"),
_xlpm.充当受入,SUMIFS(tbl_ledger[数量],tbl_ledger[充当先ロットID],$B81,tbl_ledger[イベント種類],"充当",tbl_ledger[元状態],H$1),
_xlpm.払出,SUMIFS(tbl_ledger[数量],tbl_ledger[ロットID],$B81,tbl_ledger[元状態],H$1),
_xlpm.受入+_xlpm.充当受入-_xlpm.払出))</f>
        <v/>
      </c>
      <c r="I81" s="8" t="str">
        <f>IF($B81="","",_xlfn.LET(
_xlpm.受入,SUMIFS(tbl_ledger[数量],tbl_ledger[ロットID],$B81,tbl_ledger[イベント種類],"梱包開始"),
_xlpm.充当受入,SUMIFS(tbl_ledger[数量],tbl_ledger[充当先ロットID],$B81,tbl_ledger[イベント種類],"充当",tbl_ledger[元状態],I$1),
_xlpm.払出,SUMIFS(tbl_ledger[数量],tbl_ledger[ロットID],$B81,tbl_ledger[元状態],I$1),
_xlpm.受入+_xlpm.充当受入-_xlpm.払出))</f>
        <v/>
      </c>
      <c r="J81" s="8" t="str">
        <f>IF($B81="","",_xlfn.LET(
_xlpm.受入,SUMIFS(tbl_ledger[数量],tbl_ledger[ロットID],$B81,tbl_ledger[イベント種類],"梱包完了"),
_xlpm.充当受入,SUMIFS(tbl_ledger[数量],tbl_ledger[充当先ロットID],$B81,tbl_ledger[イベント種類],"充当",tbl_ledger[元状態],J$1),
_xlpm.払出,SUMIFS(tbl_ledger[数量],tbl_ledger[ロットID],$B81,tbl_ledger[元状態],J$1),
_xlpm.受入+_xlpm.充当受入-_xlpm.払出))</f>
        <v/>
      </c>
      <c r="K81" s="8" t="str">
        <f>IF($B81="","",_xlfn.LET(
_xlpm.受入,SUMIFS(tbl_ledger[数量],tbl_ledger[ロットID],$B81,tbl_ledger[イベント種類],"発送準備開始"),
_xlpm.充当受入,SUMIFS(tbl_ledger[数量],tbl_ledger[充当先ロットID],$B81,tbl_ledger[イベント種類],"充当",tbl_ledger[元状態],K$1),
_xlpm.払出,SUMIFS(tbl_ledger[数量],tbl_ledger[ロットID],$B81,tbl_ledger[元状態],K$1),
_xlpm.受入+_xlpm.充当受入-_xlpm.払出))</f>
        <v/>
      </c>
      <c r="L81" s="8" t="str">
        <f>IF($B81="","",_xlfn.LET(
_xlpm.受入,SUMIFS(tbl_ledger[数量],tbl_ledger[ロットID],$B81,tbl_ledger[イベント種類],"発送準備完了"),
_xlpm.充当受入,SUMIFS(tbl_ledger[数量],tbl_ledger[充当先ロットID],$B81,tbl_ledger[イベント種類],"充当",tbl_ledger[元状態],L$1),
_xlpm.払出,SUMIFS(tbl_ledger[数量],tbl_ledger[ロットID],$B81,tbl_ledger[元状態],L$1),
_xlpm.受入+_xlpm.充当受入-_xlpm.払出))</f>
        <v/>
      </c>
      <c r="M81" s="8" t="str">
        <f>IF($B81="","",_xlfn.LET(
_xlpm.受入,SUMIFS(tbl_ledger[数量],tbl_ledger[ロットID],$B81,tbl_ledger[イベント種類],"不良発生"),
_xlpm.充当受入,SUMIFS(tbl_ledger[数量],tbl_ledger[充当先ロットID],$B81,tbl_ledger[イベント種類],"充当",tbl_ledger[元状態],M$1),
_xlpm.払出,SUMIFS(tbl_ledger[数量],tbl_ledger[ロットID],$B81,tbl_ledger[元状態],M$1),
_xlpm.受入+_xlpm.充当受入-_xlpm.払出))</f>
        <v/>
      </c>
      <c r="N81" s="8" t="str">
        <f t="shared" si="3"/>
        <v/>
      </c>
    </row>
    <row r="82" spans="1:14" ht="15" customHeight="1" x14ac:dyDescent="0.25">
      <c r="A82" s="4" t="str">
        <f t="shared" si="2"/>
        <v/>
      </c>
      <c r="B82" s="4" t="str">
        <f>IFERROR(IF(COUNTIF($B$1:$B81,INDEX(tbl_plan[ロットID],ROW()-1))&gt;0,"",INDEX(tbl_plan[ロットID],ROW()-1)),"")</f>
        <v/>
      </c>
      <c r="C82" s="4" t="str">
        <f>IF($B82="","",INDEX(tbl_plan[localId],ROW()-1))</f>
        <v/>
      </c>
      <c r="D82" s="8" t="str">
        <f>IF($B82="","",_xlfn.LET(
_xlpm.割当受入,SUMIF(V_充足確認!$A$2:$A$301,$B82,V_充足確認!$F$2:$F$301),
_xlpm.充当受入,SUMIFS(tbl_ledger[数量],tbl_ledger[充当先ロットID],$B82,tbl_ledger[イベント種類],"充当",tbl_ledger[元状態],D$1),
_xlpm.払出,SUMIFS(tbl_ledger[数量],tbl_ledger[ロットID],$B82,tbl_ledger[元状態],D$1),
_xlpm.割当受入+_xlpm.充当受入-_xlpm.払出))</f>
        <v/>
      </c>
      <c r="E82" s="8" t="str">
        <f>IF($B82="","",_xlfn.LET(
_xlpm.受入,SUMIFS(tbl_ledger[数量],tbl_ledger[ロットID],$B82,tbl_ledger[イベント種類],"アニール開始"),
_xlpm.充当受入,SUMIFS(tbl_ledger[数量],tbl_ledger[充当先ロットID],$B82,tbl_ledger[イベント種類],"充当",tbl_ledger[元状態],E$1),
_xlpm.払出,SUMIFS(tbl_ledger[数量],tbl_ledger[ロットID],$B82,tbl_ledger[元状態],E$1),
_xlpm.受入+_xlpm.充当受入-_xlpm.払出))</f>
        <v/>
      </c>
      <c r="F82" s="8" t="str">
        <f>IF($B82="","",_xlfn.LET(
_xlpm.受入,SUMIFS(tbl_ledger[数量],tbl_ledger[ロットID],$B82,tbl_ledger[イベント種類],"アニール完了"),
_xlpm.充当受入,SUMIFS(tbl_ledger[数量],tbl_ledger[充当先ロットID],$B82,tbl_ledger[イベント種類],"充当",tbl_ledger[元状態],F$1),
_xlpm.払出,SUMIFS(tbl_ledger[数量],tbl_ledger[ロットID],$B82,tbl_ledger[元状態],F$1),
_xlpm.受入+_xlpm.充当受入-_xlpm.払出))</f>
        <v/>
      </c>
      <c r="G82" s="8" t="str">
        <f>IF($B82="","",_xlfn.LET(
_xlpm.受入,SUMIFS(tbl_ledger[数量],tbl_ledger[ロットID],$B82,tbl_ledger[イベント種類],"アセンブリ開始"),
_xlpm.充当受入,SUMIFS(tbl_ledger[数量],tbl_ledger[充当先ロットID],$B82,tbl_ledger[イベント種類],"充当",tbl_ledger[元状態],G$1),
_xlpm.払出,SUMIFS(tbl_ledger[数量],tbl_ledger[ロットID],$B82,tbl_ledger[元状態],G$1),
_xlpm.受入+_xlpm.充当受入-_xlpm.払出))</f>
        <v/>
      </c>
      <c r="H82" s="8" t="str">
        <f>IF($B82="","",_xlfn.LET(
_xlpm.受入,SUMIFS(tbl_ledger[数量],tbl_ledger[ロットID],$B82,tbl_ledger[イベント種類],"アセンブリ完了"),
_xlpm.充当受入,SUMIFS(tbl_ledger[数量],tbl_ledger[充当先ロットID],$B82,tbl_ledger[イベント種類],"充当",tbl_ledger[元状態],H$1),
_xlpm.払出,SUMIFS(tbl_ledger[数量],tbl_ledger[ロットID],$B82,tbl_ledger[元状態],H$1),
_xlpm.受入+_xlpm.充当受入-_xlpm.払出))</f>
        <v/>
      </c>
      <c r="I82" s="8" t="str">
        <f>IF($B82="","",_xlfn.LET(
_xlpm.受入,SUMIFS(tbl_ledger[数量],tbl_ledger[ロットID],$B82,tbl_ledger[イベント種類],"梱包開始"),
_xlpm.充当受入,SUMIFS(tbl_ledger[数量],tbl_ledger[充当先ロットID],$B82,tbl_ledger[イベント種類],"充当",tbl_ledger[元状態],I$1),
_xlpm.払出,SUMIFS(tbl_ledger[数量],tbl_ledger[ロットID],$B82,tbl_ledger[元状態],I$1),
_xlpm.受入+_xlpm.充当受入-_xlpm.払出))</f>
        <v/>
      </c>
      <c r="J82" s="8" t="str">
        <f>IF($B82="","",_xlfn.LET(
_xlpm.受入,SUMIFS(tbl_ledger[数量],tbl_ledger[ロットID],$B82,tbl_ledger[イベント種類],"梱包完了"),
_xlpm.充当受入,SUMIFS(tbl_ledger[数量],tbl_ledger[充当先ロットID],$B82,tbl_ledger[イベント種類],"充当",tbl_ledger[元状態],J$1),
_xlpm.払出,SUMIFS(tbl_ledger[数量],tbl_ledger[ロットID],$B82,tbl_ledger[元状態],J$1),
_xlpm.受入+_xlpm.充当受入-_xlpm.払出))</f>
        <v/>
      </c>
      <c r="K82" s="8" t="str">
        <f>IF($B82="","",_xlfn.LET(
_xlpm.受入,SUMIFS(tbl_ledger[数量],tbl_ledger[ロットID],$B82,tbl_ledger[イベント種類],"発送準備開始"),
_xlpm.充当受入,SUMIFS(tbl_ledger[数量],tbl_ledger[充当先ロットID],$B82,tbl_ledger[イベント種類],"充当",tbl_ledger[元状態],K$1),
_xlpm.払出,SUMIFS(tbl_ledger[数量],tbl_ledger[ロットID],$B82,tbl_ledger[元状態],K$1),
_xlpm.受入+_xlpm.充当受入-_xlpm.払出))</f>
        <v/>
      </c>
      <c r="L82" s="8" t="str">
        <f>IF($B82="","",_xlfn.LET(
_xlpm.受入,SUMIFS(tbl_ledger[数量],tbl_ledger[ロットID],$B82,tbl_ledger[イベント種類],"発送準備完了"),
_xlpm.充当受入,SUMIFS(tbl_ledger[数量],tbl_ledger[充当先ロットID],$B82,tbl_ledger[イベント種類],"充当",tbl_ledger[元状態],L$1),
_xlpm.払出,SUMIFS(tbl_ledger[数量],tbl_ledger[ロットID],$B82,tbl_ledger[元状態],L$1),
_xlpm.受入+_xlpm.充当受入-_xlpm.払出))</f>
        <v/>
      </c>
      <c r="M82" s="8" t="str">
        <f>IF($B82="","",_xlfn.LET(
_xlpm.受入,SUMIFS(tbl_ledger[数量],tbl_ledger[ロットID],$B82,tbl_ledger[イベント種類],"不良発生"),
_xlpm.充当受入,SUMIFS(tbl_ledger[数量],tbl_ledger[充当先ロットID],$B82,tbl_ledger[イベント種類],"充当",tbl_ledger[元状態],M$1),
_xlpm.払出,SUMIFS(tbl_ledger[数量],tbl_ledger[ロットID],$B82,tbl_ledger[元状態],M$1),
_xlpm.受入+_xlpm.充当受入-_xlpm.払出))</f>
        <v/>
      </c>
      <c r="N82" s="8" t="str">
        <f t="shared" si="3"/>
        <v/>
      </c>
    </row>
    <row r="83" spans="1:14" ht="15" customHeight="1" x14ac:dyDescent="0.25">
      <c r="A83" s="4" t="str">
        <f t="shared" si="2"/>
        <v/>
      </c>
      <c r="B83" s="4" t="str">
        <f>IFERROR(IF(COUNTIF($B$1:$B82,INDEX(tbl_plan[ロットID],ROW()-1))&gt;0,"",INDEX(tbl_plan[ロットID],ROW()-1)),"")</f>
        <v/>
      </c>
      <c r="C83" s="4" t="str">
        <f>IF($B83="","",INDEX(tbl_plan[localId],ROW()-1))</f>
        <v/>
      </c>
      <c r="D83" s="8" t="str">
        <f>IF($B83="","",_xlfn.LET(
_xlpm.割当受入,SUMIF(V_充足確認!$A$2:$A$301,$B83,V_充足確認!$F$2:$F$301),
_xlpm.充当受入,SUMIFS(tbl_ledger[数量],tbl_ledger[充当先ロットID],$B83,tbl_ledger[イベント種類],"充当",tbl_ledger[元状態],D$1),
_xlpm.払出,SUMIFS(tbl_ledger[数量],tbl_ledger[ロットID],$B83,tbl_ledger[元状態],D$1),
_xlpm.割当受入+_xlpm.充当受入-_xlpm.払出))</f>
        <v/>
      </c>
      <c r="E83" s="8" t="str">
        <f>IF($B83="","",_xlfn.LET(
_xlpm.受入,SUMIFS(tbl_ledger[数量],tbl_ledger[ロットID],$B83,tbl_ledger[イベント種類],"アニール開始"),
_xlpm.充当受入,SUMIFS(tbl_ledger[数量],tbl_ledger[充当先ロットID],$B83,tbl_ledger[イベント種類],"充当",tbl_ledger[元状態],E$1),
_xlpm.払出,SUMIFS(tbl_ledger[数量],tbl_ledger[ロットID],$B83,tbl_ledger[元状態],E$1),
_xlpm.受入+_xlpm.充当受入-_xlpm.払出))</f>
        <v/>
      </c>
      <c r="F83" s="8" t="str">
        <f>IF($B83="","",_xlfn.LET(
_xlpm.受入,SUMIFS(tbl_ledger[数量],tbl_ledger[ロットID],$B83,tbl_ledger[イベント種類],"アニール完了"),
_xlpm.充当受入,SUMIFS(tbl_ledger[数量],tbl_ledger[充当先ロットID],$B83,tbl_ledger[イベント種類],"充当",tbl_ledger[元状態],F$1),
_xlpm.払出,SUMIFS(tbl_ledger[数量],tbl_ledger[ロットID],$B83,tbl_ledger[元状態],F$1),
_xlpm.受入+_xlpm.充当受入-_xlpm.払出))</f>
        <v/>
      </c>
      <c r="G83" s="8" t="str">
        <f>IF($B83="","",_xlfn.LET(
_xlpm.受入,SUMIFS(tbl_ledger[数量],tbl_ledger[ロットID],$B83,tbl_ledger[イベント種類],"アセンブリ開始"),
_xlpm.充当受入,SUMIFS(tbl_ledger[数量],tbl_ledger[充当先ロットID],$B83,tbl_ledger[イベント種類],"充当",tbl_ledger[元状態],G$1),
_xlpm.払出,SUMIFS(tbl_ledger[数量],tbl_ledger[ロットID],$B83,tbl_ledger[元状態],G$1),
_xlpm.受入+_xlpm.充当受入-_xlpm.払出))</f>
        <v/>
      </c>
      <c r="H83" s="8" t="str">
        <f>IF($B83="","",_xlfn.LET(
_xlpm.受入,SUMIFS(tbl_ledger[数量],tbl_ledger[ロットID],$B83,tbl_ledger[イベント種類],"アセンブリ完了"),
_xlpm.充当受入,SUMIFS(tbl_ledger[数量],tbl_ledger[充当先ロットID],$B83,tbl_ledger[イベント種類],"充当",tbl_ledger[元状態],H$1),
_xlpm.払出,SUMIFS(tbl_ledger[数量],tbl_ledger[ロットID],$B83,tbl_ledger[元状態],H$1),
_xlpm.受入+_xlpm.充当受入-_xlpm.払出))</f>
        <v/>
      </c>
      <c r="I83" s="8" t="str">
        <f>IF($B83="","",_xlfn.LET(
_xlpm.受入,SUMIFS(tbl_ledger[数量],tbl_ledger[ロットID],$B83,tbl_ledger[イベント種類],"梱包開始"),
_xlpm.充当受入,SUMIFS(tbl_ledger[数量],tbl_ledger[充当先ロットID],$B83,tbl_ledger[イベント種類],"充当",tbl_ledger[元状態],I$1),
_xlpm.払出,SUMIFS(tbl_ledger[数量],tbl_ledger[ロットID],$B83,tbl_ledger[元状態],I$1),
_xlpm.受入+_xlpm.充当受入-_xlpm.払出))</f>
        <v/>
      </c>
      <c r="J83" s="8" t="str">
        <f>IF($B83="","",_xlfn.LET(
_xlpm.受入,SUMIFS(tbl_ledger[数量],tbl_ledger[ロットID],$B83,tbl_ledger[イベント種類],"梱包完了"),
_xlpm.充当受入,SUMIFS(tbl_ledger[数量],tbl_ledger[充当先ロットID],$B83,tbl_ledger[イベント種類],"充当",tbl_ledger[元状態],J$1),
_xlpm.払出,SUMIFS(tbl_ledger[数量],tbl_ledger[ロットID],$B83,tbl_ledger[元状態],J$1),
_xlpm.受入+_xlpm.充当受入-_xlpm.払出))</f>
        <v/>
      </c>
      <c r="K83" s="8" t="str">
        <f>IF($B83="","",_xlfn.LET(
_xlpm.受入,SUMIFS(tbl_ledger[数量],tbl_ledger[ロットID],$B83,tbl_ledger[イベント種類],"発送準備開始"),
_xlpm.充当受入,SUMIFS(tbl_ledger[数量],tbl_ledger[充当先ロットID],$B83,tbl_ledger[イベント種類],"充当",tbl_ledger[元状態],K$1),
_xlpm.払出,SUMIFS(tbl_ledger[数量],tbl_ledger[ロットID],$B83,tbl_ledger[元状態],K$1),
_xlpm.受入+_xlpm.充当受入-_xlpm.払出))</f>
        <v/>
      </c>
      <c r="L83" s="8" t="str">
        <f>IF($B83="","",_xlfn.LET(
_xlpm.受入,SUMIFS(tbl_ledger[数量],tbl_ledger[ロットID],$B83,tbl_ledger[イベント種類],"発送準備完了"),
_xlpm.充当受入,SUMIFS(tbl_ledger[数量],tbl_ledger[充当先ロットID],$B83,tbl_ledger[イベント種類],"充当",tbl_ledger[元状態],L$1),
_xlpm.払出,SUMIFS(tbl_ledger[数量],tbl_ledger[ロットID],$B83,tbl_ledger[元状態],L$1),
_xlpm.受入+_xlpm.充当受入-_xlpm.払出))</f>
        <v/>
      </c>
      <c r="M83" s="8" t="str">
        <f>IF($B83="","",_xlfn.LET(
_xlpm.受入,SUMIFS(tbl_ledger[数量],tbl_ledger[ロットID],$B83,tbl_ledger[イベント種類],"不良発生"),
_xlpm.充当受入,SUMIFS(tbl_ledger[数量],tbl_ledger[充当先ロットID],$B83,tbl_ledger[イベント種類],"充当",tbl_ledger[元状態],M$1),
_xlpm.払出,SUMIFS(tbl_ledger[数量],tbl_ledger[ロットID],$B83,tbl_ledger[元状態],M$1),
_xlpm.受入+_xlpm.充当受入-_xlpm.払出))</f>
        <v/>
      </c>
      <c r="N83" s="8" t="str">
        <f t="shared" si="3"/>
        <v/>
      </c>
    </row>
    <row r="84" spans="1:14" ht="15" customHeight="1" x14ac:dyDescent="0.25">
      <c r="A84" s="4" t="str">
        <f t="shared" si="2"/>
        <v/>
      </c>
      <c r="B84" s="4" t="str">
        <f>IFERROR(IF(COUNTIF($B$1:$B83,INDEX(tbl_plan[ロットID],ROW()-1))&gt;0,"",INDEX(tbl_plan[ロットID],ROW()-1)),"")</f>
        <v/>
      </c>
      <c r="C84" s="4" t="str">
        <f>IF($B84="","",INDEX(tbl_plan[localId],ROW()-1))</f>
        <v/>
      </c>
      <c r="D84" s="8" t="str">
        <f>IF($B84="","",_xlfn.LET(
_xlpm.割当受入,SUMIF(V_充足確認!$A$2:$A$301,$B84,V_充足確認!$F$2:$F$301),
_xlpm.充当受入,SUMIFS(tbl_ledger[数量],tbl_ledger[充当先ロットID],$B84,tbl_ledger[イベント種類],"充当",tbl_ledger[元状態],D$1),
_xlpm.払出,SUMIFS(tbl_ledger[数量],tbl_ledger[ロットID],$B84,tbl_ledger[元状態],D$1),
_xlpm.割当受入+_xlpm.充当受入-_xlpm.払出))</f>
        <v/>
      </c>
      <c r="E84" s="8" t="str">
        <f>IF($B84="","",_xlfn.LET(
_xlpm.受入,SUMIFS(tbl_ledger[数量],tbl_ledger[ロットID],$B84,tbl_ledger[イベント種類],"アニール開始"),
_xlpm.充当受入,SUMIFS(tbl_ledger[数量],tbl_ledger[充当先ロットID],$B84,tbl_ledger[イベント種類],"充当",tbl_ledger[元状態],E$1),
_xlpm.払出,SUMIFS(tbl_ledger[数量],tbl_ledger[ロットID],$B84,tbl_ledger[元状態],E$1),
_xlpm.受入+_xlpm.充当受入-_xlpm.払出))</f>
        <v/>
      </c>
      <c r="F84" s="8" t="str">
        <f>IF($B84="","",_xlfn.LET(
_xlpm.受入,SUMIFS(tbl_ledger[数量],tbl_ledger[ロットID],$B84,tbl_ledger[イベント種類],"アニール完了"),
_xlpm.充当受入,SUMIFS(tbl_ledger[数量],tbl_ledger[充当先ロットID],$B84,tbl_ledger[イベント種類],"充当",tbl_ledger[元状態],F$1),
_xlpm.払出,SUMIFS(tbl_ledger[数量],tbl_ledger[ロットID],$B84,tbl_ledger[元状態],F$1),
_xlpm.受入+_xlpm.充当受入-_xlpm.払出))</f>
        <v/>
      </c>
      <c r="G84" s="8" t="str">
        <f>IF($B84="","",_xlfn.LET(
_xlpm.受入,SUMIFS(tbl_ledger[数量],tbl_ledger[ロットID],$B84,tbl_ledger[イベント種類],"アセンブリ開始"),
_xlpm.充当受入,SUMIFS(tbl_ledger[数量],tbl_ledger[充当先ロットID],$B84,tbl_ledger[イベント種類],"充当",tbl_ledger[元状態],G$1),
_xlpm.払出,SUMIFS(tbl_ledger[数量],tbl_ledger[ロットID],$B84,tbl_ledger[元状態],G$1),
_xlpm.受入+_xlpm.充当受入-_xlpm.払出))</f>
        <v/>
      </c>
      <c r="H84" s="8" t="str">
        <f>IF($B84="","",_xlfn.LET(
_xlpm.受入,SUMIFS(tbl_ledger[数量],tbl_ledger[ロットID],$B84,tbl_ledger[イベント種類],"アセンブリ完了"),
_xlpm.充当受入,SUMIFS(tbl_ledger[数量],tbl_ledger[充当先ロットID],$B84,tbl_ledger[イベント種類],"充当",tbl_ledger[元状態],H$1),
_xlpm.払出,SUMIFS(tbl_ledger[数量],tbl_ledger[ロットID],$B84,tbl_ledger[元状態],H$1),
_xlpm.受入+_xlpm.充当受入-_xlpm.払出))</f>
        <v/>
      </c>
      <c r="I84" s="8" t="str">
        <f>IF($B84="","",_xlfn.LET(
_xlpm.受入,SUMIFS(tbl_ledger[数量],tbl_ledger[ロットID],$B84,tbl_ledger[イベント種類],"梱包開始"),
_xlpm.充当受入,SUMIFS(tbl_ledger[数量],tbl_ledger[充当先ロットID],$B84,tbl_ledger[イベント種類],"充当",tbl_ledger[元状態],I$1),
_xlpm.払出,SUMIFS(tbl_ledger[数量],tbl_ledger[ロットID],$B84,tbl_ledger[元状態],I$1),
_xlpm.受入+_xlpm.充当受入-_xlpm.払出))</f>
        <v/>
      </c>
      <c r="J84" s="8" t="str">
        <f>IF($B84="","",_xlfn.LET(
_xlpm.受入,SUMIFS(tbl_ledger[数量],tbl_ledger[ロットID],$B84,tbl_ledger[イベント種類],"梱包完了"),
_xlpm.充当受入,SUMIFS(tbl_ledger[数量],tbl_ledger[充当先ロットID],$B84,tbl_ledger[イベント種類],"充当",tbl_ledger[元状態],J$1),
_xlpm.払出,SUMIFS(tbl_ledger[数量],tbl_ledger[ロットID],$B84,tbl_ledger[元状態],J$1),
_xlpm.受入+_xlpm.充当受入-_xlpm.払出))</f>
        <v/>
      </c>
      <c r="K84" s="8" t="str">
        <f>IF($B84="","",_xlfn.LET(
_xlpm.受入,SUMIFS(tbl_ledger[数量],tbl_ledger[ロットID],$B84,tbl_ledger[イベント種類],"発送準備開始"),
_xlpm.充当受入,SUMIFS(tbl_ledger[数量],tbl_ledger[充当先ロットID],$B84,tbl_ledger[イベント種類],"充当",tbl_ledger[元状態],K$1),
_xlpm.払出,SUMIFS(tbl_ledger[数量],tbl_ledger[ロットID],$B84,tbl_ledger[元状態],K$1),
_xlpm.受入+_xlpm.充当受入-_xlpm.払出))</f>
        <v/>
      </c>
      <c r="L84" s="8" t="str">
        <f>IF($B84="","",_xlfn.LET(
_xlpm.受入,SUMIFS(tbl_ledger[数量],tbl_ledger[ロットID],$B84,tbl_ledger[イベント種類],"発送準備完了"),
_xlpm.充当受入,SUMIFS(tbl_ledger[数量],tbl_ledger[充当先ロットID],$B84,tbl_ledger[イベント種類],"充当",tbl_ledger[元状態],L$1),
_xlpm.払出,SUMIFS(tbl_ledger[数量],tbl_ledger[ロットID],$B84,tbl_ledger[元状態],L$1),
_xlpm.受入+_xlpm.充当受入-_xlpm.払出))</f>
        <v/>
      </c>
      <c r="M84" s="8" t="str">
        <f>IF($B84="","",_xlfn.LET(
_xlpm.受入,SUMIFS(tbl_ledger[数量],tbl_ledger[ロットID],$B84,tbl_ledger[イベント種類],"不良発生"),
_xlpm.充当受入,SUMIFS(tbl_ledger[数量],tbl_ledger[充当先ロットID],$B84,tbl_ledger[イベント種類],"充当",tbl_ledger[元状態],M$1),
_xlpm.払出,SUMIFS(tbl_ledger[数量],tbl_ledger[ロットID],$B84,tbl_ledger[元状態],M$1),
_xlpm.受入+_xlpm.充当受入-_xlpm.払出))</f>
        <v/>
      </c>
      <c r="N84" s="8" t="str">
        <f t="shared" si="3"/>
        <v/>
      </c>
    </row>
    <row r="85" spans="1:14" ht="15" customHeight="1" x14ac:dyDescent="0.25">
      <c r="A85" s="4" t="str">
        <f t="shared" si="2"/>
        <v/>
      </c>
      <c r="B85" s="4" t="str">
        <f>IFERROR(IF(COUNTIF($B$1:$B84,INDEX(tbl_plan[ロットID],ROW()-1))&gt;0,"",INDEX(tbl_plan[ロットID],ROW()-1)),"")</f>
        <v/>
      </c>
      <c r="C85" s="4" t="str">
        <f>IF($B85="","",INDEX(tbl_plan[localId],ROW()-1))</f>
        <v/>
      </c>
      <c r="D85" s="8" t="str">
        <f>IF($B85="","",_xlfn.LET(
_xlpm.割当受入,SUMIF(V_充足確認!$A$2:$A$301,$B85,V_充足確認!$F$2:$F$301),
_xlpm.充当受入,SUMIFS(tbl_ledger[数量],tbl_ledger[充当先ロットID],$B85,tbl_ledger[イベント種類],"充当",tbl_ledger[元状態],D$1),
_xlpm.払出,SUMIFS(tbl_ledger[数量],tbl_ledger[ロットID],$B85,tbl_ledger[元状態],D$1),
_xlpm.割当受入+_xlpm.充当受入-_xlpm.払出))</f>
        <v/>
      </c>
      <c r="E85" s="8" t="str">
        <f>IF($B85="","",_xlfn.LET(
_xlpm.受入,SUMIFS(tbl_ledger[数量],tbl_ledger[ロットID],$B85,tbl_ledger[イベント種類],"アニール開始"),
_xlpm.充当受入,SUMIFS(tbl_ledger[数量],tbl_ledger[充当先ロットID],$B85,tbl_ledger[イベント種類],"充当",tbl_ledger[元状態],E$1),
_xlpm.払出,SUMIFS(tbl_ledger[数量],tbl_ledger[ロットID],$B85,tbl_ledger[元状態],E$1),
_xlpm.受入+_xlpm.充当受入-_xlpm.払出))</f>
        <v/>
      </c>
      <c r="F85" s="8" t="str">
        <f>IF($B85="","",_xlfn.LET(
_xlpm.受入,SUMIFS(tbl_ledger[数量],tbl_ledger[ロットID],$B85,tbl_ledger[イベント種類],"アニール完了"),
_xlpm.充当受入,SUMIFS(tbl_ledger[数量],tbl_ledger[充当先ロットID],$B85,tbl_ledger[イベント種類],"充当",tbl_ledger[元状態],F$1),
_xlpm.払出,SUMIFS(tbl_ledger[数量],tbl_ledger[ロットID],$B85,tbl_ledger[元状態],F$1),
_xlpm.受入+_xlpm.充当受入-_xlpm.払出))</f>
        <v/>
      </c>
      <c r="G85" s="8" t="str">
        <f>IF($B85="","",_xlfn.LET(
_xlpm.受入,SUMIFS(tbl_ledger[数量],tbl_ledger[ロットID],$B85,tbl_ledger[イベント種類],"アセンブリ開始"),
_xlpm.充当受入,SUMIFS(tbl_ledger[数量],tbl_ledger[充当先ロットID],$B85,tbl_ledger[イベント種類],"充当",tbl_ledger[元状態],G$1),
_xlpm.払出,SUMIFS(tbl_ledger[数量],tbl_ledger[ロットID],$B85,tbl_ledger[元状態],G$1),
_xlpm.受入+_xlpm.充当受入-_xlpm.払出))</f>
        <v/>
      </c>
      <c r="H85" s="8" t="str">
        <f>IF($B85="","",_xlfn.LET(
_xlpm.受入,SUMIFS(tbl_ledger[数量],tbl_ledger[ロットID],$B85,tbl_ledger[イベント種類],"アセンブリ完了"),
_xlpm.充当受入,SUMIFS(tbl_ledger[数量],tbl_ledger[充当先ロットID],$B85,tbl_ledger[イベント種類],"充当",tbl_ledger[元状態],H$1),
_xlpm.払出,SUMIFS(tbl_ledger[数量],tbl_ledger[ロットID],$B85,tbl_ledger[元状態],H$1),
_xlpm.受入+_xlpm.充当受入-_xlpm.払出))</f>
        <v/>
      </c>
      <c r="I85" s="8" t="str">
        <f>IF($B85="","",_xlfn.LET(
_xlpm.受入,SUMIFS(tbl_ledger[数量],tbl_ledger[ロットID],$B85,tbl_ledger[イベント種類],"梱包開始"),
_xlpm.充当受入,SUMIFS(tbl_ledger[数量],tbl_ledger[充当先ロットID],$B85,tbl_ledger[イベント種類],"充当",tbl_ledger[元状態],I$1),
_xlpm.払出,SUMIFS(tbl_ledger[数量],tbl_ledger[ロットID],$B85,tbl_ledger[元状態],I$1),
_xlpm.受入+_xlpm.充当受入-_xlpm.払出))</f>
        <v/>
      </c>
      <c r="J85" s="8" t="str">
        <f>IF($B85="","",_xlfn.LET(
_xlpm.受入,SUMIFS(tbl_ledger[数量],tbl_ledger[ロットID],$B85,tbl_ledger[イベント種類],"梱包完了"),
_xlpm.充当受入,SUMIFS(tbl_ledger[数量],tbl_ledger[充当先ロットID],$B85,tbl_ledger[イベント種類],"充当",tbl_ledger[元状態],J$1),
_xlpm.払出,SUMIFS(tbl_ledger[数量],tbl_ledger[ロットID],$B85,tbl_ledger[元状態],J$1),
_xlpm.受入+_xlpm.充当受入-_xlpm.払出))</f>
        <v/>
      </c>
      <c r="K85" s="8" t="str">
        <f>IF($B85="","",_xlfn.LET(
_xlpm.受入,SUMIFS(tbl_ledger[数量],tbl_ledger[ロットID],$B85,tbl_ledger[イベント種類],"発送準備開始"),
_xlpm.充当受入,SUMIFS(tbl_ledger[数量],tbl_ledger[充当先ロットID],$B85,tbl_ledger[イベント種類],"充当",tbl_ledger[元状態],K$1),
_xlpm.払出,SUMIFS(tbl_ledger[数量],tbl_ledger[ロットID],$B85,tbl_ledger[元状態],K$1),
_xlpm.受入+_xlpm.充当受入-_xlpm.払出))</f>
        <v/>
      </c>
      <c r="L85" s="8" t="str">
        <f>IF($B85="","",_xlfn.LET(
_xlpm.受入,SUMIFS(tbl_ledger[数量],tbl_ledger[ロットID],$B85,tbl_ledger[イベント種類],"発送準備完了"),
_xlpm.充当受入,SUMIFS(tbl_ledger[数量],tbl_ledger[充当先ロットID],$B85,tbl_ledger[イベント種類],"充当",tbl_ledger[元状態],L$1),
_xlpm.払出,SUMIFS(tbl_ledger[数量],tbl_ledger[ロットID],$B85,tbl_ledger[元状態],L$1),
_xlpm.受入+_xlpm.充当受入-_xlpm.払出))</f>
        <v/>
      </c>
      <c r="M85" s="8" t="str">
        <f>IF($B85="","",_xlfn.LET(
_xlpm.受入,SUMIFS(tbl_ledger[数量],tbl_ledger[ロットID],$B85,tbl_ledger[イベント種類],"不良発生"),
_xlpm.充当受入,SUMIFS(tbl_ledger[数量],tbl_ledger[充当先ロットID],$B85,tbl_ledger[イベント種類],"充当",tbl_ledger[元状態],M$1),
_xlpm.払出,SUMIFS(tbl_ledger[数量],tbl_ledger[ロットID],$B85,tbl_ledger[元状態],M$1),
_xlpm.受入+_xlpm.充当受入-_xlpm.払出))</f>
        <v/>
      </c>
      <c r="N85" s="8" t="str">
        <f t="shared" si="3"/>
        <v/>
      </c>
    </row>
    <row r="86" spans="1:14" ht="15" customHeight="1" x14ac:dyDescent="0.25">
      <c r="A86" s="4" t="str">
        <f t="shared" si="2"/>
        <v/>
      </c>
      <c r="B86" s="4" t="str">
        <f>IFERROR(IF(COUNTIF($B$1:$B85,INDEX(tbl_plan[ロットID],ROW()-1))&gt;0,"",INDEX(tbl_plan[ロットID],ROW()-1)),"")</f>
        <v/>
      </c>
      <c r="C86" s="4" t="str">
        <f>IF($B86="","",INDEX(tbl_plan[localId],ROW()-1))</f>
        <v/>
      </c>
      <c r="D86" s="8" t="str">
        <f>IF($B86="","",_xlfn.LET(
_xlpm.割当受入,SUMIF(V_充足確認!$A$2:$A$301,$B86,V_充足確認!$F$2:$F$301),
_xlpm.充当受入,SUMIFS(tbl_ledger[数量],tbl_ledger[充当先ロットID],$B86,tbl_ledger[イベント種類],"充当",tbl_ledger[元状態],D$1),
_xlpm.払出,SUMIFS(tbl_ledger[数量],tbl_ledger[ロットID],$B86,tbl_ledger[元状態],D$1),
_xlpm.割当受入+_xlpm.充当受入-_xlpm.払出))</f>
        <v/>
      </c>
      <c r="E86" s="8" t="str">
        <f>IF($B86="","",_xlfn.LET(
_xlpm.受入,SUMIFS(tbl_ledger[数量],tbl_ledger[ロットID],$B86,tbl_ledger[イベント種類],"アニール開始"),
_xlpm.充当受入,SUMIFS(tbl_ledger[数量],tbl_ledger[充当先ロットID],$B86,tbl_ledger[イベント種類],"充当",tbl_ledger[元状態],E$1),
_xlpm.払出,SUMIFS(tbl_ledger[数量],tbl_ledger[ロットID],$B86,tbl_ledger[元状態],E$1),
_xlpm.受入+_xlpm.充当受入-_xlpm.払出))</f>
        <v/>
      </c>
      <c r="F86" s="8" t="str">
        <f>IF($B86="","",_xlfn.LET(
_xlpm.受入,SUMIFS(tbl_ledger[数量],tbl_ledger[ロットID],$B86,tbl_ledger[イベント種類],"アニール完了"),
_xlpm.充当受入,SUMIFS(tbl_ledger[数量],tbl_ledger[充当先ロットID],$B86,tbl_ledger[イベント種類],"充当",tbl_ledger[元状態],F$1),
_xlpm.払出,SUMIFS(tbl_ledger[数量],tbl_ledger[ロットID],$B86,tbl_ledger[元状態],F$1),
_xlpm.受入+_xlpm.充当受入-_xlpm.払出))</f>
        <v/>
      </c>
      <c r="G86" s="8" t="str">
        <f>IF($B86="","",_xlfn.LET(
_xlpm.受入,SUMIFS(tbl_ledger[数量],tbl_ledger[ロットID],$B86,tbl_ledger[イベント種類],"アセンブリ開始"),
_xlpm.充当受入,SUMIFS(tbl_ledger[数量],tbl_ledger[充当先ロットID],$B86,tbl_ledger[イベント種類],"充当",tbl_ledger[元状態],G$1),
_xlpm.払出,SUMIFS(tbl_ledger[数量],tbl_ledger[ロットID],$B86,tbl_ledger[元状態],G$1),
_xlpm.受入+_xlpm.充当受入-_xlpm.払出))</f>
        <v/>
      </c>
      <c r="H86" s="8" t="str">
        <f>IF($B86="","",_xlfn.LET(
_xlpm.受入,SUMIFS(tbl_ledger[数量],tbl_ledger[ロットID],$B86,tbl_ledger[イベント種類],"アセンブリ完了"),
_xlpm.充当受入,SUMIFS(tbl_ledger[数量],tbl_ledger[充当先ロットID],$B86,tbl_ledger[イベント種類],"充当",tbl_ledger[元状態],H$1),
_xlpm.払出,SUMIFS(tbl_ledger[数量],tbl_ledger[ロットID],$B86,tbl_ledger[元状態],H$1),
_xlpm.受入+_xlpm.充当受入-_xlpm.払出))</f>
        <v/>
      </c>
      <c r="I86" s="8" t="str">
        <f>IF($B86="","",_xlfn.LET(
_xlpm.受入,SUMIFS(tbl_ledger[数量],tbl_ledger[ロットID],$B86,tbl_ledger[イベント種類],"梱包開始"),
_xlpm.充当受入,SUMIFS(tbl_ledger[数量],tbl_ledger[充当先ロットID],$B86,tbl_ledger[イベント種類],"充当",tbl_ledger[元状態],I$1),
_xlpm.払出,SUMIFS(tbl_ledger[数量],tbl_ledger[ロットID],$B86,tbl_ledger[元状態],I$1),
_xlpm.受入+_xlpm.充当受入-_xlpm.払出))</f>
        <v/>
      </c>
      <c r="J86" s="8" t="str">
        <f>IF($B86="","",_xlfn.LET(
_xlpm.受入,SUMIFS(tbl_ledger[数量],tbl_ledger[ロットID],$B86,tbl_ledger[イベント種類],"梱包完了"),
_xlpm.充当受入,SUMIFS(tbl_ledger[数量],tbl_ledger[充当先ロットID],$B86,tbl_ledger[イベント種類],"充当",tbl_ledger[元状態],J$1),
_xlpm.払出,SUMIFS(tbl_ledger[数量],tbl_ledger[ロットID],$B86,tbl_ledger[元状態],J$1),
_xlpm.受入+_xlpm.充当受入-_xlpm.払出))</f>
        <v/>
      </c>
      <c r="K86" s="8" t="str">
        <f>IF($B86="","",_xlfn.LET(
_xlpm.受入,SUMIFS(tbl_ledger[数量],tbl_ledger[ロットID],$B86,tbl_ledger[イベント種類],"発送準備開始"),
_xlpm.充当受入,SUMIFS(tbl_ledger[数量],tbl_ledger[充当先ロットID],$B86,tbl_ledger[イベント種類],"充当",tbl_ledger[元状態],K$1),
_xlpm.払出,SUMIFS(tbl_ledger[数量],tbl_ledger[ロットID],$B86,tbl_ledger[元状態],K$1),
_xlpm.受入+_xlpm.充当受入-_xlpm.払出))</f>
        <v/>
      </c>
      <c r="L86" s="8" t="str">
        <f>IF($B86="","",_xlfn.LET(
_xlpm.受入,SUMIFS(tbl_ledger[数量],tbl_ledger[ロットID],$B86,tbl_ledger[イベント種類],"発送準備完了"),
_xlpm.充当受入,SUMIFS(tbl_ledger[数量],tbl_ledger[充当先ロットID],$B86,tbl_ledger[イベント種類],"充当",tbl_ledger[元状態],L$1),
_xlpm.払出,SUMIFS(tbl_ledger[数量],tbl_ledger[ロットID],$B86,tbl_ledger[元状態],L$1),
_xlpm.受入+_xlpm.充当受入-_xlpm.払出))</f>
        <v/>
      </c>
      <c r="M86" s="8" t="str">
        <f>IF($B86="","",_xlfn.LET(
_xlpm.受入,SUMIFS(tbl_ledger[数量],tbl_ledger[ロットID],$B86,tbl_ledger[イベント種類],"不良発生"),
_xlpm.充当受入,SUMIFS(tbl_ledger[数量],tbl_ledger[充当先ロットID],$B86,tbl_ledger[イベント種類],"充当",tbl_ledger[元状態],M$1),
_xlpm.払出,SUMIFS(tbl_ledger[数量],tbl_ledger[ロットID],$B86,tbl_ledger[元状態],M$1),
_xlpm.受入+_xlpm.充当受入-_xlpm.払出))</f>
        <v/>
      </c>
      <c r="N86" s="8" t="str">
        <f t="shared" si="3"/>
        <v/>
      </c>
    </row>
    <row r="87" spans="1:14" ht="15" customHeight="1" x14ac:dyDescent="0.25">
      <c r="A87" s="4" t="str">
        <f t="shared" si="2"/>
        <v/>
      </c>
      <c r="B87" s="4" t="str">
        <f>IFERROR(IF(COUNTIF($B$1:$B86,INDEX(tbl_plan[ロットID],ROW()-1))&gt;0,"",INDEX(tbl_plan[ロットID],ROW()-1)),"")</f>
        <v/>
      </c>
      <c r="C87" s="4" t="str">
        <f>IF($B87="","",INDEX(tbl_plan[localId],ROW()-1))</f>
        <v/>
      </c>
      <c r="D87" s="8" t="str">
        <f>IF($B87="","",_xlfn.LET(
_xlpm.割当受入,SUMIF(V_充足確認!$A$2:$A$301,$B87,V_充足確認!$F$2:$F$301),
_xlpm.充当受入,SUMIFS(tbl_ledger[数量],tbl_ledger[充当先ロットID],$B87,tbl_ledger[イベント種類],"充当",tbl_ledger[元状態],D$1),
_xlpm.払出,SUMIFS(tbl_ledger[数量],tbl_ledger[ロットID],$B87,tbl_ledger[元状態],D$1),
_xlpm.割当受入+_xlpm.充当受入-_xlpm.払出))</f>
        <v/>
      </c>
      <c r="E87" s="8" t="str">
        <f>IF($B87="","",_xlfn.LET(
_xlpm.受入,SUMIFS(tbl_ledger[数量],tbl_ledger[ロットID],$B87,tbl_ledger[イベント種類],"アニール開始"),
_xlpm.充当受入,SUMIFS(tbl_ledger[数量],tbl_ledger[充当先ロットID],$B87,tbl_ledger[イベント種類],"充当",tbl_ledger[元状態],E$1),
_xlpm.払出,SUMIFS(tbl_ledger[数量],tbl_ledger[ロットID],$B87,tbl_ledger[元状態],E$1),
_xlpm.受入+_xlpm.充当受入-_xlpm.払出))</f>
        <v/>
      </c>
      <c r="F87" s="8" t="str">
        <f>IF($B87="","",_xlfn.LET(
_xlpm.受入,SUMIFS(tbl_ledger[数量],tbl_ledger[ロットID],$B87,tbl_ledger[イベント種類],"アニール完了"),
_xlpm.充当受入,SUMIFS(tbl_ledger[数量],tbl_ledger[充当先ロットID],$B87,tbl_ledger[イベント種類],"充当",tbl_ledger[元状態],F$1),
_xlpm.払出,SUMIFS(tbl_ledger[数量],tbl_ledger[ロットID],$B87,tbl_ledger[元状態],F$1),
_xlpm.受入+_xlpm.充当受入-_xlpm.払出))</f>
        <v/>
      </c>
      <c r="G87" s="8" t="str">
        <f>IF($B87="","",_xlfn.LET(
_xlpm.受入,SUMIFS(tbl_ledger[数量],tbl_ledger[ロットID],$B87,tbl_ledger[イベント種類],"アセンブリ開始"),
_xlpm.充当受入,SUMIFS(tbl_ledger[数量],tbl_ledger[充当先ロットID],$B87,tbl_ledger[イベント種類],"充当",tbl_ledger[元状態],G$1),
_xlpm.払出,SUMIFS(tbl_ledger[数量],tbl_ledger[ロットID],$B87,tbl_ledger[元状態],G$1),
_xlpm.受入+_xlpm.充当受入-_xlpm.払出))</f>
        <v/>
      </c>
      <c r="H87" s="8" t="str">
        <f>IF($B87="","",_xlfn.LET(
_xlpm.受入,SUMIFS(tbl_ledger[数量],tbl_ledger[ロットID],$B87,tbl_ledger[イベント種類],"アセンブリ完了"),
_xlpm.充当受入,SUMIFS(tbl_ledger[数量],tbl_ledger[充当先ロットID],$B87,tbl_ledger[イベント種類],"充当",tbl_ledger[元状態],H$1),
_xlpm.払出,SUMIFS(tbl_ledger[数量],tbl_ledger[ロットID],$B87,tbl_ledger[元状態],H$1),
_xlpm.受入+_xlpm.充当受入-_xlpm.払出))</f>
        <v/>
      </c>
      <c r="I87" s="8" t="str">
        <f>IF($B87="","",_xlfn.LET(
_xlpm.受入,SUMIFS(tbl_ledger[数量],tbl_ledger[ロットID],$B87,tbl_ledger[イベント種類],"梱包開始"),
_xlpm.充当受入,SUMIFS(tbl_ledger[数量],tbl_ledger[充当先ロットID],$B87,tbl_ledger[イベント種類],"充当",tbl_ledger[元状態],I$1),
_xlpm.払出,SUMIFS(tbl_ledger[数量],tbl_ledger[ロットID],$B87,tbl_ledger[元状態],I$1),
_xlpm.受入+_xlpm.充当受入-_xlpm.払出))</f>
        <v/>
      </c>
      <c r="J87" s="8" t="str">
        <f>IF($B87="","",_xlfn.LET(
_xlpm.受入,SUMIFS(tbl_ledger[数量],tbl_ledger[ロットID],$B87,tbl_ledger[イベント種類],"梱包完了"),
_xlpm.充当受入,SUMIFS(tbl_ledger[数量],tbl_ledger[充当先ロットID],$B87,tbl_ledger[イベント種類],"充当",tbl_ledger[元状態],J$1),
_xlpm.払出,SUMIFS(tbl_ledger[数量],tbl_ledger[ロットID],$B87,tbl_ledger[元状態],J$1),
_xlpm.受入+_xlpm.充当受入-_xlpm.払出))</f>
        <v/>
      </c>
      <c r="K87" s="8" t="str">
        <f>IF($B87="","",_xlfn.LET(
_xlpm.受入,SUMIFS(tbl_ledger[数量],tbl_ledger[ロットID],$B87,tbl_ledger[イベント種類],"発送準備開始"),
_xlpm.充当受入,SUMIFS(tbl_ledger[数量],tbl_ledger[充当先ロットID],$B87,tbl_ledger[イベント種類],"充当",tbl_ledger[元状態],K$1),
_xlpm.払出,SUMIFS(tbl_ledger[数量],tbl_ledger[ロットID],$B87,tbl_ledger[元状態],K$1),
_xlpm.受入+_xlpm.充当受入-_xlpm.払出))</f>
        <v/>
      </c>
      <c r="L87" s="8" t="str">
        <f>IF($B87="","",_xlfn.LET(
_xlpm.受入,SUMIFS(tbl_ledger[数量],tbl_ledger[ロットID],$B87,tbl_ledger[イベント種類],"発送準備完了"),
_xlpm.充当受入,SUMIFS(tbl_ledger[数量],tbl_ledger[充当先ロットID],$B87,tbl_ledger[イベント種類],"充当",tbl_ledger[元状態],L$1),
_xlpm.払出,SUMIFS(tbl_ledger[数量],tbl_ledger[ロットID],$B87,tbl_ledger[元状態],L$1),
_xlpm.受入+_xlpm.充当受入-_xlpm.払出))</f>
        <v/>
      </c>
      <c r="M87" s="8" t="str">
        <f>IF($B87="","",_xlfn.LET(
_xlpm.受入,SUMIFS(tbl_ledger[数量],tbl_ledger[ロットID],$B87,tbl_ledger[イベント種類],"不良発生"),
_xlpm.充当受入,SUMIFS(tbl_ledger[数量],tbl_ledger[充当先ロットID],$B87,tbl_ledger[イベント種類],"充当",tbl_ledger[元状態],M$1),
_xlpm.払出,SUMIFS(tbl_ledger[数量],tbl_ledger[ロットID],$B87,tbl_ledger[元状態],M$1),
_xlpm.受入+_xlpm.充当受入-_xlpm.払出))</f>
        <v/>
      </c>
      <c r="N87" s="8" t="str">
        <f t="shared" si="3"/>
        <v/>
      </c>
    </row>
    <row r="88" spans="1:14" ht="15" customHeight="1" x14ac:dyDescent="0.25">
      <c r="A88" s="4" t="str">
        <f t="shared" si="2"/>
        <v/>
      </c>
      <c r="B88" s="4" t="str">
        <f>IFERROR(IF(COUNTIF($B$1:$B87,INDEX(tbl_plan[ロットID],ROW()-1))&gt;0,"",INDEX(tbl_plan[ロットID],ROW()-1)),"")</f>
        <v/>
      </c>
      <c r="C88" s="4" t="str">
        <f>IF($B88="","",INDEX(tbl_plan[localId],ROW()-1))</f>
        <v/>
      </c>
      <c r="D88" s="8" t="str">
        <f>IF($B88="","",_xlfn.LET(
_xlpm.割当受入,SUMIF(V_充足確認!$A$2:$A$301,$B88,V_充足確認!$F$2:$F$301),
_xlpm.充当受入,SUMIFS(tbl_ledger[数量],tbl_ledger[充当先ロットID],$B88,tbl_ledger[イベント種類],"充当",tbl_ledger[元状態],D$1),
_xlpm.払出,SUMIFS(tbl_ledger[数量],tbl_ledger[ロットID],$B88,tbl_ledger[元状態],D$1),
_xlpm.割当受入+_xlpm.充当受入-_xlpm.払出))</f>
        <v/>
      </c>
      <c r="E88" s="8" t="str">
        <f>IF($B88="","",_xlfn.LET(
_xlpm.受入,SUMIFS(tbl_ledger[数量],tbl_ledger[ロットID],$B88,tbl_ledger[イベント種類],"アニール開始"),
_xlpm.充当受入,SUMIFS(tbl_ledger[数量],tbl_ledger[充当先ロットID],$B88,tbl_ledger[イベント種類],"充当",tbl_ledger[元状態],E$1),
_xlpm.払出,SUMIFS(tbl_ledger[数量],tbl_ledger[ロットID],$B88,tbl_ledger[元状態],E$1),
_xlpm.受入+_xlpm.充当受入-_xlpm.払出))</f>
        <v/>
      </c>
      <c r="F88" s="8" t="str">
        <f>IF($B88="","",_xlfn.LET(
_xlpm.受入,SUMIFS(tbl_ledger[数量],tbl_ledger[ロットID],$B88,tbl_ledger[イベント種類],"アニール完了"),
_xlpm.充当受入,SUMIFS(tbl_ledger[数量],tbl_ledger[充当先ロットID],$B88,tbl_ledger[イベント種類],"充当",tbl_ledger[元状態],F$1),
_xlpm.払出,SUMIFS(tbl_ledger[数量],tbl_ledger[ロットID],$B88,tbl_ledger[元状態],F$1),
_xlpm.受入+_xlpm.充当受入-_xlpm.払出))</f>
        <v/>
      </c>
      <c r="G88" s="8" t="str">
        <f>IF($B88="","",_xlfn.LET(
_xlpm.受入,SUMIFS(tbl_ledger[数量],tbl_ledger[ロットID],$B88,tbl_ledger[イベント種類],"アセンブリ開始"),
_xlpm.充当受入,SUMIFS(tbl_ledger[数量],tbl_ledger[充当先ロットID],$B88,tbl_ledger[イベント種類],"充当",tbl_ledger[元状態],G$1),
_xlpm.払出,SUMIFS(tbl_ledger[数量],tbl_ledger[ロットID],$B88,tbl_ledger[元状態],G$1),
_xlpm.受入+_xlpm.充当受入-_xlpm.払出))</f>
        <v/>
      </c>
      <c r="H88" s="8" t="str">
        <f>IF($B88="","",_xlfn.LET(
_xlpm.受入,SUMIFS(tbl_ledger[数量],tbl_ledger[ロットID],$B88,tbl_ledger[イベント種類],"アセンブリ完了"),
_xlpm.充当受入,SUMIFS(tbl_ledger[数量],tbl_ledger[充当先ロットID],$B88,tbl_ledger[イベント種類],"充当",tbl_ledger[元状態],H$1),
_xlpm.払出,SUMIFS(tbl_ledger[数量],tbl_ledger[ロットID],$B88,tbl_ledger[元状態],H$1),
_xlpm.受入+_xlpm.充当受入-_xlpm.払出))</f>
        <v/>
      </c>
      <c r="I88" s="8" t="str">
        <f>IF($B88="","",_xlfn.LET(
_xlpm.受入,SUMIFS(tbl_ledger[数量],tbl_ledger[ロットID],$B88,tbl_ledger[イベント種類],"梱包開始"),
_xlpm.充当受入,SUMIFS(tbl_ledger[数量],tbl_ledger[充当先ロットID],$B88,tbl_ledger[イベント種類],"充当",tbl_ledger[元状態],I$1),
_xlpm.払出,SUMIFS(tbl_ledger[数量],tbl_ledger[ロットID],$B88,tbl_ledger[元状態],I$1),
_xlpm.受入+_xlpm.充当受入-_xlpm.払出))</f>
        <v/>
      </c>
      <c r="J88" s="8" t="str">
        <f>IF($B88="","",_xlfn.LET(
_xlpm.受入,SUMIFS(tbl_ledger[数量],tbl_ledger[ロットID],$B88,tbl_ledger[イベント種類],"梱包完了"),
_xlpm.充当受入,SUMIFS(tbl_ledger[数量],tbl_ledger[充当先ロットID],$B88,tbl_ledger[イベント種類],"充当",tbl_ledger[元状態],J$1),
_xlpm.払出,SUMIFS(tbl_ledger[数量],tbl_ledger[ロットID],$B88,tbl_ledger[元状態],J$1),
_xlpm.受入+_xlpm.充当受入-_xlpm.払出))</f>
        <v/>
      </c>
      <c r="K88" s="8" t="str">
        <f>IF($B88="","",_xlfn.LET(
_xlpm.受入,SUMIFS(tbl_ledger[数量],tbl_ledger[ロットID],$B88,tbl_ledger[イベント種類],"発送準備開始"),
_xlpm.充当受入,SUMIFS(tbl_ledger[数量],tbl_ledger[充当先ロットID],$B88,tbl_ledger[イベント種類],"充当",tbl_ledger[元状態],K$1),
_xlpm.払出,SUMIFS(tbl_ledger[数量],tbl_ledger[ロットID],$B88,tbl_ledger[元状態],K$1),
_xlpm.受入+_xlpm.充当受入-_xlpm.払出))</f>
        <v/>
      </c>
      <c r="L88" s="8" t="str">
        <f>IF($B88="","",_xlfn.LET(
_xlpm.受入,SUMIFS(tbl_ledger[数量],tbl_ledger[ロットID],$B88,tbl_ledger[イベント種類],"発送準備完了"),
_xlpm.充当受入,SUMIFS(tbl_ledger[数量],tbl_ledger[充当先ロットID],$B88,tbl_ledger[イベント種類],"充当",tbl_ledger[元状態],L$1),
_xlpm.払出,SUMIFS(tbl_ledger[数量],tbl_ledger[ロットID],$B88,tbl_ledger[元状態],L$1),
_xlpm.受入+_xlpm.充当受入-_xlpm.払出))</f>
        <v/>
      </c>
      <c r="M88" s="8" t="str">
        <f>IF($B88="","",_xlfn.LET(
_xlpm.受入,SUMIFS(tbl_ledger[数量],tbl_ledger[ロットID],$B88,tbl_ledger[イベント種類],"不良発生"),
_xlpm.充当受入,SUMIFS(tbl_ledger[数量],tbl_ledger[充当先ロットID],$B88,tbl_ledger[イベント種類],"充当",tbl_ledger[元状態],M$1),
_xlpm.払出,SUMIFS(tbl_ledger[数量],tbl_ledger[ロットID],$B88,tbl_ledger[元状態],M$1),
_xlpm.受入+_xlpm.充当受入-_xlpm.払出))</f>
        <v/>
      </c>
      <c r="N88" s="8" t="str">
        <f t="shared" si="3"/>
        <v/>
      </c>
    </row>
    <row r="89" spans="1:14" ht="15" customHeight="1" x14ac:dyDescent="0.25">
      <c r="A89" s="4" t="str">
        <f t="shared" si="2"/>
        <v/>
      </c>
      <c r="B89" s="4" t="str">
        <f>IFERROR(IF(COUNTIF($B$1:$B88,INDEX(tbl_plan[ロットID],ROW()-1))&gt;0,"",INDEX(tbl_plan[ロットID],ROW()-1)),"")</f>
        <v/>
      </c>
      <c r="C89" s="4" t="str">
        <f>IF($B89="","",INDEX(tbl_plan[localId],ROW()-1))</f>
        <v/>
      </c>
      <c r="D89" s="8" t="str">
        <f>IF($B89="","",_xlfn.LET(
_xlpm.割当受入,SUMIF(V_充足確認!$A$2:$A$301,$B89,V_充足確認!$F$2:$F$301),
_xlpm.充当受入,SUMIFS(tbl_ledger[数量],tbl_ledger[充当先ロットID],$B89,tbl_ledger[イベント種類],"充当",tbl_ledger[元状態],D$1),
_xlpm.払出,SUMIFS(tbl_ledger[数量],tbl_ledger[ロットID],$B89,tbl_ledger[元状態],D$1),
_xlpm.割当受入+_xlpm.充当受入-_xlpm.払出))</f>
        <v/>
      </c>
      <c r="E89" s="8" t="str">
        <f>IF($B89="","",_xlfn.LET(
_xlpm.受入,SUMIFS(tbl_ledger[数量],tbl_ledger[ロットID],$B89,tbl_ledger[イベント種類],"アニール開始"),
_xlpm.充当受入,SUMIFS(tbl_ledger[数量],tbl_ledger[充当先ロットID],$B89,tbl_ledger[イベント種類],"充当",tbl_ledger[元状態],E$1),
_xlpm.払出,SUMIFS(tbl_ledger[数量],tbl_ledger[ロットID],$B89,tbl_ledger[元状態],E$1),
_xlpm.受入+_xlpm.充当受入-_xlpm.払出))</f>
        <v/>
      </c>
      <c r="F89" s="8" t="str">
        <f>IF($B89="","",_xlfn.LET(
_xlpm.受入,SUMIFS(tbl_ledger[数量],tbl_ledger[ロットID],$B89,tbl_ledger[イベント種類],"アニール完了"),
_xlpm.充当受入,SUMIFS(tbl_ledger[数量],tbl_ledger[充当先ロットID],$B89,tbl_ledger[イベント種類],"充当",tbl_ledger[元状態],F$1),
_xlpm.払出,SUMIFS(tbl_ledger[数量],tbl_ledger[ロットID],$B89,tbl_ledger[元状態],F$1),
_xlpm.受入+_xlpm.充当受入-_xlpm.払出))</f>
        <v/>
      </c>
      <c r="G89" s="8" t="str">
        <f>IF($B89="","",_xlfn.LET(
_xlpm.受入,SUMIFS(tbl_ledger[数量],tbl_ledger[ロットID],$B89,tbl_ledger[イベント種類],"アセンブリ開始"),
_xlpm.充当受入,SUMIFS(tbl_ledger[数量],tbl_ledger[充当先ロットID],$B89,tbl_ledger[イベント種類],"充当",tbl_ledger[元状態],G$1),
_xlpm.払出,SUMIFS(tbl_ledger[数量],tbl_ledger[ロットID],$B89,tbl_ledger[元状態],G$1),
_xlpm.受入+_xlpm.充当受入-_xlpm.払出))</f>
        <v/>
      </c>
      <c r="H89" s="8" t="str">
        <f>IF($B89="","",_xlfn.LET(
_xlpm.受入,SUMIFS(tbl_ledger[数量],tbl_ledger[ロットID],$B89,tbl_ledger[イベント種類],"アセンブリ完了"),
_xlpm.充当受入,SUMIFS(tbl_ledger[数量],tbl_ledger[充当先ロットID],$B89,tbl_ledger[イベント種類],"充当",tbl_ledger[元状態],H$1),
_xlpm.払出,SUMIFS(tbl_ledger[数量],tbl_ledger[ロットID],$B89,tbl_ledger[元状態],H$1),
_xlpm.受入+_xlpm.充当受入-_xlpm.払出))</f>
        <v/>
      </c>
      <c r="I89" s="8" t="str">
        <f>IF($B89="","",_xlfn.LET(
_xlpm.受入,SUMIFS(tbl_ledger[数量],tbl_ledger[ロットID],$B89,tbl_ledger[イベント種類],"梱包開始"),
_xlpm.充当受入,SUMIFS(tbl_ledger[数量],tbl_ledger[充当先ロットID],$B89,tbl_ledger[イベント種類],"充当",tbl_ledger[元状態],I$1),
_xlpm.払出,SUMIFS(tbl_ledger[数量],tbl_ledger[ロットID],$B89,tbl_ledger[元状態],I$1),
_xlpm.受入+_xlpm.充当受入-_xlpm.払出))</f>
        <v/>
      </c>
      <c r="J89" s="8" t="str">
        <f>IF($B89="","",_xlfn.LET(
_xlpm.受入,SUMIFS(tbl_ledger[数量],tbl_ledger[ロットID],$B89,tbl_ledger[イベント種類],"梱包完了"),
_xlpm.充当受入,SUMIFS(tbl_ledger[数量],tbl_ledger[充当先ロットID],$B89,tbl_ledger[イベント種類],"充当",tbl_ledger[元状態],J$1),
_xlpm.払出,SUMIFS(tbl_ledger[数量],tbl_ledger[ロットID],$B89,tbl_ledger[元状態],J$1),
_xlpm.受入+_xlpm.充当受入-_xlpm.払出))</f>
        <v/>
      </c>
      <c r="K89" s="8" t="str">
        <f>IF($B89="","",_xlfn.LET(
_xlpm.受入,SUMIFS(tbl_ledger[数量],tbl_ledger[ロットID],$B89,tbl_ledger[イベント種類],"発送準備開始"),
_xlpm.充当受入,SUMIFS(tbl_ledger[数量],tbl_ledger[充当先ロットID],$B89,tbl_ledger[イベント種類],"充当",tbl_ledger[元状態],K$1),
_xlpm.払出,SUMIFS(tbl_ledger[数量],tbl_ledger[ロットID],$B89,tbl_ledger[元状態],K$1),
_xlpm.受入+_xlpm.充当受入-_xlpm.払出))</f>
        <v/>
      </c>
      <c r="L89" s="8" t="str">
        <f>IF($B89="","",_xlfn.LET(
_xlpm.受入,SUMIFS(tbl_ledger[数量],tbl_ledger[ロットID],$B89,tbl_ledger[イベント種類],"発送準備完了"),
_xlpm.充当受入,SUMIFS(tbl_ledger[数量],tbl_ledger[充当先ロットID],$B89,tbl_ledger[イベント種類],"充当",tbl_ledger[元状態],L$1),
_xlpm.払出,SUMIFS(tbl_ledger[数量],tbl_ledger[ロットID],$B89,tbl_ledger[元状態],L$1),
_xlpm.受入+_xlpm.充当受入-_xlpm.払出))</f>
        <v/>
      </c>
      <c r="M89" s="8" t="str">
        <f>IF($B89="","",_xlfn.LET(
_xlpm.受入,SUMIFS(tbl_ledger[数量],tbl_ledger[ロットID],$B89,tbl_ledger[イベント種類],"不良発生"),
_xlpm.充当受入,SUMIFS(tbl_ledger[数量],tbl_ledger[充当先ロットID],$B89,tbl_ledger[イベント種類],"充当",tbl_ledger[元状態],M$1),
_xlpm.払出,SUMIFS(tbl_ledger[数量],tbl_ledger[ロットID],$B89,tbl_ledger[元状態],M$1),
_xlpm.受入+_xlpm.充当受入-_xlpm.払出))</f>
        <v/>
      </c>
      <c r="N89" s="8" t="str">
        <f t="shared" si="3"/>
        <v/>
      </c>
    </row>
    <row r="90" spans="1:14" ht="15" customHeight="1" x14ac:dyDescent="0.25">
      <c r="A90" s="4" t="str">
        <f t="shared" si="2"/>
        <v/>
      </c>
      <c r="B90" s="4" t="str">
        <f>IFERROR(IF(COUNTIF($B$1:$B89,INDEX(tbl_plan[ロットID],ROW()-1))&gt;0,"",INDEX(tbl_plan[ロットID],ROW()-1)),"")</f>
        <v/>
      </c>
      <c r="C90" s="4" t="str">
        <f>IF($B90="","",INDEX(tbl_plan[localId],ROW()-1))</f>
        <v/>
      </c>
      <c r="D90" s="8" t="str">
        <f>IF($B90="","",_xlfn.LET(
_xlpm.割当受入,SUMIF(V_充足確認!$A$2:$A$301,$B90,V_充足確認!$F$2:$F$301),
_xlpm.充当受入,SUMIFS(tbl_ledger[数量],tbl_ledger[充当先ロットID],$B90,tbl_ledger[イベント種類],"充当",tbl_ledger[元状態],D$1),
_xlpm.払出,SUMIFS(tbl_ledger[数量],tbl_ledger[ロットID],$B90,tbl_ledger[元状態],D$1),
_xlpm.割当受入+_xlpm.充当受入-_xlpm.払出))</f>
        <v/>
      </c>
      <c r="E90" s="8" t="str">
        <f>IF($B90="","",_xlfn.LET(
_xlpm.受入,SUMIFS(tbl_ledger[数量],tbl_ledger[ロットID],$B90,tbl_ledger[イベント種類],"アニール開始"),
_xlpm.充当受入,SUMIFS(tbl_ledger[数量],tbl_ledger[充当先ロットID],$B90,tbl_ledger[イベント種類],"充当",tbl_ledger[元状態],E$1),
_xlpm.払出,SUMIFS(tbl_ledger[数量],tbl_ledger[ロットID],$B90,tbl_ledger[元状態],E$1),
_xlpm.受入+_xlpm.充当受入-_xlpm.払出))</f>
        <v/>
      </c>
      <c r="F90" s="8" t="str">
        <f>IF($B90="","",_xlfn.LET(
_xlpm.受入,SUMIFS(tbl_ledger[数量],tbl_ledger[ロットID],$B90,tbl_ledger[イベント種類],"アニール完了"),
_xlpm.充当受入,SUMIFS(tbl_ledger[数量],tbl_ledger[充当先ロットID],$B90,tbl_ledger[イベント種類],"充当",tbl_ledger[元状態],F$1),
_xlpm.払出,SUMIFS(tbl_ledger[数量],tbl_ledger[ロットID],$B90,tbl_ledger[元状態],F$1),
_xlpm.受入+_xlpm.充当受入-_xlpm.払出))</f>
        <v/>
      </c>
      <c r="G90" s="8" t="str">
        <f>IF($B90="","",_xlfn.LET(
_xlpm.受入,SUMIFS(tbl_ledger[数量],tbl_ledger[ロットID],$B90,tbl_ledger[イベント種類],"アセンブリ開始"),
_xlpm.充当受入,SUMIFS(tbl_ledger[数量],tbl_ledger[充当先ロットID],$B90,tbl_ledger[イベント種類],"充当",tbl_ledger[元状態],G$1),
_xlpm.払出,SUMIFS(tbl_ledger[数量],tbl_ledger[ロットID],$B90,tbl_ledger[元状態],G$1),
_xlpm.受入+_xlpm.充当受入-_xlpm.払出))</f>
        <v/>
      </c>
      <c r="H90" s="8" t="str">
        <f>IF($B90="","",_xlfn.LET(
_xlpm.受入,SUMIFS(tbl_ledger[数量],tbl_ledger[ロットID],$B90,tbl_ledger[イベント種類],"アセンブリ完了"),
_xlpm.充当受入,SUMIFS(tbl_ledger[数量],tbl_ledger[充当先ロットID],$B90,tbl_ledger[イベント種類],"充当",tbl_ledger[元状態],H$1),
_xlpm.払出,SUMIFS(tbl_ledger[数量],tbl_ledger[ロットID],$B90,tbl_ledger[元状態],H$1),
_xlpm.受入+_xlpm.充当受入-_xlpm.払出))</f>
        <v/>
      </c>
      <c r="I90" s="8" t="str">
        <f>IF($B90="","",_xlfn.LET(
_xlpm.受入,SUMIFS(tbl_ledger[数量],tbl_ledger[ロットID],$B90,tbl_ledger[イベント種類],"梱包開始"),
_xlpm.充当受入,SUMIFS(tbl_ledger[数量],tbl_ledger[充当先ロットID],$B90,tbl_ledger[イベント種類],"充当",tbl_ledger[元状態],I$1),
_xlpm.払出,SUMIFS(tbl_ledger[数量],tbl_ledger[ロットID],$B90,tbl_ledger[元状態],I$1),
_xlpm.受入+_xlpm.充当受入-_xlpm.払出))</f>
        <v/>
      </c>
      <c r="J90" s="8" t="str">
        <f>IF($B90="","",_xlfn.LET(
_xlpm.受入,SUMIFS(tbl_ledger[数量],tbl_ledger[ロットID],$B90,tbl_ledger[イベント種類],"梱包完了"),
_xlpm.充当受入,SUMIFS(tbl_ledger[数量],tbl_ledger[充当先ロットID],$B90,tbl_ledger[イベント種類],"充当",tbl_ledger[元状態],J$1),
_xlpm.払出,SUMIFS(tbl_ledger[数量],tbl_ledger[ロットID],$B90,tbl_ledger[元状態],J$1),
_xlpm.受入+_xlpm.充当受入-_xlpm.払出))</f>
        <v/>
      </c>
      <c r="K90" s="8" t="str">
        <f>IF($B90="","",_xlfn.LET(
_xlpm.受入,SUMIFS(tbl_ledger[数量],tbl_ledger[ロットID],$B90,tbl_ledger[イベント種類],"発送準備開始"),
_xlpm.充当受入,SUMIFS(tbl_ledger[数量],tbl_ledger[充当先ロットID],$B90,tbl_ledger[イベント種類],"充当",tbl_ledger[元状態],K$1),
_xlpm.払出,SUMIFS(tbl_ledger[数量],tbl_ledger[ロットID],$B90,tbl_ledger[元状態],K$1),
_xlpm.受入+_xlpm.充当受入-_xlpm.払出))</f>
        <v/>
      </c>
      <c r="L90" s="8" t="str">
        <f>IF($B90="","",_xlfn.LET(
_xlpm.受入,SUMIFS(tbl_ledger[数量],tbl_ledger[ロットID],$B90,tbl_ledger[イベント種類],"発送準備完了"),
_xlpm.充当受入,SUMIFS(tbl_ledger[数量],tbl_ledger[充当先ロットID],$B90,tbl_ledger[イベント種類],"充当",tbl_ledger[元状態],L$1),
_xlpm.払出,SUMIFS(tbl_ledger[数量],tbl_ledger[ロットID],$B90,tbl_ledger[元状態],L$1),
_xlpm.受入+_xlpm.充当受入-_xlpm.払出))</f>
        <v/>
      </c>
      <c r="M90" s="8" t="str">
        <f>IF($B90="","",_xlfn.LET(
_xlpm.受入,SUMIFS(tbl_ledger[数量],tbl_ledger[ロットID],$B90,tbl_ledger[イベント種類],"不良発生"),
_xlpm.充当受入,SUMIFS(tbl_ledger[数量],tbl_ledger[充当先ロットID],$B90,tbl_ledger[イベント種類],"充当",tbl_ledger[元状態],M$1),
_xlpm.払出,SUMIFS(tbl_ledger[数量],tbl_ledger[ロットID],$B90,tbl_ledger[元状態],M$1),
_xlpm.受入+_xlpm.充当受入-_xlpm.払出))</f>
        <v/>
      </c>
      <c r="N90" s="8" t="str">
        <f t="shared" si="3"/>
        <v/>
      </c>
    </row>
    <row r="91" spans="1:14" ht="15" customHeight="1" x14ac:dyDescent="0.25">
      <c r="A91" s="4" t="str">
        <f t="shared" si="2"/>
        <v/>
      </c>
      <c r="B91" s="4" t="str">
        <f>IFERROR(IF(COUNTIF($B$1:$B90,INDEX(tbl_plan[ロットID],ROW()-1))&gt;0,"",INDEX(tbl_plan[ロットID],ROW()-1)),"")</f>
        <v/>
      </c>
      <c r="C91" s="4" t="str">
        <f>IF($B91="","",INDEX(tbl_plan[localId],ROW()-1))</f>
        <v/>
      </c>
      <c r="D91" s="8" t="str">
        <f>IF($B91="","",_xlfn.LET(
_xlpm.割当受入,SUMIF(V_充足確認!$A$2:$A$301,$B91,V_充足確認!$F$2:$F$301),
_xlpm.充当受入,SUMIFS(tbl_ledger[数量],tbl_ledger[充当先ロットID],$B91,tbl_ledger[イベント種類],"充当",tbl_ledger[元状態],D$1),
_xlpm.払出,SUMIFS(tbl_ledger[数量],tbl_ledger[ロットID],$B91,tbl_ledger[元状態],D$1),
_xlpm.割当受入+_xlpm.充当受入-_xlpm.払出))</f>
        <v/>
      </c>
      <c r="E91" s="8" t="str">
        <f>IF($B91="","",_xlfn.LET(
_xlpm.受入,SUMIFS(tbl_ledger[数量],tbl_ledger[ロットID],$B91,tbl_ledger[イベント種類],"アニール開始"),
_xlpm.充当受入,SUMIFS(tbl_ledger[数量],tbl_ledger[充当先ロットID],$B91,tbl_ledger[イベント種類],"充当",tbl_ledger[元状態],E$1),
_xlpm.払出,SUMIFS(tbl_ledger[数量],tbl_ledger[ロットID],$B91,tbl_ledger[元状態],E$1),
_xlpm.受入+_xlpm.充当受入-_xlpm.払出))</f>
        <v/>
      </c>
      <c r="F91" s="8" t="str">
        <f>IF($B91="","",_xlfn.LET(
_xlpm.受入,SUMIFS(tbl_ledger[数量],tbl_ledger[ロットID],$B91,tbl_ledger[イベント種類],"アニール完了"),
_xlpm.充当受入,SUMIFS(tbl_ledger[数量],tbl_ledger[充当先ロットID],$B91,tbl_ledger[イベント種類],"充当",tbl_ledger[元状態],F$1),
_xlpm.払出,SUMIFS(tbl_ledger[数量],tbl_ledger[ロットID],$B91,tbl_ledger[元状態],F$1),
_xlpm.受入+_xlpm.充当受入-_xlpm.払出))</f>
        <v/>
      </c>
      <c r="G91" s="8" t="str">
        <f>IF($B91="","",_xlfn.LET(
_xlpm.受入,SUMIFS(tbl_ledger[数量],tbl_ledger[ロットID],$B91,tbl_ledger[イベント種類],"アセンブリ開始"),
_xlpm.充当受入,SUMIFS(tbl_ledger[数量],tbl_ledger[充当先ロットID],$B91,tbl_ledger[イベント種類],"充当",tbl_ledger[元状態],G$1),
_xlpm.払出,SUMIFS(tbl_ledger[数量],tbl_ledger[ロットID],$B91,tbl_ledger[元状態],G$1),
_xlpm.受入+_xlpm.充当受入-_xlpm.払出))</f>
        <v/>
      </c>
      <c r="H91" s="8" t="str">
        <f>IF($B91="","",_xlfn.LET(
_xlpm.受入,SUMIFS(tbl_ledger[数量],tbl_ledger[ロットID],$B91,tbl_ledger[イベント種類],"アセンブリ完了"),
_xlpm.充当受入,SUMIFS(tbl_ledger[数量],tbl_ledger[充当先ロットID],$B91,tbl_ledger[イベント種類],"充当",tbl_ledger[元状態],H$1),
_xlpm.払出,SUMIFS(tbl_ledger[数量],tbl_ledger[ロットID],$B91,tbl_ledger[元状態],H$1),
_xlpm.受入+_xlpm.充当受入-_xlpm.払出))</f>
        <v/>
      </c>
      <c r="I91" s="8" t="str">
        <f>IF($B91="","",_xlfn.LET(
_xlpm.受入,SUMIFS(tbl_ledger[数量],tbl_ledger[ロットID],$B91,tbl_ledger[イベント種類],"梱包開始"),
_xlpm.充当受入,SUMIFS(tbl_ledger[数量],tbl_ledger[充当先ロットID],$B91,tbl_ledger[イベント種類],"充当",tbl_ledger[元状態],I$1),
_xlpm.払出,SUMIFS(tbl_ledger[数量],tbl_ledger[ロットID],$B91,tbl_ledger[元状態],I$1),
_xlpm.受入+_xlpm.充当受入-_xlpm.払出))</f>
        <v/>
      </c>
      <c r="J91" s="8" t="str">
        <f>IF($B91="","",_xlfn.LET(
_xlpm.受入,SUMIFS(tbl_ledger[数量],tbl_ledger[ロットID],$B91,tbl_ledger[イベント種類],"梱包完了"),
_xlpm.充当受入,SUMIFS(tbl_ledger[数量],tbl_ledger[充当先ロットID],$B91,tbl_ledger[イベント種類],"充当",tbl_ledger[元状態],J$1),
_xlpm.払出,SUMIFS(tbl_ledger[数量],tbl_ledger[ロットID],$B91,tbl_ledger[元状態],J$1),
_xlpm.受入+_xlpm.充当受入-_xlpm.払出))</f>
        <v/>
      </c>
      <c r="K91" s="8" t="str">
        <f>IF($B91="","",_xlfn.LET(
_xlpm.受入,SUMIFS(tbl_ledger[数量],tbl_ledger[ロットID],$B91,tbl_ledger[イベント種類],"発送準備開始"),
_xlpm.充当受入,SUMIFS(tbl_ledger[数量],tbl_ledger[充当先ロットID],$B91,tbl_ledger[イベント種類],"充当",tbl_ledger[元状態],K$1),
_xlpm.払出,SUMIFS(tbl_ledger[数量],tbl_ledger[ロットID],$B91,tbl_ledger[元状態],K$1),
_xlpm.受入+_xlpm.充当受入-_xlpm.払出))</f>
        <v/>
      </c>
      <c r="L91" s="8" t="str">
        <f>IF($B91="","",_xlfn.LET(
_xlpm.受入,SUMIFS(tbl_ledger[数量],tbl_ledger[ロットID],$B91,tbl_ledger[イベント種類],"発送準備完了"),
_xlpm.充当受入,SUMIFS(tbl_ledger[数量],tbl_ledger[充当先ロットID],$B91,tbl_ledger[イベント種類],"充当",tbl_ledger[元状態],L$1),
_xlpm.払出,SUMIFS(tbl_ledger[数量],tbl_ledger[ロットID],$B91,tbl_ledger[元状態],L$1),
_xlpm.受入+_xlpm.充当受入-_xlpm.払出))</f>
        <v/>
      </c>
      <c r="M91" s="8" t="str">
        <f>IF($B91="","",_xlfn.LET(
_xlpm.受入,SUMIFS(tbl_ledger[数量],tbl_ledger[ロットID],$B91,tbl_ledger[イベント種類],"不良発生"),
_xlpm.充当受入,SUMIFS(tbl_ledger[数量],tbl_ledger[充当先ロットID],$B91,tbl_ledger[イベント種類],"充当",tbl_ledger[元状態],M$1),
_xlpm.払出,SUMIFS(tbl_ledger[数量],tbl_ledger[ロットID],$B91,tbl_ledger[元状態],M$1),
_xlpm.受入+_xlpm.充当受入-_xlpm.払出))</f>
        <v/>
      </c>
      <c r="N91" s="8" t="str">
        <f t="shared" si="3"/>
        <v/>
      </c>
    </row>
    <row r="92" spans="1:14" ht="15" customHeight="1" x14ac:dyDescent="0.25">
      <c r="A92" s="4" t="str">
        <f t="shared" si="2"/>
        <v/>
      </c>
      <c r="B92" s="4" t="str">
        <f>IFERROR(IF(COUNTIF($B$1:$B91,INDEX(tbl_plan[ロットID],ROW()-1))&gt;0,"",INDEX(tbl_plan[ロットID],ROW()-1)),"")</f>
        <v/>
      </c>
      <c r="C92" s="4" t="str">
        <f>IF($B92="","",INDEX(tbl_plan[localId],ROW()-1))</f>
        <v/>
      </c>
      <c r="D92" s="8" t="str">
        <f>IF($B92="","",_xlfn.LET(
_xlpm.割当受入,SUMIF(V_充足確認!$A$2:$A$301,$B92,V_充足確認!$F$2:$F$301),
_xlpm.充当受入,SUMIFS(tbl_ledger[数量],tbl_ledger[充当先ロットID],$B92,tbl_ledger[イベント種類],"充当",tbl_ledger[元状態],D$1),
_xlpm.払出,SUMIFS(tbl_ledger[数量],tbl_ledger[ロットID],$B92,tbl_ledger[元状態],D$1),
_xlpm.割当受入+_xlpm.充当受入-_xlpm.払出))</f>
        <v/>
      </c>
      <c r="E92" s="8" t="str">
        <f>IF($B92="","",_xlfn.LET(
_xlpm.受入,SUMIFS(tbl_ledger[数量],tbl_ledger[ロットID],$B92,tbl_ledger[イベント種類],"アニール開始"),
_xlpm.充当受入,SUMIFS(tbl_ledger[数量],tbl_ledger[充当先ロットID],$B92,tbl_ledger[イベント種類],"充当",tbl_ledger[元状態],E$1),
_xlpm.払出,SUMIFS(tbl_ledger[数量],tbl_ledger[ロットID],$B92,tbl_ledger[元状態],E$1),
_xlpm.受入+_xlpm.充当受入-_xlpm.払出))</f>
        <v/>
      </c>
      <c r="F92" s="8" t="str">
        <f>IF($B92="","",_xlfn.LET(
_xlpm.受入,SUMIFS(tbl_ledger[数量],tbl_ledger[ロットID],$B92,tbl_ledger[イベント種類],"アニール完了"),
_xlpm.充当受入,SUMIFS(tbl_ledger[数量],tbl_ledger[充当先ロットID],$B92,tbl_ledger[イベント種類],"充当",tbl_ledger[元状態],F$1),
_xlpm.払出,SUMIFS(tbl_ledger[数量],tbl_ledger[ロットID],$B92,tbl_ledger[元状態],F$1),
_xlpm.受入+_xlpm.充当受入-_xlpm.払出))</f>
        <v/>
      </c>
      <c r="G92" s="8" t="str">
        <f>IF($B92="","",_xlfn.LET(
_xlpm.受入,SUMIFS(tbl_ledger[数量],tbl_ledger[ロットID],$B92,tbl_ledger[イベント種類],"アセンブリ開始"),
_xlpm.充当受入,SUMIFS(tbl_ledger[数量],tbl_ledger[充当先ロットID],$B92,tbl_ledger[イベント種類],"充当",tbl_ledger[元状態],G$1),
_xlpm.払出,SUMIFS(tbl_ledger[数量],tbl_ledger[ロットID],$B92,tbl_ledger[元状態],G$1),
_xlpm.受入+_xlpm.充当受入-_xlpm.払出))</f>
        <v/>
      </c>
      <c r="H92" s="8" t="str">
        <f>IF($B92="","",_xlfn.LET(
_xlpm.受入,SUMIFS(tbl_ledger[数量],tbl_ledger[ロットID],$B92,tbl_ledger[イベント種類],"アセンブリ完了"),
_xlpm.充当受入,SUMIFS(tbl_ledger[数量],tbl_ledger[充当先ロットID],$B92,tbl_ledger[イベント種類],"充当",tbl_ledger[元状態],H$1),
_xlpm.払出,SUMIFS(tbl_ledger[数量],tbl_ledger[ロットID],$B92,tbl_ledger[元状態],H$1),
_xlpm.受入+_xlpm.充当受入-_xlpm.払出))</f>
        <v/>
      </c>
      <c r="I92" s="8" t="str">
        <f>IF($B92="","",_xlfn.LET(
_xlpm.受入,SUMIFS(tbl_ledger[数量],tbl_ledger[ロットID],$B92,tbl_ledger[イベント種類],"梱包開始"),
_xlpm.充当受入,SUMIFS(tbl_ledger[数量],tbl_ledger[充当先ロットID],$B92,tbl_ledger[イベント種類],"充当",tbl_ledger[元状態],I$1),
_xlpm.払出,SUMIFS(tbl_ledger[数量],tbl_ledger[ロットID],$B92,tbl_ledger[元状態],I$1),
_xlpm.受入+_xlpm.充当受入-_xlpm.払出))</f>
        <v/>
      </c>
      <c r="J92" s="8" t="str">
        <f>IF($B92="","",_xlfn.LET(
_xlpm.受入,SUMIFS(tbl_ledger[数量],tbl_ledger[ロットID],$B92,tbl_ledger[イベント種類],"梱包完了"),
_xlpm.充当受入,SUMIFS(tbl_ledger[数量],tbl_ledger[充当先ロットID],$B92,tbl_ledger[イベント種類],"充当",tbl_ledger[元状態],J$1),
_xlpm.払出,SUMIFS(tbl_ledger[数量],tbl_ledger[ロットID],$B92,tbl_ledger[元状態],J$1),
_xlpm.受入+_xlpm.充当受入-_xlpm.払出))</f>
        <v/>
      </c>
      <c r="K92" s="8" t="str">
        <f>IF($B92="","",_xlfn.LET(
_xlpm.受入,SUMIFS(tbl_ledger[数量],tbl_ledger[ロットID],$B92,tbl_ledger[イベント種類],"発送準備開始"),
_xlpm.充当受入,SUMIFS(tbl_ledger[数量],tbl_ledger[充当先ロットID],$B92,tbl_ledger[イベント種類],"充当",tbl_ledger[元状態],K$1),
_xlpm.払出,SUMIFS(tbl_ledger[数量],tbl_ledger[ロットID],$B92,tbl_ledger[元状態],K$1),
_xlpm.受入+_xlpm.充当受入-_xlpm.払出))</f>
        <v/>
      </c>
      <c r="L92" s="8" t="str">
        <f>IF($B92="","",_xlfn.LET(
_xlpm.受入,SUMIFS(tbl_ledger[数量],tbl_ledger[ロットID],$B92,tbl_ledger[イベント種類],"発送準備完了"),
_xlpm.充当受入,SUMIFS(tbl_ledger[数量],tbl_ledger[充当先ロットID],$B92,tbl_ledger[イベント種類],"充当",tbl_ledger[元状態],L$1),
_xlpm.払出,SUMIFS(tbl_ledger[数量],tbl_ledger[ロットID],$B92,tbl_ledger[元状態],L$1),
_xlpm.受入+_xlpm.充当受入-_xlpm.払出))</f>
        <v/>
      </c>
      <c r="M92" s="8" t="str">
        <f>IF($B92="","",_xlfn.LET(
_xlpm.受入,SUMIFS(tbl_ledger[数量],tbl_ledger[ロットID],$B92,tbl_ledger[イベント種類],"不良発生"),
_xlpm.充当受入,SUMIFS(tbl_ledger[数量],tbl_ledger[充当先ロットID],$B92,tbl_ledger[イベント種類],"充当",tbl_ledger[元状態],M$1),
_xlpm.払出,SUMIFS(tbl_ledger[数量],tbl_ledger[ロットID],$B92,tbl_ledger[元状態],M$1),
_xlpm.受入+_xlpm.充当受入-_xlpm.払出))</f>
        <v/>
      </c>
      <c r="N92" s="8" t="str">
        <f t="shared" si="3"/>
        <v/>
      </c>
    </row>
    <row r="93" spans="1:14" ht="15" customHeight="1" x14ac:dyDescent="0.25">
      <c r="A93" s="4" t="str">
        <f t="shared" si="2"/>
        <v/>
      </c>
      <c r="B93" s="4" t="str">
        <f>IFERROR(IF(COUNTIF($B$1:$B92,INDEX(tbl_plan[ロットID],ROW()-1))&gt;0,"",INDEX(tbl_plan[ロットID],ROW()-1)),"")</f>
        <v/>
      </c>
      <c r="C93" s="4" t="str">
        <f>IF($B93="","",INDEX(tbl_plan[localId],ROW()-1))</f>
        <v/>
      </c>
      <c r="D93" s="8" t="str">
        <f>IF($B93="","",_xlfn.LET(
_xlpm.割当受入,SUMIF(V_充足確認!$A$2:$A$301,$B93,V_充足確認!$F$2:$F$301),
_xlpm.充当受入,SUMIFS(tbl_ledger[数量],tbl_ledger[充当先ロットID],$B93,tbl_ledger[イベント種類],"充当",tbl_ledger[元状態],D$1),
_xlpm.払出,SUMIFS(tbl_ledger[数量],tbl_ledger[ロットID],$B93,tbl_ledger[元状態],D$1),
_xlpm.割当受入+_xlpm.充当受入-_xlpm.払出))</f>
        <v/>
      </c>
      <c r="E93" s="8" t="str">
        <f>IF($B93="","",_xlfn.LET(
_xlpm.受入,SUMIFS(tbl_ledger[数量],tbl_ledger[ロットID],$B93,tbl_ledger[イベント種類],"アニール開始"),
_xlpm.充当受入,SUMIFS(tbl_ledger[数量],tbl_ledger[充当先ロットID],$B93,tbl_ledger[イベント種類],"充当",tbl_ledger[元状態],E$1),
_xlpm.払出,SUMIFS(tbl_ledger[数量],tbl_ledger[ロットID],$B93,tbl_ledger[元状態],E$1),
_xlpm.受入+_xlpm.充当受入-_xlpm.払出))</f>
        <v/>
      </c>
      <c r="F93" s="8" t="str">
        <f>IF($B93="","",_xlfn.LET(
_xlpm.受入,SUMIFS(tbl_ledger[数量],tbl_ledger[ロットID],$B93,tbl_ledger[イベント種類],"アニール完了"),
_xlpm.充当受入,SUMIFS(tbl_ledger[数量],tbl_ledger[充当先ロットID],$B93,tbl_ledger[イベント種類],"充当",tbl_ledger[元状態],F$1),
_xlpm.払出,SUMIFS(tbl_ledger[数量],tbl_ledger[ロットID],$B93,tbl_ledger[元状態],F$1),
_xlpm.受入+_xlpm.充当受入-_xlpm.払出))</f>
        <v/>
      </c>
      <c r="G93" s="8" t="str">
        <f>IF($B93="","",_xlfn.LET(
_xlpm.受入,SUMIFS(tbl_ledger[数量],tbl_ledger[ロットID],$B93,tbl_ledger[イベント種類],"アセンブリ開始"),
_xlpm.充当受入,SUMIFS(tbl_ledger[数量],tbl_ledger[充当先ロットID],$B93,tbl_ledger[イベント種類],"充当",tbl_ledger[元状態],G$1),
_xlpm.払出,SUMIFS(tbl_ledger[数量],tbl_ledger[ロットID],$B93,tbl_ledger[元状態],G$1),
_xlpm.受入+_xlpm.充当受入-_xlpm.払出))</f>
        <v/>
      </c>
      <c r="H93" s="8" t="str">
        <f>IF($B93="","",_xlfn.LET(
_xlpm.受入,SUMIFS(tbl_ledger[数量],tbl_ledger[ロットID],$B93,tbl_ledger[イベント種類],"アセンブリ完了"),
_xlpm.充当受入,SUMIFS(tbl_ledger[数量],tbl_ledger[充当先ロットID],$B93,tbl_ledger[イベント種類],"充当",tbl_ledger[元状態],H$1),
_xlpm.払出,SUMIFS(tbl_ledger[数量],tbl_ledger[ロットID],$B93,tbl_ledger[元状態],H$1),
_xlpm.受入+_xlpm.充当受入-_xlpm.払出))</f>
        <v/>
      </c>
      <c r="I93" s="8" t="str">
        <f>IF($B93="","",_xlfn.LET(
_xlpm.受入,SUMIFS(tbl_ledger[数量],tbl_ledger[ロットID],$B93,tbl_ledger[イベント種類],"梱包開始"),
_xlpm.充当受入,SUMIFS(tbl_ledger[数量],tbl_ledger[充当先ロットID],$B93,tbl_ledger[イベント種類],"充当",tbl_ledger[元状態],I$1),
_xlpm.払出,SUMIFS(tbl_ledger[数量],tbl_ledger[ロットID],$B93,tbl_ledger[元状態],I$1),
_xlpm.受入+_xlpm.充当受入-_xlpm.払出))</f>
        <v/>
      </c>
      <c r="J93" s="8" t="str">
        <f>IF($B93="","",_xlfn.LET(
_xlpm.受入,SUMIFS(tbl_ledger[数量],tbl_ledger[ロットID],$B93,tbl_ledger[イベント種類],"梱包完了"),
_xlpm.充当受入,SUMIFS(tbl_ledger[数量],tbl_ledger[充当先ロットID],$B93,tbl_ledger[イベント種類],"充当",tbl_ledger[元状態],J$1),
_xlpm.払出,SUMIFS(tbl_ledger[数量],tbl_ledger[ロットID],$B93,tbl_ledger[元状態],J$1),
_xlpm.受入+_xlpm.充当受入-_xlpm.払出))</f>
        <v/>
      </c>
      <c r="K93" s="8" t="str">
        <f>IF($B93="","",_xlfn.LET(
_xlpm.受入,SUMIFS(tbl_ledger[数量],tbl_ledger[ロットID],$B93,tbl_ledger[イベント種類],"発送準備開始"),
_xlpm.充当受入,SUMIFS(tbl_ledger[数量],tbl_ledger[充当先ロットID],$B93,tbl_ledger[イベント種類],"充当",tbl_ledger[元状態],K$1),
_xlpm.払出,SUMIFS(tbl_ledger[数量],tbl_ledger[ロットID],$B93,tbl_ledger[元状態],K$1),
_xlpm.受入+_xlpm.充当受入-_xlpm.払出))</f>
        <v/>
      </c>
      <c r="L93" s="8" t="str">
        <f>IF($B93="","",_xlfn.LET(
_xlpm.受入,SUMIFS(tbl_ledger[数量],tbl_ledger[ロットID],$B93,tbl_ledger[イベント種類],"発送準備完了"),
_xlpm.充当受入,SUMIFS(tbl_ledger[数量],tbl_ledger[充当先ロットID],$B93,tbl_ledger[イベント種類],"充当",tbl_ledger[元状態],L$1),
_xlpm.払出,SUMIFS(tbl_ledger[数量],tbl_ledger[ロットID],$B93,tbl_ledger[元状態],L$1),
_xlpm.受入+_xlpm.充当受入-_xlpm.払出))</f>
        <v/>
      </c>
      <c r="M93" s="8" t="str">
        <f>IF($B93="","",_xlfn.LET(
_xlpm.受入,SUMIFS(tbl_ledger[数量],tbl_ledger[ロットID],$B93,tbl_ledger[イベント種類],"不良発生"),
_xlpm.充当受入,SUMIFS(tbl_ledger[数量],tbl_ledger[充当先ロットID],$B93,tbl_ledger[イベント種類],"充当",tbl_ledger[元状態],M$1),
_xlpm.払出,SUMIFS(tbl_ledger[数量],tbl_ledger[ロットID],$B93,tbl_ledger[元状態],M$1),
_xlpm.受入+_xlpm.充当受入-_xlpm.払出))</f>
        <v/>
      </c>
      <c r="N93" s="8" t="str">
        <f t="shared" si="3"/>
        <v/>
      </c>
    </row>
    <row r="94" spans="1:14" ht="15" customHeight="1" x14ac:dyDescent="0.25">
      <c r="A94" s="4" t="str">
        <f t="shared" si="2"/>
        <v/>
      </c>
      <c r="B94" s="4" t="str">
        <f>IFERROR(IF(COUNTIF($B$1:$B93,INDEX(tbl_plan[ロットID],ROW()-1))&gt;0,"",INDEX(tbl_plan[ロットID],ROW()-1)),"")</f>
        <v/>
      </c>
      <c r="C94" s="4" t="str">
        <f>IF($B94="","",INDEX(tbl_plan[localId],ROW()-1))</f>
        <v/>
      </c>
      <c r="D94" s="8" t="str">
        <f>IF($B94="","",_xlfn.LET(
_xlpm.割当受入,SUMIF(V_充足確認!$A$2:$A$301,$B94,V_充足確認!$F$2:$F$301),
_xlpm.充当受入,SUMIFS(tbl_ledger[数量],tbl_ledger[充当先ロットID],$B94,tbl_ledger[イベント種類],"充当",tbl_ledger[元状態],D$1),
_xlpm.払出,SUMIFS(tbl_ledger[数量],tbl_ledger[ロットID],$B94,tbl_ledger[元状態],D$1),
_xlpm.割当受入+_xlpm.充当受入-_xlpm.払出))</f>
        <v/>
      </c>
      <c r="E94" s="8" t="str">
        <f>IF($B94="","",_xlfn.LET(
_xlpm.受入,SUMIFS(tbl_ledger[数量],tbl_ledger[ロットID],$B94,tbl_ledger[イベント種類],"アニール開始"),
_xlpm.充当受入,SUMIFS(tbl_ledger[数量],tbl_ledger[充当先ロットID],$B94,tbl_ledger[イベント種類],"充当",tbl_ledger[元状態],E$1),
_xlpm.払出,SUMIFS(tbl_ledger[数量],tbl_ledger[ロットID],$B94,tbl_ledger[元状態],E$1),
_xlpm.受入+_xlpm.充当受入-_xlpm.払出))</f>
        <v/>
      </c>
      <c r="F94" s="8" t="str">
        <f>IF($B94="","",_xlfn.LET(
_xlpm.受入,SUMIFS(tbl_ledger[数量],tbl_ledger[ロットID],$B94,tbl_ledger[イベント種類],"アニール完了"),
_xlpm.充当受入,SUMIFS(tbl_ledger[数量],tbl_ledger[充当先ロットID],$B94,tbl_ledger[イベント種類],"充当",tbl_ledger[元状態],F$1),
_xlpm.払出,SUMIFS(tbl_ledger[数量],tbl_ledger[ロットID],$B94,tbl_ledger[元状態],F$1),
_xlpm.受入+_xlpm.充当受入-_xlpm.払出))</f>
        <v/>
      </c>
      <c r="G94" s="8" t="str">
        <f>IF($B94="","",_xlfn.LET(
_xlpm.受入,SUMIFS(tbl_ledger[数量],tbl_ledger[ロットID],$B94,tbl_ledger[イベント種類],"アセンブリ開始"),
_xlpm.充当受入,SUMIFS(tbl_ledger[数量],tbl_ledger[充当先ロットID],$B94,tbl_ledger[イベント種類],"充当",tbl_ledger[元状態],G$1),
_xlpm.払出,SUMIFS(tbl_ledger[数量],tbl_ledger[ロットID],$B94,tbl_ledger[元状態],G$1),
_xlpm.受入+_xlpm.充当受入-_xlpm.払出))</f>
        <v/>
      </c>
      <c r="H94" s="8" t="str">
        <f>IF($B94="","",_xlfn.LET(
_xlpm.受入,SUMIFS(tbl_ledger[数量],tbl_ledger[ロットID],$B94,tbl_ledger[イベント種類],"アセンブリ完了"),
_xlpm.充当受入,SUMIFS(tbl_ledger[数量],tbl_ledger[充当先ロットID],$B94,tbl_ledger[イベント種類],"充当",tbl_ledger[元状態],H$1),
_xlpm.払出,SUMIFS(tbl_ledger[数量],tbl_ledger[ロットID],$B94,tbl_ledger[元状態],H$1),
_xlpm.受入+_xlpm.充当受入-_xlpm.払出))</f>
        <v/>
      </c>
      <c r="I94" s="8" t="str">
        <f>IF($B94="","",_xlfn.LET(
_xlpm.受入,SUMIFS(tbl_ledger[数量],tbl_ledger[ロットID],$B94,tbl_ledger[イベント種類],"梱包開始"),
_xlpm.充当受入,SUMIFS(tbl_ledger[数量],tbl_ledger[充当先ロットID],$B94,tbl_ledger[イベント種類],"充当",tbl_ledger[元状態],I$1),
_xlpm.払出,SUMIFS(tbl_ledger[数量],tbl_ledger[ロットID],$B94,tbl_ledger[元状態],I$1),
_xlpm.受入+_xlpm.充当受入-_xlpm.払出))</f>
        <v/>
      </c>
      <c r="J94" s="8" t="str">
        <f>IF($B94="","",_xlfn.LET(
_xlpm.受入,SUMIFS(tbl_ledger[数量],tbl_ledger[ロットID],$B94,tbl_ledger[イベント種類],"梱包完了"),
_xlpm.充当受入,SUMIFS(tbl_ledger[数量],tbl_ledger[充当先ロットID],$B94,tbl_ledger[イベント種類],"充当",tbl_ledger[元状態],J$1),
_xlpm.払出,SUMIFS(tbl_ledger[数量],tbl_ledger[ロットID],$B94,tbl_ledger[元状態],J$1),
_xlpm.受入+_xlpm.充当受入-_xlpm.払出))</f>
        <v/>
      </c>
      <c r="K94" s="8" t="str">
        <f>IF($B94="","",_xlfn.LET(
_xlpm.受入,SUMIFS(tbl_ledger[数量],tbl_ledger[ロットID],$B94,tbl_ledger[イベント種類],"発送準備開始"),
_xlpm.充当受入,SUMIFS(tbl_ledger[数量],tbl_ledger[充当先ロットID],$B94,tbl_ledger[イベント種類],"充当",tbl_ledger[元状態],K$1),
_xlpm.払出,SUMIFS(tbl_ledger[数量],tbl_ledger[ロットID],$B94,tbl_ledger[元状態],K$1),
_xlpm.受入+_xlpm.充当受入-_xlpm.払出))</f>
        <v/>
      </c>
      <c r="L94" s="8" t="str">
        <f>IF($B94="","",_xlfn.LET(
_xlpm.受入,SUMIFS(tbl_ledger[数量],tbl_ledger[ロットID],$B94,tbl_ledger[イベント種類],"発送準備完了"),
_xlpm.充当受入,SUMIFS(tbl_ledger[数量],tbl_ledger[充当先ロットID],$B94,tbl_ledger[イベント種類],"充当",tbl_ledger[元状態],L$1),
_xlpm.払出,SUMIFS(tbl_ledger[数量],tbl_ledger[ロットID],$B94,tbl_ledger[元状態],L$1),
_xlpm.受入+_xlpm.充当受入-_xlpm.払出))</f>
        <v/>
      </c>
      <c r="M94" s="8" t="str">
        <f>IF($B94="","",_xlfn.LET(
_xlpm.受入,SUMIFS(tbl_ledger[数量],tbl_ledger[ロットID],$B94,tbl_ledger[イベント種類],"不良発生"),
_xlpm.充当受入,SUMIFS(tbl_ledger[数量],tbl_ledger[充当先ロットID],$B94,tbl_ledger[イベント種類],"充当",tbl_ledger[元状態],M$1),
_xlpm.払出,SUMIFS(tbl_ledger[数量],tbl_ledger[ロットID],$B94,tbl_ledger[元状態],M$1),
_xlpm.受入+_xlpm.充当受入-_xlpm.払出))</f>
        <v/>
      </c>
      <c r="N94" s="8" t="str">
        <f t="shared" si="3"/>
        <v/>
      </c>
    </row>
    <row r="95" spans="1:14" ht="15" customHeight="1" x14ac:dyDescent="0.25">
      <c r="A95" s="4" t="str">
        <f t="shared" si="2"/>
        <v/>
      </c>
      <c r="B95" s="4" t="str">
        <f>IFERROR(IF(COUNTIF($B$1:$B94,INDEX(tbl_plan[ロットID],ROW()-1))&gt;0,"",INDEX(tbl_plan[ロットID],ROW()-1)),"")</f>
        <v/>
      </c>
      <c r="C95" s="4" t="str">
        <f>IF($B95="","",INDEX(tbl_plan[localId],ROW()-1))</f>
        <v/>
      </c>
      <c r="D95" s="8" t="str">
        <f>IF($B95="","",_xlfn.LET(
_xlpm.割当受入,SUMIF(V_充足確認!$A$2:$A$301,$B95,V_充足確認!$F$2:$F$301),
_xlpm.充当受入,SUMIFS(tbl_ledger[数量],tbl_ledger[充当先ロットID],$B95,tbl_ledger[イベント種類],"充当",tbl_ledger[元状態],D$1),
_xlpm.払出,SUMIFS(tbl_ledger[数量],tbl_ledger[ロットID],$B95,tbl_ledger[元状態],D$1),
_xlpm.割当受入+_xlpm.充当受入-_xlpm.払出))</f>
        <v/>
      </c>
      <c r="E95" s="8" t="str">
        <f>IF($B95="","",_xlfn.LET(
_xlpm.受入,SUMIFS(tbl_ledger[数量],tbl_ledger[ロットID],$B95,tbl_ledger[イベント種類],"アニール開始"),
_xlpm.充当受入,SUMIFS(tbl_ledger[数量],tbl_ledger[充当先ロットID],$B95,tbl_ledger[イベント種類],"充当",tbl_ledger[元状態],E$1),
_xlpm.払出,SUMIFS(tbl_ledger[数量],tbl_ledger[ロットID],$B95,tbl_ledger[元状態],E$1),
_xlpm.受入+_xlpm.充当受入-_xlpm.払出))</f>
        <v/>
      </c>
      <c r="F95" s="8" t="str">
        <f>IF($B95="","",_xlfn.LET(
_xlpm.受入,SUMIFS(tbl_ledger[数量],tbl_ledger[ロットID],$B95,tbl_ledger[イベント種類],"アニール完了"),
_xlpm.充当受入,SUMIFS(tbl_ledger[数量],tbl_ledger[充当先ロットID],$B95,tbl_ledger[イベント種類],"充当",tbl_ledger[元状態],F$1),
_xlpm.払出,SUMIFS(tbl_ledger[数量],tbl_ledger[ロットID],$B95,tbl_ledger[元状態],F$1),
_xlpm.受入+_xlpm.充当受入-_xlpm.払出))</f>
        <v/>
      </c>
      <c r="G95" s="8" t="str">
        <f>IF($B95="","",_xlfn.LET(
_xlpm.受入,SUMIFS(tbl_ledger[数量],tbl_ledger[ロットID],$B95,tbl_ledger[イベント種類],"アセンブリ開始"),
_xlpm.充当受入,SUMIFS(tbl_ledger[数量],tbl_ledger[充当先ロットID],$B95,tbl_ledger[イベント種類],"充当",tbl_ledger[元状態],G$1),
_xlpm.払出,SUMIFS(tbl_ledger[数量],tbl_ledger[ロットID],$B95,tbl_ledger[元状態],G$1),
_xlpm.受入+_xlpm.充当受入-_xlpm.払出))</f>
        <v/>
      </c>
      <c r="H95" s="8" t="str">
        <f>IF($B95="","",_xlfn.LET(
_xlpm.受入,SUMIFS(tbl_ledger[数量],tbl_ledger[ロットID],$B95,tbl_ledger[イベント種類],"アセンブリ完了"),
_xlpm.充当受入,SUMIFS(tbl_ledger[数量],tbl_ledger[充当先ロットID],$B95,tbl_ledger[イベント種類],"充当",tbl_ledger[元状態],H$1),
_xlpm.払出,SUMIFS(tbl_ledger[数量],tbl_ledger[ロットID],$B95,tbl_ledger[元状態],H$1),
_xlpm.受入+_xlpm.充当受入-_xlpm.払出))</f>
        <v/>
      </c>
      <c r="I95" s="8" t="str">
        <f>IF($B95="","",_xlfn.LET(
_xlpm.受入,SUMIFS(tbl_ledger[数量],tbl_ledger[ロットID],$B95,tbl_ledger[イベント種類],"梱包開始"),
_xlpm.充当受入,SUMIFS(tbl_ledger[数量],tbl_ledger[充当先ロットID],$B95,tbl_ledger[イベント種類],"充当",tbl_ledger[元状態],I$1),
_xlpm.払出,SUMIFS(tbl_ledger[数量],tbl_ledger[ロットID],$B95,tbl_ledger[元状態],I$1),
_xlpm.受入+_xlpm.充当受入-_xlpm.払出))</f>
        <v/>
      </c>
      <c r="J95" s="8" t="str">
        <f>IF($B95="","",_xlfn.LET(
_xlpm.受入,SUMIFS(tbl_ledger[数量],tbl_ledger[ロットID],$B95,tbl_ledger[イベント種類],"梱包完了"),
_xlpm.充当受入,SUMIFS(tbl_ledger[数量],tbl_ledger[充当先ロットID],$B95,tbl_ledger[イベント種類],"充当",tbl_ledger[元状態],J$1),
_xlpm.払出,SUMIFS(tbl_ledger[数量],tbl_ledger[ロットID],$B95,tbl_ledger[元状態],J$1),
_xlpm.受入+_xlpm.充当受入-_xlpm.払出))</f>
        <v/>
      </c>
      <c r="K95" s="8" t="str">
        <f>IF($B95="","",_xlfn.LET(
_xlpm.受入,SUMIFS(tbl_ledger[数量],tbl_ledger[ロットID],$B95,tbl_ledger[イベント種類],"発送準備開始"),
_xlpm.充当受入,SUMIFS(tbl_ledger[数量],tbl_ledger[充当先ロットID],$B95,tbl_ledger[イベント種類],"充当",tbl_ledger[元状態],K$1),
_xlpm.払出,SUMIFS(tbl_ledger[数量],tbl_ledger[ロットID],$B95,tbl_ledger[元状態],K$1),
_xlpm.受入+_xlpm.充当受入-_xlpm.払出))</f>
        <v/>
      </c>
      <c r="L95" s="8" t="str">
        <f>IF($B95="","",_xlfn.LET(
_xlpm.受入,SUMIFS(tbl_ledger[数量],tbl_ledger[ロットID],$B95,tbl_ledger[イベント種類],"発送準備完了"),
_xlpm.充当受入,SUMIFS(tbl_ledger[数量],tbl_ledger[充当先ロットID],$B95,tbl_ledger[イベント種類],"充当",tbl_ledger[元状態],L$1),
_xlpm.払出,SUMIFS(tbl_ledger[数量],tbl_ledger[ロットID],$B95,tbl_ledger[元状態],L$1),
_xlpm.受入+_xlpm.充当受入-_xlpm.払出))</f>
        <v/>
      </c>
      <c r="M95" s="8" t="str">
        <f>IF($B95="","",_xlfn.LET(
_xlpm.受入,SUMIFS(tbl_ledger[数量],tbl_ledger[ロットID],$B95,tbl_ledger[イベント種類],"不良発生"),
_xlpm.充当受入,SUMIFS(tbl_ledger[数量],tbl_ledger[充当先ロットID],$B95,tbl_ledger[イベント種類],"充当",tbl_ledger[元状態],M$1),
_xlpm.払出,SUMIFS(tbl_ledger[数量],tbl_ledger[ロットID],$B95,tbl_ledger[元状態],M$1),
_xlpm.受入+_xlpm.充当受入-_xlpm.払出))</f>
        <v/>
      </c>
      <c r="N95" s="8" t="str">
        <f t="shared" si="3"/>
        <v/>
      </c>
    </row>
    <row r="96" spans="1:14" ht="15" customHeight="1" x14ac:dyDescent="0.25">
      <c r="A96" s="4" t="str">
        <f t="shared" si="2"/>
        <v/>
      </c>
      <c r="B96" s="4" t="str">
        <f>IFERROR(IF(COUNTIF($B$1:$B95,INDEX(tbl_plan[ロットID],ROW()-1))&gt;0,"",INDEX(tbl_plan[ロットID],ROW()-1)),"")</f>
        <v/>
      </c>
      <c r="C96" s="4" t="str">
        <f>IF($B96="","",INDEX(tbl_plan[localId],ROW()-1))</f>
        <v/>
      </c>
      <c r="D96" s="8" t="str">
        <f>IF($B96="","",_xlfn.LET(
_xlpm.割当受入,SUMIF(V_充足確認!$A$2:$A$301,$B96,V_充足確認!$F$2:$F$301),
_xlpm.充当受入,SUMIFS(tbl_ledger[数量],tbl_ledger[充当先ロットID],$B96,tbl_ledger[イベント種類],"充当",tbl_ledger[元状態],D$1),
_xlpm.払出,SUMIFS(tbl_ledger[数量],tbl_ledger[ロットID],$B96,tbl_ledger[元状態],D$1),
_xlpm.割当受入+_xlpm.充当受入-_xlpm.払出))</f>
        <v/>
      </c>
      <c r="E96" s="8" t="str">
        <f>IF($B96="","",_xlfn.LET(
_xlpm.受入,SUMIFS(tbl_ledger[数量],tbl_ledger[ロットID],$B96,tbl_ledger[イベント種類],"アニール開始"),
_xlpm.充当受入,SUMIFS(tbl_ledger[数量],tbl_ledger[充当先ロットID],$B96,tbl_ledger[イベント種類],"充当",tbl_ledger[元状態],E$1),
_xlpm.払出,SUMIFS(tbl_ledger[数量],tbl_ledger[ロットID],$B96,tbl_ledger[元状態],E$1),
_xlpm.受入+_xlpm.充当受入-_xlpm.払出))</f>
        <v/>
      </c>
      <c r="F96" s="8" t="str">
        <f>IF($B96="","",_xlfn.LET(
_xlpm.受入,SUMIFS(tbl_ledger[数量],tbl_ledger[ロットID],$B96,tbl_ledger[イベント種類],"アニール完了"),
_xlpm.充当受入,SUMIFS(tbl_ledger[数量],tbl_ledger[充当先ロットID],$B96,tbl_ledger[イベント種類],"充当",tbl_ledger[元状態],F$1),
_xlpm.払出,SUMIFS(tbl_ledger[数量],tbl_ledger[ロットID],$B96,tbl_ledger[元状態],F$1),
_xlpm.受入+_xlpm.充当受入-_xlpm.払出))</f>
        <v/>
      </c>
      <c r="G96" s="8" t="str">
        <f>IF($B96="","",_xlfn.LET(
_xlpm.受入,SUMIFS(tbl_ledger[数量],tbl_ledger[ロットID],$B96,tbl_ledger[イベント種類],"アセンブリ開始"),
_xlpm.充当受入,SUMIFS(tbl_ledger[数量],tbl_ledger[充当先ロットID],$B96,tbl_ledger[イベント種類],"充当",tbl_ledger[元状態],G$1),
_xlpm.払出,SUMIFS(tbl_ledger[数量],tbl_ledger[ロットID],$B96,tbl_ledger[元状態],G$1),
_xlpm.受入+_xlpm.充当受入-_xlpm.払出))</f>
        <v/>
      </c>
      <c r="H96" s="8" t="str">
        <f>IF($B96="","",_xlfn.LET(
_xlpm.受入,SUMIFS(tbl_ledger[数量],tbl_ledger[ロットID],$B96,tbl_ledger[イベント種類],"アセンブリ完了"),
_xlpm.充当受入,SUMIFS(tbl_ledger[数量],tbl_ledger[充当先ロットID],$B96,tbl_ledger[イベント種類],"充当",tbl_ledger[元状態],H$1),
_xlpm.払出,SUMIFS(tbl_ledger[数量],tbl_ledger[ロットID],$B96,tbl_ledger[元状態],H$1),
_xlpm.受入+_xlpm.充当受入-_xlpm.払出))</f>
        <v/>
      </c>
      <c r="I96" s="8" t="str">
        <f>IF($B96="","",_xlfn.LET(
_xlpm.受入,SUMIFS(tbl_ledger[数量],tbl_ledger[ロットID],$B96,tbl_ledger[イベント種類],"梱包開始"),
_xlpm.充当受入,SUMIFS(tbl_ledger[数量],tbl_ledger[充当先ロットID],$B96,tbl_ledger[イベント種類],"充当",tbl_ledger[元状態],I$1),
_xlpm.払出,SUMIFS(tbl_ledger[数量],tbl_ledger[ロットID],$B96,tbl_ledger[元状態],I$1),
_xlpm.受入+_xlpm.充当受入-_xlpm.払出))</f>
        <v/>
      </c>
      <c r="J96" s="8" t="str">
        <f>IF($B96="","",_xlfn.LET(
_xlpm.受入,SUMIFS(tbl_ledger[数量],tbl_ledger[ロットID],$B96,tbl_ledger[イベント種類],"梱包完了"),
_xlpm.充当受入,SUMIFS(tbl_ledger[数量],tbl_ledger[充当先ロットID],$B96,tbl_ledger[イベント種類],"充当",tbl_ledger[元状態],J$1),
_xlpm.払出,SUMIFS(tbl_ledger[数量],tbl_ledger[ロットID],$B96,tbl_ledger[元状態],J$1),
_xlpm.受入+_xlpm.充当受入-_xlpm.払出))</f>
        <v/>
      </c>
      <c r="K96" s="8" t="str">
        <f>IF($B96="","",_xlfn.LET(
_xlpm.受入,SUMIFS(tbl_ledger[数量],tbl_ledger[ロットID],$B96,tbl_ledger[イベント種類],"発送準備開始"),
_xlpm.充当受入,SUMIFS(tbl_ledger[数量],tbl_ledger[充当先ロットID],$B96,tbl_ledger[イベント種類],"充当",tbl_ledger[元状態],K$1),
_xlpm.払出,SUMIFS(tbl_ledger[数量],tbl_ledger[ロットID],$B96,tbl_ledger[元状態],K$1),
_xlpm.受入+_xlpm.充当受入-_xlpm.払出))</f>
        <v/>
      </c>
      <c r="L96" s="8" t="str">
        <f>IF($B96="","",_xlfn.LET(
_xlpm.受入,SUMIFS(tbl_ledger[数量],tbl_ledger[ロットID],$B96,tbl_ledger[イベント種類],"発送準備完了"),
_xlpm.充当受入,SUMIFS(tbl_ledger[数量],tbl_ledger[充当先ロットID],$B96,tbl_ledger[イベント種類],"充当",tbl_ledger[元状態],L$1),
_xlpm.払出,SUMIFS(tbl_ledger[数量],tbl_ledger[ロットID],$B96,tbl_ledger[元状態],L$1),
_xlpm.受入+_xlpm.充当受入-_xlpm.払出))</f>
        <v/>
      </c>
      <c r="M96" s="8" t="str">
        <f>IF($B96="","",_xlfn.LET(
_xlpm.受入,SUMIFS(tbl_ledger[数量],tbl_ledger[ロットID],$B96,tbl_ledger[イベント種類],"不良発生"),
_xlpm.充当受入,SUMIFS(tbl_ledger[数量],tbl_ledger[充当先ロットID],$B96,tbl_ledger[イベント種類],"充当",tbl_ledger[元状態],M$1),
_xlpm.払出,SUMIFS(tbl_ledger[数量],tbl_ledger[ロットID],$B96,tbl_ledger[元状態],M$1),
_xlpm.受入+_xlpm.充当受入-_xlpm.払出))</f>
        <v/>
      </c>
      <c r="N96" s="8" t="str">
        <f t="shared" si="3"/>
        <v/>
      </c>
    </row>
    <row r="97" spans="1:14" ht="15" customHeight="1" x14ac:dyDescent="0.25">
      <c r="A97" s="4" t="str">
        <f t="shared" si="2"/>
        <v/>
      </c>
      <c r="B97" s="4" t="str">
        <f>IFERROR(IF(COUNTIF($B$1:$B96,INDEX(tbl_plan[ロットID],ROW()-1))&gt;0,"",INDEX(tbl_plan[ロットID],ROW()-1)),"")</f>
        <v/>
      </c>
      <c r="C97" s="4" t="str">
        <f>IF($B97="","",INDEX(tbl_plan[localId],ROW()-1))</f>
        <v/>
      </c>
      <c r="D97" s="8" t="str">
        <f>IF($B97="","",_xlfn.LET(
_xlpm.割当受入,SUMIF(V_充足確認!$A$2:$A$301,$B97,V_充足確認!$F$2:$F$301),
_xlpm.充当受入,SUMIFS(tbl_ledger[数量],tbl_ledger[充当先ロットID],$B97,tbl_ledger[イベント種類],"充当",tbl_ledger[元状態],D$1),
_xlpm.払出,SUMIFS(tbl_ledger[数量],tbl_ledger[ロットID],$B97,tbl_ledger[元状態],D$1),
_xlpm.割当受入+_xlpm.充当受入-_xlpm.払出))</f>
        <v/>
      </c>
      <c r="E97" s="8" t="str">
        <f>IF($B97="","",_xlfn.LET(
_xlpm.受入,SUMIFS(tbl_ledger[数量],tbl_ledger[ロットID],$B97,tbl_ledger[イベント種類],"アニール開始"),
_xlpm.充当受入,SUMIFS(tbl_ledger[数量],tbl_ledger[充当先ロットID],$B97,tbl_ledger[イベント種類],"充当",tbl_ledger[元状態],E$1),
_xlpm.払出,SUMIFS(tbl_ledger[数量],tbl_ledger[ロットID],$B97,tbl_ledger[元状態],E$1),
_xlpm.受入+_xlpm.充当受入-_xlpm.払出))</f>
        <v/>
      </c>
      <c r="F97" s="8" t="str">
        <f>IF($B97="","",_xlfn.LET(
_xlpm.受入,SUMIFS(tbl_ledger[数量],tbl_ledger[ロットID],$B97,tbl_ledger[イベント種類],"アニール完了"),
_xlpm.充当受入,SUMIFS(tbl_ledger[数量],tbl_ledger[充当先ロットID],$B97,tbl_ledger[イベント種類],"充当",tbl_ledger[元状態],F$1),
_xlpm.払出,SUMIFS(tbl_ledger[数量],tbl_ledger[ロットID],$B97,tbl_ledger[元状態],F$1),
_xlpm.受入+_xlpm.充当受入-_xlpm.払出))</f>
        <v/>
      </c>
      <c r="G97" s="8" t="str">
        <f>IF($B97="","",_xlfn.LET(
_xlpm.受入,SUMIFS(tbl_ledger[数量],tbl_ledger[ロットID],$B97,tbl_ledger[イベント種類],"アセンブリ開始"),
_xlpm.充当受入,SUMIFS(tbl_ledger[数量],tbl_ledger[充当先ロットID],$B97,tbl_ledger[イベント種類],"充当",tbl_ledger[元状態],G$1),
_xlpm.払出,SUMIFS(tbl_ledger[数量],tbl_ledger[ロットID],$B97,tbl_ledger[元状態],G$1),
_xlpm.受入+_xlpm.充当受入-_xlpm.払出))</f>
        <v/>
      </c>
      <c r="H97" s="8" t="str">
        <f>IF($B97="","",_xlfn.LET(
_xlpm.受入,SUMIFS(tbl_ledger[数量],tbl_ledger[ロットID],$B97,tbl_ledger[イベント種類],"アセンブリ完了"),
_xlpm.充当受入,SUMIFS(tbl_ledger[数量],tbl_ledger[充当先ロットID],$B97,tbl_ledger[イベント種類],"充当",tbl_ledger[元状態],H$1),
_xlpm.払出,SUMIFS(tbl_ledger[数量],tbl_ledger[ロットID],$B97,tbl_ledger[元状態],H$1),
_xlpm.受入+_xlpm.充当受入-_xlpm.払出))</f>
        <v/>
      </c>
      <c r="I97" s="8" t="str">
        <f>IF($B97="","",_xlfn.LET(
_xlpm.受入,SUMIFS(tbl_ledger[数量],tbl_ledger[ロットID],$B97,tbl_ledger[イベント種類],"梱包開始"),
_xlpm.充当受入,SUMIFS(tbl_ledger[数量],tbl_ledger[充当先ロットID],$B97,tbl_ledger[イベント種類],"充当",tbl_ledger[元状態],I$1),
_xlpm.払出,SUMIFS(tbl_ledger[数量],tbl_ledger[ロットID],$B97,tbl_ledger[元状態],I$1),
_xlpm.受入+_xlpm.充当受入-_xlpm.払出))</f>
        <v/>
      </c>
      <c r="J97" s="8" t="str">
        <f>IF($B97="","",_xlfn.LET(
_xlpm.受入,SUMIFS(tbl_ledger[数量],tbl_ledger[ロットID],$B97,tbl_ledger[イベント種類],"梱包完了"),
_xlpm.充当受入,SUMIFS(tbl_ledger[数量],tbl_ledger[充当先ロットID],$B97,tbl_ledger[イベント種類],"充当",tbl_ledger[元状態],J$1),
_xlpm.払出,SUMIFS(tbl_ledger[数量],tbl_ledger[ロットID],$B97,tbl_ledger[元状態],J$1),
_xlpm.受入+_xlpm.充当受入-_xlpm.払出))</f>
        <v/>
      </c>
      <c r="K97" s="8" t="str">
        <f>IF($B97="","",_xlfn.LET(
_xlpm.受入,SUMIFS(tbl_ledger[数量],tbl_ledger[ロットID],$B97,tbl_ledger[イベント種類],"発送準備開始"),
_xlpm.充当受入,SUMIFS(tbl_ledger[数量],tbl_ledger[充当先ロットID],$B97,tbl_ledger[イベント種類],"充当",tbl_ledger[元状態],K$1),
_xlpm.払出,SUMIFS(tbl_ledger[数量],tbl_ledger[ロットID],$B97,tbl_ledger[元状態],K$1),
_xlpm.受入+_xlpm.充当受入-_xlpm.払出))</f>
        <v/>
      </c>
      <c r="L97" s="8" t="str">
        <f>IF($B97="","",_xlfn.LET(
_xlpm.受入,SUMIFS(tbl_ledger[数量],tbl_ledger[ロットID],$B97,tbl_ledger[イベント種類],"発送準備完了"),
_xlpm.充当受入,SUMIFS(tbl_ledger[数量],tbl_ledger[充当先ロットID],$B97,tbl_ledger[イベント種類],"充当",tbl_ledger[元状態],L$1),
_xlpm.払出,SUMIFS(tbl_ledger[数量],tbl_ledger[ロットID],$B97,tbl_ledger[元状態],L$1),
_xlpm.受入+_xlpm.充当受入-_xlpm.払出))</f>
        <v/>
      </c>
      <c r="M97" s="8" t="str">
        <f>IF($B97="","",_xlfn.LET(
_xlpm.受入,SUMIFS(tbl_ledger[数量],tbl_ledger[ロットID],$B97,tbl_ledger[イベント種類],"不良発生"),
_xlpm.充当受入,SUMIFS(tbl_ledger[数量],tbl_ledger[充当先ロットID],$B97,tbl_ledger[イベント種類],"充当",tbl_ledger[元状態],M$1),
_xlpm.払出,SUMIFS(tbl_ledger[数量],tbl_ledger[ロットID],$B97,tbl_ledger[元状態],M$1),
_xlpm.受入+_xlpm.充当受入-_xlpm.払出))</f>
        <v/>
      </c>
      <c r="N97" s="8" t="str">
        <f t="shared" si="3"/>
        <v/>
      </c>
    </row>
    <row r="98" spans="1:14" ht="15" customHeight="1" x14ac:dyDescent="0.25">
      <c r="A98" s="4" t="str">
        <f t="shared" si="2"/>
        <v/>
      </c>
      <c r="B98" s="4" t="str">
        <f>IFERROR(IF(COUNTIF($B$1:$B97,INDEX(tbl_plan[ロットID],ROW()-1))&gt;0,"",INDEX(tbl_plan[ロットID],ROW()-1)),"")</f>
        <v/>
      </c>
      <c r="C98" s="4" t="str">
        <f>IF($B98="","",INDEX(tbl_plan[localId],ROW()-1))</f>
        <v/>
      </c>
      <c r="D98" s="8" t="str">
        <f>IF($B98="","",_xlfn.LET(
_xlpm.割当受入,SUMIF(V_充足確認!$A$2:$A$301,$B98,V_充足確認!$F$2:$F$301),
_xlpm.充当受入,SUMIFS(tbl_ledger[数量],tbl_ledger[充当先ロットID],$B98,tbl_ledger[イベント種類],"充当",tbl_ledger[元状態],D$1),
_xlpm.払出,SUMIFS(tbl_ledger[数量],tbl_ledger[ロットID],$B98,tbl_ledger[元状態],D$1),
_xlpm.割当受入+_xlpm.充当受入-_xlpm.払出))</f>
        <v/>
      </c>
      <c r="E98" s="8" t="str">
        <f>IF($B98="","",_xlfn.LET(
_xlpm.受入,SUMIFS(tbl_ledger[数量],tbl_ledger[ロットID],$B98,tbl_ledger[イベント種類],"アニール開始"),
_xlpm.充当受入,SUMIFS(tbl_ledger[数量],tbl_ledger[充当先ロットID],$B98,tbl_ledger[イベント種類],"充当",tbl_ledger[元状態],E$1),
_xlpm.払出,SUMIFS(tbl_ledger[数量],tbl_ledger[ロットID],$B98,tbl_ledger[元状態],E$1),
_xlpm.受入+_xlpm.充当受入-_xlpm.払出))</f>
        <v/>
      </c>
      <c r="F98" s="8" t="str">
        <f>IF($B98="","",_xlfn.LET(
_xlpm.受入,SUMIFS(tbl_ledger[数量],tbl_ledger[ロットID],$B98,tbl_ledger[イベント種類],"アニール完了"),
_xlpm.充当受入,SUMIFS(tbl_ledger[数量],tbl_ledger[充当先ロットID],$B98,tbl_ledger[イベント種類],"充当",tbl_ledger[元状態],F$1),
_xlpm.払出,SUMIFS(tbl_ledger[数量],tbl_ledger[ロットID],$B98,tbl_ledger[元状態],F$1),
_xlpm.受入+_xlpm.充当受入-_xlpm.払出))</f>
        <v/>
      </c>
      <c r="G98" s="8" t="str">
        <f>IF($B98="","",_xlfn.LET(
_xlpm.受入,SUMIFS(tbl_ledger[数量],tbl_ledger[ロットID],$B98,tbl_ledger[イベント種類],"アセンブリ開始"),
_xlpm.充当受入,SUMIFS(tbl_ledger[数量],tbl_ledger[充当先ロットID],$B98,tbl_ledger[イベント種類],"充当",tbl_ledger[元状態],G$1),
_xlpm.払出,SUMIFS(tbl_ledger[数量],tbl_ledger[ロットID],$B98,tbl_ledger[元状態],G$1),
_xlpm.受入+_xlpm.充当受入-_xlpm.払出))</f>
        <v/>
      </c>
      <c r="H98" s="8" t="str">
        <f>IF($B98="","",_xlfn.LET(
_xlpm.受入,SUMIFS(tbl_ledger[数量],tbl_ledger[ロットID],$B98,tbl_ledger[イベント種類],"アセンブリ完了"),
_xlpm.充当受入,SUMIFS(tbl_ledger[数量],tbl_ledger[充当先ロットID],$B98,tbl_ledger[イベント種類],"充当",tbl_ledger[元状態],H$1),
_xlpm.払出,SUMIFS(tbl_ledger[数量],tbl_ledger[ロットID],$B98,tbl_ledger[元状態],H$1),
_xlpm.受入+_xlpm.充当受入-_xlpm.払出))</f>
        <v/>
      </c>
      <c r="I98" s="8" t="str">
        <f>IF($B98="","",_xlfn.LET(
_xlpm.受入,SUMIFS(tbl_ledger[数量],tbl_ledger[ロットID],$B98,tbl_ledger[イベント種類],"梱包開始"),
_xlpm.充当受入,SUMIFS(tbl_ledger[数量],tbl_ledger[充当先ロットID],$B98,tbl_ledger[イベント種類],"充当",tbl_ledger[元状態],I$1),
_xlpm.払出,SUMIFS(tbl_ledger[数量],tbl_ledger[ロットID],$B98,tbl_ledger[元状態],I$1),
_xlpm.受入+_xlpm.充当受入-_xlpm.払出))</f>
        <v/>
      </c>
      <c r="J98" s="8" t="str">
        <f>IF($B98="","",_xlfn.LET(
_xlpm.受入,SUMIFS(tbl_ledger[数量],tbl_ledger[ロットID],$B98,tbl_ledger[イベント種類],"梱包完了"),
_xlpm.充当受入,SUMIFS(tbl_ledger[数量],tbl_ledger[充当先ロットID],$B98,tbl_ledger[イベント種類],"充当",tbl_ledger[元状態],J$1),
_xlpm.払出,SUMIFS(tbl_ledger[数量],tbl_ledger[ロットID],$B98,tbl_ledger[元状態],J$1),
_xlpm.受入+_xlpm.充当受入-_xlpm.払出))</f>
        <v/>
      </c>
      <c r="K98" s="8" t="str">
        <f>IF($B98="","",_xlfn.LET(
_xlpm.受入,SUMIFS(tbl_ledger[数量],tbl_ledger[ロットID],$B98,tbl_ledger[イベント種類],"発送準備開始"),
_xlpm.充当受入,SUMIFS(tbl_ledger[数量],tbl_ledger[充当先ロットID],$B98,tbl_ledger[イベント種類],"充当",tbl_ledger[元状態],K$1),
_xlpm.払出,SUMIFS(tbl_ledger[数量],tbl_ledger[ロットID],$B98,tbl_ledger[元状態],K$1),
_xlpm.受入+_xlpm.充当受入-_xlpm.払出))</f>
        <v/>
      </c>
      <c r="L98" s="8" t="str">
        <f>IF($B98="","",_xlfn.LET(
_xlpm.受入,SUMIFS(tbl_ledger[数量],tbl_ledger[ロットID],$B98,tbl_ledger[イベント種類],"発送準備完了"),
_xlpm.充当受入,SUMIFS(tbl_ledger[数量],tbl_ledger[充当先ロットID],$B98,tbl_ledger[イベント種類],"充当",tbl_ledger[元状態],L$1),
_xlpm.払出,SUMIFS(tbl_ledger[数量],tbl_ledger[ロットID],$B98,tbl_ledger[元状態],L$1),
_xlpm.受入+_xlpm.充当受入-_xlpm.払出))</f>
        <v/>
      </c>
      <c r="M98" s="8" t="str">
        <f>IF($B98="","",_xlfn.LET(
_xlpm.受入,SUMIFS(tbl_ledger[数量],tbl_ledger[ロットID],$B98,tbl_ledger[イベント種類],"不良発生"),
_xlpm.充当受入,SUMIFS(tbl_ledger[数量],tbl_ledger[充当先ロットID],$B98,tbl_ledger[イベント種類],"充当",tbl_ledger[元状態],M$1),
_xlpm.払出,SUMIFS(tbl_ledger[数量],tbl_ledger[ロットID],$B98,tbl_ledger[元状態],M$1),
_xlpm.受入+_xlpm.充当受入-_xlpm.払出))</f>
        <v/>
      </c>
      <c r="N98" s="8" t="str">
        <f t="shared" si="3"/>
        <v/>
      </c>
    </row>
    <row r="99" spans="1:14" ht="15" customHeight="1" x14ac:dyDescent="0.25">
      <c r="A99" s="4" t="str">
        <f t="shared" si="2"/>
        <v/>
      </c>
      <c r="B99" s="4" t="str">
        <f>IFERROR(IF(COUNTIF($B$1:$B98,INDEX(tbl_plan[ロットID],ROW()-1))&gt;0,"",INDEX(tbl_plan[ロットID],ROW()-1)),"")</f>
        <v/>
      </c>
      <c r="C99" s="4" t="str">
        <f>IF($B99="","",INDEX(tbl_plan[localId],ROW()-1))</f>
        <v/>
      </c>
      <c r="D99" s="8" t="str">
        <f>IF($B99="","",_xlfn.LET(
_xlpm.割当受入,SUMIF(V_充足確認!$A$2:$A$301,$B99,V_充足確認!$F$2:$F$301),
_xlpm.充当受入,SUMIFS(tbl_ledger[数量],tbl_ledger[充当先ロットID],$B99,tbl_ledger[イベント種類],"充当",tbl_ledger[元状態],D$1),
_xlpm.払出,SUMIFS(tbl_ledger[数量],tbl_ledger[ロットID],$B99,tbl_ledger[元状態],D$1),
_xlpm.割当受入+_xlpm.充当受入-_xlpm.払出))</f>
        <v/>
      </c>
      <c r="E99" s="8" t="str">
        <f>IF($B99="","",_xlfn.LET(
_xlpm.受入,SUMIFS(tbl_ledger[数量],tbl_ledger[ロットID],$B99,tbl_ledger[イベント種類],"アニール開始"),
_xlpm.充当受入,SUMIFS(tbl_ledger[数量],tbl_ledger[充当先ロットID],$B99,tbl_ledger[イベント種類],"充当",tbl_ledger[元状態],E$1),
_xlpm.払出,SUMIFS(tbl_ledger[数量],tbl_ledger[ロットID],$B99,tbl_ledger[元状態],E$1),
_xlpm.受入+_xlpm.充当受入-_xlpm.払出))</f>
        <v/>
      </c>
      <c r="F99" s="8" t="str">
        <f>IF($B99="","",_xlfn.LET(
_xlpm.受入,SUMIFS(tbl_ledger[数量],tbl_ledger[ロットID],$B99,tbl_ledger[イベント種類],"アニール完了"),
_xlpm.充当受入,SUMIFS(tbl_ledger[数量],tbl_ledger[充当先ロットID],$B99,tbl_ledger[イベント種類],"充当",tbl_ledger[元状態],F$1),
_xlpm.払出,SUMIFS(tbl_ledger[数量],tbl_ledger[ロットID],$B99,tbl_ledger[元状態],F$1),
_xlpm.受入+_xlpm.充当受入-_xlpm.払出))</f>
        <v/>
      </c>
      <c r="G99" s="8" t="str">
        <f>IF($B99="","",_xlfn.LET(
_xlpm.受入,SUMIFS(tbl_ledger[数量],tbl_ledger[ロットID],$B99,tbl_ledger[イベント種類],"アセンブリ開始"),
_xlpm.充当受入,SUMIFS(tbl_ledger[数量],tbl_ledger[充当先ロットID],$B99,tbl_ledger[イベント種類],"充当",tbl_ledger[元状態],G$1),
_xlpm.払出,SUMIFS(tbl_ledger[数量],tbl_ledger[ロットID],$B99,tbl_ledger[元状態],G$1),
_xlpm.受入+_xlpm.充当受入-_xlpm.払出))</f>
        <v/>
      </c>
      <c r="H99" s="8" t="str">
        <f>IF($B99="","",_xlfn.LET(
_xlpm.受入,SUMIFS(tbl_ledger[数量],tbl_ledger[ロットID],$B99,tbl_ledger[イベント種類],"アセンブリ完了"),
_xlpm.充当受入,SUMIFS(tbl_ledger[数量],tbl_ledger[充当先ロットID],$B99,tbl_ledger[イベント種類],"充当",tbl_ledger[元状態],H$1),
_xlpm.払出,SUMIFS(tbl_ledger[数量],tbl_ledger[ロットID],$B99,tbl_ledger[元状態],H$1),
_xlpm.受入+_xlpm.充当受入-_xlpm.払出))</f>
        <v/>
      </c>
      <c r="I99" s="8" t="str">
        <f>IF($B99="","",_xlfn.LET(
_xlpm.受入,SUMIFS(tbl_ledger[数量],tbl_ledger[ロットID],$B99,tbl_ledger[イベント種類],"梱包開始"),
_xlpm.充当受入,SUMIFS(tbl_ledger[数量],tbl_ledger[充当先ロットID],$B99,tbl_ledger[イベント種類],"充当",tbl_ledger[元状態],I$1),
_xlpm.払出,SUMIFS(tbl_ledger[数量],tbl_ledger[ロットID],$B99,tbl_ledger[元状態],I$1),
_xlpm.受入+_xlpm.充当受入-_xlpm.払出))</f>
        <v/>
      </c>
      <c r="J99" s="8" t="str">
        <f>IF($B99="","",_xlfn.LET(
_xlpm.受入,SUMIFS(tbl_ledger[数量],tbl_ledger[ロットID],$B99,tbl_ledger[イベント種類],"梱包完了"),
_xlpm.充当受入,SUMIFS(tbl_ledger[数量],tbl_ledger[充当先ロットID],$B99,tbl_ledger[イベント種類],"充当",tbl_ledger[元状態],J$1),
_xlpm.払出,SUMIFS(tbl_ledger[数量],tbl_ledger[ロットID],$B99,tbl_ledger[元状態],J$1),
_xlpm.受入+_xlpm.充当受入-_xlpm.払出))</f>
        <v/>
      </c>
      <c r="K99" s="8" t="str">
        <f>IF($B99="","",_xlfn.LET(
_xlpm.受入,SUMIFS(tbl_ledger[数量],tbl_ledger[ロットID],$B99,tbl_ledger[イベント種類],"発送準備開始"),
_xlpm.充当受入,SUMIFS(tbl_ledger[数量],tbl_ledger[充当先ロットID],$B99,tbl_ledger[イベント種類],"充当",tbl_ledger[元状態],K$1),
_xlpm.払出,SUMIFS(tbl_ledger[数量],tbl_ledger[ロットID],$B99,tbl_ledger[元状態],K$1),
_xlpm.受入+_xlpm.充当受入-_xlpm.払出))</f>
        <v/>
      </c>
      <c r="L99" s="8" t="str">
        <f>IF($B99="","",_xlfn.LET(
_xlpm.受入,SUMIFS(tbl_ledger[数量],tbl_ledger[ロットID],$B99,tbl_ledger[イベント種類],"発送準備完了"),
_xlpm.充当受入,SUMIFS(tbl_ledger[数量],tbl_ledger[充当先ロットID],$B99,tbl_ledger[イベント種類],"充当",tbl_ledger[元状態],L$1),
_xlpm.払出,SUMIFS(tbl_ledger[数量],tbl_ledger[ロットID],$B99,tbl_ledger[元状態],L$1),
_xlpm.受入+_xlpm.充当受入-_xlpm.払出))</f>
        <v/>
      </c>
      <c r="M99" s="8" t="str">
        <f>IF($B99="","",_xlfn.LET(
_xlpm.受入,SUMIFS(tbl_ledger[数量],tbl_ledger[ロットID],$B99,tbl_ledger[イベント種類],"不良発生"),
_xlpm.充当受入,SUMIFS(tbl_ledger[数量],tbl_ledger[充当先ロットID],$B99,tbl_ledger[イベント種類],"充当",tbl_ledger[元状態],M$1),
_xlpm.払出,SUMIFS(tbl_ledger[数量],tbl_ledger[ロットID],$B99,tbl_ledger[元状態],M$1),
_xlpm.受入+_xlpm.充当受入-_xlpm.払出))</f>
        <v/>
      </c>
      <c r="N99" s="8" t="str">
        <f t="shared" si="3"/>
        <v/>
      </c>
    </row>
    <row r="100" spans="1:14" ht="15" customHeight="1" x14ac:dyDescent="0.25">
      <c r="A100" s="4" t="str">
        <f t="shared" si="2"/>
        <v/>
      </c>
      <c r="B100" s="4" t="str">
        <f>IFERROR(IF(COUNTIF($B$1:$B99,INDEX(tbl_plan[ロットID],ROW()-1))&gt;0,"",INDEX(tbl_plan[ロットID],ROW()-1)),"")</f>
        <v/>
      </c>
      <c r="C100" s="4" t="str">
        <f>IF($B100="","",INDEX(tbl_plan[localId],ROW()-1))</f>
        <v/>
      </c>
      <c r="D100" s="8" t="str">
        <f>IF($B100="","",_xlfn.LET(
_xlpm.割当受入,SUMIF(V_充足確認!$A$2:$A$301,$B100,V_充足確認!$F$2:$F$301),
_xlpm.充当受入,SUMIFS(tbl_ledger[数量],tbl_ledger[充当先ロットID],$B100,tbl_ledger[イベント種類],"充当",tbl_ledger[元状態],D$1),
_xlpm.払出,SUMIFS(tbl_ledger[数量],tbl_ledger[ロットID],$B100,tbl_ledger[元状態],D$1),
_xlpm.割当受入+_xlpm.充当受入-_xlpm.払出))</f>
        <v/>
      </c>
      <c r="E100" s="8" t="str">
        <f>IF($B100="","",_xlfn.LET(
_xlpm.受入,SUMIFS(tbl_ledger[数量],tbl_ledger[ロットID],$B100,tbl_ledger[イベント種類],"アニール開始"),
_xlpm.充当受入,SUMIFS(tbl_ledger[数量],tbl_ledger[充当先ロットID],$B100,tbl_ledger[イベント種類],"充当",tbl_ledger[元状態],E$1),
_xlpm.払出,SUMIFS(tbl_ledger[数量],tbl_ledger[ロットID],$B100,tbl_ledger[元状態],E$1),
_xlpm.受入+_xlpm.充当受入-_xlpm.払出))</f>
        <v/>
      </c>
      <c r="F100" s="8" t="str">
        <f>IF($B100="","",_xlfn.LET(
_xlpm.受入,SUMIFS(tbl_ledger[数量],tbl_ledger[ロットID],$B100,tbl_ledger[イベント種類],"アニール完了"),
_xlpm.充当受入,SUMIFS(tbl_ledger[数量],tbl_ledger[充当先ロットID],$B100,tbl_ledger[イベント種類],"充当",tbl_ledger[元状態],F$1),
_xlpm.払出,SUMIFS(tbl_ledger[数量],tbl_ledger[ロットID],$B100,tbl_ledger[元状態],F$1),
_xlpm.受入+_xlpm.充当受入-_xlpm.払出))</f>
        <v/>
      </c>
      <c r="G100" s="8" t="str">
        <f>IF($B100="","",_xlfn.LET(
_xlpm.受入,SUMIFS(tbl_ledger[数量],tbl_ledger[ロットID],$B100,tbl_ledger[イベント種類],"アセンブリ開始"),
_xlpm.充当受入,SUMIFS(tbl_ledger[数量],tbl_ledger[充当先ロットID],$B100,tbl_ledger[イベント種類],"充当",tbl_ledger[元状態],G$1),
_xlpm.払出,SUMIFS(tbl_ledger[数量],tbl_ledger[ロットID],$B100,tbl_ledger[元状態],G$1),
_xlpm.受入+_xlpm.充当受入-_xlpm.払出))</f>
        <v/>
      </c>
      <c r="H100" s="8" t="str">
        <f>IF($B100="","",_xlfn.LET(
_xlpm.受入,SUMIFS(tbl_ledger[数量],tbl_ledger[ロットID],$B100,tbl_ledger[イベント種類],"アセンブリ完了"),
_xlpm.充当受入,SUMIFS(tbl_ledger[数量],tbl_ledger[充当先ロットID],$B100,tbl_ledger[イベント種類],"充当",tbl_ledger[元状態],H$1),
_xlpm.払出,SUMIFS(tbl_ledger[数量],tbl_ledger[ロットID],$B100,tbl_ledger[元状態],H$1),
_xlpm.受入+_xlpm.充当受入-_xlpm.払出))</f>
        <v/>
      </c>
      <c r="I100" s="8" t="str">
        <f>IF($B100="","",_xlfn.LET(
_xlpm.受入,SUMIFS(tbl_ledger[数量],tbl_ledger[ロットID],$B100,tbl_ledger[イベント種類],"梱包開始"),
_xlpm.充当受入,SUMIFS(tbl_ledger[数量],tbl_ledger[充当先ロットID],$B100,tbl_ledger[イベント種類],"充当",tbl_ledger[元状態],I$1),
_xlpm.払出,SUMIFS(tbl_ledger[数量],tbl_ledger[ロットID],$B100,tbl_ledger[元状態],I$1),
_xlpm.受入+_xlpm.充当受入-_xlpm.払出))</f>
        <v/>
      </c>
      <c r="J100" s="8" t="str">
        <f>IF($B100="","",_xlfn.LET(
_xlpm.受入,SUMIFS(tbl_ledger[数量],tbl_ledger[ロットID],$B100,tbl_ledger[イベント種類],"梱包完了"),
_xlpm.充当受入,SUMIFS(tbl_ledger[数量],tbl_ledger[充当先ロットID],$B100,tbl_ledger[イベント種類],"充当",tbl_ledger[元状態],J$1),
_xlpm.払出,SUMIFS(tbl_ledger[数量],tbl_ledger[ロットID],$B100,tbl_ledger[元状態],J$1),
_xlpm.受入+_xlpm.充当受入-_xlpm.払出))</f>
        <v/>
      </c>
      <c r="K100" s="8" t="str">
        <f>IF($B100="","",_xlfn.LET(
_xlpm.受入,SUMIFS(tbl_ledger[数量],tbl_ledger[ロットID],$B100,tbl_ledger[イベント種類],"発送準備開始"),
_xlpm.充当受入,SUMIFS(tbl_ledger[数量],tbl_ledger[充当先ロットID],$B100,tbl_ledger[イベント種類],"充当",tbl_ledger[元状態],K$1),
_xlpm.払出,SUMIFS(tbl_ledger[数量],tbl_ledger[ロットID],$B100,tbl_ledger[元状態],K$1),
_xlpm.受入+_xlpm.充当受入-_xlpm.払出))</f>
        <v/>
      </c>
      <c r="L100" s="8" t="str">
        <f>IF($B100="","",_xlfn.LET(
_xlpm.受入,SUMIFS(tbl_ledger[数量],tbl_ledger[ロットID],$B100,tbl_ledger[イベント種類],"発送準備完了"),
_xlpm.充当受入,SUMIFS(tbl_ledger[数量],tbl_ledger[充当先ロットID],$B100,tbl_ledger[イベント種類],"充当",tbl_ledger[元状態],L$1),
_xlpm.払出,SUMIFS(tbl_ledger[数量],tbl_ledger[ロットID],$B100,tbl_ledger[元状態],L$1),
_xlpm.受入+_xlpm.充当受入-_xlpm.払出))</f>
        <v/>
      </c>
      <c r="M100" s="8" t="str">
        <f>IF($B100="","",_xlfn.LET(
_xlpm.受入,SUMIFS(tbl_ledger[数量],tbl_ledger[ロットID],$B100,tbl_ledger[イベント種類],"不良発生"),
_xlpm.充当受入,SUMIFS(tbl_ledger[数量],tbl_ledger[充当先ロットID],$B100,tbl_ledger[イベント種類],"充当",tbl_ledger[元状態],M$1),
_xlpm.払出,SUMIFS(tbl_ledger[数量],tbl_ledger[ロットID],$B100,tbl_ledger[元状態],M$1),
_xlpm.受入+_xlpm.充当受入-_xlpm.払出))</f>
        <v/>
      </c>
      <c r="N100" s="8" t="str">
        <f t="shared" si="3"/>
        <v/>
      </c>
    </row>
    <row r="101" spans="1:14" ht="15" customHeight="1" x14ac:dyDescent="0.25">
      <c r="A101" s="4" t="str">
        <f t="shared" si="2"/>
        <v/>
      </c>
      <c r="B101" s="4" t="str">
        <f>IFERROR(IF(COUNTIF($B$1:$B100,INDEX(tbl_plan[ロットID],ROW()-1))&gt;0,"",INDEX(tbl_plan[ロットID],ROW()-1)),"")</f>
        <v/>
      </c>
      <c r="C101" s="4" t="str">
        <f>IF($B101="","",INDEX(tbl_plan[localId],ROW()-1))</f>
        <v/>
      </c>
      <c r="D101" s="8" t="str">
        <f>IF($B101="","",_xlfn.LET(
_xlpm.割当受入,SUMIF(V_充足確認!$A$2:$A$301,$B101,V_充足確認!$F$2:$F$301),
_xlpm.充当受入,SUMIFS(tbl_ledger[数量],tbl_ledger[充当先ロットID],$B101,tbl_ledger[イベント種類],"充当",tbl_ledger[元状態],D$1),
_xlpm.払出,SUMIFS(tbl_ledger[数量],tbl_ledger[ロットID],$B101,tbl_ledger[元状態],D$1),
_xlpm.割当受入+_xlpm.充当受入-_xlpm.払出))</f>
        <v/>
      </c>
      <c r="E101" s="8" t="str">
        <f>IF($B101="","",_xlfn.LET(
_xlpm.受入,SUMIFS(tbl_ledger[数量],tbl_ledger[ロットID],$B101,tbl_ledger[イベント種類],"アニール開始"),
_xlpm.充当受入,SUMIFS(tbl_ledger[数量],tbl_ledger[充当先ロットID],$B101,tbl_ledger[イベント種類],"充当",tbl_ledger[元状態],E$1),
_xlpm.払出,SUMIFS(tbl_ledger[数量],tbl_ledger[ロットID],$B101,tbl_ledger[元状態],E$1),
_xlpm.受入+_xlpm.充当受入-_xlpm.払出))</f>
        <v/>
      </c>
      <c r="F101" s="8" t="str">
        <f>IF($B101="","",_xlfn.LET(
_xlpm.受入,SUMIFS(tbl_ledger[数量],tbl_ledger[ロットID],$B101,tbl_ledger[イベント種類],"アニール完了"),
_xlpm.充当受入,SUMIFS(tbl_ledger[数量],tbl_ledger[充当先ロットID],$B101,tbl_ledger[イベント種類],"充当",tbl_ledger[元状態],F$1),
_xlpm.払出,SUMIFS(tbl_ledger[数量],tbl_ledger[ロットID],$B101,tbl_ledger[元状態],F$1),
_xlpm.受入+_xlpm.充当受入-_xlpm.払出))</f>
        <v/>
      </c>
      <c r="G101" s="8" t="str">
        <f>IF($B101="","",_xlfn.LET(
_xlpm.受入,SUMIFS(tbl_ledger[数量],tbl_ledger[ロットID],$B101,tbl_ledger[イベント種類],"アセンブリ開始"),
_xlpm.充当受入,SUMIFS(tbl_ledger[数量],tbl_ledger[充当先ロットID],$B101,tbl_ledger[イベント種類],"充当",tbl_ledger[元状態],G$1),
_xlpm.払出,SUMIFS(tbl_ledger[数量],tbl_ledger[ロットID],$B101,tbl_ledger[元状態],G$1),
_xlpm.受入+_xlpm.充当受入-_xlpm.払出))</f>
        <v/>
      </c>
      <c r="H101" s="8" t="str">
        <f>IF($B101="","",_xlfn.LET(
_xlpm.受入,SUMIFS(tbl_ledger[数量],tbl_ledger[ロットID],$B101,tbl_ledger[イベント種類],"アセンブリ完了"),
_xlpm.充当受入,SUMIFS(tbl_ledger[数量],tbl_ledger[充当先ロットID],$B101,tbl_ledger[イベント種類],"充当",tbl_ledger[元状態],H$1),
_xlpm.払出,SUMIFS(tbl_ledger[数量],tbl_ledger[ロットID],$B101,tbl_ledger[元状態],H$1),
_xlpm.受入+_xlpm.充当受入-_xlpm.払出))</f>
        <v/>
      </c>
      <c r="I101" s="8" t="str">
        <f>IF($B101="","",_xlfn.LET(
_xlpm.受入,SUMIFS(tbl_ledger[数量],tbl_ledger[ロットID],$B101,tbl_ledger[イベント種類],"梱包開始"),
_xlpm.充当受入,SUMIFS(tbl_ledger[数量],tbl_ledger[充当先ロットID],$B101,tbl_ledger[イベント種類],"充当",tbl_ledger[元状態],I$1),
_xlpm.払出,SUMIFS(tbl_ledger[数量],tbl_ledger[ロットID],$B101,tbl_ledger[元状態],I$1),
_xlpm.受入+_xlpm.充当受入-_xlpm.払出))</f>
        <v/>
      </c>
      <c r="J101" s="8" t="str">
        <f>IF($B101="","",_xlfn.LET(
_xlpm.受入,SUMIFS(tbl_ledger[数量],tbl_ledger[ロットID],$B101,tbl_ledger[イベント種類],"梱包完了"),
_xlpm.充当受入,SUMIFS(tbl_ledger[数量],tbl_ledger[充当先ロットID],$B101,tbl_ledger[イベント種類],"充当",tbl_ledger[元状態],J$1),
_xlpm.払出,SUMIFS(tbl_ledger[数量],tbl_ledger[ロットID],$B101,tbl_ledger[元状態],J$1),
_xlpm.受入+_xlpm.充当受入-_xlpm.払出))</f>
        <v/>
      </c>
      <c r="K101" s="8" t="str">
        <f>IF($B101="","",_xlfn.LET(
_xlpm.受入,SUMIFS(tbl_ledger[数量],tbl_ledger[ロットID],$B101,tbl_ledger[イベント種類],"発送準備開始"),
_xlpm.充当受入,SUMIFS(tbl_ledger[数量],tbl_ledger[充当先ロットID],$B101,tbl_ledger[イベント種類],"充当",tbl_ledger[元状態],K$1),
_xlpm.払出,SUMIFS(tbl_ledger[数量],tbl_ledger[ロットID],$B101,tbl_ledger[元状態],K$1),
_xlpm.受入+_xlpm.充当受入-_xlpm.払出))</f>
        <v/>
      </c>
      <c r="L101" s="8" t="str">
        <f>IF($B101="","",_xlfn.LET(
_xlpm.受入,SUMIFS(tbl_ledger[数量],tbl_ledger[ロットID],$B101,tbl_ledger[イベント種類],"発送準備完了"),
_xlpm.充当受入,SUMIFS(tbl_ledger[数量],tbl_ledger[充当先ロットID],$B101,tbl_ledger[イベント種類],"充当",tbl_ledger[元状態],L$1),
_xlpm.払出,SUMIFS(tbl_ledger[数量],tbl_ledger[ロットID],$B101,tbl_ledger[元状態],L$1),
_xlpm.受入+_xlpm.充当受入-_xlpm.払出))</f>
        <v/>
      </c>
      <c r="M101" s="8" t="str">
        <f>IF($B101="","",_xlfn.LET(
_xlpm.受入,SUMIFS(tbl_ledger[数量],tbl_ledger[ロットID],$B101,tbl_ledger[イベント種類],"不良発生"),
_xlpm.充当受入,SUMIFS(tbl_ledger[数量],tbl_ledger[充当先ロットID],$B101,tbl_ledger[イベント種類],"充当",tbl_ledger[元状態],M$1),
_xlpm.払出,SUMIFS(tbl_ledger[数量],tbl_ledger[ロットID],$B101,tbl_ledger[元状態],M$1),
_xlpm.受入+_xlpm.充当受入-_xlpm.払出))</f>
        <v/>
      </c>
      <c r="N101" s="8" t="str">
        <f t="shared" si="3"/>
        <v/>
      </c>
    </row>
    <row r="102" spans="1:14" ht="15" customHeight="1" x14ac:dyDescent="0.25">
      <c r="A102" s="4" t="str">
        <f t="shared" si="2"/>
        <v/>
      </c>
      <c r="B102" s="4" t="str">
        <f>IFERROR(IF(COUNTIF($B$1:$B101,INDEX(tbl_plan[ロットID],ROW()-1))&gt;0,"",INDEX(tbl_plan[ロットID],ROW()-1)),"")</f>
        <v/>
      </c>
      <c r="C102" s="4" t="str">
        <f>IF($B102="","",INDEX(tbl_plan[localId],ROW()-1))</f>
        <v/>
      </c>
      <c r="D102" s="8" t="str">
        <f>IF($B102="","",_xlfn.LET(
_xlpm.割当受入,SUMIF(V_充足確認!$A$2:$A$301,$B102,V_充足確認!$F$2:$F$301),
_xlpm.充当受入,SUMIFS(tbl_ledger[数量],tbl_ledger[充当先ロットID],$B102,tbl_ledger[イベント種類],"充当",tbl_ledger[元状態],D$1),
_xlpm.払出,SUMIFS(tbl_ledger[数量],tbl_ledger[ロットID],$B102,tbl_ledger[元状態],D$1),
_xlpm.割当受入+_xlpm.充当受入-_xlpm.払出))</f>
        <v/>
      </c>
      <c r="E102" s="8" t="str">
        <f>IF($B102="","",_xlfn.LET(
_xlpm.受入,SUMIFS(tbl_ledger[数量],tbl_ledger[ロットID],$B102,tbl_ledger[イベント種類],"アニール開始"),
_xlpm.充当受入,SUMIFS(tbl_ledger[数量],tbl_ledger[充当先ロットID],$B102,tbl_ledger[イベント種類],"充当",tbl_ledger[元状態],E$1),
_xlpm.払出,SUMIFS(tbl_ledger[数量],tbl_ledger[ロットID],$B102,tbl_ledger[元状態],E$1),
_xlpm.受入+_xlpm.充当受入-_xlpm.払出))</f>
        <v/>
      </c>
      <c r="F102" s="8" t="str">
        <f>IF($B102="","",_xlfn.LET(
_xlpm.受入,SUMIFS(tbl_ledger[数量],tbl_ledger[ロットID],$B102,tbl_ledger[イベント種類],"アニール完了"),
_xlpm.充当受入,SUMIFS(tbl_ledger[数量],tbl_ledger[充当先ロットID],$B102,tbl_ledger[イベント種類],"充当",tbl_ledger[元状態],F$1),
_xlpm.払出,SUMIFS(tbl_ledger[数量],tbl_ledger[ロットID],$B102,tbl_ledger[元状態],F$1),
_xlpm.受入+_xlpm.充当受入-_xlpm.払出))</f>
        <v/>
      </c>
      <c r="G102" s="8" t="str">
        <f>IF($B102="","",_xlfn.LET(
_xlpm.受入,SUMIFS(tbl_ledger[数量],tbl_ledger[ロットID],$B102,tbl_ledger[イベント種類],"アセンブリ開始"),
_xlpm.充当受入,SUMIFS(tbl_ledger[数量],tbl_ledger[充当先ロットID],$B102,tbl_ledger[イベント種類],"充当",tbl_ledger[元状態],G$1),
_xlpm.払出,SUMIFS(tbl_ledger[数量],tbl_ledger[ロットID],$B102,tbl_ledger[元状態],G$1),
_xlpm.受入+_xlpm.充当受入-_xlpm.払出))</f>
        <v/>
      </c>
      <c r="H102" s="8" t="str">
        <f>IF($B102="","",_xlfn.LET(
_xlpm.受入,SUMIFS(tbl_ledger[数量],tbl_ledger[ロットID],$B102,tbl_ledger[イベント種類],"アセンブリ完了"),
_xlpm.充当受入,SUMIFS(tbl_ledger[数量],tbl_ledger[充当先ロットID],$B102,tbl_ledger[イベント種類],"充当",tbl_ledger[元状態],H$1),
_xlpm.払出,SUMIFS(tbl_ledger[数量],tbl_ledger[ロットID],$B102,tbl_ledger[元状態],H$1),
_xlpm.受入+_xlpm.充当受入-_xlpm.払出))</f>
        <v/>
      </c>
      <c r="I102" s="8" t="str">
        <f>IF($B102="","",_xlfn.LET(
_xlpm.受入,SUMIFS(tbl_ledger[数量],tbl_ledger[ロットID],$B102,tbl_ledger[イベント種類],"梱包開始"),
_xlpm.充当受入,SUMIFS(tbl_ledger[数量],tbl_ledger[充当先ロットID],$B102,tbl_ledger[イベント種類],"充当",tbl_ledger[元状態],I$1),
_xlpm.払出,SUMIFS(tbl_ledger[数量],tbl_ledger[ロットID],$B102,tbl_ledger[元状態],I$1),
_xlpm.受入+_xlpm.充当受入-_xlpm.払出))</f>
        <v/>
      </c>
      <c r="J102" s="8" t="str">
        <f>IF($B102="","",_xlfn.LET(
_xlpm.受入,SUMIFS(tbl_ledger[数量],tbl_ledger[ロットID],$B102,tbl_ledger[イベント種類],"梱包完了"),
_xlpm.充当受入,SUMIFS(tbl_ledger[数量],tbl_ledger[充当先ロットID],$B102,tbl_ledger[イベント種類],"充当",tbl_ledger[元状態],J$1),
_xlpm.払出,SUMIFS(tbl_ledger[数量],tbl_ledger[ロットID],$B102,tbl_ledger[元状態],J$1),
_xlpm.受入+_xlpm.充当受入-_xlpm.払出))</f>
        <v/>
      </c>
      <c r="K102" s="8" t="str">
        <f>IF($B102="","",_xlfn.LET(
_xlpm.受入,SUMIFS(tbl_ledger[数量],tbl_ledger[ロットID],$B102,tbl_ledger[イベント種類],"発送準備開始"),
_xlpm.充当受入,SUMIFS(tbl_ledger[数量],tbl_ledger[充当先ロットID],$B102,tbl_ledger[イベント種類],"充当",tbl_ledger[元状態],K$1),
_xlpm.払出,SUMIFS(tbl_ledger[数量],tbl_ledger[ロットID],$B102,tbl_ledger[元状態],K$1),
_xlpm.受入+_xlpm.充当受入-_xlpm.払出))</f>
        <v/>
      </c>
      <c r="L102" s="8" t="str">
        <f>IF($B102="","",_xlfn.LET(
_xlpm.受入,SUMIFS(tbl_ledger[数量],tbl_ledger[ロットID],$B102,tbl_ledger[イベント種類],"発送準備完了"),
_xlpm.充当受入,SUMIFS(tbl_ledger[数量],tbl_ledger[充当先ロットID],$B102,tbl_ledger[イベント種類],"充当",tbl_ledger[元状態],L$1),
_xlpm.払出,SUMIFS(tbl_ledger[数量],tbl_ledger[ロットID],$B102,tbl_ledger[元状態],L$1),
_xlpm.受入+_xlpm.充当受入-_xlpm.払出))</f>
        <v/>
      </c>
      <c r="M102" s="8" t="str">
        <f>IF($B102="","",_xlfn.LET(
_xlpm.受入,SUMIFS(tbl_ledger[数量],tbl_ledger[ロットID],$B102,tbl_ledger[イベント種類],"不良発生"),
_xlpm.充当受入,SUMIFS(tbl_ledger[数量],tbl_ledger[充当先ロットID],$B102,tbl_ledger[イベント種類],"充当",tbl_ledger[元状態],M$1),
_xlpm.払出,SUMIFS(tbl_ledger[数量],tbl_ledger[ロットID],$B102,tbl_ledger[元状態],M$1),
_xlpm.受入+_xlpm.充当受入-_xlpm.払出))</f>
        <v/>
      </c>
      <c r="N102" s="8" t="str">
        <f t="shared" si="3"/>
        <v/>
      </c>
    </row>
    <row r="103" spans="1:14" ht="15" customHeight="1" x14ac:dyDescent="0.25">
      <c r="A103" s="4" t="str">
        <f t="shared" si="2"/>
        <v/>
      </c>
      <c r="B103" s="4" t="str">
        <f>IFERROR(IF(COUNTIF($B$1:$B102,INDEX(tbl_plan[ロットID],ROW()-1))&gt;0,"",INDEX(tbl_plan[ロットID],ROW()-1)),"")</f>
        <v/>
      </c>
      <c r="C103" s="4" t="str">
        <f>IF($B103="","",INDEX(tbl_plan[localId],ROW()-1))</f>
        <v/>
      </c>
      <c r="D103" s="8" t="str">
        <f>IF($B103="","",_xlfn.LET(
_xlpm.割当受入,SUMIF(V_充足確認!$A$2:$A$301,$B103,V_充足確認!$F$2:$F$301),
_xlpm.充当受入,SUMIFS(tbl_ledger[数量],tbl_ledger[充当先ロットID],$B103,tbl_ledger[イベント種類],"充当",tbl_ledger[元状態],D$1),
_xlpm.払出,SUMIFS(tbl_ledger[数量],tbl_ledger[ロットID],$B103,tbl_ledger[元状態],D$1),
_xlpm.割当受入+_xlpm.充当受入-_xlpm.払出))</f>
        <v/>
      </c>
      <c r="E103" s="8" t="str">
        <f>IF($B103="","",_xlfn.LET(
_xlpm.受入,SUMIFS(tbl_ledger[数量],tbl_ledger[ロットID],$B103,tbl_ledger[イベント種類],"アニール開始"),
_xlpm.充当受入,SUMIFS(tbl_ledger[数量],tbl_ledger[充当先ロットID],$B103,tbl_ledger[イベント種類],"充当",tbl_ledger[元状態],E$1),
_xlpm.払出,SUMIFS(tbl_ledger[数量],tbl_ledger[ロットID],$B103,tbl_ledger[元状態],E$1),
_xlpm.受入+_xlpm.充当受入-_xlpm.払出))</f>
        <v/>
      </c>
      <c r="F103" s="8" t="str">
        <f>IF($B103="","",_xlfn.LET(
_xlpm.受入,SUMIFS(tbl_ledger[数量],tbl_ledger[ロットID],$B103,tbl_ledger[イベント種類],"アニール完了"),
_xlpm.充当受入,SUMIFS(tbl_ledger[数量],tbl_ledger[充当先ロットID],$B103,tbl_ledger[イベント種類],"充当",tbl_ledger[元状態],F$1),
_xlpm.払出,SUMIFS(tbl_ledger[数量],tbl_ledger[ロットID],$B103,tbl_ledger[元状態],F$1),
_xlpm.受入+_xlpm.充当受入-_xlpm.払出))</f>
        <v/>
      </c>
      <c r="G103" s="8" t="str">
        <f>IF($B103="","",_xlfn.LET(
_xlpm.受入,SUMIFS(tbl_ledger[数量],tbl_ledger[ロットID],$B103,tbl_ledger[イベント種類],"アセンブリ開始"),
_xlpm.充当受入,SUMIFS(tbl_ledger[数量],tbl_ledger[充当先ロットID],$B103,tbl_ledger[イベント種類],"充当",tbl_ledger[元状態],G$1),
_xlpm.払出,SUMIFS(tbl_ledger[数量],tbl_ledger[ロットID],$B103,tbl_ledger[元状態],G$1),
_xlpm.受入+_xlpm.充当受入-_xlpm.払出))</f>
        <v/>
      </c>
      <c r="H103" s="8" t="str">
        <f>IF($B103="","",_xlfn.LET(
_xlpm.受入,SUMIFS(tbl_ledger[数量],tbl_ledger[ロットID],$B103,tbl_ledger[イベント種類],"アセンブリ完了"),
_xlpm.充当受入,SUMIFS(tbl_ledger[数量],tbl_ledger[充当先ロットID],$B103,tbl_ledger[イベント種類],"充当",tbl_ledger[元状態],H$1),
_xlpm.払出,SUMIFS(tbl_ledger[数量],tbl_ledger[ロットID],$B103,tbl_ledger[元状態],H$1),
_xlpm.受入+_xlpm.充当受入-_xlpm.払出))</f>
        <v/>
      </c>
      <c r="I103" s="8" t="str">
        <f>IF($B103="","",_xlfn.LET(
_xlpm.受入,SUMIFS(tbl_ledger[数量],tbl_ledger[ロットID],$B103,tbl_ledger[イベント種類],"梱包開始"),
_xlpm.充当受入,SUMIFS(tbl_ledger[数量],tbl_ledger[充当先ロットID],$B103,tbl_ledger[イベント種類],"充当",tbl_ledger[元状態],I$1),
_xlpm.払出,SUMIFS(tbl_ledger[数量],tbl_ledger[ロットID],$B103,tbl_ledger[元状態],I$1),
_xlpm.受入+_xlpm.充当受入-_xlpm.払出))</f>
        <v/>
      </c>
      <c r="J103" s="8" t="str">
        <f>IF($B103="","",_xlfn.LET(
_xlpm.受入,SUMIFS(tbl_ledger[数量],tbl_ledger[ロットID],$B103,tbl_ledger[イベント種類],"梱包完了"),
_xlpm.充当受入,SUMIFS(tbl_ledger[数量],tbl_ledger[充当先ロットID],$B103,tbl_ledger[イベント種類],"充当",tbl_ledger[元状態],J$1),
_xlpm.払出,SUMIFS(tbl_ledger[数量],tbl_ledger[ロットID],$B103,tbl_ledger[元状態],J$1),
_xlpm.受入+_xlpm.充当受入-_xlpm.払出))</f>
        <v/>
      </c>
      <c r="K103" s="8" t="str">
        <f>IF($B103="","",_xlfn.LET(
_xlpm.受入,SUMIFS(tbl_ledger[数量],tbl_ledger[ロットID],$B103,tbl_ledger[イベント種類],"発送準備開始"),
_xlpm.充当受入,SUMIFS(tbl_ledger[数量],tbl_ledger[充当先ロットID],$B103,tbl_ledger[イベント種類],"充当",tbl_ledger[元状態],K$1),
_xlpm.払出,SUMIFS(tbl_ledger[数量],tbl_ledger[ロットID],$B103,tbl_ledger[元状態],K$1),
_xlpm.受入+_xlpm.充当受入-_xlpm.払出))</f>
        <v/>
      </c>
      <c r="L103" s="8" t="str">
        <f>IF($B103="","",_xlfn.LET(
_xlpm.受入,SUMIFS(tbl_ledger[数量],tbl_ledger[ロットID],$B103,tbl_ledger[イベント種類],"発送準備完了"),
_xlpm.充当受入,SUMIFS(tbl_ledger[数量],tbl_ledger[充当先ロットID],$B103,tbl_ledger[イベント種類],"充当",tbl_ledger[元状態],L$1),
_xlpm.払出,SUMIFS(tbl_ledger[数量],tbl_ledger[ロットID],$B103,tbl_ledger[元状態],L$1),
_xlpm.受入+_xlpm.充当受入-_xlpm.払出))</f>
        <v/>
      </c>
      <c r="M103" s="8" t="str">
        <f>IF($B103="","",_xlfn.LET(
_xlpm.受入,SUMIFS(tbl_ledger[数量],tbl_ledger[ロットID],$B103,tbl_ledger[イベント種類],"不良発生"),
_xlpm.充当受入,SUMIFS(tbl_ledger[数量],tbl_ledger[充当先ロットID],$B103,tbl_ledger[イベント種類],"充当",tbl_ledger[元状態],M$1),
_xlpm.払出,SUMIFS(tbl_ledger[数量],tbl_ledger[ロットID],$B103,tbl_ledger[元状態],M$1),
_xlpm.受入+_xlpm.充当受入-_xlpm.払出))</f>
        <v/>
      </c>
      <c r="N103" s="8" t="str">
        <f t="shared" si="3"/>
        <v/>
      </c>
    </row>
    <row r="104" spans="1:14" ht="15" customHeight="1" x14ac:dyDescent="0.25">
      <c r="A104" s="4" t="str">
        <f t="shared" si="2"/>
        <v/>
      </c>
      <c r="B104" s="4" t="str">
        <f>IFERROR(IF(COUNTIF($B$1:$B103,INDEX(tbl_plan[ロットID],ROW()-1))&gt;0,"",INDEX(tbl_plan[ロットID],ROW()-1)),"")</f>
        <v/>
      </c>
      <c r="C104" s="4" t="str">
        <f>IF($B104="","",INDEX(tbl_plan[localId],ROW()-1))</f>
        <v/>
      </c>
      <c r="D104" s="8" t="str">
        <f>IF($B104="","",_xlfn.LET(
_xlpm.割当受入,SUMIF(V_充足確認!$A$2:$A$301,$B104,V_充足確認!$F$2:$F$301),
_xlpm.充当受入,SUMIFS(tbl_ledger[数量],tbl_ledger[充当先ロットID],$B104,tbl_ledger[イベント種類],"充当",tbl_ledger[元状態],D$1),
_xlpm.払出,SUMIFS(tbl_ledger[数量],tbl_ledger[ロットID],$B104,tbl_ledger[元状態],D$1),
_xlpm.割当受入+_xlpm.充当受入-_xlpm.払出))</f>
        <v/>
      </c>
      <c r="E104" s="8" t="str">
        <f>IF($B104="","",_xlfn.LET(
_xlpm.受入,SUMIFS(tbl_ledger[数量],tbl_ledger[ロットID],$B104,tbl_ledger[イベント種類],"アニール開始"),
_xlpm.充当受入,SUMIFS(tbl_ledger[数量],tbl_ledger[充当先ロットID],$B104,tbl_ledger[イベント種類],"充当",tbl_ledger[元状態],E$1),
_xlpm.払出,SUMIFS(tbl_ledger[数量],tbl_ledger[ロットID],$B104,tbl_ledger[元状態],E$1),
_xlpm.受入+_xlpm.充当受入-_xlpm.払出))</f>
        <v/>
      </c>
      <c r="F104" s="8" t="str">
        <f>IF($B104="","",_xlfn.LET(
_xlpm.受入,SUMIFS(tbl_ledger[数量],tbl_ledger[ロットID],$B104,tbl_ledger[イベント種類],"アニール完了"),
_xlpm.充当受入,SUMIFS(tbl_ledger[数量],tbl_ledger[充当先ロットID],$B104,tbl_ledger[イベント種類],"充当",tbl_ledger[元状態],F$1),
_xlpm.払出,SUMIFS(tbl_ledger[数量],tbl_ledger[ロットID],$B104,tbl_ledger[元状態],F$1),
_xlpm.受入+_xlpm.充当受入-_xlpm.払出))</f>
        <v/>
      </c>
      <c r="G104" s="8" t="str">
        <f>IF($B104="","",_xlfn.LET(
_xlpm.受入,SUMIFS(tbl_ledger[数量],tbl_ledger[ロットID],$B104,tbl_ledger[イベント種類],"アセンブリ開始"),
_xlpm.充当受入,SUMIFS(tbl_ledger[数量],tbl_ledger[充当先ロットID],$B104,tbl_ledger[イベント種類],"充当",tbl_ledger[元状態],G$1),
_xlpm.払出,SUMIFS(tbl_ledger[数量],tbl_ledger[ロットID],$B104,tbl_ledger[元状態],G$1),
_xlpm.受入+_xlpm.充当受入-_xlpm.払出))</f>
        <v/>
      </c>
      <c r="H104" s="8" t="str">
        <f>IF($B104="","",_xlfn.LET(
_xlpm.受入,SUMIFS(tbl_ledger[数量],tbl_ledger[ロットID],$B104,tbl_ledger[イベント種類],"アセンブリ完了"),
_xlpm.充当受入,SUMIFS(tbl_ledger[数量],tbl_ledger[充当先ロットID],$B104,tbl_ledger[イベント種類],"充当",tbl_ledger[元状態],H$1),
_xlpm.払出,SUMIFS(tbl_ledger[数量],tbl_ledger[ロットID],$B104,tbl_ledger[元状態],H$1),
_xlpm.受入+_xlpm.充当受入-_xlpm.払出))</f>
        <v/>
      </c>
      <c r="I104" s="8" t="str">
        <f>IF($B104="","",_xlfn.LET(
_xlpm.受入,SUMIFS(tbl_ledger[数量],tbl_ledger[ロットID],$B104,tbl_ledger[イベント種類],"梱包開始"),
_xlpm.充当受入,SUMIFS(tbl_ledger[数量],tbl_ledger[充当先ロットID],$B104,tbl_ledger[イベント種類],"充当",tbl_ledger[元状態],I$1),
_xlpm.払出,SUMIFS(tbl_ledger[数量],tbl_ledger[ロットID],$B104,tbl_ledger[元状態],I$1),
_xlpm.受入+_xlpm.充当受入-_xlpm.払出))</f>
        <v/>
      </c>
      <c r="J104" s="8" t="str">
        <f>IF($B104="","",_xlfn.LET(
_xlpm.受入,SUMIFS(tbl_ledger[数量],tbl_ledger[ロットID],$B104,tbl_ledger[イベント種類],"梱包完了"),
_xlpm.充当受入,SUMIFS(tbl_ledger[数量],tbl_ledger[充当先ロットID],$B104,tbl_ledger[イベント種類],"充当",tbl_ledger[元状態],J$1),
_xlpm.払出,SUMIFS(tbl_ledger[数量],tbl_ledger[ロットID],$B104,tbl_ledger[元状態],J$1),
_xlpm.受入+_xlpm.充当受入-_xlpm.払出))</f>
        <v/>
      </c>
      <c r="K104" s="8" t="str">
        <f>IF($B104="","",_xlfn.LET(
_xlpm.受入,SUMIFS(tbl_ledger[数量],tbl_ledger[ロットID],$B104,tbl_ledger[イベント種類],"発送準備開始"),
_xlpm.充当受入,SUMIFS(tbl_ledger[数量],tbl_ledger[充当先ロットID],$B104,tbl_ledger[イベント種類],"充当",tbl_ledger[元状態],K$1),
_xlpm.払出,SUMIFS(tbl_ledger[数量],tbl_ledger[ロットID],$B104,tbl_ledger[元状態],K$1),
_xlpm.受入+_xlpm.充当受入-_xlpm.払出))</f>
        <v/>
      </c>
      <c r="L104" s="8" t="str">
        <f>IF($B104="","",_xlfn.LET(
_xlpm.受入,SUMIFS(tbl_ledger[数量],tbl_ledger[ロットID],$B104,tbl_ledger[イベント種類],"発送準備完了"),
_xlpm.充当受入,SUMIFS(tbl_ledger[数量],tbl_ledger[充当先ロットID],$B104,tbl_ledger[イベント種類],"充当",tbl_ledger[元状態],L$1),
_xlpm.払出,SUMIFS(tbl_ledger[数量],tbl_ledger[ロットID],$B104,tbl_ledger[元状態],L$1),
_xlpm.受入+_xlpm.充当受入-_xlpm.払出))</f>
        <v/>
      </c>
      <c r="M104" s="8" t="str">
        <f>IF($B104="","",_xlfn.LET(
_xlpm.受入,SUMIFS(tbl_ledger[数量],tbl_ledger[ロットID],$B104,tbl_ledger[イベント種類],"不良発生"),
_xlpm.充当受入,SUMIFS(tbl_ledger[数量],tbl_ledger[充当先ロットID],$B104,tbl_ledger[イベント種類],"充当",tbl_ledger[元状態],M$1),
_xlpm.払出,SUMIFS(tbl_ledger[数量],tbl_ledger[ロットID],$B104,tbl_ledger[元状態],M$1),
_xlpm.受入+_xlpm.充当受入-_xlpm.払出))</f>
        <v/>
      </c>
      <c r="N104" s="8" t="str">
        <f t="shared" si="3"/>
        <v/>
      </c>
    </row>
    <row r="105" spans="1:14" ht="15" customHeight="1" x14ac:dyDescent="0.25">
      <c r="A105" s="4" t="str">
        <f t="shared" si="2"/>
        <v/>
      </c>
      <c r="B105" s="4" t="str">
        <f>IFERROR(IF(COUNTIF($B$1:$B104,INDEX(tbl_plan[ロットID],ROW()-1))&gt;0,"",INDEX(tbl_plan[ロットID],ROW()-1)),"")</f>
        <v/>
      </c>
      <c r="C105" s="4" t="str">
        <f>IF($B105="","",INDEX(tbl_plan[localId],ROW()-1))</f>
        <v/>
      </c>
      <c r="D105" s="8" t="str">
        <f>IF($B105="","",_xlfn.LET(
_xlpm.割当受入,SUMIF(V_充足確認!$A$2:$A$301,$B105,V_充足確認!$F$2:$F$301),
_xlpm.充当受入,SUMIFS(tbl_ledger[数量],tbl_ledger[充当先ロットID],$B105,tbl_ledger[イベント種類],"充当",tbl_ledger[元状態],D$1),
_xlpm.払出,SUMIFS(tbl_ledger[数量],tbl_ledger[ロットID],$B105,tbl_ledger[元状態],D$1),
_xlpm.割当受入+_xlpm.充当受入-_xlpm.払出))</f>
        <v/>
      </c>
      <c r="E105" s="8" t="str">
        <f>IF($B105="","",_xlfn.LET(
_xlpm.受入,SUMIFS(tbl_ledger[数量],tbl_ledger[ロットID],$B105,tbl_ledger[イベント種類],"アニール開始"),
_xlpm.充当受入,SUMIFS(tbl_ledger[数量],tbl_ledger[充当先ロットID],$B105,tbl_ledger[イベント種類],"充当",tbl_ledger[元状態],E$1),
_xlpm.払出,SUMIFS(tbl_ledger[数量],tbl_ledger[ロットID],$B105,tbl_ledger[元状態],E$1),
_xlpm.受入+_xlpm.充当受入-_xlpm.払出))</f>
        <v/>
      </c>
      <c r="F105" s="8" t="str">
        <f>IF($B105="","",_xlfn.LET(
_xlpm.受入,SUMIFS(tbl_ledger[数量],tbl_ledger[ロットID],$B105,tbl_ledger[イベント種類],"アニール完了"),
_xlpm.充当受入,SUMIFS(tbl_ledger[数量],tbl_ledger[充当先ロットID],$B105,tbl_ledger[イベント種類],"充当",tbl_ledger[元状態],F$1),
_xlpm.払出,SUMIFS(tbl_ledger[数量],tbl_ledger[ロットID],$B105,tbl_ledger[元状態],F$1),
_xlpm.受入+_xlpm.充当受入-_xlpm.払出))</f>
        <v/>
      </c>
      <c r="G105" s="8" t="str">
        <f>IF($B105="","",_xlfn.LET(
_xlpm.受入,SUMIFS(tbl_ledger[数量],tbl_ledger[ロットID],$B105,tbl_ledger[イベント種類],"アセンブリ開始"),
_xlpm.充当受入,SUMIFS(tbl_ledger[数量],tbl_ledger[充当先ロットID],$B105,tbl_ledger[イベント種類],"充当",tbl_ledger[元状態],G$1),
_xlpm.払出,SUMIFS(tbl_ledger[数量],tbl_ledger[ロットID],$B105,tbl_ledger[元状態],G$1),
_xlpm.受入+_xlpm.充当受入-_xlpm.払出))</f>
        <v/>
      </c>
      <c r="H105" s="8" t="str">
        <f>IF($B105="","",_xlfn.LET(
_xlpm.受入,SUMIFS(tbl_ledger[数量],tbl_ledger[ロットID],$B105,tbl_ledger[イベント種類],"アセンブリ完了"),
_xlpm.充当受入,SUMIFS(tbl_ledger[数量],tbl_ledger[充当先ロットID],$B105,tbl_ledger[イベント種類],"充当",tbl_ledger[元状態],H$1),
_xlpm.払出,SUMIFS(tbl_ledger[数量],tbl_ledger[ロットID],$B105,tbl_ledger[元状態],H$1),
_xlpm.受入+_xlpm.充当受入-_xlpm.払出))</f>
        <v/>
      </c>
      <c r="I105" s="8" t="str">
        <f>IF($B105="","",_xlfn.LET(
_xlpm.受入,SUMIFS(tbl_ledger[数量],tbl_ledger[ロットID],$B105,tbl_ledger[イベント種類],"梱包開始"),
_xlpm.充当受入,SUMIFS(tbl_ledger[数量],tbl_ledger[充当先ロットID],$B105,tbl_ledger[イベント種類],"充当",tbl_ledger[元状態],I$1),
_xlpm.払出,SUMIFS(tbl_ledger[数量],tbl_ledger[ロットID],$B105,tbl_ledger[元状態],I$1),
_xlpm.受入+_xlpm.充当受入-_xlpm.払出))</f>
        <v/>
      </c>
      <c r="J105" s="8" t="str">
        <f>IF($B105="","",_xlfn.LET(
_xlpm.受入,SUMIFS(tbl_ledger[数量],tbl_ledger[ロットID],$B105,tbl_ledger[イベント種類],"梱包完了"),
_xlpm.充当受入,SUMIFS(tbl_ledger[数量],tbl_ledger[充当先ロットID],$B105,tbl_ledger[イベント種類],"充当",tbl_ledger[元状態],J$1),
_xlpm.払出,SUMIFS(tbl_ledger[数量],tbl_ledger[ロットID],$B105,tbl_ledger[元状態],J$1),
_xlpm.受入+_xlpm.充当受入-_xlpm.払出))</f>
        <v/>
      </c>
      <c r="K105" s="8" t="str">
        <f>IF($B105="","",_xlfn.LET(
_xlpm.受入,SUMIFS(tbl_ledger[数量],tbl_ledger[ロットID],$B105,tbl_ledger[イベント種類],"発送準備開始"),
_xlpm.充当受入,SUMIFS(tbl_ledger[数量],tbl_ledger[充当先ロットID],$B105,tbl_ledger[イベント種類],"充当",tbl_ledger[元状態],K$1),
_xlpm.払出,SUMIFS(tbl_ledger[数量],tbl_ledger[ロットID],$B105,tbl_ledger[元状態],K$1),
_xlpm.受入+_xlpm.充当受入-_xlpm.払出))</f>
        <v/>
      </c>
      <c r="L105" s="8" t="str">
        <f>IF($B105="","",_xlfn.LET(
_xlpm.受入,SUMIFS(tbl_ledger[数量],tbl_ledger[ロットID],$B105,tbl_ledger[イベント種類],"発送準備完了"),
_xlpm.充当受入,SUMIFS(tbl_ledger[数量],tbl_ledger[充当先ロットID],$B105,tbl_ledger[イベント種類],"充当",tbl_ledger[元状態],L$1),
_xlpm.払出,SUMIFS(tbl_ledger[数量],tbl_ledger[ロットID],$B105,tbl_ledger[元状態],L$1),
_xlpm.受入+_xlpm.充当受入-_xlpm.払出))</f>
        <v/>
      </c>
      <c r="M105" s="8" t="str">
        <f>IF($B105="","",_xlfn.LET(
_xlpm.受入,SUMIFS(tbl_ledger[数量],tbl_ledger[ロットID],$B105,tbl_ledger[イベント種類],"不良発生"),
_xlpm.充当受入,SUMIFS(tbl_ledger[数量],tbl_ledger[充当先ロットID],$B105,tbl_ledger[イベント種類],"充当",tbl_ledger[元状態],M$1),
_xlpm.払出,SUMIFS(tbl_ledger[数量],tbl_ledger[ロットID],$B105,tbl_ledger[元状態],M$1),
_xlpm.受入+_xlpm.充当受入-_xlpm.払出))</f>
        <v/>
      </c>
      <c r="N105" s="8" t="str">
        <f t="shared" si="3"/>
        <v/>
      </c>
    </row>
    <row r="106" spans="1:14" ht="15" customHeight="1" x14ac:dyDescent="0.25">
      <c r="A106" s="4" t="str">
        <f t="shared" si="2"/>
        <v/>
      </c>
      <c r="B106" s="4" t="str">
        <f>IFERROR(IF(COUNTIF($B$1:$B105,INDEX(tbl_plan[ロットID],ROW()-1))&gt;0,"",INDEX(tbl_plan[ロットID],ROW()-1)),"")</f>
        <v/>
      </c>
      <c r="C106" s="4" t="str">
        <f>IF($B106="","",INDEX(tbl_plan[localId],ROW()-1))</f>
        <v/>
      </c>
      <c r="D106" s="8" t="str">
        <f>IF($B106="","",_xlfn.LET(
_xlpm.割当受入,SUMIF(V_充足確認!$A$2:$A$301,$B106,V_充足確認!$F$2:$F$301),
_xlpm.充当受入,SUMIFS(tbl_ledger[数量],tbl_ledger[充当先ロットID],$B106,tbl_ledger[イベント種類],"充当",tbl_ledger[元状態],D$1),
_xlpm.払出,SUMIFS(tbl_ledger[数量],tbl_ledger[ロットID],$B106,tbl_ledger[元状態],D$1),
_xlpm.割当受入+_xlpm.充当受入-_xlpm.払出))</f>
        <v/>
      </c>
      <c r="E106" s="8" t="str">
        <f>IF($B106="","",_xlfn.LET(
_xlpm.受入,SUMIFS(tbl_ledger[数量],tbl_ledger[ロットID],$B106,tbl_ledger[イベント種類],"アニール開始"),
_xlpm.充当受入,SUMIFS(tbl_ledger[数量],tbl_ledger[充当先ロットID],$B106,tbl_ledger[イベント種類],"充当",tbl_ledger[元状態],E$1),
_xlpm.払出,SUMIFS(tbl_ledger[数量],tbl_ledger[ロットID],$B106,tbl_ledger[元状態],E$1),
_xlpm.受入+_xlpm.充当受入-_xlpm.払出))</f>
        <v/>
      </c>
      <c r="F106" s="8" t="str">
        <f>IF($B106="","",_xlfn.LET(
_xlpm.受入,SUMIFS(tbl_ledger[数量],tbl_ledger[ロットID],$B106,tbl_ledger[イベント種類],"アニール完了"),
_xlpm.充当受入,SUMIFS(tbl_ledger[数量],tbl_ledger[充当先ロットID],$B106,tbl_ledger[イベント種類],"充当",tbl_ledger[元状態],F$1),
_xlpm.払出,SUMIFS(tbl_ledger[数量],tbl_ledger[ロットID],$B106,tbl_ledger[元状態],F$1),
_xlpm.受入+_xlpm.充当受入-_xlpm.払出))</f>
        <v/>
      </c>
      <c r="G106" s="8" t="str">
        <f>IF($B106="","",_xlfn.LET(
_xlpm.受入,SUMIFS(tbl_ledger[数量],tbl_ledger[ロットID],$B106,tbl_ledger[イベント種類],"アセンブリ開始"),
_xlpm.充当受入,SUMIFS(tbl_ledger[数量],tbl_ledger[充当先ロットID],$B106,tbl_ledger[イベント種類],"充当",tbl_ledger[元状態],G$1),
_xlpm.払出,SUMIFS(tbl_ledger[数量],tbl_ledger[ロットID],$B106,tbl_ledger[元状態],G$1),
_xlpm.受入+_xlpm.充当受入-_xlpm.払出))</f>
        <v/>
      </c>
      <c r="H106" s="8" t="str">
        <f>IF($B106="","",_xlfn.LET(
_xlpm.受入,SUMIFS(tbl_ledger[数量],tbl_ledger[ロットID],$B106,tbl_ledger[イベント種類],"アセンブリ完了"),
_xlpm.充当受入,SUMIFS(tbl_ledger[数量],tbl_ledger[充当先ロットID],$B106,tbl_ledger[イベント種類],"充当",tbl_ledger[元状態],H$1),
_xlpm.払出,SUMIFS(tbl_ledger[数量],tbl_ledger[ロットID],$B106,tbl_ledger[元状態],H$1),
_xlpm.受入+_xlpm.充当受入-_xlpm.払出))</f>
        <v/>
      </c>
      <c r="I106" s="8" t="str">
        <f>IF($B106="","",_xlfn.LET(
_xlpm.受入,SUMIFS(tbl_ledger[数量],tbl_ledger[ロットID],$B106,tbl_ledger[イベント種類],"梱包開始"),
_xlpm.充当受入,SUMIFS(tbl_ledger[数量],tbl_ledger[充当先ロットID],$B106,tbl_ledger[イベント種類],"充当",tbl_ledger[元状態],I$1),
_xlpm.払出,SUMIFS(tbl_ledger[数量],tbl_ledger[ロットID],$B106,tbl_ledger[元状態],I$1),
_xlpm.受入+_xlpm.充当受入-_xlpm.払出))</f>
        <v/>
      </c>
      <c r="J106" s="8" t="str">
        <f>IF($B106="","",_xlfn.LET(
_xlpm.受入,SUMIFS(tbl_ledger[数量],tbl_ledger[ロットID],$B106,tbl_ledger[イベント種類],"梱包完了"),
_xlpm.充当受入,SUMIFS(tbl_ledger[数量],tbl_ledger[充当先ロットID],$B106,tbl_ledger[イベント種類],"充当",tbl_ledger[元状態],J$1),
_xlpm.払出,SUMIFS(tbl_ledger[数量],tbl_ledger[ロットID],$B106,tbl_ledger[元状態],J$1),
_xlpm.受入+_xlpm.充当受入-_xlpm.払出))</f>
        <v/>
      </c>
      <c r="K106" s="8" t="str">
        <f>IF($B106="","",_xlfn.LET(
_xlpm.受入,SUMIFS(tbl_ledger[数量],tbl_ledger[ロットID],$B106,tbl_ledger[イベント種類],"発送準備開始"),
_xlpm.充当受入,SUMIFS(tbl_ledger[数量],tbl_ledger[充当先ロットID],$B106,tbl_ledger[イベント種類],"充当",tbl_ledger[元状態],K$1),
_xlpm.払出,SUMIFS(tbl_ledger[数量],tbl_ledger[ロットID],$B106,tbl_ledger[元状態],K$1),
_xlpm.受入+_xlpm.充当受入-_xlpm.払出))</f>
        <v/>
      </c>
      <c r="L106" s="8" t="str">
        <f>IF($B106="","",_xlfn.LET(
_xlpm.受入,SUMIFS(tbl_ledger[数量],tbl_ledger[ロットID],$B106,tbl_ledger[イベント種類],"発送準備完了"),
_xlpm.充当受入,SUMIFS(tbl_ledger[数量],tbl_ledger[充当先ロットID],$B106,tbl_ledger[イベント種類],"充当",tbl_ledger[元状態],L$1),
_xlpm.払出,SUMIFS(tbl_ledger[数量],tbl_ledger[ロットID],$B106,tbl_ledger[元状態],L$1),
_xlpm.受入+_xlpm.充当受入-_xlpm.払出))</f>
        <v/>
      </c>
      <c r="M106" s="8" t="str">
        <f>IF($B106="","",_xlfn.LET(
_xlpm.受入,SUMIFS(tbl_ledger[数量],tbl_ledger[ロットID],$B106,tbl_ledger[イベント種類],"不良発生"),
_xlpm.充当受入,SUMIFS(tbl_ledger[数量],tbl_ledger[充当先ロットID],$B106,tbl_ledger[イベント種類],"充当",tbl_ledger[元状態],M$1),
_xlpm.払出,SUMIFS(tbl_ledger[数量],tbl_ledger[ロットID],$B106,tbl_ledger[元状態],M$1),
_xlpm.受入+_xlpm.充当受入-_xlpm.払出))</f>
        <v/>
      </c>
      <c r="N106" s="8" t="str">
        <f t="shared" si="3"/>
        <v/>
      </c>
    </row>
    <row r="107" spans="1:14" ht="15" customHeight="1" x14ac:dyDescent="0.25">
      <c r="A107" s="4" t="str">
        <f t="shared" si="2"/>
        <v/>
      </c>
      <c r="B107" s="4" t="str">
        <f>IFERROR(IF(COUNTIF($B$1:$B106,INDEX(tbl_plan[ロットID],ROW()-1))&gt;0,"",INDEX(tbl_plan[ロットID],ROW()-1)),"")</f>
        <v/>
      </c>
      <c r="C107" s="4" t="str">
        <f>IF($B107="","",INDEX(tbl_plan[localId],ROW()-1))</f>
        <v/>
      </c>
      <c r="D107" s="8" t="str">
        <f>IF($B107="","",_xlfn.LET(
_xlpm.割当受入,SUMIF(V_充足確認!$A$2:$A$301,$B107,V_充足確認!$F$2:$F$301),
_xlpm.充当受入,SUMIFS(tbl_ledger[数量],tbl_ledger[充当先ロットID],$B107,tbl_ledger[イベント種類],"充当",tbl_ledger[元状態],D$1),
_xlpm.払出,SUMIFS(tbl_ledger[数量],tbl_ledger[ロットID],$B107,tbl_ledger[元状態],D$1),
_xlpm.割当受入+_xlpm.充当受入-_xlpm.払出))</f>
        <v/>
      </c>
      <c r="E107" s="8" t="str">
        <f>IF($B107="","",_xlfn.LET(
_xlpm.受入,SUMIFS(tbl_ledger[数量],tbl_ledger[ロットID],$B107,tbl_ledger[イベント種類],"アニール開始"),
_xlpm.充当受入,SUMIFS(tbl_ledger[数量],tbl_ledger[充当先ロットID],$B107,tbl_ledger[イベント種類],"充当",tbl_ledger[元状態],E$1),
_xlpm.払出,SUMIFS(tbl_ledger[数量],tbl_ledger[ロットID],$B107,tbl_ledger[元状態],E$1),
_xlpm.受入+_xlpm.充当受入-_xlpm.払出))</f>
        <v/>
      </c>
      <c r="F107" s="8" t="str">
        <f>IF($B107="","",_xlfn.LET(
_xlpm.受入,SUMIFS(tbl_ledger[数量],tbl_ledger[ロットID],$B107,tbl_ledger[イベント種類],"アニール完了"),
_xlpm.充当受入,SUMIFS(tbl_ledger[数量],tbl_ledger[充当先ロットID],$B107,tbl_ledger[イベント種類],"充当",tbl_ledger[元状態],F$1),
_xlpm.払出,SUMIFS(tbl_ledger[数量],tbl_ledger[ロットID],$B107,tbl_ledger[元状態],F$1),
_xlpm.受入+_xlpm.充当受入-_xlpm.払出))</f>
        <v/>
      </c>
      <c r="G107" s="8" t="str">
        <f>IF($B107="","",_xlfn.LET(
_xlpm.受入,SUMIFS(tbl_ledger[数量],tbl_ledger[ロットID],$B107,tbl_ledger[イベント種類],"アセンブリ開始"),
_xlpm.充当受入,SUMIFS(tbl_ledger[数量],tbl_ledger[充当先ロットID],$B107,tbl_ledger[イベント種類],"充当",tbl_ledger[元状態],G$1),
_xlpm.払出,SUMIFS(tbl_ledger[数量],tbl_ledger[ロットID],$B107,tbl_ledger[元状態],G$1),
_xlpm.受入+_xlpm.充当受入-_xlpm.払出))</f>
        <v/>
      </c>
      <c r="H107" s="8" t="str">
        <f>IF($B107="","",_xlfn.LET(
_xlpm.受入,SUMIFS(tbl_ledger[数量],tbl_ledger[ロットID],$B107,tbl_ledger[イベント種類],"アセンブリ完了"),
_xlpm.充当受入,SUMIFS(tbl_ledger[数量],tbl_ledger[充当先ロットID],$B107,tbl_ledger[イベント種類],"充当",tbl_ledger[元状態],H$1),
_xlpm.払出,SUMIFS(tbl_ledger[数量],tbl_ledger[ロットID],$B107,tbl_ledger[元状態],H$1),
_xlpm.受入+_xlpm.充当受入-_xlpm.払出))</f>
        <v/>
      </c>
      <c r="I107" s="8" t="str">
        <f>IF($B107="","",_xlfn.LET(
_xlpm.受入,SUMIFS(tbl_ledger[数量],tbl_ledger[ロットID],$B107,tbl_ledger[イベント種類],"梱包開始"),
_xlpm.充当受入,SUMIFS(tbl_ledger[数量],tbl_ledger[充当先ロットID],$B107,tbl_ledger[イベント種類],"充当",tbl_ledger[元状態],I$1),
_xlpm.払出,SUMIFS(tbl_ledger[数量],tbl_ledger[ロットID],$B107,tbl_ledger[元状態],I$1),
_xlpm.受入+_xlpm.充当受入-_xlpm.払出))</f>
        <v/>
      </c>
      <c r="J107" s="8" t="str">
        <f>IF($B107="","",_xlfn.LET(
_xlpm.受入,SUMIFS(tbl_ledger[数量],tbl_ledger[ロットID],$B107,tbl_ledger[イベント種類],"梱包完了"),
_xlpm.充当受入,SUMIFS(tbl_ledger[数量],tbl_ledger[充当先ロットID],$B107,tbl_ledger[イベント種類],"充当",tbl_ledger[元状態],J$1),
_xlpm.払出,SUMIFS(tbl_ledger[数量],tbl_ledger[ロットID],$B107,tbl_ledger[元状態],J$1),
_xlpm.受入+_xlpm.充当受入-_xlpm.払出))</f>
        <v/>
      </c>
      <c r="K107" s="8" t="str">
        <f>IF($B107="","",_xlfn.LET(
_xlpm.受入,SUMIFS(tbl_ledger[数量],tbl_ledger[ロットID],$B107,tbl_ledger[イベント種類],"発送準備開始"),
_xlpm.充当受入,SUMIFS(tbl_ledger[数量],tbl_ledger[充当先ロットID],$B107,tbl_ledger[イベント種類],"充当",tbl_ledger[元状態],K$1),
_xlpm.払出,SUMIFS(tbl_ledger[数量],tbl_ledger[ロットID],$B107,tbl_ledger[元状態],K$1),
_xlpm.受入+_xlpm.充当受入-_xlpm.払出))</f>
        <v/>
      </c>
      <c r="L107" s="8" t="str">
        <f>IF($B107="","",_xlfn.LET(
_xlpm.受入,SUMIFS(tbl_ledger[数量],tbl_ledger[ロットID],$B107,tbl_ledger[イベント種類],"発送準備完了"),
_xlpm.充当受入,SUMIFS(tbl_ledger[数量],tbl_ledger[充当先ロットID],$B107,tbl_ledger[イベント種類],"充当",tbl_ledger[元状態],L$1),
_xlpm.払出,SUMIFS(tbl_ledger[数量],tbl_ledger[ロットID],$B107,tbl_ledger[元状態],L$1),
_xlpm.受入+_xlpm.充当受入-_xlpm.払出))</f>
        <v/>
      </c>
      <c r="M107" s="8" t="str">
        <f>IF($B107="","",_xlfn.LET(
_xlpm.受入,SUMIFS(tbl_ledger[数量],tbl_ledger[ロットID],$B107,tbl_ledger[イベント種類],"不良発生"),
_xlpm.充当受入,SUMIFS(tbl_ledger[数量],tbl_ledger[充当先ロットID],$B107,tbl_ledger[イベント種類],"充当",tbl_ledger[元状態],M$1),
_xlpm.払出,SUMIFS(tbl_ledger[数量],tbl_ledger[ロットID],$B107,tbl_ledger[元状態],M$1),
_xlpm.受入+_xlpm.充当受入-_xlpm.払出))</f>
        <v/>
      </c>
      <c r="N107" s="8" t="str">
        <f t="shared" si="3"/>
        <v/>
      </c>
    </row>
    <row r="108" spans="1:14" ht="15" customHeight="1" x14ac:dyDescent="0.25">
      <c r="A108" s="4" t="str">
        <f t="shared" si="2"/>
        <v/>
      </c>
      <c r="B108" s="4" t="str">
        <f>IFERROR(IF(COUNTIF($B$1:$B107,INDEX(tbl_plan[ロットID],ROW()-1))&gt;0,"",INDEX(tbl_plan[ロットID],ROW()-1)),"")</f>
        <v/>
      </c>
      <c r="C108" s="4" t="str">
        <f>IF($B108="","",INDEX(tbl_plan[localId],ROW()-1))</f>
        <v/>
      </c>
      <c r="D108" s="8" t="str">
        <f>IF($B108="","",_xlfn.LET(
_xlpm.割当受入,SUMIF(V_充足確認!$A$2:$A$301,$B108,V_充足確認!$F$2:$F$301),
_xlpm.充当受入,SUMIFS(tbl_ledger[数量],tbl_ledger[充当先ロットID],$B108,tbl_ledger[イベント種類],"充当",tbl_ledger[元状態],D$1),
_xlpm.払出,SUMIFS(tbl_ledger[数量],tbl_ledger[ロットID],$B108,tbl_ledger[元状態],D$1),
_xlpm.割当受入+_xlpm.充当受入-_xlpm.払出))</f>
        <v/>
      </c>
      <c r="E108" s="8" t="str">
        <f>IF($B108="","",_xlfn.LET(
_xlpm.受入,SUMIFS(tbl_ledger[数量],tbl_ledger[ロットID],$B108,tbl_ledger[イベント種類],"アニール開始"),
_xlpm.充当受入,SUMIFS(tbl_ledger[数量],tbl_ledger[充当先ロットID],$B108,tbl_ledger[イベント種類],"充当",tbl_ledger[元状態],E$1),
_xlpm.払出,SUMIFS(tbl_ledger[数量],tbl_ledger[ロットID],$B108,tbl_ledger[元状態],E$1),
_xlpm.受入+_xlpm.充当受入-_xlpm.払出))</f>
        <v/>
      </c>
      <c r="F108" s="8" t="str">
        <f>IF($B108="","",_xlfn.LET(
_xlpm.受入,SUMIFS(tbl_ledger[数量],tbl_ledger[ロットID],$B108,tbl_ledger[イベント種類],"アニール完了"),
_xlpm.充当受入,SUMIFS(tbl_ledger[数量],tbl_ledger[充当先ロットID],$B108,tbl_ledger[イベント種類],"充当",tbl_ledger[元状態],F$1),
_xlpm.払出,SUMIFS(tbl_ledger[数量],tbl_ledger[ロットID],$B108,tbl_ledger[元状態],F$1),
_xlpm.受入+_xlpm.充当受入-_xlpm.払出))</f>
        <v/>
      </c>
      <c r="G108" s="8" t="str">
        <f>IF($B108="","",_xlfn.LET(
_xlpm.受入,SUMIFS(tbl_ledger[数量],tbl_ledger[ロットID],$B108,tbl_ledger[イベント種類],"アセンブリ開始"),
_xlpm.充当受入,SUMIFS(tbl_ledger[数量],tbl_ledger[充当先ロットID],$B108,tbl_ledger[イベント種類],"充当",tbl_ledger[元状態],G$1),
_xlpm.払出,SUMIFS(tbl_ledger[数量],tbl_ledger[ロットID],$B108,tbl_ledger[元状態],G$1),
_xlpm.受入+_xlpm.充当受入-_xlpm.払出))</f>
        <v/>
      </c>
      <c r="H108" s="8" t="str">
        <f>IF($B108="","",_xlfn.LET(
_xlpm.受入,SUMIFS(tbl_ledger[数量],tbl_ledger[ロットID],$B108,tbl_ledger[イベント種類],"アセンブリ完了"),
_xlpm.充当受入,SUMIFS(tbl_ledger[数量],tbl_ledger[充当先ロットID],$B108,tbl_ledger[イベント種類],"充当",tbl_ledger[元状態],H$1),
_xlpm.払出,SUMIFS(tbl_ledger[数量],tbl_ledger[ロットID],$B108,tbl_ledger[元状態],H$1),
_xlpm.受入+_xlpm.充当受入-_xlpm.払出))</f>
        <v/>
      </c>
      <c r="I108" s="8" t="str">
        <f>IF($B108="","",_xlfn.LET(
_xlpm.受入,SUMIFS(tbl_ledger[数量],tbl_ledger[ロットID],$B108,tbl_ledger[イベント種類],"梱包開始"),
_xlpm.充当受入,SUMIFS(tbl_ledger[数量],tbl_ledger[充当先ロットID],$B108,tbl_ledger[イベント種類],"充当",tbl_ledger[元状態],I$1),
_xlpm.払出,SUMIFS(tbl_ledger[数量],tbl_ledger[ロットID],$B108,tbl_ledger[元状態],I$1),
_xlpm.受入+_xlpm.充当受入-_xlpm.払出))</f>
        <v/>
      </c>
      <c r="J108" s="8" t="str">
        <f>IF($B108="","",_xlfn.LET(
_xlpm.受入,SUMIFS(tbl_ledger[数量],tbl_ledger[ロットID],$B108,tbl_ledger[イベント種類],"梱包完了"),
_xlpm.充当受入,SUMIFS(tbl_ledger[数量],tbl_ledger[充当先ロットID],$B108,tbl_ledger[イベント種類],"充当",tbl_ledger[元状態],J$1),
_xlpm.払出,SUMIFS(tbl_ledger[数量],tbl_ledger[ロットID],$B108,tbl_ledger[元状態],J$1),
_xlpm.受入+_xlpm.充当受入-_xlpm.払出))</f>
        <v/>
      </c>
      <c r="K108" s="8" t="str">
        <f>IF($B108="","",_xlfn.LET(
_xlpm.受入,SUMIFS(tbl_ledger[数量],tbl_ledger[ロットID],$B108,tbl_ledger[イベント種類],"発送準備開始"),
_xlpm.充当受入,SUMIFS(tbl_ledger[数量],tbl_ledger[充当先ロットID],$B108,tbl_ledger[イベント種類],"充当",tbl_ledger[元状態],K$1),
_xlpm.払出,SUMIFS(tbl_ledger[数量],tbl_ledger[ロットID],$B108,tbl_ledger[元状態],K$1),
_xlpm.受入+_xlpm.充当受入-_xlpm.払出))</f>
        <v/>
      </c>
      <c r="L108" s="8" t="str">
        <f>IF($B108="","",_xlfn.LET(
_xlpm.受入,SUMIFS(tbl_ledger[数量],tbl_ledger[ロットID],$B108,tbl_ledger[イベント種類],"発送準備完了"),
_xlpm.充当受入,SUMIFS(tbl_ledger[数量],tbl_ledger[充当先ロットID],$B108,tbl_ledger[イベント種類],"充当",tbl_ledger[元状態],L$1),
_xlpm.払出,SUMIFS(tbl_ledger[数量],tbl_ledger[ロットID],$B108,tbl_ledger[元状態],L$1),
_xlpm.受入+_xlpm.充当受入-_xlpm.払出))</f>
        <v/>
      </c>
      <c r="M108" s="8" t="str">
        <f>IF($B108="","",_xlfn.LET(
_xlpm.受入,SUMIFS(tbl_ledger[数量],tbl_ledger[ロットID],$B108,tbl_ledger[イベント種類],"不良発生"),
_xlpm.充当受入,SUMIFS(tbl_ledger[数量],tbl_ledger[充当先ロットID],$B108,tbl_ledger[イベント種類],"充当",tbl_ledger[元状態],M$1),
_xlpm.払出,SUMIFS(tbl_ledger[数量],tbl_ledger[ロットID],$B108,tbl_ledger[元状態],M$1),
_xlpm.受入+_xlpm.充当受入-_xlpm.払出))</f>
        <v/>
      </c>
      <c r="N108" s="8" t="str">
        <f t="shared" si="3"/>
        <v/>
      </c>
    </row>
    <row r="109" spans="1:14" ht="15" customHeight="1" x14ac:dyDescent="0.25">
      <c r="A109" s="4" t="str">
        <f t="shared" si="2"/>
        <v/>
      </c>
      <c r="B109" s="4" t="str">
        <f>IFERROR(IF(COUNTIF($B$1:$B108,INDEX(tbl_plan[ロットID],ROW()-1))&gt;0,"",INDEX(tbl_plan[ロットID],ROW()-1)),"")</f>
        <v/>
      </c>
      <c r="C109" s="4" t="str">
        <f>IF($B109="","",INDEX(tbl_plan[localId],ROW()-1))</f>
        <v/>
      </c>
      <c r="D109" s="8" t="str">
        <f>IF($B109="","",_xlfn.LET(
_xlpm.割当受入,SUMIF(V_充足確認!$A$2:$A$301,$B109,V_充足確認!$F$2:$F$301),
_xlpm.充当受入,SUMIFS(tbl_ledger[数量],tbl_ledger[充当先ロットID],$B109,tbl_ledger[イベント種類],"充当",tbl_ledger[元状態],D$1),
_xlpm.払出,SUMIFS(tbl_ledger[数量],tbl_ledger[ロットID],$B109,tbl_ledger[元状態],D$1),
_xlpm.割当受入+_xlpm.充当受入-_xlpm.払出))</f>
        <v/>
      </c>
      <c r="E109" s="8" t="str">
        <f>IF($B109="","",_xlfn.LET(
_xlpm.受入,SUMIFS(tbl_ledger[数量],tbl_ledger[ロットID],$B109,tbl_ledger[イベント種類],"アニール開始"),
_xlpm.充当受入,SUMIFS(tbl_ledger[数量],tbl_ledger[充当先ロットID],$B109,tbl_ledger[イベント種類],"充当",tbl_ledger[元状態],E$1),
_xlpm.払出,SUMIFS(tbl_ledger[数量],tbl_ledger[ロットID],$B109,tbl_ledger[元状態],E$1),
_xlpm.受入+_xlpm.充当受入-_xlpm.払出))</f>
        <v/>
      </c>
      <c r="F109" s="8" t="str">
        <f>IF($B109="","",_xlfn.LET(
_xlpm.受入,SUMIFS(tbl_ledger[数量],tbl_ledger[ロットID],$B109,tbl_ledger[イベント種類],"アニール完了"),
_xlpm.充当受入,SUMIFS(tbl_ledger[数量],tbl_ledger[充当先ロットID],$B109,tbl_ledger[イベント種類],"充当",tbl_ledger[元状態],F$1),
_xlpm.払出,SUMIFS(tbl_ledger[数量],tbl_ledger[ロットID],$B109,tbl_ledger[元状態],F$1),
_xlpm.受入+_xlpm.充当受入-_xlpm.払出))</f>
        <v/>
      </c>
      <c r="G109" s="8" t="str">
        <f>IF($B109="","",_xlfn.LET(
_xlpm.受入,SUMIFS(tbl_ledger[数量],tbl_ledger[ロットID],$B109,tbl_ledger[イベント種類],"アセンブリ開始"),
_xlpm.充当受入,SUMIFS(tbl_ledger[数量],tbl_ledger[充当先ロットID],$B109,tbl_ledger[イベント種類],"充当",tbl_ledger[元状態],G$1),
_xlpm.払出,SUMIFS(tbl_ledger[数量],tbl_ledger[ロットID],$B109,tbl_ledger[元状態],G$1),
_xlpm.受入+_xlpm.充当受入-_xlpm.払出))</f>
        <v/>
      </c>
      <c r="H109" s="8" t="str">
        <f>IF($B109="","",_xlfn.LET(
_xlpm.受入,SUMIFS(tbl_ledger[数量],tbl_ledger[ロットID],$B109,tbl_ledger[イベント種類],"アセンブリ完了"),
_xlpm.充当受入,SUMIFS(tbl_ledger[数量],tbl_ledger[充当先ロットID],$B109,tbl_ledger[イベント種類],"充当",tbl_ledger[元状態],H$1),
_xlpm.払出,SUMIFS(tbl_ledger[数量],tbl_ledger[ロットID],$B109,tbl_ledger[元状態],H$1),
_xlpm.受入+_xlpm.充当受入-_xlpm.払出))</f>
        <v/>
      </c>
      <c r="I109" s="8" t="str">
        <f>IF($B109="","",_xlfn.LET(
_xlpm.受入,SUMIFS(tbl_ledger[数量],tbl_ledger[ロットID],$B109,tbl_ledger[イベント種類],"梱包開始"),
_xlpm.充当受入,SUMIFS(tbl_ledger[数量],tbl_ledger[充当先ロットID],$B109,tbl_ledger[イベント種類],"充当",tbl_ledger[元状態],I$1),
_xlpm.払出,SUMIFS(tbl_ledger[数量],tbl_ledger[ロットID],$B109,tbl_ledger[元状態],I$1),
_xlpm.受入+_xlpm.充当受入-_xlpm.払出))</f>
        <v/>
      </c>
      <c r="J109" s="8" t="str">
        <f>IF($B109="","",_xlfn.LET(
_xlpm.受入,SUMIFS(tbl_ledger[数量],tbl_ledger[ロットID],$B109,tbl_ledger[イベント種類],"梱包完了"),
_xlpm.充当受入,SUMIFS(tbl_ledger[数量],tbl_ledger[充当先ロットID],$B109,tbl_ledger[イベント種類],"充当",tbl_ledger[元状態],J$1),
_xlpm.払出,SUMIFS(tbl_ledger[数量],tbl_ledger[ロットID],$B109,tbl_ledger[元状態],J$1),
_xlpm.受入+_xlpm.充当受入-_xlpm.払出))</f>
        <v/>
      </c>
      <c r="K109" s="8" t="str">
        <f>IF($B109="","",_xlfn.LET(
_xlpm.受入,SUMIFS(tbl_ledger[数量],tbl_ledger[ロットID],$B109,tbl_ledger[イベント種類],"発送準備開始"),
_xlpm.充当受入,SUMIFS(tbl_ledger[数量],tbl_ledger[充当先ロットID],$B109,tbl_ledger[イベント種類],"充当",tbl_ledger[元状態],K$1),
_xlpm.払出,SUMIFS(tbl_ledger[数量],tbl_ledger[ロットID],$B109,tbl_ledger[元状態],K$1),
_xlpm.受入+_xlpm.充当受入-_xlpm.払出))</f>
        <v/>
      </c>
      <c r="L109" s="8" t="str">
        <f>IF($B109="","",_xlfn.LET(
_xlpm.受入,SUMIFS(tbl_ledger[数量],tbl_ledger[ロットID],$B109,tbl_ledger[イベント種類],"発送準備完了"),
_xlpm.充当受入,SUMIFS(tbl_ledger[数量],tbl_ledger[充当先ロットID],$B109,tbl_ledger[イベント種類],"充当",tbl_ledger[元状態],L$1),
_xlpm.払出,SUMIFS(tbl_ledger[数量],tbl_ledger[ロットID],$B109,tbl_ledger[元状態],L$1),
_xlpm.受入+_xlpm.充当受入-_xlpm.払出))</f>
        <v/>
      </c>
      <c r="M109" s="8" t="str">
        <f>IF($B109="","",_xlfn.LET(
_xlpm.受入,SUMIFS(tbl_ledger[数量],tbl_ledger[ロットID],$B109,tbl_ledger[イベント種類],"不良発生"),
_xlpm.充当受入,SUMIFS(tbl_ledger[数量],tbl_ledger[充当先ロットID],$B109,tbl_ledger[イベント種類],"充当",tbl_ledger[元状態],M$1),
_xlpm.払出,SUMIFS(tbl_ledger[数量],tbl_ledger[ロットID],$B109,tbl_ledger[元状態],M$1),
_xlpm.受入+_xlpm.充当受入-_xlpm.払出))</f>
        <v/>
      </c>
      <c r="N109" s="8" t="str">
        <f t="shared" si="3"/>
        <v/>
      </c>
    </row>
    <row r="110" spans="1:14" ht="15" customHeight="1" x14ac:dyDescent="0.25">
      <c r="A110" s="4" t="str">
        <f t="shared" si="2"/>
        <v/>
      </c>
      <c r="B110" s="4" t="str">
        <f>IFERROR(IF(COUNTIF($B$1:$B109,INDEX(tbl_plan[ロットID],ROW()-1))&gt;0,"",INDEX(tbl_plan[ロットID],ROW()-1)),"")</f>
        <v/>
      </c>
      <c r="C110" s="4" t="str">
        <f>IF($B110="","",INDEX(tbl_plan[localId],ROW()-1))</f>
        <v/>
      </c>
      <c r="D110" s="8" t="str">
        <f>IF($B110="","",_xlfn.LET(
_xlpm.割当受入,SUMIF(V_充足確認!$A$2:$A$301,$B110,V_充足確認!$F$2:$F$301),
_xlpm.充当受入,SUMIFS(tbl_ledger[数量],tbl_ledger[充当先ロットID],$B110,tbl_ledger[イベント種類],"充当",tbl_ledger[元状態],D$1),
_xlpm.払出,SUMIFS(tbl_ledger[数量],tbl_ledger[ロットID],$B110,tbl_ledger[元状態],D$1),
_xlpm.割当受入+_xlpm.充当受入-_xlpm.払出))</f>
        <v/>
      </c>
      <c r="E110" s="8" t="str">
        <f>IF($B110="","",_xlfn.LET(
_xlpm.受入,SUMIFS(tbl_ledger[数量],tbl_ledger[ロットID],$B110,tbl_ledger[イベント種類],"アニール開始"),
_xlpm.充当受入,SUMIFS(tbl_ledger[数量],tbl_ledger[充当先ロットID],$B110,tbl_ledger[イベント種類],"充当",tbl_ledger[元状態],E$1),
_xlpm.払出,SUMIFS(tbl_ledger[数量],tbl_ledger[ロットID],$B110,tbl_ledger[元状態],E$1),
_xlpm.受入+_xlpm.充当受入-_xlpm.払出))</f>
        <v/>
      </c>
      <c r="F110" s="8" t="str">
        <f>IF($B110="","",_xlfn.LET(
_xlpm.受入,SUMIFS(tbl_ledger[数量],tbl_ledger[ロットID],$B110,tbl_ledger[イベント種類],"アニール完了"),
_xlpm.充当受入,SUMIFS(tbl_ledger[数量],tbl_ledger[充当先ロットID],$B110,tbl_ledger[イベント種類],"充当",tbl_ledger[元状態],F$1),
_xlpm.払出,SUMIFS(tbl_ledger[数量],tbl_ledger[ロットID],$B110,tbl_ledger[元状態],F$1),
_xlpm.受入+_xlpm.充当受入-_xlpm.払出))</f>
        <v/>
      </c>
      <c r="G110" s="8" t="str">
        <f>IF($B110="","",_xlfn.LET(
_xlpm.受入,SUMIFS(tbl_ledger[数量],tbl_ledger[ロットID],$B110,tbl_ledger[イベント種類],"アセンブリ開始"),
_xlpm.充当受入,SUMIFS(tbl_ledger[数量],tbl_ledger[充当先ロットID],$B110,tbl_ledger[イベント種類],"充当",tbl_ledger[元状態],G$1),
_xlpm.払出,SUMIFS(tbl_ledger[数量],tbl_ledger[ロットID],$B110,tbl_ledger[元状態],G$1),
_xlpm.受入+_xlpm.充当受入-_xlpm.払出))</f>
        <v/>
      </c>
      <c r="H110" s="8" t="str">
        <f>IF($B110="","",_xlfn.LET(
_xlpm.受入,SUMIFS(tbl_ledger[数量],tbl_ledger[ロットID],$B110,tbl_ledger[イベント種類],"アセンブリ完了"),
_xlpm.充当受入,SUMIFS(tbl_ledger[数量],tbl_ledger[充当先ロットID],$B110,tbl_ledger[イベント種類],"充当",tbl_ledger[元状態],H$1),
_xlpm.払出,SUMIFS(tbl_ledger[数量],tbl_ledger[ロットID],$B110,tbl_ledger[元状態],H$1),
_xlpm.受入+_xlpm.充当受入-_xlpm.払出))</f>
        <v/>
      </c>
      <c r="I110" s="8" t="str">
        <f>IF($B110="","",_xlfn.LET(
_xlpm.受入,SUMIFS(tbl_ledger[数量],tbl_ledger[ロットID],$B110,tbl_ledger[イベント種類],"梱包開始"),
_xlpm.充当受入,SUMIFS(tbl_ledger[数量],tbl_ledger[充当先ロットID],$B110,tbl_ledger[イベント種類],"充当",tbl_ledger[元状態],I$1),
_xlpm.払出,SUMIFS(tbl_ledger[数量],tbl_ledger[ロットID],$B110,tbl_ledger[元状態],I$1),
_xlpm.受入+_xlpm.充当受入-_xlpm.払出))</f>
        <v/>
      </c>
      <c r="J110" s="8" t="str">
        <f>IF($B110="","",_xlfn.LET(
_xlpm.受入,SUMIFS(tbl_ledger[数量],tbl_ledger[ロットID],$B110,tbl_ledger[イベント種類],"梱包完了"),
_xlpm.充当受入,SUMIFS(tbl_ledger[数量],tbl_ledger[充当先ロットID],$B110,tbl_ledger[イベント種類],"充当",tbl_ledger[元状態],J$1),
_xlpm.払出,SUMIFS(tbl_ledger[数量],tbl_ledger[ロットID],$B110,tbl_ledger[元状態],J$1),
_xlpm.受入+_xlpm.充当受入-_xlpm.払出))</f>
        <v/>
      </c>
      <c r="K110" s="8" t="str">
        <f>IF($B110="","",_xlfn.LET(
_xlpm.受入,SUMIFS(tbl_ledger[数量],tbl_ledger[ロットID],$B110,tbl_ledger[イベント種類],"発送準備開始"),
_xlpm.充当受入,SUMIFS(tbl_ledger[数量],tbl_ledger[充当先ロットID],$B110,tbl_ledger[イベント種類],"充当",tbl_ledger[元状態],K$1),
_xlpm.払出,SUMIFS(tbl_ledger[数量],tbl_ledger[ロットID],$B110,tbl_ledger[元状態],K$1),
_xlpm.受入+_xlpm.充当受入-_xlpm.払出))</f>
        <v/>
      </c>
      <c r="L110" s="8" t="str">
        <f>IF($B110="","",_xlfn.LET(
_xlpm.受入,SUMIFS(tbl_ledger[数量],tbl_ledger[ロットID],$B110,tbl_ledger[イベント種類],"発送準備完了"),
_xlpm.充当受入,SUMIFS(tbl_ledger[数量],tbl_ledger[充当先ロットID],$B110,tbl_ledger[イベント種類],"充当",tbl_ledger[元状態],L$1),
_xlpm.払出,SUMIFS(tbl_ledger[数量],tbl_ledger[ロットID],$B110,tbl_ledger[元状態],L$1),
_xlpm.受入+_xlpm.充当受入-_xlpm.払出))</f>
        <v/>
      </c>
      <c r="M110" s="8" t="str">
        <f>IF($B110="","",_xlfn.LET(
_xlpm.受入,SUMIFS(tbl_ledger[数量],tbl_ledger[ロットID],$B110,tbl_ledger[イベント種類],"不良発生"),
_xlpm.充当受入,SUMIFS(tbl_ledger[数量],tbl_ledger[充当先ロットID],$B110,tbl_ledger[イベント種類],"充当",tbl_ledger[元状態],M$1),
_xlpm.払出,SUMIFS(tbl_ledger[数量],tbl_ledger[ロットID],$B110,tbl_ledger[元状態],M$1),
_xlpm.受入+_xlpm.充当受入-_xlpm.払出))</f>
        <v/>
      </c>
      <c r="N110" s="8" t="str">
        <f t="shared" si="3"/>
        <v/>
      </c>
    </row>
    <row r="111" spans="1:14" ht="15" customHeight="1" x14ac:dyDescent="0.25">
      <c r="A111" s="4" t="str">
        <f t="shared" si="2"/>
        <v/>
      </c>
      <c r="B111" s="4" t="str">
        <f>IFERROR(IF(COUNTIF($B$1:$B110,INDEX(tbl_plan[ロットID],ROW()-1))&gt;0,"",INDEX(tbl_plan[ロットID],ROW()-1)),"")</f>
        <v/>
      </c>
      <c r="C111" s="4" t="str">
        <f>IF($B111="","",INDEX(tbl_plan[localId],ROW()-1))</f>
        <v/>
      </c>
      <c r="D111" s="8" t="str">
        <f>IF($B111="","",_xlfn.LET(
_xlpm.割当受入,SUMIF(V_充足確認!$A$2:$A$301,$B111,V_充足確認!$F$2:$F$301),
_xlpm.充当受入,SUMIFS(tbl_ledger[数量],tbl_ledger[充当先ロットID],$B111,tbl_ledger[イベント種類],"充当",tbl_ledger[元状態],D$1),
_xlpm.払出,SUMIFS(tbl_ledger[数量],tbl_ledger[ロットID],$B111,tbl_ledger[元状態],D$1),
_xlpm.割当受入+_xlpm.充当受入-_xlpm.払出))</f>
        <v/>
      </c>
      <c r="E111" s="8" t="str">
        <f>IF($B111="","",_xlfn.LET(
_xlpm.受入,SUMIFS(tbl_ledger[数量],tbl_ledger[ロットID],$B111,tbl_ledger[イベント種類],"アニール開始"),
_xlpm.充当受入,SUMIFS(tbl_ledger[数量],tbl_ledger[充当先ロットID],$B111,tbl_ledger[イベント種類],"充当",tbl_ledger[元状態],E$1),
_xlpm.払出,SUMIFS(tbl_ledger[数量],tbl_ledger[ロットID],$B111,tbl_ledger[元状態],E$1),
_xlpm.受入+_xlpm.充当受入-_xlpm.払出))</f>
        <v/>
      </c>
      <c r="F111" s="8" t="str">
        <f>IF($B111="","",_xlfn.LET(
_xlpm.受入,SUMIFS(tbl_ledger[数量],tbl_ledger[ロットID],$B111,tbl_ledger[イベント種類],"アニール完了"),
_xlpm.充当受入,SUMIFS(tbl_ledger[数量],tbl_ledger[充当先ロットID],$B111,tbl_ledger[イベント種類],"充当",tbl_ledger[元状態],F$1),
_xlpm.払出,SUMIFS(tbl_ledger[数量],tbl_ledger[ロットID],$B111,tbl_ledger[元状態],F$1),
_xlpm.受入+_xlpm.充当受入-_xlpm.払出))</f>
        <v/>
      </c>
      <c r="G111" s="8" t="str">
        <f>IF($B111="","",_xlfn.LET(
_xlpm.受入,SUMIFS(tbl_ledger[数量],tbl_ledger[ロットID],$B111,tbl_ledger[イベント種類],"アセンブリ開始"),
_xlpm.充当受入,SUMIFS(tbl_ledger[数量],tbl_ledger[充当先ロットID],$B111,tbl_ledger[イベント種類],"充当",tbl_ledger[元状態],G$1),
_xlpm.払出,SUMIFS(tbl_ledger[数量],tbl_ledger[ロットID],$B111,tbl_ledger[元状態],G$1),
_xlpm.受入+_xlpm.充当受入-_xlpm.払出))</f>
        <v/>
      </c>
      <c r="H111" s="8" t="str">
        <f>IF($B111="","",_xlfn.LET(
_xlpm.受入,SUMIFS(tbl_ledger[数量],tbl_ledger[ロットID],$B111,tbl_ledger[イベント種類],"アセンブリ完了"),
_xlpm.充当受入,SUMIFS(tbl_ledger[数量],tbl_ledger[充当先ロットID],$B111,tbl_ledger[イベント種類],"充当",tbl_ledger[元状態],H$1),
_xlpm.払出,SUMIFS(tbl_ledger[数量],tbl_ledger[ロットID],$B111,tbl_ledger[元状態],H$1),
_xlpm.受入+_xlpm.充当受入-_xlpm.払出))</f>
        <v/>
      </c>
      <c r="I111" s="8" t="str">
        <f>IF($B111="","",_xlfn.LET(
_xlpm.受入,SUMIFS(tbl_ledger[数量],tbl_ledger[ロットID],$B111,tbl_ledger[イベント種類],"梱包開始"),
_xlpm.充当受入,SUMIFS(tbl_ledger[数量],tbl_ledger[充当先ロットID],$B111,tbl_ledger[イベント種類],"充当",tbl_ledger[元状態],I$1),
_xlpm.払出,SUMIFS(tbl_ledger[数量],tbl_ledger[ロットID],$B111,tbl_ledger[元状態],I$1),
_xlpm.受入+_xlpm.充当受入-_xlpm.払出))</f>
        <v/>
      </c>
      <c r="J111" s="8" t="str">
        <f>IF($B111="","",_xlfn.LET(
_xlpm.受入,SUMIFS(tbl_ledger[数量],tbl_ledger[ロットID],$B111,tbl_ledger[イベント種類],"梱包完了"),
_xlpm.充当受入,SUMIFS(tbl_ledger[数量],tbl_ledger[充当先ロットID],$B111,tbl_ledger[イベント種類],"充当",tbl_ledger[元状態],J$1),
_xlpm.払出,SUMIFS(tbl_ledger[数量],tbl_ledger[ロットID],$B111,tbl_ledger[元状態],J$1),
_xlpm.受入+_xlpm.充当受入-_xlpm.払出))</f>
        <v/>
      </c>
      <c r="K111" s="8" t="str">
        <f>IF($B111="","",_xlfn.LET(
_xlpm.受入,SUMIFS(tbl_ledger[数量],tbl_ledger[ロットID],$B111,tbl_ledger[イベント種類],"発送準備開始"),
_xlpm.充当受入,SUMIFS(tbl_ledger[数量],tbl_ledger[充当先ロットID],$B111,tbl_ledger[イベント種類],"充当",tbl_ledger[元状態],K$1),
_xlpm.払出,SUMIFS(tbl_ledger[数量],tbl_ledger[ロットID],$B111,tbl_ledger[元状態],K$1),
_xlpm.受入+_xlpm.充当受入-_xlpm.払出))</f>
        <v/>
      </c>
      <c r="L111" s="8" t="str">
        <f>IF($B111="","",_xlfn.LET(
_xlpm.受入,SUMIFS(tbl_ledger[数量],tbl_ledger[ロットID],$B111,tbl_ledger[イベント種類],"発送準備完了"),
_xlpm.充当受入,SUMIFS(tbl_ledger[数量],tbl_ledger[充当先ロットID],$B111,tbl_ledger[イベント種類],"充当",tbl_ledger[元状態],L$1),
_xlpm.払出,SUMIFS(tbl_ledger[数量],tbl_ledger[ロットID],$B111,tbl_ledger[元状態],L$1),
_xlpm.受入+_xlpm.充当受入-_xlpm.払出))</f>
        <v/>
      </c>
      <c r="M111" s="8" t="str">
        <f>IF($B111="","",_xlfn.LET(
_xlpm.受入,SUMIFS(tbl_ledger[数量],tbl_ledger[ロットID],$B111,tbl_ledger[イベント種類],"不良発生"),
_xlpm.充当受入,SUMIFS(tbl_ledger[数量],tbl_ledger[充当先ロットID],$B111,tbl_ledger[イベント種類],"充当",tbl_ledger[元状態],M$1),
_xlpm.払出,SUMIFS(tbl_ledger[数量],tbl_ledger[ロットID],$B111,tbl_ledger[元状態],M$1),
_xlpm.受入+_xlpm.充当受入-_xlpm.払出))</f>
        <v/>
      </c>
      <c r="N111" s="8" t="str">
        <f t="shared" si="3"/>
        <v/>
      </c>
    </row>
    <row r="112" spans="1:14" ht="15" customHeight="1" x14ac:dyDescent="0.25">
      <c r="A112" s="4" t="str">
        <f t="shared" si="2"/>
        <v/>
      </c>
      <c r="B112" s="4" t="str">
        <f>IFERROR(IF(COUNTIF($B$1:$B111,INDEX(tbl_plan[ロットID],ROW()-1))&gt;0,"",INDEX(tbl_plan[ロットID],ROW()-1)),"")</f>
        <v/>
      </c>
      <c r="C112" s="4" t="str">
        <f>IF($B112="","",INDEX(tbl_plan[localId],ROW()-1))</f>
        <v/>
      </c>
      <c r="D112" s="8" t="str">
        <f>IF($B112="","",_xlfn.LET(
_xlpm.割当受入,SUMIF(V_充足確認!$A$2:$A$301,$B112,V_充足確認!$F$2:$F$301),
_xlpm.充当受入,SUMIFS(tbl_ledger[数量],tbl_ledger[充当先ロットID],$B112,tbl_ledger[イベント種類],"充当",tbl_ledger[元状態],D$1),
_xlpm.払出,SUMIFS(tbl_ledger[数量],tbl_ledger[ロットID],$B112,tbl_ledger[元状態],D$1),
_xlpm.割当受入+_xlpm.充当受入-_xlpm.払出))</f>
        <v/>
      </c>
      <c r="E112" s="8" t="str">
        <f>IF($B112="","",_xlfn.LET(
_xlpm.受入,SUMIFS(tbl_ledger[数量],tbl_ledger[ロットID],$B112,tbl_ledger[イベント種類],"アニール開始"),
_xlpm.充当受入,SUMIFS(tbl_ledger[数量],tbl_ledger[充当先ロットID],$B112,tbl_ledger[イベント種類],"充当",tbl_ledger[元状態],E$1),
_xlpm.払出,SUMIFS(tbl_ledger[数量],tbl_ledger[ロットID],$B112,tbl_ledger[元状態],E$1),
_xlpm.受入+_xlpm.充当受入-_xlpm.払出))</f>
        <v/>
      </c>
      <c r="F112" s="8" t="str">
        <f>IF($B112="","",_xlfn.LET(
_xlpm.受入,SUMIFS(tbl_ledger[数量],tbl_ledger[ロットID],$B112,tbl_ledger[イベント種類],"アニール完了"),
_xlpm.充当受入,SUMIFS(tbl_ledger[数量],tbl_ledger[充当先ロットID],$B112,tbl_ledger[イベント種類],"充当",tbl_ledger[元状態],F$1),
_xlpm.払出,SUMIFS(tbl_ledger[数量],tbl_ledger[ロットID],$B112,tbl_ledger[元状態],F$1),
_xlpm.受入+_xlpm.充当受入-_xlpm.払出))</f>
        <v/>
      </c>
      <c r="G112" s="8" t="str">
        <f>IF($B112="","",_xlfn.LET(
_xlpm.受入,SUMIFS(tbl_ledger[数量],tbl_ledger[ロットID],$B112,tbl_ledger[イベント種類],"アセンブリ開始"),
_xlpm.充当受入,SUMIFS(tbl_ledger[数量],tbl_ledger[充当先ロットID],$B112,tbl_ledger[イベント種類],"充当",tbl_ledger[元状態],G$1),
_xlpm.払出,SUMIFS(tbl_ledger[数量],tbl_ledger[ロットID],$B112,tbl_ledger[元状態],G$1),
_xlpm.受入+_xlpm.充当受入-_xlpm.払出))</f>
        <v/>
      </c>
      <c r="H112" s="8" t="str">
        <f>IF($B112="","",_xlfn.LET(
_xlpm.受入,SUMIFS(tbl_ledger[数量],tbl_ledger[ロットID],$B112,tbl_ledger[イベント種類],"アセンブリ完了"),
_xlpm.充当受入,SUMIFS(tbl_ledger[数量],tbl_ledger[充当先ロットID],$B112,tbl_ledger[イベント種類],"充当",tbl_ledger[元状態],H$1),
_xlpm.払出,SUMIFS(tbl_ledger[数量],tbl_ledger[ロットID],$B112,tbl_ledger[元状態],H$1),
_xlpm.受入+_xlpm.充当受入-_xlpm.払出))</f>
        <v/>
      </c>
      <c r="I112" s="8" t="str">
        <f>IF($B112="","",_xlfn.LET(
_xlpm.受入,SUMIFS(tbl_ledger[数量],tbl_ledger[ロットID],$B112,tbl_ledger[イベント種類],"梱包開始"),
_xlpm.充当受入,SUMIFS(tbl_ledger[数量],tbl_ledger[充当先ロットID],$B112,tbl_ledger[イベント種類],"充当",tbl_ledger[元状態],I$1),
_xlpm.払出,SUMIFS(tbl_ledger[数量],tbl_ledger[ロットID],$B112,tbl_ledger[元状態],I$1),
_xlpm.受入+_xlpm.充当受入-_xlpm.払出))</f>
        <v/>
      </c>
      <c r="J112" s="8" t="str">
        <f>IF($B112="","",_xlfn.LET(
_xlpm.受入,SUMIFS(tbl_ledger[数量],tbl_ledger[ロットID],$B112,tbl_ledger[イベント種類],"梱包完了"),
_xlpm.充当受入,SUMIFS(tbl_ledger[数量],tbl_ledger[充当先ロットID],$B112,tbl_ledger[イベント種類],"充当",tbl_ledger[元状態],J$1),
_xlpm.払出,SUMIFS(tbl_ledger[数量],tbl_ledger[ロットID],$B112,tbl_ledger[元状態],J$1),
_xlpm.受入+_xlpm.充当受入-_xlpm.払出))</f>
        <v/>
      </c>
      <c r="K112" s="8" t="str">
        <f>IF($B112="","",_xlfn.LET(
_xlpm.受入,SUMIFS(tbl_ledger[数量],tbl_ledger[ロットID],$B112,tbl_ledger[イベント種類],"発送準備開始"),
_xlpm.充当受入,SUMIFS(tbl_ledger[数量],tbl_ledger[充当先ロットID],$B112,tbl_ledger[イベント種類],"充当",tbl_ledger[元状態],K$1),
_xlpm.払出,SUMIFS(tbl_ledger[数量],tbl_ledger[ロットID],$B112,tbl_ledger[元状態],K$1),
_xlpm.受入+_xlpm.充当受入-_xlpm.払出))</f>
        <v/>
      </c>
      <c r="L112" s="8" t="str">
        <f>IF($B112="","",_xlfn.LET(
_xlpm.受入,SUMIFS(tbl_ledger[数量],tbl_ledger[ロットID],$B112,tbl_ledger[イベント種類],"発送準備完了"),
_xlpm.充当受入,SUMIFS(tbl_ledger[数量],tbl_ledger[充当先ロットID],$B112,tbl_ledger[イベント種類],"充当",tbl_ledger[元状態],L$1),
_xlpm.払出,SUMIFS(tbl_ledger[数量],tbl_ledger[ロットID],$B112,tbl_ledger[元状態],L$1),
_xlpm.受入+_xlpm.充当受入-_xlpm.払出))</f>
        <v/>
      </c>
      <c r="M112" s="8" t="str">
        <f>IF($B112="","",_xlfn.LET(
_xlpm.受入,SUMIFS(tbl_ledger[数量],tbl_ledger[ロットID],$B112,tbl_ledger[イベント種類],"不良発生"),
_xlpm.充当受入,SUMIFS(tbl_ledger[数量],tbl_ledger[充当先ロットID],$B112,tbl_ledger[イベント種類],"充当",tbl_ledger[元状態],M$1),
_xlpm.払出,SUMIFS(tbl_ledger[数量],tbl_ledger[ロットID],$B112,tbl_ledger[元状態],M$1),
_xlpm.受入+_xlpm.充当受入-_xlpm.払出))</f>
        <v/>
      </c>
      <c r="N112" s="8" t="str">
        <f t="shared" si="3"/>
        <v/>
      </c>
    </row>
    <row r="113" spans="1:14" ht="15" customHeight="1" x14ac:dyDescent="0.25">
      <c r="A113" s="4" t="str">
        <f t="shared" si="2"/>
        <v/>
      </c>
      <c r="B113" s="4" t="str">
        <f>IFERROR(IF(COUNTIF($B$1:$B112,INDEX(tbl_plan[ロットID],ROW()-1))&gt;0,"",INDEX(tbl_plan[ロットID],ROW()-1)),"")</f>
        <v/>
      </c>
      <c r="C113" s="4" t="str">
        <f>IF($B113="","",INDEX(tbl_plan[localId],ROW()-1))</f>
        <v/>
      </c>
      <c r="D113" s="8" t="str">
        <f>IF($B113="","",_xlfn.LET(
_xlpm.割当受入,SUMIF(V_充足確認!$A$2:$A$301,$B113,V_充足確認!$F$2:$F$301),
_xlpm.充当受入,SUMIFS(tbl_ledger[数量],tbl_ledger[充当先ロットID],$B113,tbl_ledger[イベント種類],"充当",tbl_ledger[元状態],D$1),
_xlpm.払出,SUMIFS(tbl_ledger[数量],tbl_ledger[ロットID],$B113,tbl_ledger[元状態],D$1),
_xlpm.割当受入+_xlpm.充当受入-_xlpm.払出))</f>
        <v/>
      </c>
      <c r="E113" s="8" t="str">
        <f>IF($B113="","",_xlfn.LET(
_xlpm.受入,SUMIFS(tbl_ledger[数量],tbl_ledger[ロットID],$B113,tbl_ledger[イベント種類],"アニール開始"),
_xlpm.充当受入,SUMIFS(tbl_ledger[数量],tbl_ledger[充当先ロットID],$B113,tbl_ledger[イベント種類],"充当",tbl_ledger[元状態],E$1),
_xlpm.払出,SUMIFS(tbl_ledger[数量],tbl_ledger[ロットID],$B113,tbl_ledger[元状態],E$1),
_xlpm.受入+_xlpm.充当受入-_xlpm.払出))</f>
        <v/>
      </c>
      <c r="F113" s="8" t="str">
        <f>IF($B113="","",_xlfn.LET(
_xlpm.受入,SUMIFS(tbl_ledger[数量],tbl_ledger[ロットID],$B113,tbl_ledger[イベント種類],"アニール完了"),
_xlpm.充当受入,SUMIFS(tbl_ledger[数量],tbl_ledger[充当先ロットID],$B113,tbl_ledger[イベント種類],"充当",tbl_ledger[元状態],F$1),
_xlpm.払出,SUMIFS(tbl_ledger[数量],tbl_ledger[ロットID],$B113,tbl_ledger[元状態],F$1),
_xlpm.受入+_xlpm.充当受入-_xlpm.払出))</f>
        <v/>
      </c>
      <c r="G113" s="8" t="str">
        <f>IF($B113="","",_xlfn.LET(
_xlpm.受入,SUMIFS(tbl_ledger[数量],tbl_ledger[ロットID],$B113,tbl_ledger[イベント種類],"アセンブリ開始"),
_xlpm.充当受入,SUMIFS(tbl_ledger[数量],tbl_ledger[充当先ロットID],$B113,tbl_ledger[イベント種類],"充当",tbl_ledger[元状態],G$1),
_xlpm.払出,SUMIFS(tbl_ledger[数量],tbl_ledger[ロットID],$B113,tbl_ledger[元状態],G$1),
_xlpm.受入+_xlpm.充当受入-_xlpm.払出))</f>
        <v/>
      </c>
      <c r="H113" s="8" t="str">
        <f>IF($B113="","",_xlfn.LET(
_xlpm.受入,SUMIFS(tbl_ledger[数量],tbl_ledger[ロットID],$B113,tbl_ledger[イベント種類],"アセンブリ完了"),
_xlpm.充当受入,SUMIFS(tbl_ledger[数量],tbl_ledger[充当先ロットID],$B113,tbl_ledger[イベント種類],"充当",tbl_ledger[元状態],H$1),
_xlpm.払出,SUMIFS(tbl_ledger[数量],tbl_ledger[ロットID],$B113,tbl_ledger[元状態],H$1),
_xlpm.受入+_xlpm.充当受入-_xlpm.払出))</f>
        <v/>
      </c>
      <c r="I113" s="8" t="str">
        <f>IF($B113="","",_xlfn.LET(
_xlpm.受入,SUMIFS(tbl_ledger[数量],tbl_ledger[ロットID],$B113,tbl_ledger[イベント種類],"梱包開始"),
_xlpm.充当受入,SUMIFS(tbl_ledger[数量],tbl_ledger[充当先ロットID],$B113,tbl_ledger[イベント種類],"充当",tbl_ledger[元状態],I$1),
_xlpm.払出,SUMIFS(tbl_ledger[数量],tbl_ledger[ロットID],$B113,tbl_ledger[元状態],I$1),
_xlpm.受入+_xlpm.充当受入-_xlpm.払出))</f>
        <v/>
      </c>
      <c r="J113" s="8" t="str">
        <f>IF($B113="","",_xlfn.LET(
_xlpm.受入,SUMIFS(tbl_ledger[数量],tbl_ledger[ロットID],$B113,tbl_ledger[イベント種類],"梱包完了"),
_xlpm.充当受入,SUMIFS(tbl_ledger[数量],tbl_ledger[充当先ロットID],$B113,tbl_ledger[イベント種類],"充当",tbl_ledger[元状態],J$1),
_xlpm.払出,SUMIFS(tbl_ledger[数量],tbl_ledger[ロットID],$B113,tbl_ledger[元状態],J$1),
_xlpm.受入+_xlpm.充当受入-_xlpm.払出))</f>
        <v/>
      </c>
      <c r="K113" s="8" t="str">
        <f>IF($B113="","",_xlfn.LET(
_xlpm.受入,SUMIFS(tbl_ledger[数量],tbl_ledger[ロットID],$B113,tbl_ledger[イベント種類],"発送準備開始"),
_xlpm.充当受入,SUMIFS(tbl_ledger[数量],tbl_ledger[充当先ロットID],$B113,tbl_ledger[イベント種類],"充当",tbl_ledger[元状態],K$1),
_xlpm.払出,SUMIFS(tbl_ledger[数量],tbl_ledger[ロットID],$B113,tbl_ledger[元状態],K$1),
_xlpm.受入+_xlpm.充当受入-_xlpm.払出))</f>
        <v/>
      </c>
      <c r="L113" s="8" t="str">
        <f>IF($B113="","",_xlfn.LET(
_xlpm.受入,SUMIFS(tbl_ledger[数量],tbl_ledger[ロットID],$B113,tbl_ledger[イベント種類],"発送準備完了"),
_xlpm.充当受入,SUMIFS(tbl_ledger[数量],tbl_ledger[充当先ロットID],$B113,tbl_ledger[イベント種類],"充当",tbl_ledger[元状態],L$1),
_xlpm.払出,SUMIFS(tbl_ledger[数量],tbl_ledger[ロットID],$B113,tbl_ledger[元状態],L$1),
_xlpm.受入+_xlpm.充当受入-_xlpm.払出))</f>
        <v/>
      </c>
      <c r="M113" s="8" t="str">
        <f>IF($B113="","",_xlfn.LET(
_xlpm.受入,SUMIFS(tbl_ledger[数量],tbl_ledger[ロットID],$B113,tbl_ledger[イベント種類],"不良発生"),
_xlpm.充当受入,SUMIFS(tbl_ledger[数量],tbl_ledger[充当先ロットID],$B113,tbl_ledger[イベント種類],"充当",tbl_ledger[元状態],M$1),
_xlpm.払出,SUMIFS(tbl_ledger[数量],tbl_ledger[ロットID],$B113,tbl_ledger[元状態],M$1),
_xlpm.受入+_xlpm.充当受入-_xlpm.払出))</f>
        <v/>
      </c>
      <c r="N113" s="8" t="str">
        <f t="shared" si="3"/>
        <v/>
      </c>
    </row>
    <row r="114" spans="1:14" ht="15" customHeight="1" x14ac:dyDescent="0.25">
      <c r="A114" s="4" t="str">
        <f t="shared" si="2"/>
        <v/>
      </c>
      <c r="B114" s="4" t="str">
        <f>IFERROR(IF(COUNTIF($B$1:$B113,INDEX(tbl_plan[ロットID],ROW()-1))&gt;0,"",INDEX(tbl_plan[ロットID],ROW()-1)),"")</f>
        <v/>
      </c>
      <c r="C114" s="4" t="str">
        <f>IF($B114="","",INDEX(tbl_plan[localId],ROW()-1))</f>
        <v/>
      </c>
      <c r="D114" s="8" t="str">
        <f>IF($B114="","",_xlfn.LET(
_xlpm.割当受入,SUMIF(V_充足確認!$A$2:$A$301,$B114,V_充足確認!$F$2:$F$301),
_xlpm.充当受入,SUMIFS(tbl_ledger[数量],tbl_ledger[充当先ロットID],$B114,tbl_ledger[イベント種類],"充当",tbl_ledger[元状態],D$1),
_xlpm.払出,SUMIFS(tbl_ledger[数量],tbl_ledger[ロットID],$B114,tbl_ledger[元状態],D$1),
_xlpm.割当受入+_xlpm.充当受入-_xlpm.払出))</f>
        <v/>
      </c>
      <c r="E114" s="8" t="str">
        <f>IF($B114="","",_xlfn.LET(
_xlpm.受入,SUMIFS(tbl_ledger[数量],tbl_ledger[ロットID],$B114,tbl_ledger[イベント種類],"アニール開始"),
_xlpm.充当受入,SUMIFS(tbl_ledger[数量],tbl_ledger[充当先ロットID],$B114,tbl_ledger[イベント種類],"充当",tbl_ledger[元状態],E$1),
_xlpm.払出,SUMIFS(tbl_ledger[数量],tbl_ledger[ロットID],$B114,tbl_ledger[元状態],E$1),
_xlpm.受入+_xlpm.充当受入-_xlpm.払出))</f>
        <v/>
      </c>
      <c r="F114" s="8" t="str">
        <f>IF($B114="","",_xlfn.LET(
_xlpm.受入,SUMIFS(tbl_ledger[数量],tbl_ledger[ロットID],$B114,tbl_ledger[イベント種類],"アニール完了"),
_xlpm.充当受入,SUMIFS(tbl_ledger[数量],tbl_ledger[充当先ロットID],$B114,tbl_ledger[イベント種類],"充当",tbl_ledger[元状態],F$1),
_xlpm.払出,SUMIFS(tbl_ledger[数量],tbl_ledger[ロットID],$B114,tbl_ledger[元状態],F$1),
_xlpm.受入+_xlpm.充当受入-_xlpm.払出))</f>
        <v/>
      </c>
      <c r="G114" s="8" t="str">
        <f>IF($B114="","",_xlfn.LET(
_xlpm.受入,SUMIFS(tbl_ledger[数量],tbl_ledger[ロットID],$B114,tbl_ledger[イベント種類],"アセンブリ開始"),
_xlpm.充当受入,SUMIFS(tbl_ledger[数量],tbl_ledger[充当先ロットID],$B114,tbl_ledger[イベント種類],"充当",tbl_ledger[元状態],G$1),
_xlpm.払出,SUMIFS(tbl_ledger[数量],tbl_ledger[ロットID],$B114,tbl_ledger[元状態],G$1),
_xlpm.受入+_xlpm.充当受入-_xlpm.払出))</f>
        <v/>
      </c>
      <c r="H114" s="8" t="str">
        <f>IF($B114="","",_xlfn.LET(
_xlpm.受入,SUMIFS(tbl_ledger[数量],tbl_ledger[ロットID],$B114,tbl_ledger[イベント種類],"アセンブリ完了"),
_xlpm.充当受入,SUMIFS(tbl_ledger[数量],tbl_ledger[充当先ロットID],$B114,tbl_ledger[イベント種類],"充当",tbl_ledger[元状態],H$1),
_xlpm.払出,SUMIFS(tbl_ledger[数量],tbl_ledger[ロットID],$B114,tbl_ledger[元状態],H$1),
_xlpm.受入+_xlpm.充当受入-_xlpm.払出))</f>
        <v/>
      </c>
      <c r="I114" s="8" t="str">
        <f>IF($B114="","",_xlfn.LET(
_xlpm.受入,SUMIFS(tbl_ledger[数量],tbl_ledger[ロットID],$B114,tbl_ledger[イベント種類],"梱包開始"),
_xlpm.充当受入,SUMIFS(tbl_ledger[数量],tbl_ledger[充当先ロットID],$B114,tbl_ledger[イベント種類],"充当",tbl_ledger[元状態],I$1),
_xlpm.払出,SUMIFS(tbl_ledger[数量],tbl_ledger[ロットID],$B114,tbl_ledger[元状態],I$1),
_xlpm.受入+_xlpm.充当受入-_xlpm.払出))</f>
        <v/>
      </c>
      <c r="J114" s="8" t="str">
        <f>IF($B114="","",_xlfn.LET(
_xlpm.受入,SUMIFS(tbl_ledger[数量],tbl_ledger[ロットID],$B114,tbl_ledger[イベント種類],"梱包完了"),
_xlpm.充当受入,SUMIFS(tbl_ledger[数量],tbl_ledger[充当先ロットID],$B114,tbl_ledger[イベント種類],"充当",tbl_ledger[元状態],J$1),
_xlpm.払出,SUMIFS(tbl_ledger[数量],tbl_ledger[ロットID],$B114,tbl_ledger[元状態],J$1),
_xlpm.受入+_xlpm.充当受入-_xlpm.払出))</f>
        <v/>
      </c>
      <c r="K114" s="8" t="str">
        <f>IF($B114="","",_xlfn.LET(
_xlpm.受入,SUMIFS(tbl_ledger[数量],tbl_ledger[ロットID],$B114,tbl_ledger[イベント種類],"発送準備開始"),
_xlpm.充当受入,SUMIFS(tbl_ledger[数量],tbl_ledger[充当先ロットID],$B114,tbl_ledger[イベント種類],"充当",tbl_ledger[元状態],K$1),
_xlpm.払出,SUMIFS(tbl_ledger[数量],tbl_ledger[ロットID],$B114,tbl_ledger[元状態],K$1),
_xlpm.受入+_xlpm.充当受入-_xlpm.払出))</f>
        <v/>
      </c>
      <c r="L114" s="8" t="str">
        <f>IF($B114="","",_xlfn.LET(
_xlpm.受入,SUMIFS(tbl_ledger[数量],tbl_ledger[ロットID],$B114,tbl_ledger[イベント種類],"発送準備完了"),
_xlpm.充当受入,SUMIFS(tbl_ledger[数量],tbl_ledger[充当先ロットID],$B114,tbl_ledger[イベント種類],"充当",tbl_ledger[元状態],L$1),
_xlpm.払出,SUMIFS(tbl_ledger[数量],tbl_ledger[ロットID],$B114,tbl_ledger[元状態],L$1),
_xlpm.受入+_xlpm.充当受入-_xlpm.払出))</f>
        <v/>
      </c>
      <c r="M114" s="8" t="str">
        <f>IF($B114="","",_xlfn.LET(
_xlpm.受入,SUMIFS(tbl_ledger[数量],tbl_ledger[ロットID],$B114,tbl_ledger[イベント種類],"不良発生"),
_xlpm.充当受入,SUMIFS(tbl_ledger[数量],tbl_ledger[充当先ロットID],$B114,tbl_ledger[イベント種類],"充当",tbl_ledger[元状態],M$1),
_xlpm.払出,SUMIFS(tbl_ledger[数量],tbl_ledger[ロットID],$B114,tbl_ledger[元状態],M$1),
_xlpm.受入+_xlpm.充当受入-_xlpm.払出))</f>
        <v/>
      </c>
      <c r="N114" s="8" t="str">
        <f t="shared" si="3"/>
        <v/>
      </c>
    </row>
    <row r="115" spans="1:14" ht="15" customHeight="1" x14ac:dyDescent="0.25">
      <c r="A115" s="4" t="str">
        <f t="shared" si="2"/>
        <v/>
      </c>
      <c r="B115" s="4" t="str">
        <f>IFERROR(IF(COUNTIF($B$1:$B114,INDEX(tbl_plan[ロットID],ROW()-1))&gt;0,"",INDEX(tbl_plan[ロットID],ROW()-1)),"")</f>
        <v/>
      </c>
      <c r="C115" s="4" t="str">
        <f>IF($B115="","",INDEX(tbl_plan[localId],ROW()-1))</f>
        <v/>
      </c>
      <c r="D115" s="8" t="str">
        <f>IF($B115="","",_xlfn.LET(
_xlpm.割当受入,SUMIF(V_充足確認!$A$2:$A$301,$B115,V_充足確認!$F$2:$F$301),
_xlpm.充当受入,SUMIFS(tbl_ledger[数量],tbl_ledger[充当先ロットID],$B115,tbl_ledger[イベント種類],"充当",tbl_ledger[元状態],D$1),
_xlpm.払出,SUMIFS(tbl_ledger[数量],tbl_ledger[ロットID],$B115,tbl_ledger[元状態],D$1),
_xlpm.割当受入+_xlpm.充当受入-_xlpm.払出))</f>
        <v/>
      </c>
      <c r="E115" s="8" t="str">
        <f>IF($B115="","",_xlfn.LET(
_xlpm.受入,SUMIFS(tbl_ledger[数量],tbl_ledger[ロットID],$B115,tbl_ledger[イベント種類],"アニール開始"),
_xlpm.充当受入,SUMIFS(tbl_ledger[数量],tbl_ledger[充当先ロットID],$B115,tbl_ledger[イベント種類],"充当",tbl_ledger[元状態],E$1),
_xlpm.払出,SUMIFS(tbl_ledger[数量],tbl_ledger[ロットID],$B115,tbl_ledger[元状態],E$1),
_xlpm.受入+_xlpm.充当受入-_xlpm.払出))</f>
        <v/>
      </c>
      <c r="F115" s="8" t="str">
        <f>IF($B115="","",_xlfn.LET(
_xlpm.受入,SUMIFS(tbl_ledger[数量],tbl_ledger[ロットID],$B115,tbl_ledger[イベント種類],"アニール完了"),
_xlpm.充当受入,SUMIFS(tbl_ledger[数量],tbl_ledger[充当先ロットID],$B115,tbl_ledger[イベント種類],"充当",tbl_ledger[元状態],F$1),
_xlpm.払出,SUMIFS(tbl_ledger[数量],tbl_ledger[ロットID],$B115,tbl_ledger[元状態],F$1),
_xlpm.受入+_xlpm.充当受入-_xlpm.払出))</f>
        <v/>
      </c>
      <c r="G115" s="8" t="str">
        <f>IF($B115="","",_xlfn.LET(
_xlpm.受入,SUMIFS(tbl_ledger[数量],tbl_ledger[ロットID],$B115,tbl_ledger[イベント種類],"アセンブリ開始"),
_xlpm.充当受入,SUMIFS(tbl_ledger[数量],tbl_ledger[充当先ロットID],$B115,tbl_ledger[イベント種類],"充当",tbl_ledger[元状態],G$1),
_xlpm.払出,SUMIFS(tbl_ledger[数量],tbl_ledger[ロットID],$B115,tbl_ledger[元状態],G$1),
_xlpm.受入+_xlpm.充当受入-_xlpm.払出))</f>
        <v/>
      </c>
      <c r="H115" s="8" t="str">
        <f>IF($B115="","",_xlfn.LET(
_xlpm.受入,SUMIFS(tbl_ledger[数量],tbl_ledger[ロットID],$B115,tbl_ledger[イベント種類],"アセンブリ完了"),
_xlpm.充当受入,SUMIFS(tbl_ledger[数量],tbl_ledger[充当先ロットID],$B115,tbl_ledger[イベント種類],"充当",tbl_ledger[元状態],H$1),
_xlpm.払出,SUMIFS(tbl_ledger[数量],tbl_ledger[ロットID],$B115,tbl_ledger[元状態],H$1),
_xlpm.受入+_xlpm.充当受入-_xlpm.払出))</f>
        <v/>
      </c>
      <c r="I115" s="8" t="str">
        <f>IF($B115="","",_xlfn.LET(
_xlpm.受入,SUMIFS(tbl_ledger[数量],tbl_ledger[ロットID],$B115,tbl_ledger[イベント種類],"梱包開始"),
_xlpm.充当受入,SUMIFS(tbl_ledger[数量],tbl_ledger[充当先ロットID],$B115,tbl_ledger[イベント種類],"充当",tbl_ledger[元状態],I$1),
_xlpm.払出,SUMIFS(tbl_ledger[数量],tbl_ledger[ロットID],$B115,tbl_ledger[元状態],I$1),
_xlpm.受入+_xlpm.充当受入-_xlpm.払出))</f>
        <v/>
      </c>
      <c r="J115" s="8" t="str">
        <f>IF($B115="","",_xlfn.LET(
_xlpm.受入,SUMIFS(tbl_ledger[数量],tbl_ledger[ロットID],$B115,tbl_ledger[イベント種類],"梱包完了"),
_xlpm.充当受入,SUMIFS(tbl_ledger[数量],tbl_ledger[充当先ロットID],$B115,tbl_ledger[イベント種類],"充当",tbl_ledger[元状態],J$1),
_xlpm.払出,SUMIFS(tbl_ledger[数量],tbl_ledger[ロットID],$B115,tbl_ledger[元状態],J$1),
_xlpm.受入+_xlpm.充当受入-_xlpm.払出))</f>
        <v/>
      </c>
      <c r="K115" s="8" t="str">
        <f>IF($B115="","",_xlfn.LET(
_xlpm.受入,SUMIFS(tbl_ledger[数量],tbl_ledger[ロットID],$B115,tbl_ledger[イベント種類],"発送準備開始"),
_xlpm.充当受入,SUMIFS(tbl_ledger[数量],tbl_ledger[充当先ロットID],$B115,tbl_ledger[イベント種類],"充当",tbl_ledger[元状態],K$1),
_xlpm.払出,SUMIFS(tbl_ledger[数量],tbl_ledger[ロットID],$B115,tbl_ledger[元状態],K$1),
_xlpm.受入+_xlpm.充当受入-_xlpm.払出))</f>
        <v/>
      </c>
      <c r="L115" s="8" t="str">
        <f>IF($B115="","",_xlfn.LET(
_xlpm.受入,SUMIFS(tbl_ledger[数量],tbl_ledger[ロットID],$B115,tbl_ledger[イベント種類],"発送準備完了"),
_xlpm.充当受入,SUMIFS(tbl_ledger[数量],tbl_ledger[充当先ロットID],$B115,tbl_ledger[イベント種類],"充当",tbl_ledger[元状態],L$1),
_xlpm.払出,SUMIFS(tbl_ledger[数量],tbl_ledger[ロットID],$B115,tbl_ledger[元状態],L$1),
_xlpm.受入+_xlpm.充当受入-_xlpm.払出))</f>
        <v/>
      </c>
      <c r="M115" s="8" t="str">
        <f>IF($B115="","",_xlfn.LET(
_xlpm.受入,SUMIFS(tbl_ledger[数量],tbl_ledger[ロットID],$B115,tbl_ledger[イベント種類],"不良発生"),
_xlpm.充当受入,SUMIFS(tbl_ledger[数量],tbl_ledger[充当先ロットID],$B115,tbl_ledger[イベント種類],"充当",tbl_ledger[元状態],M$1),
_xlpm.払出,SUMIFS(tbl_ledger[数量],tbl_ledger[ロットID],$B115,tbl_ledger[元状態],M$1),
_xlpm.受入+_xlpm.充当受入-_xlpm.払出))</f>
        <v/>
      </c>
      <c r="N115" s="8" t="str">
        <f t="shared" si="3"/>
        <v/>
      </c>
    </row>
    <row r="116" spans="1:14" ht="15" customHeight="1" x14ac:dyDescent="0.25">
      <c r="A116" s="4" t="str">
        <f t="shared" si="2"/>
        <v/>
      </c>
      <c r="B116" s="4" t="str">
        <f>IFERROR(IF(COUNTIF($B$1:$B115,INDEX(tbl_plan[ロットID],ROW()-1))&gt;0,"",INDEX(tbl_plan[ロットID],ROW()-1)),"")</f>
        <v/>
      </c>
      <c r="C116" s="4" t="str">
        <f>IF($B116="","",INDEX(tbl_plan[localId],ROW()-1))</f>
        <v/>
      </c>
      <c r="D116" s="8" t="str">
        <f>IF($B116="","",_xlfn.LET(
_xlpm.割当受入,SUMIF(V_充足確認!$A$2:$A$301,$B116,V_充足確認!$F$2:$F$301),
_xlpm.充当受入,SUMIFS(tbl_ledger[数量],tbl_ledger[充当先ロットID],$B116,tbl_ledger[イベント種類],"充当",tbl_ledger[元状態],D$1),
_xlpm.払出,SUMIFS(tbl_ledger[数量],tbl_ledger[ロットID],$B116,tbl_ledger[元状態],D$1),
_xlpm.割当受入+_xlpm.充当受入-_xlpm.払出))</f>
        <v/>
      </c>
      <c r="E116" s="8" t="str">
        <f>IF($B116="","",_xlfn.LET(
_xlpm.受入,SUMIFS(tbl_ledger[数量],tbl_ledger[ロットID],$B116,tbl_ledger[イベント種類],"アニール開始"),
_xlpm.充当受入,SUMIFS(tbl_ledger[数量],tbl_ledger[充当先ロットID],$B116,tbl_ledger[イベント種類],"充当",tbl_ledger[元状態],E$1),
_xlpm.払出,SUMIFS(tbl_ledger[数量],tbl_ledger[ロットID],$B116,tbl_ledger[元状態],E$1),
_xlpm.受入+_xlpm.充当受入-_xlpm.払出))</f>
        <v/>
      </c>
      <c r="F116" s="8" t="str">
        <f>IF($B116="","",_xlfn.LET(
_xlpm.受入,SUMIFS(tbl_ledger[数量],tbl_ledger[ロットID],$B116,tbl_ledger[イベント種類],"アニール完了"),
_xlpm.充当受入,SUMIFS(tbl_ledger[数量],tbl_ledger[充当先ロットID],$B116,tbl_ledger[イベント種類],"充当",tbl_ledger[元状態],F$1),
_xlpm.払出,SUMIFS(tbl_ledger[数量],tbl_ledger[ロットID],$B116,tbl_ledger[元状態],F$1),
_xlpm.受入+_xlpm.充当受入-_xlpm.払出))</f>
        <v/>
      </c>
      <c r="G116" s="8" t="str">
        <f>IF($B116="","",_xlfn.LET(
_xlpm.受入,SUMIFS(tbl_ledger[数量],tbl_ledger[ロットID],$B116,tbl_ledger[イベント種類],"アセンブリ開始"),
_xlpm.充当受入,SUMIFS(tbl_ledger[数量],tbl_ledger[充当先ロットID],$B116,tbl_ledger[イベント種類],"充当",tbl_ledger[元状態],G$1),
_xlpm.払出,SUMIFS(tbl_ledger[数量],tbl_ledger[ロットID],$B116,tbl_ledger[元状態],G$1),
_xlpm.受入+_xlpm.充当受入-_xlpm.払出))</f>
        <v/>
      </c>
      <c r="H116" s="8" t="str">
        <f>IF($B116="","",_xlfn.LET(
_xlpm.受入,SUMIFS(tbl_ledger[数量],tbl_ledger[ロットID],$B116,tbl_ledger[イベント種類],"アセンブリ完了"),
_xlpm.充当受入,SUMIFS(tbl_ledger[数量],tbl_ledger[充当先ロットID],$B116,tbl_ledger[イベント種類],"充当",tbl_ledger[元状態],H$1),
_xlpm.払出,SUMIFS(tbl_ledger[数量],tbl_ledger[ロットID],$B116,tbl_ledger[元状態],H$1),
_xlpm.受入+_xlpm.充当受入-_xlpm.払出))</f>
        <v/>
      </c>
      <c r="I116" s="8" t="str">
        <f>IF($B116="","",_xlfn.LET(
_xlpm.受入,SUMIFS(tbl_ledger[数量],tbl_ledger[ロットID],$B116,tbl_ledger[イベント種類],"梱包開始"),
_xlpm.充当受入,SUMIFS(tbl_ledger[数量],tbl_ledger[充当先ロットID],$B116,tbl_ledger[イベント種類],"充当",tbl_ledger[元状態],I$1),
_xlpm.払出,SUMIFS(tbl_ledger[数量],tbl_ledger[ロットID],$B116,tbl_ledger[元状態],I$1),
_xlpm.受入+_xlpm.充当受入-_xlpm.払出))</f>
        <v/>
      </c>
      <c r="J116" s="8" t="str">
        <f>IF($B116="","",_xlfn.LET(
_xlpm.受入,SUMIFS(tbl_ledger[数量],tbl_ledger[ロットID],$B116,tbl_ledger[イベント種類],"梱包完了"),
_xlpm.充当受入,SUMIFS(tbl_ledger[数量],tbl_ledger[充当先ロットID],$B116,tbl_ledger[イベント種類],"充当",tbl_ledger[元状態],J$1),
_xlpm.払出,SUMIFS(tbl_ledger[数量],tbl_ledger[ロットID],$B116,tbl_ledger[元状態],J$1),
_xlpm.受入+_xlpm.充当受入-_xlpm.払出))</f>
        <v/>
      </c>
      <c r="K116" s="8" t="str">
        <f>IF($B116="","",_xlfn.LET(
_xlpm.受入,SUMIFS(tbl_ledger[数量],tbl_ledger[ロットID],$B116,tbl_ledger[イベント種類],"発送準備開始"),
_xlpm.充当受入,SUMIFS(tbl_ledger[数量],tbl_ledger[充当先ロットID],$B116,tbl_ledger[イベント種類],"充当",tbl_ledger[元状態],K$1),
_xlpm.払出,SUMIFS(tbl_ledger[数量],tbl_ledger[ロットID],$B116,tbl_ledger[元状態],K$1),
_xlpm.受入+_xlpm.充当受入-_xlpm.払出))</f>
        <v/>
      </c>
      <c r="L116" s="8" t="str">
        <f>IF($B116="","",_xlfn.LET(
_xlpm.受入,SUMIFS(tbl_ledger[数量],tbl_ledger[ロットID],$B116,tbl_ledger[イベント種類],"発送準備完了"),
_xlpm.充当受入,SUMIFS(tbl_ledger[数量],tbl_ledger[充当先ロットID],$B116,tbl_ledger[イベント種類],"充当",tbl_ledger[元状態],L$1),
_xlpm.払出,SUMIFS(tbl_ledger[数量],tbl_ledger[ロットID],$B116,tbl_ledger[元状態],L$1),
_xlpm.受入+_xlpm.充当受入-_xlpm.払出))</f>
        <v/>
      </c>
      <c r="M116" s="8" t="str">
        <f>IF($B116="","",_xlfn.LET(
_xlpm.受入,SUMIFS(tbl_ledger[数量],tbl_ledger[ロットID],$B116,tbl_ledger[イベント種類],"不良発生"),
_xlpm.充当受入,SUMIFS(tbl_ledger[数量],tbl_ledger[充当先ロットID],$B116,tbl_ledger[イベント種類],"充当",tbl_ledger[元状態],M$1),
_xlpm.払出,SUMIFS(tbl_ledger[数量],tbl_ledger[ロットID],$B116,tbl_ledger[元状態],M$1),
_xlpm.受入+_xlpm.充当受入-_xlpm.払出))</f>
        <v/>
      </c>
      <c r="N116" s="8" t="str">
        <f t="shared" si="3"/>
        <v/>
      </c>
    </row>
    <row r="117" spans="1:14" ht="15" customHeight="1" x14ac:dyDescent="0.25">
      <c r="A117" s="4" t="str">
        <f t="shared" si="2"/>
        <v/>
      </c>
      <c r="B117" s="4" t="str">
        <f>IFERROR(IF(COUNTIF($B$1:$B116,INDEX(tbl_plan[ロットID],ROW()-1))&gt;0,"",INDEX(tbl_plan[ロットID],ROW()-1)),"")</f>
        <v/>
      </c>
      <c r="C117" s="4" t="str">
        <f>IF($B117="","",INDEX(tbl_plan[localId],ROW()-1))</f>
        <v/>
      </c>
      <c r="D117" s="8" t="str">
        <f>IF($B117="","",_xlfn.LET(
_xlpm.割当受入,SUMIF(V_充足確認!$A$2:$A$301,$B117,V_充足確認!$F$2:$F$301),
_xlpm.充当受入,SUMIFS(tbl_ledger[数量],tbl_ledger[充当先ロットID],$B117,tbl_ledger[イベント種類],"充当",tbl_ledger[元状態],D$1),
_xlpm.払出,SUMIFS(tbl_ledger[数量],tbl_ledger[ロットID],$B117,tbl_ledger[元状態],D$1),
_xlpm.割当受入+_xlpm.充当受入-_xlpm.払出))</f>
        <v/>
      </c>
      <c r="E117" s="8" t="str">
        <f>IF($B117="","",_xlfn.LET(
_xlpm.受入,SUMIFS(tbl_ledger[数量],tbl_ledger[ロットID],$B117,tbl_ledger[イベント種類],"アニール開始"),
_xlpm.充当受入,SUMIFS(tbl_ledger[数量],tbl_ledger[充当先ロットID],$B117,tbl_ledger[イベント種類],"充当",tbl_ledger[元状態],E$1),
_xlpm.払出,SUMIFS(tbl_ledger[数量],tbl_ledger[ロットID],$B117,tbl_ledger[元状態],E$1),
_xlpm.受入+_xlpm.充当受入-_xlpm.払出))</f>
        <v/>
      </c>
      <c r="F117" s="8" t="str">
        <f>IF($B117="","",_xlfn.LET(
_xlpm.受入,SUMIFS(tbl_ledger[数量],tbl_ledger[ロットID],$B117,tbl_ledger[イベント種類],"アニール完了"),
_xlpm.充当受入,SUMIFS(tbl_ledger[数量],tbl_ledger[充当先ロットID],$B117,tbl_ledger[イベント種類],"充当",tbl_ledger[元状態],F$1),
_xlpm.払出,SUMIFS(tbl_ledger[数量],tbl_ledger[ロットID],$B117,tbl_ledger[元状態],F$1),
_xlpm.受入+_xlpm.充当受入-_xlpm.払出))</f>
        <v/>
      </c>
      <c r="G117" s="8" t="str">
        <f>IF($B117="","",_xlfn.LET(
_xlpm.受入,SUMIFS(tbl_ledger[数量],tbl_ledger[ロットID],$B117,tbl_ledger[イベント種類],"アセンブリ開始"),
_xlpm.充当受入,SUMIFS(tbl_ledger[数量],tbl_ledger[充当先ロットID],$B117,tbl_ledger[イベント種類],"充当",tbl_ledger[元状態],G$1),
_xlpm.払出,SUMIFS(tbl_ledger[数量],tbl_ledger[ロットID],$B117,tbl_ledger[元状態],G$1),
_xlpm.受入+_xlpm.充当受入-_xlpm.払出))</f>
        <v/>
      </c>
      <c r="H117" s="8" t="str">
        <f>IF($B117="","",_xlfn.LET(
_xlpm.受入,SUMIFS(tbl_ledger[数量],tbl_ledger[ロットID],$B117,tbl_ledger[イベント種類],"アセンブリ完了"),
_xlpm.充当受入,SUMIFS(tbl_ledger[数量],tbl_ledger[充当先ロットID],$B117,tbl_ledger[イベント種類],"充当",tbl_ledger[元状態],H$1),
_xlpm.払出,SUMIFS(tbl_ledger[数量],tbl_ledger[ロットID],$B117,tbl_ledger[元状態],H$1),
_xlpm.受入+_xlpm.充当受入-_xlpm.払出))</f>
        <v/>
      </c>
      <c r="I117" s="8" t="str">
        <f>IF($B117="","",_xlfn.LET(
_xlpm.受入,SUMIFS(tbl_ledger[数量],tbl_ledger[ロットID],$B117,tbl_ledger[イベント種類],"梱包開始"),
_xlpm.充当受入,SUMIFS(tbl_ledger[数量],tbl_ledger[充当先ロットID],$B117,tbl_ledger[イベント種類],"充当",tbl_ledger[元状態],I$1),
_xlpm.払出,SUMIFS(tbl_ledger[数量],tbl_ledger[ロットID],$B117,tbl_ledger[元状態],I$1),
_xlpm.受入+_xlpm.充当受入-_xlpm.払出))</f>
        <v/>
      </c>
      <c r="J117" s="8" t="str">
        <f>IF($B117="","",_xlfn.LET(
_xlpm.受入,SUMIFS(tbl_ledger[数量],tbl_ledger[ロットID],$B117,tbl_ledger[イベント種類],"梱包完了"),
_xlpm.充当受入,SUMIFS(tbl_ledger[数量],tbl_ledger[充当先ロットID],$B117,tbl_ledger[イベント種類],"充当",tbl_ledger[元状態],J$1),
_xlpm.払出,SUMIFS(tbl_ledger[数量],tbl_ledger[ロットID],$B117,tbl_ledger[元状態],J$1),
_xlpm.受入+_xlpm.充当受入-_xlpm.払出))</f>
        <v/>
      </c>
      <c r="K117" s="8" t="str">
        <f>IF($B117="","",_xlfn.LET(
_xlpm.受入,SUMIFS(tbl_ledger[数量],tbl_ledger[ロットID],$B117,tbl_ledger[イベント種類],"発送準備開始"),
_xlpm.充当受入,SUMIFS(tbl_ledger[数量],tbl_ledger[充当先ロットID],$B117,tbl_ledger[イベント種類],"充当",tbl_ledger[元状態],K$1),
_xlpm.払出,SUMIFS(tbl_ledger[数量],tbl_ledger[ロットID],$B117,tbl_ledger[元状態],K$1),
_xlpm.受入+_xlpm.充当受入-_xlpm.払出))</f>
        <v/>
      </c>
      <c r="L117" s="8" t="str">
        <f>IF($B117="","",_xlfn.LET(
_xlpm.受入,SUMIFS(tbl_ledger[数量],tbl_ledger[ロットID],$B117,tbl_ledger[イベント種類],"発送準備完了"),
_xlpm.充当受入,SUMIFS(tbl_ledger[数量],tbl_ledger[充当先ロットID],$B117,tbl_ledger[イベント種類],"充当",tbl_ledger[元状態],L$1),
_xlpm.払出,SUMIFS(tbl_ledger[数量],tbl_ledger[ロットID],$B117,tbl_ledger[元状態],L$1),
_xlpm.受入+_xlpm.充当受入-_xlpm.払出))</f>
        <v/>
      </c>
      <c r="M117" s="8" t="str">
        <f>IF($B117="","",_xlfn.LET(
_xlpm.受入,SUMIFS(tbl_ledger[数量],tbl_ledger[ロットID],$B117,tbl_ledger[イベント種類],"不良発生"),
_xlpm.充当受入,SUMIFS(tbl_ledger[数量],tbl_ledger[充当先ロットID],$B117,tbl_ledger[イベント種類],"充当",tbl_ledger[元状態],M$1),
_xlpm.払出,SUMIFS(tbl_ledger[数量],tbl_ledger[ロットID],$B117,tbl_ledger[元状態],M$1),
_xlpm.受入+_xlpm.充当受入-_xlpm.払出))</f>
        <v/>
      </c>
      <c r="N117" s="8" t="str">
        <f t="shared" si="3"/>
        <v/>
      </c>
    </row>
    <row r="118" spans="1:14" ht="15" customHeight="1" x14ac:dyDescent="0.25">
      <c r="A118" s="4" t="str">
        <f t="shared" si="2"/>
        <v/>
      </c>
      <c r="B118" s="4" t="str">
        <f>IFERROR(IF(COUNTIF($B$1:$B117,INDEX(tbl_plan[ロットID],ROW()-1))&gt;0,"",INDEX(tbl_plan[ロットID],ROW()-1)),"")</f>
        <v/>
      </c>
      <c r="C118" s="4" t="str">
        <f>IF($B118="","",INDEX(tbl_plan[localId],ROW()-1))</f>
        <v/>
      </c>
      <c r="D118" s="8" t="str">
        <f>IF($B118="","",_xlfn.LET(
_xlpm.割当受入,SUMIF(V_充足確認!$A$2:$A$301,$B118,V_充足確認!$F$2:$F$301),
_xlpm.充当受入,SUMIFS(tbl_ledger[数量],tbl_ledger[充当先ロットID],$B118,tbl_ledger[イベント種類],"充当",tbl_ledger[元状態],D$1),
_xlpm.払出,SUMIFS(tbl_ledger[数量],tbl_ledger[ロットID],$B118,tbl_ledger[元状態],D$1),
_xlpm.割当受入+_xlpm.充当受入-_xlpm.払出))</f>
        <v/>
      </c>
      <c r="E118" s="8" t="str">
        <f>IF($B118="","",_xlfn.LET(
_xlpm.受入,SUMIFS(tbl_ledger[数量],tbl_ledger[ロットID],$B118,tbl_ledger[イベント種類],"アニール開始"),
_xlpm.充当受入,SUMIFS(tbl_ledger[数量],tbl_ledger[充当先ロットID],$B118,tbl_ledger[イベント種類],"充当",tbl_ledger[元状態],E$1),
_xlpm.払出,SUMIFS(tbl_ledger[数量],tbl_ledger[ロットID],$B118,tbl_ledger[元状態],E$1),
_xlpm.受入+_xlpm.充当受入-_xlpm.払出))</f>
        <v/>
      </c>
      <c r="F118" s="8" t="str">
        <f>IF($B118="","",_xlfn.LET(
_xlpm.受入,SUMIFS(tbl_ledger[数量],tbl_ledger[ロットID],$B118,tbl_ledger[イベント種類],"アニール完了"),
_xlpm.充当受入,SUMIFS(tbl_ledger[数量],tbl_ledger[充当先ロットID],$B118,tbl_ledger[イベント種類],"充当",tbl_ledger[元状態],F$1),
_xlpm.払出,SUMIFS(tbl_ledger[数量],tbl_ledger[ロットID],$B118,tbl_ledger[元状態],F$1),
_xlpm.受入+_xlpm.充当受入-_xlpm.払出))</f>
        <v/>
      </c>
      <c r="G118" s="8" t="str">
        <f>IF($B118="","",_xlfn.LET(
_xlpm.受入,SUMIFS(tbl_ledger[数量],tbl_ledger[ロットID],$B118,tbl_ledger[イベント種類],"アセンブリ開始"),
_xlpm.充当受入,SUMIFS(tbl_ledger[数量],tbl_ledger[充当先ロットID],$B118,tbl_ledger[イベント種類],"充当",tbl_ledger[元状態],G$1),
_xlpm.払出,SUMIFS(tbl_ledger[数量],tbl_ledger[ロットID],$B118,tbl_ledger[元状態],G$1),
_xlpm.受入+_xlpm.充当受入-_xlpm.払出))</f>
        <v/>
      </c>
      <c r="H118" s="8" t="str">
        <f>IF($B118="","",_xlfn.LET(
_xlpm.受入,SUMIFS(tbl_ledger[数量],tbl_ledger[ロットID],$B118,tbl_ledger[イベント種類],"アセンブリ完了"),
_xlpm.充当受入,SUMIFS(tbl_ledger[数量],tbl_ledger[充当先ロットID],$B118,tbl_ledger[イベント種類],"充当",tbl_ledger[元状態],H$1),
_xlpm.払出,SUMIFS(tbl_ledger[数量],tbl_ledger[ロットID],$B118,tbl_ledger[元状態],H$1),
_xlpm.受入+_xlpm.充当受入-_xlpm.払出))</f>
        <v/>
      </c>
      <c r="I118" s="8" t="str">
        <f>IF($B118="","",_xlfn.LET(
_xlpm.受入,SUMIFS(tbl_ledger[数量],tbl_ledger[ロットID],$B118,tbl_ledger[イベント種類],"梱包開始"),
_xlpm.充当受入,SUMIFS(tbl_ledger[数量],tbl_ledger[充当先ロットID],$B118,tbl_ledger[イベント種類],"充当",tbl_ledger[元状態],I$1),
_xlpm.払出,SUMIFS(tbl_ledger[数量],tbl_ledger[ロットID],$B118,tbl_ledger[元状態],I$1),
_xlpm.受入+_xlpm.充当受入-_xlpm.払出))</f>
        <v/>
      </c>
      <c r="J118" s="8" t="str">
        <f>IF($B118="","",_xlfn.LET(
_xlpm.受入,SUMIFS(tbl_ledger[数量],tbl_ledger[ロットID],$B118,tbl_ledger[イベント種類],"梱包完了"),
_xlpm.充当受入,SUMIFS(tbl_ledger[数量],tbl_ledger[充当先ロットID],$B118,tbl_ledger[イベント種類],"充当",tbl_ledger[元状態],J$1),
_xlpm.払出,SUMIFS(tbl_ledger[数量],tbl_ledger[ロットID],$B118,tbl_ledger[元状態],J$1),
_xlpm.受入+_xlpm.充当受入-_xlpm.払出))</f>
        <v/>
      </c>
      <c r="K118" s="8" t="str">
        <f>IF($B118="","",_xlfn.LET(
_xlpm.受入,SUMIFS(tbl_ledger[数量],tbl_ledger[ロットID],$B118,tbl_ledger[イベント種類],"発送準備開始"),
_xlpm.充当受入,SUMIFS(tbl_ledger[数量],tbl_ledger[充当先ロットID],$B118,tbl_ledger[イベント種類],"充当",tbl_ledger[元状態],K$1),
_xlpm.払出,SUMIFS(tbl_ledger[数量],tbl_ledger[ロットID],$B118,tbl_ledger[元状態],K$1),
_xlpm.受入+_xlpm.充当受入-_xlpm.払出))</f>
        <v/>
      </c>
      <c r="L118" s="8" t="str">
        <f>IF($B118="","",_xlfn.LET(
_xlpm.受入,SUMIFS(tbl_ledger[数量],tbl_ledger[ロットID],$B118,tbl_ledger[イベント種類],"発送準備完了"),
_xlpm.充当受入,SUMIFS(tbl_ledger[数量],tbl_ledger[充当先ロットID],$B118,tbl_ledger[イベント種類],"充当",tbl_ledger[元状態],L$1),
_xlpm.払出,SUMIFS(tbl_ledger[数量],tbl_ledger[ロットID],$B118,tbl_ledger[元状態],L$1),
_xlpm.受入+_xlpm.充当受入-_xlpm.払出))</f>
        <v/>
      </c>
      <c r="M118" s="8" t="str">
        <f>IF($B118="","",_xlfn.LET(
_xlpm.受入,SUMIFS(tbl_ledger[数量],tbl_ledger[ロットID],$B118,tbl_ledger[イベント種類],"不良発生"),
_xlpm.充当受入,SUMIFS(tbl_ledger[数量],tbl_ledger[充当先ロットID],$B118,tbl_ledger[イベント種類],"充当",tbl_ledger[元状態],M$1),
_xlpm.払出,SUMIFS(tbl_ledger[数量],tbl_ledger[ロットID],$B118,tbl_ledger[元状態],M$1),
_xlpm.受入+_xlpm.充当受入-_xlpm.払出))</f>
        <v/>
      </c>
      <c r="N118" s="8" t="str">
        <f t="shared" si="3"/>
        <v/>
      </c>
    </row>
    <row r="119" spans="1:14" ht="15" customHeight="1" x14ac:dyDescent="0.25">
      <c r="A119" s="4" t="str">
        <f t="shared" si="2"/>
        <v/>
      </c>
      <c r="B119" s="4" t="str">
        <f>IFERROR(IF(COUNTIF($B$1:$B118,INDEX(tbl_plan[ロットID],ROW()-1))&gt;0,"",INDEX(tbl_plan[ロットID],ROW()-1)),"")</f>
        <v/>
      </c>
      <c r="C119" s="4" t="str">
        <f>IF($B119="","",INDEX(tbl_plan[localId],ROW()-1))</f>
        <v/>
      </c>
      <c r="D119" s="8" t="str">
        <f>IF($B119="","",_xlfn.LET(
_xlpm.割当受入,SUMIF(V_充足確認!$A$2:$A$301,$B119,V_充足確認!$F$2:$F$301),
_xlpm.充当受入,SUMIFS(tbl_ledger[数量],tbl_ledger[充当先ロットID],$B119,tbl_ledger[イベント種類],"充当",tbl_ledger[元状態],D$1),
_xlpm.払出,SUMIFS(tbl_ledger[数量],tbl_ledger[ロットID],$B119,tbl_ledger[元状態],D$1),
_xlpm.割当受入+_xlpm.充当受入-_xlpm.払出))</f>
        <v/>
      </c>
      <c r="E119" s="8" t="str">
        <f>IF($B119="","",_xlfn.LET(
_xlpm.受入,SUMIFS(tbl_ledger[数量],tbl_ledger[ロットID],$B119,tbl_ledger[イベント種類],"アニール開始"),
_xlpm.充当受入,SUMIFS(tbl_ledger[数量],tbl_ledger[充当先ロットID],$B119,tbl_ledger[イベント種類],"充当",tbl_ledger[元状態],E$1),
_xlpm.払出,SUMIFS(tbl_ledger[数量],tbl_ledger[ロットID],$B119,tbl_ledger[元状態],E$1),
_xlpm.受入+_xlpm.充当受入-_xlpm.払出))</f>
        <v/>
      </c>
      <c r="F119" s="8" t="str">
        <f>IF($B119="","",_xlfn.LET(
_xlpm.受入,SUMIFS(tbl_ledger[数量],tbl_ledger[ロットID],$B119,tbl_ledger[イベント種類],"アニール完了"),
_xlpm.充当受入,SUMIFS(tbl_ledger[数量],tbl_ledger[充当先ロットID],$B119,tbl_ledger[イベント種類],"充当",tbl_ledger[元状態],F$1),
_xlpm.払出,SUMIFS(tbl_ledger[数量],tbl_ledger[ロットID],$B119,tbl_ledger[元状態],F$1),
_xlpm.受入+_xlpm.充当受入-_xlpm.払出))</f>
        <v/>
      </c>
      <c r="G119" s="8" t="str">
        <f>IF($B119="","",_xlfn.LET(
_xlpm.受入,SUMIFS(tbl_ledger[数量],tbl_ledger[ロットID],$B119,tbl_ledger[イベント種類],"アセンブリ開始"),
_xlpm.充当受入,SUMIFS(tbl_ledger[数量],tbl_ledger[充当先ロットID],$B119,tbl_ledger[イベント種類],"充当",tbl_ledger[元状態],G$1),
_xlpm.払出,SUMIFS(tbl_ledger[数量],tbl_ledger[ロットID],$B119,tbl_ledger[元状態],G$1),
_xlpm.受入+_xlpm.充当受入-_xlpm.払出))</f>
        <v/>
      </c>
      <c r="H119" s="8" t="str">
        <f>IF($B119="","",_xlfn.LET(
_xlpm.受入,SUMIFS(tbl_ledger[数量],tbl_ledger[ロットID],$B119,tbl_ledger[イベント種類],"アセンブリ完了"),
_xlpm.充当受入,SUMIFS(tbl_ledger[数量],tbl_ledger[充当先ロットID],$B119,tbl_ledger[イベント種類],"充当",tbl_ledger[元状態],H$1),
_xlpm.払出,SUMIFS(tbl_ledger[数量],tbl_ledger[ロットID],$B119,tbl_ledger[元状態],H$1),
_xlpm.受入+_xlpm.充当受入-_xlpm.払出))</f>
        <v/>
      </c>
      <c r="I119" s="8" t="str">
        <f>IF($B119="","",_xlfn.LET(
_xlpm.受入,SUMIFS(tbl_ledger[数量],tbl_ledger[ロットID],$B119,tbl_ledger[イベント種類],"梱包開始"),
_xlpm.充当受入,SUMIFS(tbl_ledger[数量],tbl_ledger[充当先ロットID],$B119,tbl_ledger[イベント種類],"充当",tbl_ledger[元状態],I$1),
_xlpm.払出,SUMIFS(tbl_ledger[数量],tbl_ledger[ロットID],$B119,tbl_ledger[元状態],I$1),
_xlpm.受入+_xlpm.充当受入-_xlpm.払出))</f>
        <v/>
      </c>
      <c r="J119" s="8" t="str">
        <f>IF($B119="","",_xlfn.LET(
_xlpm.受入,SUMIFS(tbl_ledger[数量],tbl_ledger[ロットID],$B119,tbl_ledger[イベント種類],"梱包完了"),
_xlpm.充当受入,SUMIFS(tbl_ledger[数量],tbl_ledger[充当先ロットID],$B119,tbl_ledger[イベント種類],"充当",tbl_ledger[元状態],J$1),
_xlpm.払出,SUMIFS(tbl_ledger[数量],tbl_ledger[ロットID],$B119,tbl_ledger[元状態],J$1),
_xlpm.受入+_xlpm.充当受入-_xlpm.払出))</f>
        <v/>
      </c>
      <c r="K119" s="8" t="str">
        <f>IF($B119="","",_xlfn.LET(
_xlpm.受入,SUMIFS(tbl_ledger[数量],tbl_ledger[ロットID],$B119,tbl_ledger[イベント種類],"発送準備開始"),
_xlpm.充当受入,SUMIFS(tbl_ledger[数量],tbl_ledger[充当先ロットID],$B119,tbl_ledger[イベント種類],"充当",tbl_ledger[元状態],K$1),
_xlpm.払出,SUMIFS(tbl_ledger[数量],tbl_ledger[ロットID],$B119,tbl_ledger[元状態],K$1),
_xlpm.受入+_xlpm.充当受入-_xlpm.払出))</f>
        <v/>
      </c>
      <c r="L119" s="8" t="str">
        <f>IF($B119="","",_xlfn.LET(
_xlpm.受入,SUMIFS(tbl_ledger[数量],tbl_ledger[ロットID],$B119,tbl_ledger[イベント種類],"発送準備完了"),
_xlpm.充当受入,SUMIFS(tbl_ledger[数量],tbl_ledger[充当先ロットID],$B119,tbl_ledger[イベント種類],"充当",tbl_ledger[元状態],L$1),
_xlpm.払出,SUMIFS(tbl_ledger[数量],tbl_ledger[ロットID],$B119,tbl_ledger[元状態],L$1),
_xlpm.受入+_xlpm.充当受入-_xlpm.払出))</f>
        <v/>
      </c>
      <c r="M119" s="8" t="str">
        <f>IF($B119="","",_xlfn.LET(
_xlpm.受入,SUMIFS(tbl_ledger[数量],tbl_ledger[ロットID],$B119,tbl_ledger[イベント種類],"不良発生"),
_xlpm.充当受入,SUMIFS(tbl_ledger[数量],tbl_ledger[充当先ロットID],$B119,tbl_ledger[イベント種類],"充当",tbl_ledger[元状態],M$1),
_xlpm.払出,SUMIFS(tbl_ledger[数量],tbl_ledger[ロットID],$B119,tbl_ledger[元状態],M$1),
_xlpm.受入+_xlpm.充当受入-_xlpm.払出))</f>
        <v/>
      </c>
      <c r="N119" s="8" t="str">
        <f t="shared" si="3"/>
        <v/>
      </c>
    </row>
    <row r="120" spans="1:14" ht="15" customHeight="1" x14ac:dyDescent="0.25">
      <c r="A120" s="4" t="str">
        <f t="shared" si="2"/>
        <v/>
      </c>
      <c r="B120" s="4" t="str">
        <f>IFERROR(IF(COUNTIF($B$1:$B119,INDEX(tbl_plan[ロットID],ROW()-1))&gt;0,"",INDEX(tbl_plan[ロットID],ROW()-1)),"")</f>
        <v/>
      </c>
      <c r="C120" s="4" t="str">
        <f>IF($B120="","",INDEX(tbl_plan[localId],ROW()-1))</f>
        <v/>
      </c>
      <c r="D120" s="8" t="str">
        <f>IF($B120="","",_xlfn.LET(
_xlpm.割当受入,SUMIF(V_充足確認!$A$2:$A$301,$B120,V_充足確認!$F$2:$F$301),
_xlpm.充当受入,SUMIFS(tbl_ledger[数量],tbl_ledger[充当先ロットID],$B120,tbl_ledger[イベント種類],"充当",tbl_ledger[元状態],D$1),
_xlpm.払出,SUMIFS(tbl_ledger[数量],tbl_ledger[ロットID],$B120,tbl_ledger[元状態],D$1),
_xlpm.割当受入+_xlpm.充当受入-_xlpm.払出))</f>
        <v/>
      </c>
      <c r="E120" s="8" t="str">
        <f>IF($B120="","",_xlfn.LET(
_xlpm.受入,SUMIFS(tbl_ledger[数量],tbl_ledger[ロットID],$B120,tbl_ledger[イベント種類],"アニール開始"),
_xlpm.充当受入,SUMIFS(tbl_ledger[数量],tbl_ledger[充当先ロットID],$B120,tbl_ledger[イベント種類],"充当",tbl_ledger[元状態],E$1),
_xlpm.払出,SUMIFS(tbl_ledger[数量],tbl_ledger[ロットID],$B120,tbl_ledger[元状態],E$1),
_xlpm.受入+_xlpm.充当受入-_xlpm.払出))</f>
        <v/>
      </c>
      <c r="F120" s="8" t="str">
        <f>IF($B120="","",_xlfn.LET(
_xlpm.受入,SUMIFS(tbl_ledger[数量],tbl_ledger[ロットID],$B120,tbl_ledger[イベント種類],"アニール完了"),
_xlpm.充当受入,SUMIFS(tbl_ledger[数量],tbl_ledger[充当先ロットID],$B120,tbl_ledger[イベント種類],"充当",tbl_ledger[元状態],F$1),
_xlpm.払出,SUMIFS(tbl_ledger[数量],tbl_ledger[ロットID],$B120,tbl_ledger[元状態],F$1),
_xlpm.受入+_xlpm.充当受入-_xlpm.払出))</f>
        <v/>
      </c>
      <c r="G120" s="8" t="str">
        <f>IF($B120="","",_xlfn.LET(
_xlpm.受入,SUMIFS(tbl_ledger[数量],tbl_ledger[ロットID],$B120,tbl_ledger[イベント種類],"アセンブリ開始"),
_xlpm.充当受入,SUMIFS(tbl_ledger[数量],tbl_ledger[充当先ロットID],$B120,tbl_ledger[イベント種類],"充当",tbl_ledger[元状態],G$1),
_xlpm.払出,SUMIFS(tbl_ledger[数量],tbl_ledger[ロットID],$B120,tbl_ledger[元状態],G$1),
_xlpm.受入+_xlpm.充当受入-_xlpm.払出))</f>
        <v/>
      </c>
      <c r="H120" s="8" t="str">
        <f>IF($B120="","",_xlfn.LET(
_xlpm.受入,SUMIFS(tbl_ledger[数量],tbl_ledger[ロットID],$B120,tbl_ledger[イベント種類],"アセンブリ完了"),
_xlpm.充当受入,SUMIFS(tbl_ledger[数量],tbl_ledger[充当先ロットID],$B120,tbl_ledger[イベント種類],"充当",tbl_ledger[元状態],H$1),
_xlpm.払出,SUMIFS(tbl_ledger[数量],tbl_ledger[ロットID],$B120,tbl_ledger[元状態],H$1),
_xlpm.受入+_xlpm.充当受入-_xlpm.払出))</f>
        <v/>
      </c>
      <c r="I120" s="8" t="str">
        <f>IF($B120="","",_xlfn.LET(
_xlpm.受入,SUMIFS(tbl_ledger[数量],tbl_ledger[ロットID],$B120,tbl_ledger[イベント種類],"梱包開始"),
_xlpm.充当受入,SUMIFS(tbl_ledger[数量],tbl_ledger[充当先ロットID],$B120,tbl_ledger[イベント種類],"充当",tbl_ledger[元状態],I$1),
_xlpm.払出,SUMIFS(tbl_ledger[数量],tbl_ledger[ロットID],$B120,tbl_ledger[元状態],I$1),
_xlpm.受入+_xlpm.充当受入-_xlpm.払出))</f>
        <v/>
      </c>
      <c r="J120" s="8" t="str">
        <f>IF($B120="","",_xlfn.LET(
_xlpm.受入,SUMIFS(tbl_ledger[数量],tbl_ledger[ロットID],$B120,tbl_ledger[イベント種類],"梱包完了"),
_xlpm.充当受入,SUMIFS(tbl_ledger[数量],tbl_ledger[充当先ロットID],$B120,tbl_ledger[イベント種類],"充当",tbl_ledger[元状態],J$1),
_xlpm.払出,SUMIFS(tbl_ledger[数量],tbl_ledger[ロットID],$B120,tbl_ledger[元状態],J$1),
_xlpm.受入+_xlpm.充当受入-_xlpm.払出))</f>
        <v/>
      </c>
      <c r="K120" s="8" t="str">
        <f>IF($B120="","",_xlfn.LET(
_xlpm.受入,SUMIFS(tbl_ledger[数量],tbl_ledger[ロットID],$B120,tbl_ledger[イベント種類],"発送準備開始"),
_xlpm.充当受入,SUMIFS(tbl_ledger[数量],tbl_ledger[充当先ロットID],$B120,tbl_ledger[イベント種類],"充当",tbl_ledger[元状態],K$1),
_xlpm.払出,SUMIFS(tbl_ledger[数量],tbl_ledger[ロットID],$B120,tbl_ledger[元状態],K$1),
_xlpm.受入+_xlpm.充当受入-_xlpm.払出))</f>
        <v/>
      </c>
      <c r="L120" s="8" t="str">
        <f>IF($B120="","",_xlfn.LET(
_xlpm.受入,SUMIFS(tbl_ledger[数量],tbl_ledger[ロットID],$B120,tbl_ledger[イベント種類],"発送準備完了"),
_xlpm.充当受入,SUMIFS(tbl_ledger[数量],tbl_ledger[充当先ロットID],$B120,tbl_ledger[イベント種類],"充当",tbl_ledger[元状態],L$1),
_xlpm.払出,SUMIFS(tbl_ledger[数量],tbl_ledger[ロットID],$B120,tbl_ledger[元状態],L$1),
_xlpm.受入+_xlpm.充当受入-_xlpm.払出))</f>
        <v/>
      </c>
      <c r="M120" s="8" t="str">
        <f>IF($B120="","",_xlfn.LET(
_xlpm.受入,SUMIFS(tbl_ledger[数量],tbl_ledger[ロットID],$B120,tbl_ledger[イベント種類],"不良発生"),
_xlpm.充当受入,SUMIFS(tbl_ledger[数量],tbl_ledger[充当先ロットID],$B120,tbl_ledger[イベント種類],"充当",tbl_ledger[元状態],M$1),
_xlpm.払出,SUMIFS(tbl_ledger[数量],tbl_ledger[ロットID],$B120,tbl_ledger[元状態],M$1),
_xlpm.受入+_xlpm.充当受入-_xlpm.払出))</f>
        <v/>
      </c>
      <c r="N120" s="8" t="str">
        <f t="shared" si="3"/>
        <v/>
      </c>
    </row>
    <row r="121" spans="1:14" ht="15" customHeight="1" x14ac:dyDescent="0.25">
      <c r="A121" s="4" t="str">
        <f t="shared" si="2"/>
        <v/>
      </c>
      <c r="B121" s="4" t="str">
        <f>IFERROR(IF(COUNTIF($B$1:$B120,INDEX(tbl_plan[ロットID],ROW()-1))&gt;0,"",INDEX(tbl_plan[ロットID],ROW()-1)),"")</f>
        <v/>
      </c>
      <c r="C121" s="4" t="str">
        <f>IF($B121="","",INDEX(tbl_plan[localId],ROW()-1))</f>
        <v/>
      </c>
      <c r="D121" s="8" t="str">
        <f>IF($B121="","",_xlfn.LET(
_xlpm.割当受入,SUMIF(V_充足確認!$A$2:$A$301,$B121,V_充足確認!$F$2:$F$301),
_xlpm.充当受入,SUMIFS(tbl_ledger[数量],tbl_ledger[充当先ロットID],$B121,tbl_ledger[イベント種類],"充当",tbl_ledger[元状態],D$1),
_xlpm.払出,SUMIFS(tbl_ledger[数量],tbl_ledger[ロットID],$B121,tbl_ledger[元状態],D$1),
_xlpm.割当受入+_xlpm.充当受入-_xlpm.払出))</f>
        <v/>
      </c>
      <c r="E121" s="8" t="str">
        <f>IF($B121="","",_xlfn.LET(
_xlpm.受入,SUMIFS(tbl_ledger[数量],tbl_ledger[ロットID],$B121,tbl_ledger[イベント種類],"アニール開始"),
_xlpm.充当受入,SUMIFS(tbl_ledger[数量],tbl_ledger[充当先ロットID],$B121,tbl_ledger[イベント種類],"充当",tbl_ledger[元状態],E$1),
_xlpm.払出,SUMIFS(tbl_ledger[数量],tbl_ledger[ロットID],$B121,tbl_ledger[元状態],E$1),
_xlpm.受入+_xlpm.充当受入-_xlpm.払出))</f>
        <v/>
      </c>
      <c r="F121" s="8" t="str">
        <f>IF($B121="","",_xlfn.LET(
_xlpm.受入,SUMIFS(tbl_ledger[数量],tbl_ledger[ロットID],$B121,tbl_ledger[イベント種類],"アニール完了"),
_xlpm.充当受入,SUMIFS(tbl_ledger[数量],tbl_ledger[充当先ロットID],$B121,tbl_ledger[イベント種類],"充当",tbl_ledger[元状態],F$1),
_xlpm.払出,SUMIFS(tbl_ledger[数量],tbl_ledger[ロットID],$B121,tbl_ledger[元状態],F$1),
_xlpm.受入+_xlpm.充当受入-_xlpm.払出))</f>
        <v/>
      </c>
      <c r="G121" s="8" t="str">
        <f>IF($B121="","",_xlfn.LET(
_xlpm.受入,SUMIFS(tbl_ledger[数量],tbl_ledger[ロットID],$B121,tbl_ledger[イベント種類],"アセンブリ開始"),
_xlpm.充当受入,SUMIFS(tbl_ledger[数量],tbl_ledger[充当先ロットID],$B121,tbl_ledger[イベント種類],"充当",tbl_ledger[元状態],G$1),
_xlpm.払出,SUMIFS(tbl_ledger[数量],tbl_ledger[ロットID],$B121,tbl_ledger[元状態],G$1),
_xlpm.受入+_xlpm.充当受入-_xlpm.払出))</f>
        <v/>
      </c>
      <c r="H121" s="8" t="str">
        <f>IF($B121="","",_xlfn.LET(
_xlpm.受入,SUMIFS(tbl_ledger[数量],tbl_ledger[ロットID],$B121,tbl_ledger[イベント種類],"アセンブリ完了"),
_xlpm.充当受入,SUMIFS(tbl_ledger[数量],tbl_ledger[充当先ロットID],$B121,tbl_ledger[イベント種類],"充当",tbl_ledger[元状態],H$1),
_xlpm.払出,SUMIFS(tbl_ledger[数量],tbl_ledger[ロットID],$B121,tbl_ledger[元状態],H$1),
_xlpm.受入+_xlpm.充当受入-_xlpm.払出))</f>
        <v/>
      </c>
      <c r="I121" s="8" t="str">
        <f>IF($B121="","",_xlfn.LET(
_xlpm.受入,SUMIFS(tbl_ledger[数量],tbl_ledger[ロットID],$B121,tbl_ledger[イベント種類],"梱包開始"),
_xlpm.充当受入,SUMIFS(tbl_ledger[数量],tbl_ledger[充当先ロットID],$B121,tbl_ledger[イベント種類],"充当",tbl_ledger[元状態],I$1),
_xlpm.払出,SUMIFS(tbl_ledger[数量],tbl_ledger[ロットID],$B121,tbl_ledger[元状態],I$1),
_xlpm.受入+_xlpm.充当受入-_xlpm.払出))</f>
        <v/>
      </c>
      <c r="J121" s="8" t="str">
        <f>IF($B121="","",_xlfn.LET(
_xlpm.受入,SUMIFS(tbl_ledger[数量],tbl_ledger[ロットID],$B121,tbl_ledger[イベント種類],"梱包完了"),
_xlpm.充当受入,SUMIFS(tbl_ledger[数量],tbl_ledger[充当先ロットID],$B121,tbl_ledger[イベント種類],"充当",tbl_ledger[元状態],J$1),
_xlpm.払出,SUMIFS(tbl_ledger[数量],tbl_ledger[ロットID],$B121,tbl_ledger[元状態],J$1),
_xlpm.受入+_xlpm.充当受入-_xlpm.払出))</f>
        <v/>
      </c>
      <c r="K121" s="8" t="str">
        <f>IF($B121="","",_xlfn.LET(
_xlpm.受入,SUMIFS(tbl_ledger[数量],tbl_ledger[ロットID],$B121,tbl_ledger[イベント種類],"発送準備開始"),
_xlpm.充当受入,SUMIFS(tbl_ledger[数量],tbl_ledger[充当先ロットID],$B121,tbl_ledger[イベント種類],"充当",tbl_ledger[元状態],K$1),
_xlpm.払出,SUMIFS(tbl_ledger[数量],tbl_ledger[ロットID],$B121,tbl_ledger[元状態],K$1),
_xlpm.受入+_xlpm.充当受入-_xlpm.払出))</f>
        <v/>
      </c>
      <c r="L121" s="8" t="str">
        <f>IF($B121="","",_xlfn.LET(
_xlpm.受入,SUMIFS(tbl_ledger[数量],tbl_ledger[ロットID],$B121,tbl_ledger[イベント種類],"発送準備完了"),
_xlpm.充当受入,SUMIFS(tbl_ledger[数量],tbl_ledger[充当先ロットID],$B121,tbl_ledger[イベント種類],"充当",tbl_ledger[元状態],L$1),
_xlpm.払出,SUMIFS(tbl_ledger[数量],tbl_ledger[ロットID],$B121,tbl_ledger[元状態],L$1),
_xlpm.受入+_xlpm.充当受入-_xlpm.払出))</f>
        <v/>
      </c>
      <c r="M121" s="8" t="str">
        <f>IF($B121="","",_xlfn.LET(
_xlpm.受入,SUMIFS(tbl_ledger[数量],tbl_ledger[ロットID],$B121,tbl_ledger[イベント種類],"不良発生"),
_xlpm.充当受入,SUMIFS(tbl_ledger[数量],tbl_ledger[充当先ロットID],$B121,tbl_ledger[イベント種類],"充当",tbl_ledger[元状態],M$1),
_xlpm.払出,SUMIFS(tbl_ledger[数量],tbl_ledger[ロットID],$B121,tbl_ledger[元状態],M$1),
_xlpm.受入+_xlpm.充当受入-_xlpm.払出))</f>
        <v/>
      </c>
      <c r="N121" s="8" t="str">
        <f t="shared" si="3"/>
        <v/>
      </c>
    </row>
    <row r="122" spans="1:14" ht="15" customHeight="1" x14ac:dyDescent="0.25">
      <c r="A122" s="4" t="str">
        <f t="shared" si="2"/>
        <v/>
      </c>
      <c r="B122" s="4" t="str">
        <f>IFERROR(IF(COUNTIF($B$1:$B121,INDEX(tbl_plan[ロットID],ROW()-1))&gt;0,"",INDEX(tbl_plan[ロットID],ROW()-1)),"")</f>
        <v/>
      </c>
      <c r="C122" s="4" t="str">
        <f>IF($B122="","",INDEX(tbl_plan[localId],ROW()-1))</f>
        <v/>
      </c>
      <c r="D122" s="8" t="str">
        <f>IF($B122="","",_xlfn.LET(
_xlpm.割当受入,SUMIF(V_充足確認!$A$2:$A$301,$B122,V_充足確認!$F$2:$F$301),
_xlpm.充当受入,SUMIFS(tbl_ledger[数量],tbl_ledger[充当先ロットID],$B122,tbl_ledger[イベント種類],"充当",tbl_ledger[元状態],D$1),
_xlpm.払出,SUMIFS(tbl_ledger[数量],tbl_ledger[ロットID],$B122,tbl_ledger[元状態],D$1),
_xlpm.割当受入+_xlpm.充当受入-_xlpm.払出))</f>
        <v/>
      </c>
      <c r="E122" s="8" t="str">
        <f>IF($B122="","",_xlfn.LET(
_xlpm.受入,SUMIFS(tbl_ledger[数量],tbl_ledger[ロットID],$B122,tbl_ledger[イベント種類],"アニール開始"),
_xlpm.充当受入,SUMIFS(tbl_ledger[数量],tbl_ledger[充当先ロットID],$B122,tbl_ledger[イベント種類],"充当",tbl_ledger[元状態],E$1),
_xlpm.払出,SUMIFS(tbl_ledger[数量],tbl_ledger[ロットID],$B122,tbl_ledger[元状態],E$1),
_xlpm.受入+_xlpm.充当受入-_xlpm.払出))</f>
        <v/>
      </c>
      <c r="F122" s="8" t="str">
        <f>IF($B122="","",_xlfn.LET(
_xlpm.受入,SUMIFS(tbl_ledger[数量],tbl_ledger[ロットID],$B122,tbl_ledger[イベント種類],"アニール完了"),
_xlpm.充当受入,SUMIFS(tbl_ledger[数量],tbl_ledger[充当先ロットID],$B122,tbl_ledger[イベント種類],"充当",tbl_ledger[元状態],F$1),
_xlpm.払出,SUMIFS(tbl_ledger[数量],tbl_ledger[ロットID],$B122,tbl_ledger[元状態],F$1),
_xlpm.受入+_xlpm.充当受入-_xlpm.払出))</f>
        <v/>
      </c>
      <c r="G122" s="8" t="str">
        <f>IF($B122="","",_xlfn.LET(
_xlpm.受入,SUMIFS(tbl_ledger[数量],tbl_ledger[ロットID],$B122,tbl_ledger[イベント種類],"アセンブリ開始"),
_xlpm.充当受入,SUMIFS(tbl_ledger[数量],tbl_ledger[充当先ロットID],$B122,tbl_ledger[イベント種類],"充当",tbl_ledger[元状態],G$1),
_xlpm.払出,SUMIFS(tbl_ledger[数量],tbl_ledger[ロットID],$B122,tbl_ledger[元状態],G$1),
_xlpm.受入+_xlpm.充当受入-_xlpm.払出))</f>
        <v/>
      </c>
      <c r="H122" s="8" t="str">
        <f>IF($B122="","",_xlfn.LET(
_xlpm.受入,SUMIFS(tbl_ledger[数量],tbl_ledger[ロットID],$B122,tbl_ledger[イベント種類],"アセンブリ完了"),
_xlpm.充当受入,SUMIFS(tbl_ledger[数量],tbl_ledger[充当先ロットID],$B122,tbl_ledger[イベント種類],"充当",tbl_ledger[元状態],H$1),
_xlpm.払出,SUMIFS(tbl_ledger[数量],tbl_ledger[ロットID],$B122,tbl_ledger[元状態],H$1),
_xlpm.受入+_xlpm.充当受入-_xlpm.払出))</f>
        <v/>
      </c>
      <c r="I122" s="8" t="str">
        <f>IF($B122="","",_xlfn.LET(
_xlpm.受入,SUMIFS(tbl_ledger[数量],tbl_ledger[ロットID],$B122,tbl_ledger[イベント種類],"梱包開始"),
_xlpm.充当受入,SUMIFS(tbl_ledger[数量],tbl_ledger[充当先ロットID],$B122,tbl_ledger[イベント種類],"充当",tbl_ledger[元状態],I$1),
_xlpm.払出,SUMIFS(tbl_ledger[数量],tbl_ledger[ロットID],$B122,tbl_ledger[元状態],I$1),
_xlpm.受入+_xlpm.充当受入-_xlpm.払出))</f>
        <v/>
      </c>
      <c r="J122" s="8" t="str">
        <f>IF($B122="","",_xlfn.LET(
_xlpm.受入,SUMIFS(tbl_ledger[数量],tbl_ledger[ロットID],$B122,tbl_ledger[イベント種類],"梱包完了"),
_xlpm.充当受入,SUMIFS(tbl_ledger[数量],tbl_ledger[充当先ロットID],$B122,tbl_ledger[イベント種類],"充当",tbl_ledger[元状態],J$1),
_xlpm.払出,SUMIFS(tbl_ledger[数量],tbl_ledger[ロットID],$B122,tbl_ledger[元状態],J$1),
_xlpm.受入+_xlpm.充当受入-_xlpm.払出))</f>
        <v/>
      </c>
      <c r="K122" s="8" t="str">
        <f>IF($B122="","",_xlfn.LET(
_xlpm.受入,SUMIFS(tbl_ledger[数量],tbl_ledger[ロットID],$B122,tbl_ledger[イベント種類],"発送準備開始"),
_xlpm.充当受入,SUMIFS(tbl_ledger[数量],tbl_ledger[充当先ロットID],$B122,tbl_ledger[イベント種類],"充当",tbl_ledger[元状態],K$1),
_xlpm.払出,SUMIFS(tbl_ledger[数量],tbl_ledger[ロットID],$B122,tbl_ledger[元状態],K$1),
_xlpm.受入+_xlpm.充当受入-_xlpm.払出))</f>
        <v/>
      </c>
      <c r="L122" s="8" t="str">
        <f>IF($B122="","",_xlfn.LET(
_xlpm.受入,SUMIFS(tbl_ledger[数量],tbl_ledger[ロットID],$B122,tbl_ledger[イベント種類],"発送準備完了"),
_xlpm.充当受入,SUMIFS(tbl_ledger[数量],tbl_ledger[充当先ロットID],$B122,tbl_ledger[イベント種類],"充当",tbl_ledger[元状態],L$1),
_xlpm.払出,SUMIFS(tbl_ledger[数量],tbl_ledger[ロットID],$B122,tbl_ledger[元状態],L$1),
_xlpm.受入+_xlpm.充当受入-_xlpm.払出))</f>
        <v/>
      </c>
      <c r="M122" s="8" t="str">
        <f>IF($B122="","",_xlfn.LET(
_xlpm.受入,SUMIFS(tbl_ledger[数量],tbl_ledger[ロットID],$B122,tbl_ledger[イベント種類],"不良発生"),
_xlpm.充当受入,SUMIFS(tbl_ledger[数量],tbl_ledger[充当先ロットID],$B122,tbl_ledger[イベント種類],"充当",tbl_ledger[元状態],M$1),
_xlpm.払出,SUMIFS(tbl_ledger[数量],tbl_ledger[ロットID],$B122,tbl_ledger[元状態],M$1),
_xlpm.受入+_xlpm.充当受入-_xlpm.払出))</f>
        <v/>
      </c>
      <c r="N122" s="8" t="str">
        <f t="shared" si="3"/>
        <v/>
      </c>
    </row>
    <row r="123" spans="1:14" ht="15" customHeight="1" x14ac:dyDescent="0.25">
      <c r="A123" s="4" t="str">
        <f t="shared" si="2"/>
        <v/>
      </c>
      <c r="B123" s="4" t="str">
        <f>IFERROR(IF(COUNTIF($B$1:$B122,INDEX(tbl_plan[ロットID],ROW()-1))&gt;0,"",INDEX(tbl_plan[ロットID],ROW()-1)),"")</f>
        <v/>
      </c>
      <c r="C123" s="4" t="str">
        <f>IF($B123="","",INDEX(tbl_plan[localId],ROW()-1))</f>
        <v/>
      </c>
      <c r="D123" s="8" t="str">
        <f>IF($B123="","",_xlfn.LET(
_xlpm.割当受入,SUMIF(V_充足確認!$A$2:$A$301,$B123,V_充足確認!$F$2:$F$301),
_xlpm.充当受入,SUMIFS(tbl_ledger[数量],tbl_ledger[充当先ロットID],$B123,tbl_ledger[イベント種類],"充当",tbl_ledger[元状態],D$1),
_xlpm.払出,SUMIFS(tbl_ledger[数量],tbl_ledger[ロットID],$B123,tbl_ledger[元状態],D$1),
_xlpm.割当受入+_xlpm.充当受入-_xlpm.払出))</f>
        <v/>
      </c>
      <c r="E123" s="8" t="str">
        <f>IF($B123="","",_xlfn.LET(
_xlpm.受入,SUMIFS(tbl_ledger[数量],tbl_ledger[ロットID],$B123,tbl_ledger[イベント種類],"アニール開始"),
_xlpm.充当受入,SUMIFS(tbl_ledger[数量],tbl_ledger[充当先ロットID],$B123,tbl_ledger[イベント種類],"充当",tbl_ledger[元状態],E$1),
_xlpm.払出,SUMIFS(tbl_ledger[数量],tbl_ledger[ロットID],$B123,tbl_ledger[元状態],E$1),
_xlpm.受入+_xlpm.充当受入-_xlpm.払出))</f>
        <v/>
      </c>
      <c r="F123" s="8" t="str">
        <f>IF($B123="","",_xlfn.LET(
_xlpm.受入,SUMIFS(tbl_ledger[数量],tbl_ledger[ロットID],$B123,tbl_ledger[イベント種類],"アニール完了"),
_xlpm.充当受入,SUMIFS(tbl_ledger[数量],tbl_ledger[充当先ロットID],$B123,tbl_ledger[イベント種類],"充当",tbl_ledger[元状態],F$1),
_xlpm.払出,SUMIFS(tbl_ledger[数量],tbl_ledger[ロットID],$B123,tbl_ledger[元状態],F$1),
_xlpm.受入+_xlpm.充当受入-_xlpm.払出))</f>
        <v/>
      </c>
      <c r="G123" s="8" t="str">
        <f>IF($B123="","",_xlfn.LET(
_xlpm.受入,SUMIFS(tbl_ledger[数量],tbl_ledger[ロットID],$B123,tbl_ledger[イベント種類],"アセンブリ開始"),
_xlpm.充当受入,SUMIFS(tbl_ledger[数量],tbl_ledger[充当先ロットID],$B123,tbl_ledger[イベント種類],"充当",tbl_ledger[元状態],G$1),
_xlpm.払出,SUMIFS(tbl_ledger[数量],tbl_ledger[ロットID],$B123,tbl_ledger[元状態],G$1),
_xlpm.受入+_xlpm.充当受入-_xlpm.払出))</f>
        <v/>
      </c>
      <c r="H123" s="8" t="str">
        <f>IF($B123="","",_xlfn.LET(
_xlpm.受入,SUMIFS(tbl_ledger[数量],tbl_ledger[ロットID],$B123,tbl_ledger[イベント種類],"アセンブリ完了"),
_xlpm.充当受入,SUMIFS(tbl_ledger[数量],tbl_ledger[充当先ロットID],$B123,tbl_ledger[イベント種類],"充当",tbl_ledger[元状態],H$1),
_xlpm.払出,SUMIFS(tbl_ledger[数量],tbl_ledger[ロットID],$B123,tbl_ledger[元状態],H$1),
_xlpm.受入+_xlpm.充当受入-_xlpm.払出))</f>
        <v/>
      </c>
      <c r="I123" s="8" t="str">
        <f>IF($B123="","",_xlfn.LET(
_xlpm.受入,SUMIFS(tbl_ledger[数量],tbl_ledger[ロットID],$B123,tbl_ledger[イベント種類],"梱包開始"),
_xlpm.充当受入,SUMIFS(tbl_ledger[数量],tbl_ledger[充当先ロットID],$B123,tbl_ledger[イベント種類],"充当",tbl_ledger[元状態],I$1),
_xlpm.払出,SUMIFS(tbl_ledger[数量],tbl_ledger[ロットID],$B123,tbl_ledger[元状態],I$1),
_xlpm.受入+_xlpm.充当受入-_xlpm.払出))</f>
        <v/>
      </c>
      <c r="J123" s="8" t="str">
        <f>IF($B123="","",_xlfn.LET(
_xlpm.受入,SUMIFS(tbl_ledger[数量],tbl_ledger[ロットID],$B123,tbl_ledger[イベント種類],"梱包完了"),
_xlpm.充当受入,SUMIFS(tbl_ledger[数量],tbl_ledger[充当先ロットID],$B123,tbl_ledger[イベント種類],"充当",tbl_ledger[元状態],J$1),
_xlpm.払出,SUMIFS(tbl_ledger[数量],tbl_ledger[ロットID],$B123,tbl_ledger[元状態],J$1),
_xlpm.受入+_xlpm.充当受入-_xlpm.払出))</f>
        <v/>
      </c>
      <c r="K123" s="8" t="str">
        <f>IF($B123="","",_xlfn.LET(
_xlpm.受入,SUMIFS(tbl_ledger[数量],tbl_ledger[ロットID],$B123,tbl_ledger[イベント種類],"発送準備開始"),
_xlpm.充当受入,SUMIFS(tbl_ledger[数量],tbl_ledger[充当先ロットID],$B123,tbl_ledger[イベント種類],"充当",tbl_ledger[元状態],K$1),
_xlpm.払出,SUMIFS(tbl_ledger[数量],tbl_ledger[ロットID],$B123,tbl_ledger[元状態],K$1),
_xlpm.受入+_xlpm.充当受入-_xlpm.払出))</f>
        <v/>
      </c>
      <c r="L123" s="8" t="str">
        <f>IF($B123="","",_xlfn.LET(
_xlpm.受入,SUMIFS(tbl_ledger[数量],tbl_ledger[ロットID],$B123,tbl_ledger[イベント種類],"発送準備完了"),
_xlpm.充当受入,SUMIFS(tbl_ledger[数量],tbl_ledger[充当先ロットID],$B123,tbl_ledger[イベント種類],"充当",tbl_ledger[元状態],L$1),
_xlpm.払出,SUMIFS(tbl_ledger[数量],tbl_ledger[ロットID],$B123,tbl_ledger[元状態],L$1),
_xlpm.受入+_xlpm.充当受入-_xlpm.払出))</f>
        <v/>
      </c>
      <c r="M123" s="8" t="str">
        <f>IF($B123="","",_xlfn.LET(
_xlpm.受入,SUMIFS(tbl_ledger[数量],tbl_ledger[ロットID],$B123,tbl_ledger[イベント種類],"不良発生"),
_xlpm.充当受入,SUMIFS(tbl_ledger[数量],tbl_ledger[充当先ロットID],$B123,tbl_ledger[イベント種類],"充当",tbl_ledger[元状態],M$1),
_xlpm.払出,SUMIFS(tbl_ledger[数量],tbl_ledger[ロットID],$B123,tbl_ledger[元状態],M$1),
_xlpm.受入+_xlpm.充当受入-_xlpm.払出))</f>
        <v/>
      </c>
      <c r="N123" s="8" t="str">
        <f t="shared" si="3"/>
        <v/>
      </c>
    </row>
    <row r="124" spans="1:14" ht="15" customHeight="1" x14ac:dyDescent="0.25">
      <c r="A124" s="4" t="str">
        <f t="shared" si="2"/>
        <v/>
      </c>
      <c r="B124" s="4" t="str">
        <f>IFERROR(IF(COUNTIF($B$1:$B123,INDEX(tbl_plan[ロットID],ROW()-1))&gt;0,"",INDEX(tbl_plan[ロットID],ROW()-1)),"")</f>
        <v/>
      </c>
      <c r="C124" s="4" t="str">
        <f>IF($B124="","",INDEX(tbl_plan[localId],ROW()-1))</f>
        <v/>
      </c>
      <c r="D124" s="8" t="str">
        <f>IF($B124="","",_xlfn.LET(
_xlpm.割当受入,SUMIF(V_充足確認!$A$2:$A$301,$B124,V_充足確認!$F$2:$F$301),
_xlpm.充当受入,SUMIFS(tbl_ledger[数量],tbl_ledger[充当先ロットID],$B124,tbl_ledger[イベント種類],"充当",tbl_ledger[元状態],D$1),
_xlpm.払出,SUMIFS(tbl_ledger[数量],tbl_ledger[ロットID],$B124,tbl_ledger[元状態],D$1),
_xlpm.割当受入+_xlpm.充当受入-_xlpm.払出))</f>
        <v/>
      </c>
      <c r="E124" s="8" t="str">
        <f>IF($B124="","",_xlfn.LET(
_xlpm.受入,SUMIFS(tbl_ledger[数量],tbl_ledger[ロットID],$B124,tbl_ledger[イベント種類],"アニール開始"),
_xlpm.充当受入,SUMIFS(tbl_ledger[数量],tbl_ledger[充当先ロットID],$B124,tbl_ledger[イベント種類],"充当",tbl_ledger[元状態],E$1),
_xlpm.払出,SUMIFS(tbl_ledger[数量],tbl_ledger[ロットID],$B124,tbl_ledger[元状態],E$1),
_xlpm.受入+_xlpm.充当受入-_xlpm.払出))</f>
        <v/>
      </c>
      <c r="F124" s="8" t="str">
        <f>IF($B124="","",_xlfn.LET(
_xlpm.受入,SUMIFS(tbl_ledger[数量],tbl_ledger[ロットID],$B124,tbl_ledger[イベント種類],"アニール完了"),
_xlpm.充当受入,SUMIFS(tbl_ledger[数量],tbl_ledger[充当先ロットID],$B124,tbl_ledger[イベント種類],"充当",tbl_ledger[元状態],F$1),
_xlpm.払出,SUMIFS(tbl_ledger[数量],tbl_ledger[ロットID],$B124,tbl_ledger[元状態],F$1),
_xlpm.受入+_xlpm.充当受入-_xlpm.払出))</f>
        <v/>
      </c>
      <c r="G124" s="8" t="str">
        <f>IF($B124="","",_xlfn.LET(
_xlpm.受入,SUMIFS(tbl_ledger[数量],tbl_ledger[ロットID],$B124,tbl_ledger[イベント種類],"アセンブリ開始"),
_xlpm.充当受入,SUMIFS(tbl_ledger[数量],tbl_ledger[充当先ロットID],$B124,tbl_ledger[イベント種類],"充当",tbl_ledger[元状態],G$1),
_xlpm.払出,SUMIFS(tbl_ledger[数量],tbl_ledger[ロットID],$B124,tbl_ledger[元状態],G$1),
_xlpm.受入+_xlpm.充当受入-_xlpm.払出))</f>
        <v/>
      </c>
      <c r="H124" s="8" t="str">
        <f>IF($B124="","",_xlfn.LET(
_xlpm.受入,SUMIFS(tbl_ledger[数量],tbl_ledger[ロットID],$B124,tbl_ledger[イベント種類],"アセンブリ完了"),
_xlpm.充当受入,SUMIFS(tbl_ledger[数量],tbl_ledger[充当先ロットID],$B124,tbl_ledger[イベント種類],"充当",tbl_ledger[元状態],H$1),
_xlpm.払出,SUMIFS(tbl_ledger[数量],tbl_ledger[ロットID],$B124,tbl_ledger[元状態],H$1),
_xlpm.受入+_xlpm.充当受入-_xlpm.払出))</f>
        <v/>
      </c>
      <c r="I124" s="8" t="str">
        <f>IF($B124="","",_xlfn.LET(
_xlpm.受入,SUMIFS(tbl_ledger[数量],tbl_ledger[ロットID],$B124,tbl_ledger[イベント種類],"梱包開始"),
_xlpm.充当受入,SUMIFS(tbl_ledger[数量],tbl_ledger[充当先ロットID],$B124,tbl_ledger[イベント種類],"充当",tbl_ledger[元状態],I$1),
_xlpm.払出,SUMIFS(tbl_ledger[数量],tbl_ledger[ロットID],$B124,tbl_ledger[元状態],I$1),
_xlpm.受入+_xlpm.充当受入-_xlpm.払出))</f>
        <v/>
      </c>
      <c r="J124" s="8" t="str">
        <f>IF($B124="","",_xlfn.LET(
_xlpm.受入,SUMIFS(tbl_ledger[数量],tbl_ledger[ロットID],$B124,tbl_ledger[イベント種類],"梱包完了"),
_xlpm.充当受入,SUMIFS(tbl_ledger[数量],tbl_ledger[充当先ロットID],$B124,tbl_ledger[イベント種類],"充当",tbl_ledger[元状態],J$1),
_xlpm.払出,SUMIFS(tbl_ledger[数量],tbl_ledger[ロットID],$B124,tbl_ledger[元状態],J$1),
_xlpm.受入+_xlpm.充当受入-_xlpm.払出))</f>
        <v/>
      </c>
      <c r="K124" s="8" t="str">
        <f>IF($B124="","",_xlfn.LET(
_xlpm.受入,SUMIFS(tbl_ledger[数量],tbl_ledger[ロットID],$B124,tbl_ledger[イベント種類],"発送準備開始"),
_xlpm.充当受入,SUMIFS(tbl_ledger[数量],tbl_ledger[充当先ロットID],$B124,tbl_ledger[イベント種類],"充当",tbl_ledger[元状態],K$1),
_xlpm.払出,SUMIFS(tbl_ledger[数量],tbl_ledger[ロットID],$B124,tbl_ledger[元状態],K$1),
_xlpm.受入+_xlpm.充当受入-_xlpm.払出))</f>
        <v/>
      </c>
      <c r="L124" s="8" t="str">
        <f>IF($B124="","",_xlfn.LET(
_xlpm.受入,SUMIFS(tbl_ledger[数量],tbl_ledger[ロットID],$B124,tbl_ledger[イベント種類],"発送準備完了"),
_xlpm.充当受入,SUMIFS(tbl_ledger[数量],tbl_ledger[充当先ロットID],$B124,tbl_ledger[イベント種類],"充当",tbl_ledger[元状態],L$1),
_xlpm.払出,SUMIFS(tbl_ledger[数量],tbl_ledger[ロットID],$B124,tbl_ledger[元状態],L$1),
_xlpm.受入+_xlpm.充当受入-_xlpm.払出))</f>
        <v/>
      </c>
      <c r="M124" s="8" t="str">
        <f>IF($B124="","",_xlfn.LET(
_xlpm.受入,SUMIFS(tbl_ledger[数量],tbl_ledger[ロットID],$B124,tbl_ledger[イベント種類],"不良発生"),
_xlpm.充当受入,SUMIFS(tbl_ledger[数量],tbl_ledger[充当先ロットID],$B124,tbl_ledger[イベント種類],"充当",tbl_ledger[元状態],M$1),
_xlpm.払出,SUMIFS(tbl_ledger[数量],tbl_ledger[ロットID],$B124,tbl_ledger[元状態],M$1),
_xlpm.受入+_xlpm.充当受入-_xlpm.払出))</f>
        <v/>
      </c>
      <c r="N124" s="8" t="str">
        <f t="shared" si="3"/>
        <v/>
      </c>
    </row>
    <row r="125" spans="1:14" ht="15" customHeight="1" x14ac:dyDescent="0.25">
      <c r="A125" s="4" t="str">
        <f t="shared" si="2"/>
        <v/>
      </c>
      <c r="B125" s="4" t="str">
        <f>IFERROR(IF(COUNTIF($B$1:$B124,INDEX(tbl_plan[ロットID],ROW()-1))&gt;0,"",INDEX(tbl_plan[ロットID],ROW()-1)),"")</f>
        <v/>
      </c>
      <c r="C125" s="4" t="str">
        <f>IF($B125="","",INDEX(tbl_plan[localId],ROW()-1))</f>
        <v/>
      </c>
      <c r="D125" s="8" t="str">
        <f>IF($B125="","",_xlfn.LET(
_xlpm.割当受入,SUMIF(V_充足確認!$A$2:$A$301,$B125,V_充足確認!$F$2:$F$301),
_xlpm.充当受入,SUMIFS(tbl_ledger[数量],tbl_ledger[充当先ロットID],$B125,tbl_ledger[イベント種類],"充当",tbl_ledger[元状態],D$1),
_xlpm.払出,SUMIFS(tbl_ledger[数量],tbl_ledger[ロットID],$B125,tbl_ledger[元状態],D$1),
_xlpm.割当受入+_xlpm.充当受入-_xlpm.払出))</f>
        <v/>
      </c>
      <c r="E125" s="8" t="str">
        <f>IF($B125="","",_xlfn.LET(
_xlpm.受入,SUMIFS(tbl_ledger[数量],tbl_ledger[ロットID],$B125,tbl_ledger[イベント種類],"アニール開始"),
_xlpm.充当受入,SUMIFS(tbl_ledger[数量],tbl_ledger[充当先ロットID],$B125,tbl_ledger[イベント種類],"充当",tbl_ledger[元状態],E$1),
_xlpm.払出,SUMIFS(tbl_ledger[数量],tbl_ledger[ロットID],$B125,tbl_ledger[元状態],E$1),
_xlpm.受入+_xlpm.充当受入-_xlpm.払出))</f>
        <v/>
      </c>
      <c r="F125" s="8" t="str">
        <f>IF($B125="","",_xlfn.LET(
_xlpm.受入,SUMIFS(tbl_ledger[数量],tbl_ledger[ロットID],$B125,tbl_ledger[イベント種類],"アニール完了"),
_xlpm.充当受入,SUMIFS(tbl_ledger[数量],tbl_ledger[充当先ロットID],$B125,tbl_ledger[イベント種類],"充当",tbl_ledger[元状態],F$1),
_xlpm.払出,SUMIFS(tbl_ledger[数量],tbl_ledger[ロットID],$B125,tbl_ledger[元状態],F$1),
_xlpm.受入+_xlpm.充当受入-_xlpm.払出))</f>
        <v/>
      </c>
      <c r="G125" s="8" t="str">
        <f>IF($B125="","",_xlfn.LET(
_xlpm.受入,SUMIFS(tbl_ledger[数量],tbl_ledger[ロットID],$B125,tbl_ledger[イベント種類],"アセンブリ開始"),
_xlpm.充当受入,SUMIFS(tbl_ledger[数量],tbl_ledger[充当先ロットID],$B125,tbl_ledger[イベント種類],"充当",tbl_ledger[元状態],G$1),
_xlpm.払出,SUMIFS(tbl_ledger[数量],tbl_ledger[ロットID],$B125,tbl_ledger[元状態],G$1),
_xlpm.受入+_xlpm.充当受入-_xlpm.払出))</f>
        <v/>
      </c>
      <c r="H125" s="8" t="str">
        <f>IF($B125="","",_xlfn.LET(
_xlpm.受入,SUMIFS(tbl_ledger[数量],tbl_ledger[ロットID],$B125,tbl_ledger[イベント種類],"アセンブリ完了"),
_xlpm.充当受入,SUMIFS(tbl_ledger[数量],tbl_ledger[充当先ロットID],$B125,tbl_ledger[イベント種類],"充当",tbl_ledger[元状態],H$1),
_xlpm.払出,SUMIFS(tbl_ledger[数量],tbl_ledger[ロットID],$B125,tbl_ledger[元状態],H$1),
_xlpm.受入+_xlpm.充当受入-_xlpm.払出))</f>
        <v/>
      </c>
      <c r="I125" s="8" t="str">
        <f>IF($B125="","",_xlfn.LET(
_xlpm.受入,SUMIFS(tbl_ledger[数量],tbl_ledger[ロットID],$B125,tbl_ledger[イベント種類],"梱包開始"),
_xlpm.充当受入,SUMIFS(tbl_ledger[数量],tbl_ledger[充当先ロットID],$B125,tbl_ledger[イベント種類],"充当",tbl_ledger[元状態],I$1),
_xlpm.払出,SUMIFS(tbl_ledger[数量],tbl_ledger[ロットID],$B125,tbl_ledger[元状態],I$1),
_xlpm.受入+_xlpm.充当受入-_xlpm.払出))</f>
        <v/>
      </c>
      <c r="J125" s="8" t="str">
        <f>IF($B125="","",_xlfn.LET(
_xlpm.受入,SUMIFS(tbl_ledger[数量],tbl_ledger[ロットID],$B125,tbl_ledger[イベント種類],"梱包完了"),
_xlpm.充当受入,SUMIFS(tbl_ledger[数量],tbl_ledger[充当先ロットID],$B125,tbl_ledger[イベント種類],"充当",tbl_ledger[元状態],J$1),
_xlpm.払出,SUMIFS(tbl_ledger[数量],tbl_ledger[ロットID],$B125,tbl_ledger[元状態],J$1),
_xlpm.受入+_xlpm.充当受入-_xlpm.払出))</f>
        <v/>
      </c>
      <c r="K125" s="8" t="str">
        <f>IF($B125="","",_xlfn.LET(
_xlpm.受入,SUMIFS(tbl_ledger[数量],tbl_ledger[ロットID],$B125,tbl_ledger[イベント種類],"発送準備開始"),
_xlpm.充当受入,SUMIFS(tbl_ledger[数量],tbl_ledger[充当先ロットID],$B125,tbl_ledger[イベント種類],"充当",tbl_ledger[元状態],K$1),
_xlpm.払出,SUMIFS(tbl_ledger[数量],tbl_ledger[ロットID],$B125,tbl_ledger[元状態],K$1),
_xlpm.受入+_xlpm.充当受入-_xlpm.払出))</f>
        <v/>
      </c>
      <c r="L125" s="8" t="str">
        <f>IF($B125="","",_xlfn.LET(
_xlpm.受入,SUMIFS(tbl_ledger[数量],tbl_ledger[ロットID],$B125,tbl_ledger[イベント種類],"発送準備完了"),
_xlpm.充当受入,SUMIFS(tbl_ledger[数量],tbl_ledger[充当先ロットID],$B125,tbl_ledger[イベント種類],"充当",tbl_ledger[元状態],L$1),
_xlpm.払出,SUMIFS(tbl_ledger[数量],tbl_ledger[ロットID],$B125,tbl_ledger[元状態],L$1),
_xlpm.受入+_xlpm.充当受入-_xlpm.払出))</f>
        <v/>
      </c>
      <c r="M125" s="8" t="str">
        <f>IF($B125="","",_xlfn.LET(
_xlpm.受入,SUMIFS(tbl_ledger[数量],tbl_ledger[ロットID],$B125,tbl_ledger[イベント種類],"不良発生"),
_xlpm.充当受入,SUMIFS(tbl_ledger[数量],tbl_ledger[充当先ロットID],$B125,tbl_ledger[イベント種類],"充当",tbl_ledger[元状態],M$1),
_xlpm.払出,SUMIFS(tbl_ledger[数量],tbl_ledger[ロットID],$B125,tbl_ledger[元状態],M$1),
_xlpm.受入+_xlpm.充当受入-_xlpm.払出))</f>
        <v/>
      </c>
      <c r="N125" s="8" t="str">
        <f t="shared" si="3"/>
        <v/>
      </c>
    </row>
    <row r="126" spans="1:14" ht="15" customHeight="1" x14ac:dyDescent="0.25">
      <c r="A126" s="4" t="str">
        <f t="shared" si="2"/>
        <v/>
      </c>
      <c r="B126" s="4" t="str">
        <f>IFERROR(IF(COUNTIF($B$1:$B125,INDEX(tbl_plan[ロットID],ROW()-1))&gt;0,"",INDEX(tbl_plan[ロットID],ROW()-1)),"")</f>
        <v/>
      </c>
      <c r="C126" s="4" t="str">
        <f>IF($B126="","",INDEX(tbl_plan[localId],ROW()-1))</f>
        <v/>
      </c>
      <c r="D126" s="8" t="str">
        <f>IF($B126="","",_xlfn.LET(
_xlpm.割当受入,SUMIF(V_充足確認!$A$2:$A$301,$B126,V_充足確認!$F$2:$F$301),
_xlpm.充当受入,SUMIFS(tbl_ledger[数量],tbl_ledger[充当先ロットID],$B126,tbl_ledger[イベント種類],"充当",tbl_ledger[元状態],D$1),
_xlpm.払出,SUMIFS(tbl_ledger[数量],tbl_ledger[ロットID],$B126,tbl_ledger[元状態],D$1),
_xlpm.割当受入+_xlpm.充当受入-_xlpm.払出))</f>
        <v/>
      </c>
      <c r="E126" s="8" t="str">
        <f>IF($B126="","",_xlfn.LET(
_xlpm.受入,SUMIFS(tbl_ledger[数量],tbl_ledger[ロットID],$B126,tbl_ledger[イベント種類],"アニール開始"),
_xlpm.充当受入,SUMIFS(tbl_ledger[数量],tbl_ledger[充当先ロットID],$B126,tbl_ledger[イベント種類],"充当",tbl_ledger[元状態],E$1),
_xlpm.払出,SUMIFS(tbl_ledger[数量],tbl_ledger[ロットID],$B126,tbl_ledger[元状態],E$1),
_xlpm.受入+_xlpm.充当受入-_xlpm.払出))</f>
        <v/>
      </c>
      <c r="F126" s="8" t="str">
        <f>IF($B126="","",_xlfn.LET(
_xlpm.受入,SUMIFS(tbl_ledger[数量],tbl_ledger[ロットID],$B126,tbl_ledger[イベント種類],"アニール完了"),
_xlpm.充当受入,SUMIFS(tbl_ledger[数量],tbl_ledger[充当先ロットID],$B126,tbl_ledger[イベント種類],"充当",tbl_ledger[元状態],F$1),
_xlpm.払出,SUMIFS(tbl_ledger[数量],tbl_ledger[ロットID],$B126,tbl_ledger[元状態],F$1),
_xlpm.受入+_xlpm.充当受入-_xlpm.払出))</f>
        <v/>
      </c>
      <c r="G126" s="8" t="str">
        <f>IF($B126="","",_xlfn.LET(
_xlpm.受入,SUMIFS(tbl_ledger[数量],tbl_ledger[ロットID],$B126,tbl_ledger[イベント種類],"アセンブリ開始"),
_xlpm.充当受入,SUMIFS(tbl_ledger[数量],tbl_ledger[充当先ロットID],$B126,tbl_ledger[イベント種類],"充当",tbl_ledger[元状態],G$1),
_xlpm.払出,SUMIFS(tbl_ledger[数量],tbl_ledger[ロットID],$B126,tbl_ledger[元状態],G$1),
_xlpm.受入+_xlpm.充当受入-_xlpm.払出))</f>
        <v/>
      </c>
      <c r="H126" s="8" t="str">
        <f>IF($B126="","",_xlfn.LET(
_xlpm.受入,SUMIFS(tbl_ledger[数量],tbl_ledger[ロットID],$B126,tbl_ledger[イベント種類],"アセンブリ完了"),
_xlpm.充当受入,SUMIFS(tbl_ledger[数量],tbl_ledger[充当先ロットID],$B126,tbl_ledger[イベント種類],"充当",tbl_ledger[元状態],H$1),
_xlpm.払出,SUMIFS(tbl_ledger[数量],tbl_ledger[ロットID],$B126,tbl_ledger[元状態],H$1),
_xlpm.受入+_xlpm.充当受入-_xlpm.払出))</f>
        <v/>
      </c>
      <c r="I126" s="8" t="str">
        <f>IF($B126="","",_xlfn.LET(
_xlpm.受入,SUMIFS(tbl_ledger[数量],tbl_ledger[ロットID],$B126,tbl_ledger[イベント種類],"梱包開始"),
_xlpm.充当受入,SUMIFS(tbl_ledger[数量],tbl_ledger[充当先ロットID],$B126,tbl_ledger[イベント種類],"充当",tbl_ledger[元状態],I$1),
_xlpm.払出,SUMIFS(tbl_ledger[数量],tbl_ledger[ロットID],$B126,tbl_ledger[元状態],I$1),
_xlpm.受入+_xlpm.充当受入-_xlpm.払出))</f>
        <v/>
      </c>
      <c r="J126" s="8" t="str">
        <f>IF($B126="","",_xlfn.LET(
_xlpm.受入,SUMIFS(tbl_ledger[数量],tbl_ledger[ロットID],$B126,tbl_ledger[イベント種類],"梱包完了"),
_xlpm.充当受入,SUMIFS(tbl_ledger[数量],tbl_ledger[充当先ロットID],$B126,tbl_ledger[イベント種類],"充当",tbl_ledger[元状態],J$1),
_xlpm.払出,SUMIFS(tbl_ledger[数量],tbl_ledger[ロットID],$B126,tbl_ledger[元状態],J$1),
_xlpm.受入+_xlpm.充当受入-_xlpm.払出))</f>
        <v/>
      </c>
      <c r="K126" s="8" t="str">
        <f>IF($B126="","",_xlfn.LET(
_xlpm.受入,SUMIFS(tbl_ledger[数量],tbl_ledger[ロットID],$B126,tbl_ledger[イベント種類],"発送準備開始"),
_xlpm.充当受入,SUMIFS(tbl_ledger[数量],tbl_ledger[充当先ロットID],$B126,tbl_ledger[イベント種類],"充当",tbl_ledger[元状態],K$1),
_xlpm.払出,SUMIFS(tbl_ledger[数量],tbl_ledger[ロットID],$B126,tbl_ledger[元状態],K$1),
_xlpm.受入+_xlpm.充当受入-_xlpm.払出))</f>
        <v/>
      </c>
      <c r="L126" s="8" t="str">
        <f>IF($B126="","",_xlfn.LET(
_xlpm.受入,SUMIFS(tbl_ledger[数量],tbl_ledger[ロットID],$B126,tbl_ledger[イベント種類],"発送準備完了"),
_xlpm.充当受入,SUMIFS(tbl_ledger[数量],tbl_ledger[充当先ロットID],$B126,tbl_ledger[イベント種類],"充当",tbl_ledger[元状態],L$1),
_xlpm.払出,SUMIFS(tbl_ledger[数量],tbl_ledger[ロットID],$B126,tbl_ledger[元状態],L$1),
_xlpm.受入+_xlpm.充当受入-_xlpm.払出))</f>
        <v/>
      </c>
      <c r="M126" s="8" t="str">
        <f>IF($B126="","",_xlfn.LET(
_xlpm.受入,SUMIFS(tbl_ledger[数量],tbl_ledger[ロットID],$B126,tbl_ledger[イベント種類],"不良発生"),
_xlpm.充当受入,SUMIFS(tbl_ledger[数量],tbl_ledger[充当先ロットID],$B126,tbl_ledger[イベント種類],"充当",tbl_ledger[元状態],M$1),
_xlpm.払出,SUMIFS(tbl_ledger[数量],tbl_ledger[ロットID],$B126,tbl_ledger[元状態],M$1),
_xlpm.受入+_xlpm.充当受入-_xlpm.払出))</f>
        <v/>
      </c>
      <c r="N126" s="8" t="str">
        <f t="shared" si="3"/>
        <v/>
      </c>
    </row>
    <row r="127" spans="1:14" ht="15" customHeight="1" x14ac:dyDescent="0.25">
      <c r="A127" s="4" t="str">
        <f t="shared" si="2"/>
        <v/>
      </c>
      <c r="B127" s="4" t="str">
        <f>IFERROR(IF(COUNTIF($B$1:$B126,INDEX(tbl_plan[ロットID],ROW()-1))&gt;0,"",INDEX(tbl_plan[ロットID],ROW()-1)),"")</f>
        <v/>
      </c>
      <c r="C127" s="4" t="str">
        <f>IF($B127="","",INDEX(tbl_plan[localId],ROW()-1))</f>
        <v/>
      </c>
      <c r="D127" s="8" t="str">
        <f>IF($B127="","",_xlfn.LET(
_xlpm.割当受入,SUMIF(V_充足確認!$A$2:$A$301,$B127,V_充足確認!$F$2:$F$301),
_xlpm.充当受入,SUMIFS(tbl_ledger[数量],tbl_ledger[充当先ロットID],$B127,tbl_ledger[イベント種類],"充当",tbl_ledger[元状態],D$1),
_xlpm.払出,SUMIFS(tbl_ledger[数量],tbl_ledger[ロットID],$B127,tbl_ledger[元状態],D$1),
_xlpm.割当受入+_xlpm.充当受入-_xlpm.払出))</f>
        <v/>
      </c>
      <c r="E127" s="8" t="str">
        <f>IF($B127="","",_xlfn.LET(
_xlpm.受入,SUMIFS(tbl_ledger[数量],tbl_ledger[ロットID],$B127,tbl_ledger[イベント種類],"アニール開始"),
_xlpm.充当受入,SUMIFS(tbl_ledger[数量],tbl_ledger[充当先ロットID],$B127,tbl_ledger[イベント種類],"充当",tbl_ledger[元状態],E$1),
_xlpm.払出,SUMIFS(tbl_ledger[数量],tbl_ledger[ロットID],$B127,tbl_ledger[元状態],E$1),
_xlpm.受入+_xlpm.充当受入-_xlpm.払出))</f>
        <v/>
      </c>
      <c r="F127" s="8" t="str">
        <f>IF($B127="","",_xlfn.LET(
_xlpm.受入,SUMIFS(tbl_ledger[数量],tbl_ledger[ロットID],$B127,tbl_ledger[イベント種類],"アニール完了"),
_xlpm.充当受入,SUMIFS(tbl_ledger[数量],tbl_ledger[充当先ロットID],$B127,tbl_ledger[イベント種類],"充当",tbl_ledger[元状態],F$1),
_xlpm.払出,SUMIFS(tbl_ledger[数量],tbl_ledger[ロットID],$B127,tbl_ledger[元状態],F$1),
_xlpm.受入+_xlpm.充当受入-_xlpm.払出))</f>
        <v/>
      </c>
      <c r="G127" s="8" t="str">
        <f>IF($B127="","",_xlfn.LET(
_xlpm.受入,SUMIFS(tbl_ledger[数量],tbl_ledger[ロットID],$B127,tbl_ledger[イベント種類],"アセンブリ開始"),
_xlpm.充当受入,SUMIFS(tbl_ledger[数量],tbl_ledger[充当先ロットID],$B127,tbl_ledger[イベント種類],"充当",tbl_ledger[元状態],G$1),
_xlpm.払出,SUMIFS(tbl_ledger[数量],tbl_ledger[ロットID],$B127,tbl_ledger[元状態],G$1),
_xlpm.受入+_xlpm.充当受入-_xlpm.払出))</f>
        <v/>
      </c>
      <c r="H127" s="8" t="str">
        <f>IF($B127="","",_xlfn.LET(
_xlpm.受入,SUMIFS(tbl_ledger[数量],tbl_ledger[ロットID],$B127,tbl_ledger[イベント種類],"アセンブリ完了"),
_xlpm.充当受入,SUMIFS(tbl_ledger[数量],tbl_ledger[充当先ロットID],$B127,tbl_ledger[イベント種類],"充当",tbl_ledger[元状態],H$1),
_xlpm.払出,SUMIFS(tbl_ledger[数量],tbl_ledger[ロットID],$B127,tbl_ledger[元状態],H$1),
_xlpm.受入+_xlpm.充当受入-_xlpm.払出))</f>
        <v/>
      </c>
      <c r="I127" s="8" t="str">
        <f>IF($B127="","",_xlfn.LET(
_xlpm.受入,SUMIFS(tbl_ledger[数量],tbl_ledger[ロットID],$B127,tbl_ledger[イベント種類],"梱包開始"),
_xlpm.充当受入,SUMIFS(tbl_ledger[数量],tbl_ledger[充当先ロットID],$B127,tbl_ledger[イベント種類],"充当",tbl_ledger[元状態],I$1),
_xlpm.払出,SUMIFS(tbl_ledger[数量],tbl_ledger[ロットID],$B127,tbl_ledger[元状態],I$1),
_xlpm.受入+_xlpm.充当受入-_xlpm.払出))</f>
        <v/>
      </c>
      <c r="J127" s="8" t="str">
        <f>IF($B127="","",_xlfn.LET(
_xlpm.受入,SUMIFS(tbl_ledger[数量],tbl_ledger[ロットID],$B127,tbl_ledger[イベント種類],"梱包完了"),
_xlpm.充当受入,SUMIFS(tbl_ledger[数量],tbl_ledger[充当先ロットID],$B127,tbl_ledger[イベント種類],"充当",tbl_ledger[元状態],J$1),
_xlpm.払出,SUMIFS(tbl_ledger[数量],tbl_ledger[ロットID],$B127,tbl_ledger[元状態],J$1),
_xlpm.受入+_xlpm.充当受入-_xlpm.払出))</f>
        <v/>
      </c>
      <c r="K127" s="8" t="str">
        <f>IF($B127="","",_xlfn.LET(
_xlpm.受入,SUMIFS(tbl_ledger[数量],tbl_ledger[ロットID],$B127,tbl_ledger[イベント種類],"発送準備開始"),
_xlpm.充当受入,SUMIFS(tbl_ledger[数量],tbl_ledger[充当先ロットID],$B127,tbl_ledger[イベント種類],"充当",tbl_ledger[元状態],K$1),
_xlpm.払出,SUMIFS(tbl_ledger[数量],tbl_ledger[ロットID],$B127,tbl_ledger[元状態],K$1),
_xlpm.受入+_xlpm.充当受入-_xlpm.払出))</f>
        <v/>
      </c>
      <c r="L127" s="8" t="str">
        <f>IF($B127="","",_xlfn.LET(
_xlpm.受入,SUMIFS(tbl_ledger[数量],tbl_ledger[ロットID],$B127,tbl_ledger[イベント種類],"発送準備完了"),
_xlpm.充当受入,SUMIFS(tbl_ledger[数量],tbl_ledger[充当先ロットID],$B127,tbl_ledger[イベント種類],"充当",tbl_ledger[元状態],L$1),
_xlpm.払出,SUMIFS(tbl_ledger[数量],tbl_ledger[ロットID],$B127,tbl_ledger[元状態],L$1),
_xlpm.受入+_xlpm.充当受入-_xlpm.払出))</f>
        <v/>
      </c>
      <c r="M127" s="8" t="str">
        <f>IF($B127="","",_xlfn.LET(
_xlpm.受入,SUMIFS(tbl_ledger[数量],tbl_ledger[ロットID],$B127,tbl_ledger[イベント種類],"不良発生"),
_xlpm.充当受入,SUMIFS(tbl_ledger[数量],tbl_ledger[充当先ロットID],$B127,tbl_ledger[イベント種類],"充当",tbl_ledger[元状態],M$1),
_xlpm.払出,SUMIFS(tbl_ledger[数量],tbl_ledger[ロットID],$B127,tbl_ledger[元状態],M$1),
_xlpm.受入+_xlpm.充当受入-_xlpm.払出))</f>
        <v/>
      </c>
      <c r="N127" s="8" t="str">
        <f t="shared" si="3"/>
        <v/>
      </c>
    </row>
    <row r="128" spans="1:14" ht="15" customHeight="1" x14ac:dyDescent="0.25">
      <c r="A128" s="4" t="str">
        <f t="shared" si="2"/>
        <v/>
      </c>
      <c r="B128" s="4" t="str">
        <f>IFERROR(IF(COUNTIF($B$1:$B127,INDEX(tbl_plan[ロットID],ROW()-1))&gt;0,"",INDEX(tbl_plan[ロットID],ROW()-1)),"")</f>
        <v/>
      </c>
      <c r="C128" s="4" t="str">
        <f>IF($B128="","",INDEX(tbl_plan[localId],ROW()-1))</f>
        <v/>
      </c>
      <c r="D128" s="8" t="str">
        <f>IF($B128="","",_xlfn.LET(
_xlpm.割当受入,SUMIF(V_充足確認!$A$2:$A$301,$B128,V_充足確認!$F$2:$F$301),
_xlpm.充当受入,SUMIFS(tbl_ledger[数量],tbl_ledger[充当先ロットID],$B128,tbl_ledger[イベント種類],"充当",tbl_ledger[元状態],D$1),
_xlpm.払出,SUMIFS(tbl_ledger[数量],tbl_ledger[ロットID],$B128,tbl_ledger[元状態],D$1),
_xlpm.割当受入+_xlpm.充当受入-_xlpm.払出))</f>
        <v/>
      </c>
      <c r="E128" s="8" t="str">
        <f>IF($B128="","",_xlfn.LET(
_xlpm.受入,SUMIFS(tbl_ledger[数量],tbl_ledger[ロットID],$B128,tbl_ledger[イベント種類],"アニール開始"),
_xlpm.充当受入,SUMIFS(tbl_ledger[数量],tbl_ledger[充当先ロットID],$B128,tbl_ledger[イベント種類],"充当",tbl_ledger[元状態],E$1),
_xlpm.払出,SUMIFS(tbl_ledger[数量],tbl_ledger[ロットID],$B128,tbl_ledger[元状態],E$1),
_xlpm.受入+_xlpm.充当受入-_xlpm.払出))</f>
        <v/>
      </c>
      <c r="F128" s="8" t="str">
        <f>IF($B128="","",_xlfn.LET(
_xlpm.受入,SUMIFS(tbl_ledger[数量],tbl_ledger[ロットID],$B128,tbl_ledger[イベント種類],"アニール完了"),
_xlpm.充当受入,SUMIFS(tbl_ledger[数量],tbl_ledger[充当先ロットID],$B128,tbl_ledger[イベント種類],"充当",tbl_ledger[元状態],F$1),
_xlpm.払出,SUMIFS(tbl_ledger[数量],tbl_ledger[ロットID],$B128,tbl_ledger[元状態],F$1),
_xlpm.受入+_xlpm.充当受入-_xlpm.払出))</f>
        <v/>
      </c>
      <c r="G128" s="8" t="str">
        <f>IF($B128="","",_xlfn.LET(
_xlpm.受入,SUMIFS(tbl_ledger[数量],tbl_ledger[ロットID],$B128,tbl_ledger[イベント種類],"アセンブリ開始"),
_xlpm.充当受入,SUMIFS(tbl_ledger[数量],tbl_ledger[充当先ロットID],$B128,tbl_ledger[イベント種類],"充当",tbl_ledger[元状態],G$1),
_xlpm.払出,SUMIFS(tbl_ledger[数量],tbl_ledger[ロットID],$B128,tbl_ledger[元状態],G$1),
_xlpm.受入+_xlpm.充当受入-_xlpm.払出))</f>
        <v/>
      </c>
      <c r="H128" s="8" t="str">
        <f>IF($B128="","",_xlfn.LET(
_xlpm.受入,SUMIFS(tbl_ledger[数量],tbl_ledger[ロットID],$B128,tbl_ledger[イベント種類],"アセンブリ完了"),
_xlpm.充当受入,SUMIFS(tbl_ledger[数量],tbl_ledger[充当先ロットID],$B128,tbl_ledger[イベント種類],"充当",tbl_ledger[元状態],H$1),
_xlpm.払出,SUMIFS(tbl_ledger[数量],tbl_ledger[ロットID],$B128,tbl_ledger[元状態],H$1),
_xlpm.受入+_xlpm.充当受入-_xlpm.払出))</f>
        <v/>
      </c>
      <c r="I128" s="8" t="str">
        <f>IF($B128="","",_xlfn.LET(
_xlpm.受入,SUMIFS(tbl_ledger[数量],tbl_ledger[ロットID],$B128,tbl_ledger[イベント種類],"梱包開始"),
_xlpm.充当受入,SUMIFS(tbl_ledger[数量],tbl_ledger[充当先ロットID],$B128,tbl_ledger[イベント種類],"充当",tbl_ledger[元状態],I$1),
_xlpm.払出,SUMIFS(tbl_ledger[数量],tbl_ledger[ロットID],$B128,tbl_ledger[元状態],I$1),
_xlpm.受入+_xlpm.充当受入-_xlpm.払出))</f>
        <v/>
      </c>
      <c r="J128" s="8" t="str">
        <f>IF($B128="","",_xlfn.LET(
_xlpm.受入,SUMIFS(tbl_ledger[数量],tbl_ledger[ロットID],$B128,tbl_ledger[イベント種類],"梱包完了"),
_xlpm.充当受入,SUMIFS(tbl_ledger[数量],tbl_ledger[充当先ロットID],$B128,tbl_ledger[イベント種類],"充当",tbl_ledger[元状態],J$1),
_xlpm.払出,SUMIFS(tbl_ledger[数量],tbl_ledger[ロットID],$B128,tbl_ledger[元状態],J$1),
_xlpm.受入+_xlpm.充当受入-_xlpm.払出))</f>
        <v/>
      </c>
      <c r="K128" s="8" t="str">
        <f>IF($B128="","",_xlfn.LET(
_xlpm.受入,SUMIFS(tbl_ledger[数量],tbl_ledger[ロットID],$B128,tbl_ledger[イベント種類],"発送準備開始"),
_xlpm.充当受入,SUMIFS(tbl_ledger[数量],tbl_ledger[充当先ロットID],$B128,tbl_ledger[イベント種類],"充当",tbl_ledger[元状態],K$1),
_xlpm.払出,SUMIFS(tbl_ledger[数量],tbl_ledger[ロットID],$B128,tbl_ledger[元状態],K$1),
_xlpm.受入+_xlpm.充当受入-_xlpm.払出))</f>
        <v/>
      </c>
      <c r="L128" s="8" t="str">
        <f>IF($B128="","",_xlfn.LET(
_xlpm.受入,SUMIFS(tbl_ledger[数量],tbl_ledger[ロットID],$B128,tbl_ledger[イベント種類],"発送準備完了"),
_xlpm.充当受入,SUMIFS(tbl_ledger[数量],tbl_ledger[充当先ロットID],$B128,tbl_ledger[イベント種類],"充当",tbl_ledger[元状態],L$1),
_xlpm.払出,SUMIFS(tbl_ledger[数量],tbl_ledger[ロットID],$B128,tbl_ledger[元状態],L$1),
_xlpm.受入+_xlpm.充当受入-_xlpm.払出))</f>
        <v/>
      </c>
      <c r="M128" s="8" t="str">
        <f>IF($B128="","",_xlfn.LET(
_xlpm.受入,SUMIFS(tbl_ledger[数量],tbl_ledger[ロットID],$B128,tbl_ledger[イベント種類],"不良発生"),
_xlpm.充当受入,SUMIFS(tbl_ledger[数量],tbl_ledger[充当先ロットID],$B128,tbl_ledger[イベント種類],"充当",tbl_ledger[元状態],M$1),
_xlpm.払出,SUMIFS(tbl_ledger[数量],tbl_ledger[ロットID],$B128,tbl_ledger[元状態],M$1),
_xlpm.受入+_xlpm.充当受入-_xlpm.払出))</f>
        <v/>
      </c>
      <c r="N128" s="8" t="str">
        <f t="shared" si="3"/>
        <v/>
      </c>
    </row>
    <row r="129" spans="1:14" ht="15" customHeight="1" x14ac:dyDescent="0.25">
      <c r="A129" s="4" t="str">
        <f t="shared" si="2"/>
        <v/>
      </c>
      <c r="B129" s="4" t="str">
        <f>IFERROR(IF(COUNTIF($B$1:$B128,INDEX(tbl_plan[ロットID],ROW()-1))&gt;0,"",INDEX(tbl_plan[ロットID],ROW()-1)),"")</f>
        <v/>
      </c>
      <c r="C129" s="4" t="str">
        <f>IF($B129="","",INDEX(tbl_plan[localId],ROW()-1))</f>
        <v/>
      </c>
      <c r="D129" s="8" t="str">
        <f>IF($B129="","",_xlfn.LET(
_xlpm.割当受入,SUMIF(V_充足確認!$A$2:$A$301,$B129,V_充足確認!$F$2:$F$301),
_xlpm.充当受入,SUMIFS(tbl_ledger[数量],tbl_ledger[充当先ロットID],$B129,tbl_ledger[イベント種類],"充当",tbl_ledger[元状態],D$1),
_xlpm.払出,SUMIFS(tbl_ledger[数量],tbl_ledger[ロットID],$B129,tbl_ledger[元状態],D$1),
_xlpm.割当受入+_xlpm.充当受入-_xlpm.払出))</f>
        <v/>
      </c>
      <c r="E129" s="8" t="str">
        <f>IF($B129="","",_xlfn.LET(
_xlpm.受入,SUMIFS(tbl_ledger[数量],tbl_ledger[ロットID],$B129,tbl_ledger[イベント種類],"アニール開始"),
_xlpm.充当受入,SUMIFS(tbl_ledger[数量],tbl_ledger[充当先ロットID],$B129,tbl_ledger[イベント種類],"充当",tbl_ledger[元状態],E$1),
_xlpm.払出,SUMIFS(tbl_ledger[数量],tbl_ledger[ロットID],$B129,tbl_ledger[元状態],E$1),
_xlpm.受入+_xlpm.充当受入-_xlpm.払出))</f>
        <v/>
      </c>
      <c r="F129" s="8" t="str">
        <f>IF($B129="","",_xlfn.LET(
_xlpm.受入,SUMIFS(tbl_ledger[数量],tbl_ledger[ロットID],$B129,tbl_ledger[イベント種類],"アニール完了"),
_xlpm.充当受入,SUMIFS(tbl_ledger[数量],tbl_ledger[充当先ロットID],$B129,tbl_ledger[イベント種類],"充当",tbl_ledger[元状態],F$1),
_xlpm.払出,SUMIFS(tbl_ledger[数量],tbl_ledger[ロットID],$B129,tbl_ledger[元状態],F$1),
_xlpm.受入+_xlpm.充当受入-_xlpm.払出))</f>
        <v/>
      </c>
      <c r="G129" s="8" t="str">
        <f>IF($B129="","",_xlfn.LET(
_xlpm.受入,SUMIFS(tbl_ledger[数量],tbl_ledger[ロットID],$B129,tbl_ledger[イベント種類],"アセンブリ開始"),
_xlpm.充当受入,SUMIFS(tbl_ledger[数量],tbl_ledger[充当先ロットID],$B129,tbl_ledger[イベント種類],"充当",tbl_ledger[元状態],G$1),
_xlpm.払出,SUMIFS(tbl_ledger[数量],tbl_ledger[ロットID],$B129,tbl_ledger[元状態],G$1),
_xlpm.受入+_xlpm.充当受入-_xlpm.払出))</f>
        <v/>
      </c>
      <c r="H129" s="8" t="str">
        <f>IF($B129="","",_xlfn.LET(
_xlpm.受入,SUMIFS(tbl_ledger[数量],tbl_ledger[ロットID],$B129,tbl_ledger[イベント種類],"アセンブリ完了"),
_xlpm.充当受入,SUMIFS(tbl_ledger[数量],tbl_ledger[充当先ロットID],$B129,tbl_ledger[イベント種類],"充当",tbl_ledger[元状態],H$1),
_xlpm.払出,SUMIFS(tbl_ledger[数量],tbl_ledger[ロットID],$B129,tbl_ledger[元状態],H$1),
_xlpm.受入+_xlpm.充当受入-_xlpm.払出))</f>
        <v/>
      </c>
      <c r="I129" s="8" t="str">
        <f>IF($B129="","",_xlfn.LET(
_xlpm.受入,SUMIFS(tbl_ledger[数量],tbl_ledger[ロットID],$B129,tbl_ledger[イベント種類],"梱包開始"),
_xlpm.充当受入,SUMIFS(tbl_ledger[数量],tbl_ledger[充当先ロットID],$B129,tbl_ledger[イベント種類],"充当",tbl_ledger[元状態],I$1),
_xlpm.払出,SUMIFS(tbl_ledger[数量],tbl_ledger[ロットID],$B129,tbl_ledger[元状態],I$1),
_xlpm.受入+_xlpm.充当受入-_xlpm.払出))</f>
        <v/>
      </c>
      <c r="J129" s="8" t="str">
        <f>IF($B129="","",_xlfn.LET(
_xlpm.受入,SUMIFS(tbl_ledger[数量],tbl_ledger[ロットID],$B129,tbl_ledger[イベント種類],"梱包完了"),
_xlpm.充当受入,SUMIFS(tbl_ledger[数量],tbl_ledger[充当先ロットID],$B129,tbl_ledger[イベント種類],"充当",tbl_ledger[元状態],J$1),
_xlpm.払出,SUMIFS(tbl_ledger[数量],tbl_ledger[ロットID],$B129,tbl_ledger[元状態],J$1),
_xlpm.受入+_xlpm.充当受入-_xlpm.払出))</f>
        <v/>
      </c>
      <c r="K129" s="8" t="str">
        <f>IF($B129="","",_xlfn.LET(
_xlpm.受入,SUMIFS(tbl_ledger[数量],tbl_ledger[ロットID],$B129,tbl_ledger[イベント種類],"発送準備開始"),
_xlpm.充当受入,SUMIFS(tbl_ledger[数量],tbl_ledger[充当先ロットID],$B129,tbl_ledger[イベント種類],"充当",tbl_ledger[元状態],K$1),
_xlpm.払出,SUMIFS(tbl_ledger[数量],tbl_ledger[ロットID],$B129,tbl_ledger[元状態],K$1),
_xlpm.受入+_xlpm.充当受入-_xlpm.払出))</f>
        <v/>
      </c>
      <c r="L129" s="8" t="str">
        <f>IF($B129="","",_xlfn.LET(
_xlpm.受入,SUMIFS(tbl_ledger[数量],tbl_ledger[ロットID],$B129,tbl_ledger[イベント種類],"発送準備完了"),
_xlpm.充当受入,SUMIFS(tbl_ledger[数量],tbl_ledger[充当先ロットID],$B129,tbl_ledger[イベント種類],"充当",tbl_ledger[元状態],L$1),
_xlpm.払出,SUMIFS(tbl_ledger[数量],tbl_ledger[ロットID],$B129,tbl_ledger[元状態],L$1),
_xlpm.受入+_xlpm.充当受入-_xlpm.払出))</f>
        <v/>
      </c>
      <c r="M129" s="8" t="str">
        <f>IF($B129="","",_xlfn.LET(
_xlpm.受入,SUMIFS(tbl_ledger[数量],tbl_ledger[ロットID],$B129,tbl_ledger[イベント種類],"不良発生"),
_xlpm.充当受入,SUMIFS(tbl_ledger[数量],tbl_ledger[充当先ロットID],$B129,tbl_ledger[イベント種類],"充当",tbl_ledger[元状態],M$1),
_xlpm.払出,SUMIFS(tbl_ledger[数量],tbl_ledger[ロットID],$B129,tbl_ledger[元状態],M$1),
_xlpm.受入+_xlpm.充当受入-_xlpm.払出))</f>
        <v/>
      </c>
      <c r="N129" s="8" t="str">
        <f t="shared" si="3"/>
        <v/>
      </c>
    </row>
    <row r="130" spans="1:14" ht="15" customHeight="1" x14ac:dyDescent="0.25">
      <c r="A130" s="4" t="str">
        <f t="shared" ref="A130:A193" si="4">IF($B130="","","ロット")</f>
        <v/>
      </c>
      <c r="B130" s="4" t="str">
        <f>IFERROR(IF(COUNTIF($B$1:$B129,INDEX(tbl_plan[ロットID],ROW()-1))&gt;0,"",INDEX(tbl_plan[ロットID],ROW()-1)),"")</f>
        <v/>
      </c>
      <c r="C130" s="4" t="str">
        <f>IF($B130="","",INDEX(tbl_plan[localId],ROW()-1))</f>
        <v/>
      </c>
      <c r="D130" s="8" t="str">
        <f>IF($B130="","",_xlfn.LET(
_xlpm.割当受入,SUMIF(V_充足確認!$A$2:$A$301,$B130,V_充足確認!$F$2:$F$301),
_xlpm.充当受入,SUMIFS(tbl_ledger[数量],tbl_ledger[充当先ロットID],$B130,tbl_ledger[イベント種類],"充当",tbl_ledger[元状態],D$1),
_xlpm.払出,SUMIFS(tbl_ledger[数量],tbl_ledger[ロットID],$B130,tbl_ledger[元状態],D$1),
_xlpm.割当受入+_xlpm.充当受入-_xlpm.払出))</f>
        <v/>
      </c>
      <c r="E130" s="8" t="str">
        <f>IF($B130="","",_xlfn.LET(
_xlpm.受入,SUMIFS(tbl_ledger[数量],tbl_ledger[ロットID],$B130,tbl_ledger[イベント種類],"アニール開始"),
_xlpm.充当受入,SUMIFS(tbl_ledger[数量],tbl_ledger[充当先ロットID],$B130,tbl_ledger[イベント種類],"充当",tbl_ledger[元状態],E$1),
_xlpm.払出,SUMIFS(tbl_ledger[数量],tbl_ledger[ロットID],$B130,tbl_ledger[元状態],E$1),
_xlpm.受入+_xlpm.充当受入-_xlpm.払出))</f>
        <v/>
      </c>
      <c r="F130" s="8" t="str">
        <f>IF($B130="","",_xlfn.LET(
_xlpm.受入,SUMIFS(tbl_ledger[数量],tbl_ledger[ロットID],$B130,tbl_ledger[イベント種類],"アニール完了"),
_xlpm.充当受入,SUMIFS(tbl_ledger[数量],tbl_ledger[充当先ロットID],$B130,tbl_ledger[イベント種類],"充当",tbl_ledger[元状態],F$1),
_xlpm.払出,SUMIFS(tbl_ledger[数量],tbl_ledger[ロットID],$B130,tbl_ledger[元状態],F$1),
_xlpm.受入+_xlpm.充当受入-_xlpm.払出))</f>
        <v/>
      </c>
      <c r="G130" s="8" t="str">
        <f>IF($B130="","",_xlfn.LET(
_xlpm.受入,SUMIFS(tbl_ledger[数量],tbl_ledger[ロットID],$B130,tbl_ledger[イベント種類],"アセンブリ開始"),
_xlpm.充当受入,SUMIFS(tbl_ledger[数量],tbl_ledger[充当先ロットID],$B130,tbl_ledger[イベント種類],"充当",tbl_ledger[元状態],G$1),
_xlpm.払出,SUMIFS(tbl_ledger[数量],tbl_ledger[ロットID],$B130,tbl_ledger[元状態],G$1),
_xlpm.受入+_xlpm.充当受入-_xlpm.払出))</f>
        <v/>
      </c>
      <c r="H130" s="8" t="str">
        <f>IF($B130="","",_xlfn.LET(
_xlpm.受入,SUMIFS(tbl_ledger[数量],tbl_ledger[ロットID],$B130,tbl_ledger[イベント種類],"アセンブリ完了"),
_xlpm.充当受入,SUMIFS(tbl_ledger[数量],tbl_ledger[充当先ロットID],$B130,tbl_ledger[イベント種類],"充当",tbl_ledger[元状態],H$1),
_xlpm.払出,SUMIFS(tbl_ledger[数量],tbl_ledger[ロットID],$B130,tbl_ledger[元状態],H$1),
_xlpm.受入+_xlpm.充当受入-_xlpm.払出))</f>
        <v/>
      </c>
      <c r="I130" s="8" t="str">
        <f>IF($B130="","",_xlfn.LET(
_xlpm.受入,SUMIFS(tbl_ledger[数量],tbl_ledger[ロットID],$B130,tbl_ledger[イベント種類],"梱包開始"),
_xlpm.充当受入,SUMIFS(tbl_ledger[数量],tbl_ledger[充当先ロットID],$B130,tbl_ledger[イベント種類],"充当",tbl_ledger[元状態],I$1),
_xlpm.払出,SUMIFS(tbl_ledger[数量],tbl_ledger[ロットID],$B130,tbl_ledger[元状態],I$1),
_xlpm.受入+_xlpm.充当受入-_xlpm.払出))</f>
        <v/>
      </c>
      <c r="J130" s="8" t="str">
        <f>IF($B130="","",_xlfn.LET(
_xlpm.受入,SUMIFS(tbl_ledger[数量],tbl_ledger[ロットID],$B130,tbl_ledger[イベント種類],"梱包完了"),
_xlpm.充当受入,SUMIFS(tbl_ledger[数量],tbl_ledger[充当先ロットID],$B130,tbl_ledger[イベント種類],"充当",tbl_ledger[元状態],J$1),
_xlpm.払出,SUMIFS(tbl_ledger[数量],tbl_ledger[ロットID],$B130,tbl_ledger[元状態],J$1),
_xlpm.受入+_xlpm.充当受入-_xlpm.払出))</f>
        <v/>
      </c>
      <c r="K130" s="8" t="str">
        <f>IF($B130="","",_xlfn.LET(
_xlpm.受入,SUMIFS(tbl_ledger[数量],tbl_ledger[ロットID],$B130,tbl_ledger[イベント種類],"発送準備開始"),
_xlpm.充当受入,SUMIFS(tbl_ledger[数量],tbl_ledger[充当先ロットID],$B130,tbl_ledger[イベント種類],"充当",tbl_ledger[元状態],K$1),
_xlpm.払出,SUMIFS(tbl_ledger[数量],tbl_ledger[ロットID],$B130,tbl_ledger[元状態],K$1),
_xlpm.受入+_xlpm.充当受入-_xlpm.払出))</f>
        <v/>
      </c>
      <c r="L130" s="8" t="str">
        <f>IF($B130="","",_xlfn.LET(
_xlpm.受入,SUMIFS(tbl_ledger[数量],tbl_ledger[ロットID],$B130,tbl_ledger[イベント種類],"発送準備完了"),
_xlpm.充当受入,SUMIFS(tbl_ledger[数量],tbl_ledger[充当先ロットID],$B130,tbl_ledger[イベント種類],"充当",tbl_ledger[元状態],L$1),
_xlpm.払出,SUMIFS(tbl_ledger[数量],tbl_ledger[ロットID],$B130,tbl_ledger[元状態],L$1),
_xlpm.受入+_xlpm.充当受入-_xlpm.払出))</f>
        <v/>
      </c>
      <c r="M130" s="8" t="str">
        <f>IF($B130="","",_xlfn.LET(
_xlpm.受入,SUMIFS(tbl_ledger[数量],tbl_ledger[ロットID],$B130,tbl_ledger[イベント種類],"不良発生"),
_xlpm.充当受入,SUMIFS(tbl_ledger[数量],tbl_ledger[充当先ロットID],$B130,tbl_ledger[イベント種類],"充当",tbl_ledger[元状態],M$1),
_xlpm.払出,SUMIFS(tbl_ledger[数量],tbl_ledger[ロットID],$B130,tbl_ledger[元状態],M$1),
_xlpm.受入+_xlpm.充当受入-_xlpm.払出))</f>
        <v/>
      </c>
      <c r="N130" s="8" t="str">
        <f t="shared" ref="N130:N193" si="5">IF($B130="","",SUM(D130:M130))</f>
        <v/>
      </c>
    </row>
    <row r="131" spans="1:14" ht="15" customHeight="1" x14ac:dyDescent="0.25">
      <c r="A131" s="4" t="str">
        <f t="shared" si="4"/>
        <v/>
      </c>
      <c r="B131" s="4" t="str">
        <f>IFERROR(IF(COUNTIF($B$1:$B130,INDEX(tbl_plan[ロットID],ROW()-1))&gt;0,"",INDEX(tbl_plan[ロットID],ROW()-1)),"")</f>
        <v/>
      </c>
      <c r="C131" s="4" t="str">
        <f>IF($B131="","",INDEX(tbl_plan[localId],ROW()-1))</f>
        <v/>
      </c>
      <c r="D131" s="8" t="str">
        <f>IF($B131="","",_xlfn.LET(
_xlpm.割当受入,SUMIF(V_充足確認!$A$2:$A$301,$B131,V_充足確認!$F$2:$F$301),
_xlpm.充当受入,SUMIFS(tbl_ledger[数量],tbl_ledger[充当先ロットID],$B131,tbl_ledger[イベント種類],"充当",tbl_ledger[元状態],D$1),
_xlpm.払出,SUMIFS(tbl_ledger[数量],tbl_ledger[ロットID],$B131,tbl_ledger[元状態],D$1),
_xlpm.割当受入+_xlpm.充当受入-_xlpm.払出))</f>
        <v/>
      </c>
      <c r="E131" s="8" t="str">
        <f>IF($B131="","",_xlfn.LET(
_xlpm.受入,SUMIFS(tbl_ledger[数量],tbl_ledger[ロットID],$B131,tbl_ledger[イベント種類],"アニール開始"),
_xlpm.充当受入,SUMIFS(tbl_ledger[数量],tbl_ledger[充当先ロットID],$B131,tbl_ledger[イベント種類],"充当",tbl_ledger[元状態],E$1),
_xlpm.払出,SUMIFS(tbl_ledger[数量],tbl_ledger[ロットID],$B131,tbl_ledger[元状態],E$1),
_xlpm.受入+_xlpm.充当受入-_xlpm.払出))</f>
        <v/>
      </c>
      <c r="F131" s="8" t="str">
        <f>IF($B131="","",_xlfn.LET(
_xlpm.受入,SUMIFS(tbl_ledger[数量],tbl_ledger[ロットID],$B131,tbl_ledger[イベント種類],"アニール完了"),
_xlpm.充当受入,SUMIFS(tbl_ledger[数量],tbl_ledger[充当先ロットID],$B131,tbl_ledger[イベント種類],"充当",tbl_ledger[元状態],F$1),
_xlpm.払出,SUMIFS(tbl_ledger[数量],tbl_ledger[ロットID],$B131,tbl_ledger[元状態],F$1),
_xlpm.受入+_xlpm.充当受入-_xlpm.払出))</f>
        <v/>
      </c>
      <c r="G131" s="8" t="str">
        <f>IF($B131="","",_xlfn.LET(
_xlpm.受入,SUMIFS(tbl_ledger[数量],tbl_ledger[ロットID],$B131,tbl_ledger[イベント種類],"アセンブリ開始"),
_xlpm.充当受入,SUMIFS(tbl_ledger[数量],tbl_ledger[充当先ロットID],$B131,tbl_ledger[イベント種類],"充当",tbl_ledger[元状態],G$1),
_xlpm.払出,SUMIFS(tbl_ledger[数量],tbl_ledger[ロットID],$B131,tbl_ledger[元状態],G$1),
_xlpm.受入+_xlpm.充当受入-_xlpm.払出))</f>
        <v/>
      </c>
      <c r="H131" s="8" t="str">
        <f>IF($B131="","",_xlfn.LET(
_xlpm.受入,SUMIFS(tbl_ledger[数量],tbl_ledger[ロットID],$B131,tbl_ledger[イベント種類],"アセンブリ完了"),
_xlpm.充当受入,SUMIFS(tbl_ledger[数量],tbl_ledger[充当先ロットID],$B131,tbl_ledger[イベント種類],"充当",tbl_ledger[元状態],H$1),
_xlpm.払出,SUMIFS(tbl_ledger[数量],tbl_ledger[ロットID],$B131,tbl_ledger[元状態],H$1),
_xlpm.受入+_xlpm.充当受入-_xlpm.払出))</f>
        <v/>
      </c>
      <c r="I131" s="8" t="str">
        <f>IF($B131="","",_xlfn.LET(
_xlpm.受入,SUMIFS(tbl_ledger[数量],tbl_ledger[ロットID],$B131,tbl_ledger[イベント種類],"梱包開始"),
_xlpm.充当受入,SUMIFS(tbl_ledger[数量],tbl_ledger[充当先ロットID],$B131,tbl_ledger[イベント種類],"充当",tbl_ledger[元状態],I$1),
_xlpm.払出,SUMIFS(tbl_ledger[数量],tbl_ledger[ロットID],$B131,tbl_ledger[元状態],I$1),
_xlpm.受入+_xlpm.充当受入-_xlpm.払出))</f>
        <v/>
      </c>
      <c r="J131" s="8" t="str">
        <f>IF($B131="","",_xlfn.LET(
_xlpm.受入,SUMIFS(tbl_ledger[数量],tbl_ledger[ロットID],$B131,tbl_ledger[イベント種類],"梱包完了"),
_xlpm.充当受入,SUMIFS(tbl_ledger[数量],tbl_ledger[充当先ロットID],$B131,tbl_ledger[イベント種類],"充当",tbl_ledger[元状態],J$1),
_xlpm.払出,SUMIFS(tbl_ledger[数量],tbl_ledger[ロットID],$B131,tbl_ledger[元状態],J$1),
_xlpm.受入+_xlpm.充当受入-_xlpm.払出))</f>
        <v/>
      </c>
      <c r="K131" s="8" t="str">
        <f>IF($B131="","",_xlfn.LET(
_xlpm.受入,SUMIFS(tbl_ledger[数量],tbl_ledger[ロットID],$B131,tbl_ledger[イベント種類],"発送準備開始"),
_xlpm.充当受入,SUMIFS(tbl_ledger[数量],tbl_ledger[充当先ロットID],$B131,tbl_ledger[イベント種類],"充当",tbl_ledger[元状態],K$1),
_xlpm.払出,SUMIFS(tbl_ledger[数量],tbl_ledger[ロットID],$B131,tbl_ledger[元状態],K$1),
_xlpm.受入+_xlpm.充当受入-_xlpm.払出))</f>
        <v/>
      </c>
      <c r="L131" s="8" t="str">
        <f>IF($B131="","",_xlfn.LET(
_xlpm.受入,SUMIFS(tbl_ledger[数量],tbl_ledger[ロットID],$B131,tbl_ledger[イベント種類],"発送準備完了"),
_xlpm.充当受入,SUMIFS(tbl_ledger[数量],tbl_ledger[充当先ロットID],$B131,tbl_ledger[イベント種類],"充当",tbl_ledger[元状態],L$1),
_xlpm.払出,SUMIFS(tbl_ledger[数量],tbl_ledger[ロットID],$B131,tbl_ledger[元状態],L$1),
_xlpm.受入+_xlpm.充当受入-_xlpm.払出))</f>
        <v/>
      </c>
      <c r="M131" s="8" t="str">
        <f>IF($B131="","",_xlfn.LET(
_xlpm.受入,SUMIFS(tbl_ledger[数量],tbl_ledger[ロットID],$B131,tbl_ledger[イベント種類],"不良発生"),
_xlpm.充当受入,SUMIFS(tbl_ledger[数量],tbl_ledger[充当先ロットID],$B131,tbl_ledger[イベント種類],"充当",tbl_ledger[元状態],M$1),
_xlpm.払出,SUMIFS(tbl_ledger[数量],tbl_ledger[ロットID],$B131,tbl_ledger[元状態],M$1),
_xlpm.受入+_xlpm.充当受入-_xlpm.払出))</f>
        <v/>
      </c>
      <c r="N131" s="8" t="str">
        <f t="shared" si="5"/>
        <v/>
      </c>
    </row>
    <row r="132" spans="1:14" ht="15" customHeight="1" x14ac:dyDescent="0.25">
      <c r="A132" s="4" t="str">
        <f t="shared" si="4"/>
        <v/>
      </c>
      <c r="B132" s="4" t="str">
        <f>IFERROR(IF(COUNTIF($B$1:$B131,INDEX(tbl_plan[ロットID],ROW()-1))&gt;0,"",INDEX(tbl_plan[ロットID],ROW()-1)),"")</f>
        <v/>
      </c>
      <c r="C132" s="4" t="str">
        <f>IF($B132="","",INDEX(tbl_plan[localId],ROW()-1))</f>
        <v/>
      </c>
      <c r="D132" s="8" t="str">
        <f>IF($B132="","",_xlfn.LET(
_xlpm.割当受入,SUMIF(V_充足確認!$A$2:$A$301,$B132,V_充足確認!$F$2:$F$301),
_xlpm.充当受入,SUMIFS(tbl_ledger[数量],tbl_ledger[充当先ロットID],$B132,tbl_ledger[イベント種類],"充当",tbl_ledger[元状態],D$1),
_xlpm.払出,SUMIFS(tbl_ledger[数量],tbl_ledger[ロットID],$B132,tbl_ledger[元状態],D$1),
_xlpm.割当受入+_xlpm.充当受入-_xlpm.払出))</f>
        <v/>
      </c>
      <c r="E132" s="8" t="str">
        <f>IF($B132="","",_xlfn.LET(
_xlpm.受入,SUMIFS(tbl_ledger[数量],tbl_ledger[ロットID],$B132,tbl_ledger[イベント種類],"アニール開始"),
_xlpm.充当受入,SUMIFS(tbl_ledger[数量],tbl_ledger[充当先ロットID],$B132,tbl_ledger[イベント種類],"充当",tbl_ledger[元状態],E$1),
_xlpm.払出,SUMIFS(tbl_ledger[数量],tbl_ledger[ロットID],$B132,tbl_ledger[元状態],E$1),
_xlpm.受入+_xlpm.充当受入-_xlpm.払出))</f>
        <v/>
      </c>
      <c r="F132" s="8" t="str">
        <f>IF($B132="","",_xlfn.LET(
_xlpm.受入,SUMIFS(tbl_ledger[数量],tbl_ledger[ロットID],$B132,tbl_ledger[イベント種類],"アニール完了"),
_xlpm.充当受入,SUMIFS(tbl_ledger[数量],tbl_ledger[充当先ロットID],$B132,tbl_ledger[イベント種類],"充当",tbl_ledger[元状態],F$1),
_xlpm.払出,SUMIFS(tbl_ledger[数量],tbl_ledger[ロットID],$B132,tbl_ledger[元状態],F$1),
_xlpm.受入+_xlpm.充当受入-_xlpm.払出))</f>
        <v/>
      </c>
      <c r="G132" s="8" t="str">
        <f>IF($B132="","",_xlfn.LET(
_xlpm.受入,SUMIFS(tbl_ledger[数量],tbl_ledger[ロットID],$B132,tbl_ledger[イベント種類],"アセンブリ開始"),
_xlpm.充当受入,SUMIFS(tbl_ledger[数量],tbl_ledger[充当先ロットID],$B132,tbl_ledger[イベント種類],"充当",tbl_ledger[元状態],G$1),
_xlpm.払出,SUMIFS(tbl_ledger[数量],tbl_ledger[ロットID],$B132,tbl_ledger[元状態],G$1),
_xlpm.受入+_xlpm.充当受入-_xlpm.払出))</f>
        <v/>
      </c>
      <c r="H132" s="8" t="str">
        <f>IF($B132="","",_xlfn.LET(
_xlpm.受入,SUMIFS(tbl_ledger[数量],tbl_ledger[ロットID],$B132,tbl_ledger[イベント種類],"アセンブリ完了"),
_xlpm.充当受入,SUMIFS(tbl_ledger[数量],tbl_ledger[充当先ロットID],$B132,tbl_ledger[イベント種類],"充当",tbl_ledger[元状態],H$1),
_xlpm.払出,SUMIFS(tbl_ledger[数量],tbl_ledger[ロットID],$B132,tbl_ledger[元状態],H$1),
_xlpm.受入+_xlpm.充当受入-_xlpm.払出))</f>
        <v/>
      </c>
      <c r="I132" s="8" t="str">
        <f>IF($B132="","",_xlfn.LET(
_xlpm.受入,SUMIFS(tbl_ledger[数量],tbl_ledger[ロットID],$B132,tbl_ledger[イベント種類],"梱包開始"),
_xlpm.充当受入,SUMIFS(tbl_ledger[数量],tbl_ledger[充当先ロットID],$B132,tbl_ledger[イベント種類],"充当",tbl_ledger[元状態],I$1),
_xlpm.払出,SUMIFS(tbl_ledger[数量],tbl_ledger[ロットID],$B132,tbl_ledger[元状態],I$1),
_xlpm.受入+_xlpm.充当受入-_xlpm.払出))</f>
        <v/>
      </c>
      <c r="J132" s="8" t="str">
        <f>IF($B132="","",_xlfn.LET(
_xlpm.受入,SUMIFS(tbl_ledger[数量],tbl_ledger[ロットID],$B132,tbl_ledger[イベント種類],"梱包完了"),
_xlpm.充当受入,SUMIFS(tbl_ledger[数量],tbl_ledger[充当先ロットID],$B132,tbl_ledger[イベント種類],"充当",tbl_ledger[元状態],J$1),
_xlpm.払出,SUMIFS(tbl_ledger[数量],tbl_ledger[ロットID],$B132,tbl_ledger[元状態],J$1),
_xlpm.受入+_xlpm.充当受入-_xlpm.払出))</f>
        <v/>
      </c>
      <c r="K132" s="8" t="str">
        <f>IF($B132="","",_xlfn.LET(
_xlpm.受入,SUMIFS(tbl_ledger[数量],tbl_ledger[ロットID],$B132,tbl_ledger[イベント種類],"発送準備開始"),
_xlpm.充当受入,SUMIFS(tbl_ledger[数量],tbl_ledger[充当先ロットID],$B132,tbl_ledger[イベント種類],"充当",tbl_ledger[元状態],K$1),
_xlpm.払出,SUMIFS(tbl_ledger[数量],tbl_ledger[ロットID],$B132,tbl_ledger[元状態],K$1),
_xlpm.受入+_xlpm.充当受入-_xlpm.払出))</f>
        <v/>
      </c>
      <c r="L132" s="8" t="str">
        <f>IF($B132="","",_xlfn.LET(
_xlpm.受入,SUMIFS(tbl_ledger[数量],tbl_ledger[ロットID],$B132,tbl_ledger[イベント種類],"発送準備完了"),
_xlpm.充当受入,SUMIFS(tbl_ledger[数量],tbl_ledger[充当先ロットID],$B132,tbl_ledger[イベント種類],"充当",tbl_ledger[元状態],L$1),
_xlpm.払出,SUMIFS(tbl_ledger[数量],tbl_ledger[ロットID],$B132,tbl_ledger[元状態],L$1),
_xlpm.受入+_xlpm.充当受入-_xlpm.払出))</f>
        <v/>
      </c>
      <c r="M132" s="8" t="str">
        <f>IF($B132="","",_xlfn.LET(
_xlpm.受入,SUMIFS(tbl_ledger[数量],tbl_ledger[ロットID],$B132,tbl_ledger[イベント種類],"不良発生"),
_xlpm.充当受入,SUMIFS(tbl_ledger[数量],tbl_ledger[充当先ロットID],$B132,tbl_ledger[イベント種類],"充当",tbl_ledger[元状態],M$1),
_xlpm.払出,SUMIFS(tbl_ledger[数量],tbl_ledger[ロットID],$B132,tbl_ledger[元状態],M$1),
_xlpm.受入+_xlpm.充当受入-_xlpm.払出))</f>
        <v/>
      </c>
      <c r="N132" s="8" t="str">
        <f t="shared" si="5"/>
        <v/>
      </c>
    </row>
    <row r="133" spans="1:14" ht="15" customHeight="1" x14ac:dyDescent="0.25">
      <c r="A133" s="4" t="str">
        <f t="shared" si="4"/>
        <v/>
      </c>
      <c r="B133" s="4" t="str">
        <f>IFERROR(IF(COUNTIF($B$1:$B132,INDEX(tbl_plan[ロットID],ROW()-1))&gt;0,"",INDEX(tbl_plan[ロットID],ROW()-1)),"")</f>
        <v/>
      </c>
      <c r="C133" s="4" t="str">
        <f>IF($B133="","",INDEX(tbl_plan[localId],ROW()-1))</f>
        <v/>
      </c>
      <c r="D133" s="8" t="str">
        <f>IF($B133="","",_xlfn.LET(
_xlpm.割当受入,SUMIF(V_充足確認!$A$2:$A$301,$B133,V_充足確認!$F$2:$F$301),
_xlpm.充当受入,SUMIFS(tbl_ledger[数量],tbl_ledger[充当先ロットID],$B133,tbl_ledger[イベント種類],"充当",tbl_ledger[元状態],D$1),
_xlpm.払出,SUMIFS(tbl_ledger[数量],tbl_ledger[ロットID],$B133,tbl_ledger[元状態],D$1),
_xlpm.割当受入+_xlpm.充当受入-_xlpm.払出))</f>
        <v/>
      </c>
      <c r="E133" s="8" t="str">
        <f>IF($B133="","",_xlfn.LET(
_xlpm.受入,SUMIFS(tbl_ledger[数量],tbl_ledger[ロットID],$B133,tbl_ledger[イベント種類],"アニール開始"),
_xlpm.充当受入,SUMIFS(tbl_ledger[数量],tbl_ledger[充当先ロットID],$B133,tbl_ledger[イベント種類],"充当",tbl_ledger[元状態],E$1),
_xlpm.払出,SUMIFS(tbl_ledger[数量],tbl_ledger[ロットID],$B133,tbl_ledger[元状態],E$1),
_xlpm.受入+_xlpm.充当受入-_xlpm.払出))</f>
        <v/>
      </c>
      <c r="F133" s="8" t="str">
        <f>IF($B133="","",_xlfn.LET(
_xlpm.受入,SUMIFS(tbl_ledger[数量],tbl_ledger[ロットID],$B133,tbl_ledger[イベント種類],"アニール完了"),
_xlpm.充当受入,SUMIFS(tbl_ledger[数量],tbl_ledger[充当先ロットID],$B133,tbl_ledger[イベント種類],"充当",tbl_ledger[元状態],F$1),
_xlpm.払出,SUMIFS(tbl_ledger[数量],tbl_ledger[ロットID],$B133,tbl_ledger[元状態],F$1),
_xlpm.受入+_xlpm.充当受入-_xlpm.払出))</f>
        <v/>
      </c>
      <c r="G133" s="8" t="str">
        <f>IF($B133="","",_xlfn.LET(
_xlpm.受入,SUMIFS(tbl_ledger[数量],tbl_ledger[ロットID],$B133,tbl_ledger[イベント種類],"アセンブリ開始"),
_xlpm.充当受入,SUMIFS(tbl_ledger[数量],tbl_ledger[充当先ロットID],$B133,tbl_ledger[イベント種類],"充当",tbl_ledger[元状態],G$1),
_xlpm.払出,SUMIFS(tbl_ledger[数量],tbl_ledger[ロットID],$B133,tbl_ledger[元状態],G$1),
_xlpm.受入+_xlpm.充当受入-_xlpm.払出))</f>
        <v/>
      </c>
      <c r="H133" s="8" t="str">
        <f>IF($B133="","",_xlfn.LET(
_xlpm.受入,SUMIFS(tbl_ledger[数量],tbl_ledger[ロットID],$B133,tbl_ledger[イベント種類],"アセンブリ完了"),
_xlpm.充当受入,SUMIFS(tbl_ledger[数量],tbl_ledger[充当先ロットID],$B133,tbl_ledger[イベント種類],"充当",tbl_ledger[元状態],H$1),
_xlpm.払出,SUMIFS(tbl_ledger[数量],tbl_ledger[ロットID],$B133,tbl_ledger[元状態],H$1),
_xlpm.受入+_xlpm.充当受入-_xlpm.払出))</f>
        <v/>
      </c>
      <c r="I133" s="8" t="str">
        <f>IF($B133="","",_xlfn.LET(
_xlpm.受入,SUMIFS(tbl_ledger[数量],tbl_ledger[ロットID],$B133,tbl_ledger[イベント種類],"梱包開始"),
_xlpm.充当受入,SUMIFS(tbl_ledger[数量],tbl_ledger[充当先ロットID],$B133,tbl_ledger[イベント種類],"充当",tbl_ledger[元状態],I$1),
_xlpm.払出,SUMIFS(tbl_ledger[数量],tbl_ledger[ロットID],$B133,tbl_ledger[元状態],I$1),
_xlpm.受入+_xlpm.充当受入-_xlpm.払出))</f>
        <v/>
      </c>
      <c r="J133" s="8" t="str">
        <f>IF($B133="","",_xlfn.LET(
_xlpm.受入,SUMIFS(tbl_ledger[数量],tbl_ledger[ロットID],$B133,tbl_ledger[イベント種類],"梱包完了"),
_xlpm.充当受入,SUMIFS(tbl_ledger[数量],tbl_ledger[充当先ロットID],$B133,tbl_ledger[イベント種類],"充当",tbl_ledger[元状態],J$1),
_xlpm.払出,SUMIFS(tbl_ledger[数量],tbl_ledger[ロットID],$B133,tbl_ledger[元状態],J$1),
_xlpm.受入+_xlpm.充当受入-_xlpm.払出))</f>
        <v/>
      </c>
      <c r="K133" s="8" t="str">
        <f>IF($B133="","",_xlfn.LET(
_xlpm.受入,SUMIFS(tbl_ledger[数量],tbl_ledger[ロットID],$B133,tbl_ledger[イベント種類],"発送準備開始"),
_xlpm.充当受入,SUMIFS(tbl_ledger[数量],tbl_ledger[充当先ロットID],$B133,tbl_ledger[イベント種類],"充当",tbl_ledger[元状態],K$1),
_xlpm.払出,SUMIFS(tbl_ledger[数量],tbl_ledger[ロットID],$B133,tbl_ledger[元状態],K$1),
_xlpm.受入+_xlpm.充当受入-_xlpm.払出))</f>
        <v/>
      </c>
      <c r="L133" s="8" t="str">
        <f>IF($B133="","",_xlfn.LET(
_xlpm.受入,SUMIFS(tbl_ledger[数量],tbl_ledger[ロットID],$B133,tbl_ledger[イベント種類],"発送準備完了"),
_xlpm.充当受入,SUMIFS(tbl_ledger[数量],tbl_ledger[充当先ロットID],$B133,tbl_ledger[イベント種類],"充当",tbl_ledger[元状態],L$1),
_xlpm.払出,SUMIFS(tbl_ledger[数量],tbl_ledger[ロットID],$B133,tbl_ledger[元状態],L$1),
_xlpm.受入+_xlpm.充当受入-_xlpm.払出))</f>
        <v/>
      </c>
      <c r="M133" s="8" t="str">
        <f>IF($B133="","",_xlfn.LET(
_xlpm.受入,SUMIFS(tbl_ledger[数量],tbl_ledger[ロットID],$B133,tbl_ledger[イベント種類],"不良発生"),
_xlpm.充当受入,SUMIFS(tbl_ledger[数量],tbl_ledger[充当先ロットID],$B133,tbl_ledger[イベント種類],"充当",tbl_ledger[元状態],M$1),
_xlpm.払出,SUMIFS(tbl_ledger[数量],tbl_ledger[ロットID],$B133,tbl_ledger[元状態],M$1),
_xlpm.受入+_xlpm.充当受入-_xlpm.払出))</f>
        <v/>
      </c>
      <c r="N133" s="8" t="str">
        <f t="shared" si="5"/>
        <v/>
      </c>
    </row>
    <row r="134" spans="1:14" ht="15" customHeight="1" x14ac:dyDescent="0.25">
      <c r="A134" s="4" t="str">
        <f t="shared" si="4"/>
        <v/>
      </c>
      <c r="B134" s="4" t="str">
        <f>IFERROR(IF(COUNTIF($B$1:$B133,INDEX(tbl_plan[ロットID],ROW()-1))&gt;0,"",INDEX(tbl_plan[ロットID],ROW()-1)),"")</f>
        <v/>
      </c>
      <c r="C134" s="4" t="str">
        <f>IF($B134="","",INDEX(tbl_plan[localId],ROW()-1))</f>
        <v/>
      </c>
      <c r="D134" s="8" t="str">
        <f>IF($B134="","",_xlfn.LET(
_xlpm.割当受入,SUMIF(V_充足確認!$A$2:$A$301,$B134,V_充足確認!$F$2:$F$301),
_xlpm.充当受入,SUMIFS(tbl_ledger[数量],tbl_ledger[充当先ロットID],$B134,tbl_ledger[イベント種類],"充当",tbl_ledger[元状態],D$1),
_xlpm.払出,SUMIFS(tbl_ledger[数量],tbl_ledger[ロットID],$B134,tbl_ledger[元状態],D$1),
_xlpm.割当受入+_xlpm.充当受入-_xlpm.払出))</f>
        <v/>
      </c>
      <c r="E134" s="8" t="str">
        <f>IF($B134="","",_xlfn.LET(
_xlpm.受入,SUMIFS(tbl_ledger[数量],tbl_ledger[ロットID],$B134,tbl_ledger[イベント種類],"アニール開始"),
_xlpm.充当受入,SUMIFS(tbl_ledger[数量],tbl_ledger[充当先ロットID],$B134,tbl_ledger[イベント種類],"充当",tbl_ledger[元状態],E$1),
_xlpm.払出,SUMIFS(tbl_ledger[数量],tbl_ledger[ロットID],$B134,tbl_ledger[元状態],E$1),
_xlpm.受入+_xlpm.充当受入-_xlpm.払出))</f>
        <v/>
      </c>
      <c r="F134" s="8" t="str">
        <f>IF($B134="","",_xlfn.LET(
_xlpm.受入,SUMIFS(tbl_ledger[数量],tbl_ledger[ロットID],$B134,tbl_ledger[イベント種類],"アニール完了"),
_xlpm.充当受入,SUMIFS(tbl_ledger[数量],tbl_ledger[充当先ロットID],$B134,tbl_ledger[イベント種類],"充当",tbl_ledger[元状態],F$1),
_xlpm.払出,SUMIFS(tbl_ledger[数量],tbl_ledger[ロットID],$B134,tbl_ledger[元状態],F$1),
_xlpm.受入+_xlpm.充当受入-_xlpm.払出))</f>
        <v/>
      </c>
      <c r="G134" s="8" t="str">
        <f>IF($B134="","",_xlfn.LET(
_xlpm.受入,SUMIFS(tbl_ledger[数量],tbl_ledger[ロットID],$B134,tbl_ledger[イベント種類],"アセンブリ開始"),
_xlpm.充当受入,SUMIFS(tbl_ledger[数量],tbl_ledger[充当先ロットID],$B134,tbl_ledger[イベント種類],"充当",tbl_ledger[元状態],G$1),
_xlpm.払出,SUMIFS(tbl_ledger[数量],tbl_ledger[ロットID],$B134,tbl_ledger[元状態],G$1),
_xlpm.受入+_xlpm.充当受入-_xlpm.払出))</f>
        <v/>
      </c>
      <c r="H134" s="8" t="str">
        <f>IF($B134="","",_xlfn.LET(
_xlpm.受入,SUMIFS(tbl_ledger[数量],tbl_ledger[ロットID],$B134,tbl_ledger[イベント種類],"アセンブリ完了"),
_xlpm.充当受入,SUMIFS(tbl_ledger[数量],tbl_ledger[充当先ロットID],$B134,tbl_ledger[イベント種類],"充当",tbl_ledger[元状態],H$1),
_xlpm.払出,SUMIFS(tbl_ledger[数量],tbl_ledger[ロットID],$B134,tbl_ledger[元状態],H$1),
_xlpm.受入+_xlpm.充当受入-_xlpm.払出))</f>
        <v/>
      </c>
      <c r="I134" s="8" t="str">
        <f>IF($B134="","",_xlfn.LET(
_xlpm.受入,SUMIFS(tbl_ledger[数量],tbl_ledger[ロットID],$B134,tbl_ledger[イベント種類],"梱包開始"),
_xlpm.充当受入,SUMIFS(tbl_ledger[数量],tbl_ledger[充当先ロットID],$B134,tbl_ledger[イベント種類],"充当",tbl_ledger[元状態],I$1),
_xlpm.払出,SUMIFS(tbl_ledger[数量],tbl_ledger[ロットID],$B134,tbl_ledger[元状態],I$1),
_xlpm.受入+_xlpm.充当受入-_xlpm.払出))</f>
        <v/>
      </c>
      <c r="J134" s="8" t="str">
        <f>IF($B134="","",_xlfn.LET(
_xlpm.受入,SUMIFS(tbl_ledger[数量],tbl_ledger[ロットID],$B134,tbl_ledger[イベント種類],"梱包完了"),
_xlpm.充当受入,SUMIFS(tbl_ledger[数量],tbl_ledger[充当先ロットID],$B134,tbl_ledger[イベント種類],"充当",tbl_ledger[元状態],J$1),
_xlpm.払出,SUMIFS(tbl_ledger[数量],tbl_ledger[ロットID],$B134,tbl_ledger[元状態],J$1),
_xlpm.受入+_xlpm.充当受入-_xlpm.払出))</f>
        <v/>
      </c>
      <c r="K134" s="8" t="str">
        <f>IF($B134="","",_xlfn.LET(
_xlpm.受入,SUMIFS(tbl_ledger[数量],tbl_ledger[ロットID],$B134,tbl_ledger[イベント種類],"発送準備開始"),
_xlpm.充当受入,SUMIFS(tbl_ledger[数量],tbl_ledger[充当先ロットID],$B134,tbl_ledger[イベント種類],"充当",tbl_ledger[元状態],K$1),
_xlpm.払出,SUMIFS(tbl_ledger[数量],tbl_ledger[ロットID],$B134,tbl_ledger[元状態],K$1),
_xlpm.受入+_xlpm.充当受入-_xlpm.払出))</f>
        <v/>
      </c>
      <c r="L134" s="8" t="str">
        <f>IF($B134="","",_xlfn.LET(
_xlpm.受入,SUMIFS(tbl_ledger[数量],tbl_ledger[ロットID],$B134,tbl_ledger[イベント種類],"発送準備完了"),
_xlpm.充当受入,SUMIFS(tbl_ledger[数量],tbl_ledger[充当先ロットID],$B134,tbl_ledger[イベント種類],"充当",tbl_ledger[元状態],L$1),
_xlpm.払出,SUMIFS(tbl_ledger[数量],tbl_ledger[ロットID],$B134,tbl_ledger[元状態],L$1),
_xlpm.受入+_xlpm.充当受入-_xlpm.払出))</f>
        <v/>
      </c>
      <c r="M134" s="8" t="str">
        <f>IF($B134="","",_xlfn.LET(
_xlpm.受入,SUMIFS(tbl_ledger[数量],tbl_ledger[ロットID],$B134,tbl_ledger[イベント種類],"不良発生"),
_xlpm.充当受入,SUMIFS(tbl_ledger[数量],tbl_ledger[充当先ロットID],$B134,tbl_ledger[イベント種類],"充当",tbl_ledger[元状態],M$1),
_xlpm.払出,SUMIFS(tbl_ledger[数量],tbl_ledger[ロットID],$B134,tbl_ledger[元状態],M$1),
_xlpm.受入+_xlpm.充当受入-_xlpm.払出))</f>
        <v/>
      </c>
      <c r="N134" s="8" t="str">
        <f t="shared" si="5"/>
        <v/>
      </c>
    </row>
    <row r="135" spans="1:14" ht="15" customHeight="1" x14ac:dyDescent="0.25">
      <c r="A135" s="4" t="str">
        <f t="shared" si="4"/>
        <v/>
      </c>
      <c r="B135" s="4" t="str">
        <f>IFERROR(IF(COUNTIF($B$1:$B134,INDEX(tbl_plan[ロットID],ROW()-1))&gt;0,"",INDEX(tbl_plan[ロットID],ROW()-1)),"")</f>
        <v/>
      </c>
      <c r="C135" s="4" t="str">
        <f>IF($B135="","",INDEX(tbl_plan[localId],ROW()-1))</f>
        <v/>
      </c>
      <c r="D135" s="8" t="str">
        <f>IF($B135="","",_xlfn.LET(
_xlpm.割当受入,SUMIF(V_充足確認!$A$2:$A$301,$B135,V_充足確認!$F$2:$F$301),
_xlpm.充当受入,SUMIFS(tbl_ledger[数量],tbl_ledger[充当先ロットID],$B135,tbl_ledger[イベント種類],"充当",tbl_ledger[元状態],D$1),
_xlpm.払出,SUMIFS(tbl_ledger[数量],tbl_ledger[ロットID],$B135,tbl_ledger[元状態],D$1),
_xlpm.割当受入+_xlpm.充当受入-_xlpm.払出))</f>
        <v/>
      </c>
      <c r="E135" s="8" t="str">
        <f>IF($B135="","",_xlfn.LET(
_xlpm.受入,SUMIFS(tbl_ledger[数量],tbl_ledger[ロットID],$B135,tbl_ledger[イベント種類],"アニール開始"),
_xlpm.充当受入,SUMIFS(tbl_ledger[数量],tbl_ledger[充当先ロットID],$B135,tbl_ledger[イベント種類],"充当",tbl_ledger[元状態],E$1),
_xlpm.払出,SUMIFS(tbl_ledger[数量],tbl_ledger[ロットID],$B135,tbl_ledger[元状態],E$1),
_xlpm.受入+_xlpm.充当受入-_xlpm.払出))</f>
        <v/>
      </c>
      <c r="F135" s="8" t="str">
        <f>IF($B135="","",_xlfn.LET(
_xlpm.受入,SUMIFS(tbl_ledger[数量],tbl_ledger[ロットID],$B135,tbl_ledger[イベント種類],"アニール完了"),
_xlpm.充当受入,SUMIFS(tbl_ledger[数量],tbl_ledger[充当先ロットID],$B135,tbl_ledger[イベント種類],"充当",tbl_ledger[元状態],F$1),
_xlpm.払出,SUMIFS(tbl_ledger[数量],tbl_ledger[ロットID],$B135,tbl_ledger[元状態],F$1),
_xlpm.受入+_xlpm.充当受入-_xlpm.払出))</f>
        <v/>
      </c>
      <c r="G135" s="8" t="str">
        <f>IF($B135="","",_xlfn.LET(
_xlpm.受入,SUMIFS(tbl_ledger[数量],tbl_ledger[ロットID],$B135,tbl_ledger[イベント種類],"アセンブリ開始"),
_xlpm.充当受入,SUMIFS(tbl_ledger[数量],tbl_ledger[充当先ロットID],$B135,tbl_ledger[イベント種類],"充当",tbl_ledger[元状態],G$1),
_xlpm.払出,SUMIFS(tbl_ledger[数量],tbl_ledger[ロットID],$B135,tbl_ledger[元状態],G$1),
_xlpm.受入+_xlpm.充当受入-_xlpm.払出))</f>
        <v/>
      </c>
      <c r="H135" s="8" t="str">
        <f>IF($B135="","",_xlfn.LET(
_xlpm.受入,SUMIFS(tbl_ledger[数量],tbl_ledger[ロットID],$B135,tbl_ledger[イベント種類],"アセンブリ完了"),
_xlpm.充当受入,SUMIFS(tbl_ledger[数量],tbl_ledger[充当先ロットID],$B135,tbl_ledger[イベント種類],"充当",tbl_ledger[元状態],H$1),
_xlpm.払出,SUMIFS(tbl_ledger[数量],tbl_ledger[ロットID],$B135,tbl_ledger[元状態],H$1),
_xlpm.受入+_xlpm.充当受入-_xlpm.払出))</f>
        <v/>
      </c>
      <c r="I135" s="8" t="str">
        <f>IF($B135="","",_xlfn.LET(
_xlpm.受入,SUMIFS(tbl_ledger[数量],tbl_ledger[ロットID],$B135,tbl_ledger[イベント種類],"梱包開始"),
_xlpm.充当受入,SUMIFS(tbl_ledger[数量],tbl_ledger[充当先ロットID],$B135,tbl_ledger[イベント種類],"充当",tbl_ledger[元状態],I$1),
_xlpm.払出,SUMIFS(tbl_ledger[数量],tbl_ledger[ロットID],$B135,tbl_ledger[元状態],I$1),
_xlpm.受入+_xlpm.充当受入-_xlpm.払出))</f>
        <v/>
      </c>
      <c r="J135" s="8" t="str">
        <f>IF($B135="","",_xlfn.LET(
_xlpm.受入,SUMIFS(tbl_ledger[数量],tbl_ledger[ロットID],$B135,tbl_ledger[イベント種類],"梱包完了"),
_xlpm.充当受入,SUMIFS(tbl_ledger[数量],tbl_ledger[充当先ロットID],$B135,tbl_ledger[イベント種類],"充当",tbl_ledger[元状態],J$1),
_xlpm.払出,SUMIFS(tbl_ledger[数量],tbl_ledger[ロットID],$B135,tbl_ledger[元状態],J$1),
_xlpm.受入+_xlpm.充当受入-_xlpm.払出))</f>
        <v/>
      </c>
      <c r="K135" s="8" t="str">
        <f>IF($B135="","",_xlfn.LET(
_xlpm.受入,SUMIFS(tbl_ledger[数量],tbl_ledger[ロットID],$B135,tbl_ledger[イベント種類],"発送準備開始"),
_xlpm.充当受入,SUMIFS(tbl_ledger[数量],tbl_ledger[充当先ロットID],$B135,tbl_ledger[イベント種類],"充当",tbl_ledger[元状態],K$1),
_xlpm.払出,SUMIFS(tbl_ledger[数量],tbl_ledger[ロットID],$B135,tbl_ledger[元状態],K$1),
_xlpm.受入+_xlpm.充当受入-_xlpm.払出))</f>
        <v/>
      </c>
      <c r="L135" s="8" t="str">
        <f>IF($B135="","",_xlfn.LET(
_xlpm.受入,SUMIFS(tbl_ledger[数量],tbl_ledger[ロットID],$B135,tbl_ledger[イベント種類],"発送準備完了"),
_xlpm.充当受入,SUMIFS(tbl_ledger[数量],tbl_ledger[充当先ロットID],$B135,tbl_ledger[イベント種類],"充当",tbl_ledger[元状態],L$1),
_xlpm.払出,SUMIFS(tbl_ledger[数量],tbl_ledger[ロットID],$B135,tbl_ledger[元状態],L$1),
_xlpm.受入+_xlpm.充当受入-_xlpm.払出))</f>
        <v/>
      </c>
      <c r="M135" s="8" t="str">
        <f>IF($B135="","",_xlfn.LET(
_xlpm.受入,SUMIFS(tbl_ledger[数量],tbl_ledger[ロットID],$B135,tbl_ledger[イベント種類],"不良発生"),
_xlpm.充当受入,SUMIFS(tbl_ledger[数量],tbl_ledger[充当先ロットID],$B135,tbl_ledger[イベント種類],"充当",tbl_ledger[元状態],M$1),
_xlpm.払出,SUMIFS(tbl_ledger[数量],tbl_ledger[ロットID],$B135,tbl_ledger[元状態],M$1),
_xlpm.受入+_xlpm.充当受入-_xlpm.払出))</f>
        <v/>
      </c>
      <c r="N135" s="8" t="str">
        <f t="shared" si="5"/>
        <v/>
      </c>
    </row>
    <row r="136" spans="1:14" ht="15" customHeight="1" x14ac:dyDescent="0.25">
      <c r="A136" s="4" t="str">
        <f t="shared" si="4"/>
        <v/>
      </c>
      <c r="B136" s="4" t="str">
        <f>IFERROR(IF(COUNTIF($B$1:$B135,INDEX(tbl_plan[ロットID],ROW()-1))&gt;0,"",INDEX(tbl_plan[ロットID],ROW()-1)),"")</f>
        <v/>
      </c>
      <c r="C136" s="4" t="str">
        <f>IF($B136="","",INDEX(tbl_plan[localId],ROW()-1))</f>
        <v/>
      </c>
      <c r="D136" s="8" t="str">
        <f>IF($B136="","",_xlfn.LET(
_xlpm.割当受入,SUMIF(V_充足確認!$A$2:$A$301,$B136,V_充足確認!$F$2:$F$301),
_xlpm.充当受入,SUMIFS(tbl_ledger[数量],tbl_ledger[充当先ロットID],$B136,tbl_ledger[イベント種類],"充当",tbl_ledger[元状態],D$1),
_xlpm.払出,SUMIFS(tbl_ledger[数量],tbl_ledger[ロットID],$B136,tbl_ledger[元状態],D$1),
_xlpm.割当受入+_xlpm.充当受入-_xlpm.払出))</f>
        <v/>
      </c>
      <c r="E136" s="8" t="str">
        <f>IF($B136="","",_xlfn.LET(
_xlpm.受入,SUMIFS(tbl_ledger[数量],tbl_ledger[ロットID],$B136,tbl_ledger[イベント種類],"アニール開始"),
_xlpm.充当受入,SUMIFS(tbl_ledger[数量],tbl_ledger[充当先ロットID],$B136,tbl_ledger[イベント種類],"充当",tbl_ledger[元状態],E$1),
_xlpm.払出,SUMIFS(tbl_ledger[数量],tbl_ledger[ロットID],$B136,tbl_ledger[元状態],E$1),
_xlpm.受入+_xlpm.充当受入-_xlpm.払出))</f>
        <v/>
      </c>
      <c r="F136" s="8" t="str">
        <f>IF($B136="","",_xlfn.LET(
_xlpm.受入,SUMIFS(tbl_ledger[数量],tbl_ledger[ロットID],$B136,tbl_ledger[イベント種類],"アニール完了"),
_xlpm.充当受入,SUMIFS(tbl_ledger[数量],tbl_ledger[充当先ロットID],$B136,tbl_ledger[イベント種類],"充当",tbl_ledger[元状態],F$1),
_xlpm.払出,SUMIFS(tbl_ledger[数量],tbl_ledger[ロットID],$B136,tbl_ledger[元状態],F$1),
_xlpm.受入+_xlpm.充当受入-_xlpm.払出))</f>
        <v/>
      </c>
      <c r="G136" s="8" t="str">
        <f>IF($B136="","",_xlfn.LET(
_xlpm.受入,SUMIFS(tbl_ledger[数量],tbl_ledger[ロットID],$B136,tbl_ledger[イベント種類],"アセンブリ開始"),
_xlpm.充当受入,SUMIFS(tbl_ledger[数量],tbl_ledger[充当先ロットID],$B136,tbl_ledger[イベント種類],"充当",tbl_ledger[元状態],G$1),
_xlpm.払出,SUMIFS(tbl_ledger[数量],tbl_ledger[ロットID],$B136,tbl_ledger[元状態],G$1),
_xlpm.受入+_xlpm.充当受入-_xlpm.払出))</f>
        <v/>
      </c>
      <c r="H136" s="8" t="str">
        <f>IF($B136="","",_xlfn.LET(
_xlpm.受入,SUMIFS(tbl_ledger[数量],tbl_ledger[ロットID],$B136,tbl_ledger[イベント種類],"アセンブリ完了"),
_xlpm.充当受入,SUMIFS(tbl_ledger[数量],tbl_ledger[充当先ロットID],$B136,tbl_ledger[イベント種類],"充当",tbl_ledger[元状態],H$1),
_xlpm.払出,SUMIFS(tbl_ledger[数量],tbl_ledger[ロットID],$B136,tbl_ledger[元状態],H$1),
_xlpm.受入+_xlpm.充当受入-_xlpm.払出))</f>
        <v/>
      </c>
      <c r="I136" s="8" t="str">
        <f>IF($B136="","",_xlfn.LET(
_xlpm.受入,SUMIFS(tbl_ledger[数量],tbl_ledger[ロットID],$B136,tbl_ledger[イベント種類],"梱包開始"),
_xlpm.充当受入,SUMIFS(tbl_ledger[数量],tbl_ledger[充当先ロットID],$B136,tbl_ledger[イベント種類],"充当",tbl_ledger[元状態],I$1),
_xlpm.払出,SUMIFS(tbl_ledger[数量],tbl_ledger[ロットID],$B136,tbl_ledger[元状態],I$1),
_xlpm.受入+_xlpm.充当受入-_xlpm.払出))</f>
        <v/>
      </c>
      <c r="J136" s="8" t="str">
        <f>IF($B136="","",_xlfn.LET(
_xlpm.受入,SUMIFS(tbl_ledger[数量],tbl_ledger[ロットID],$B136,tbl_ledger[イベント種類],"梱包完了"),
_xlpm.充当受入,SUMIFS(tbl_ledger[数量],tbl_ledger[充当先ロットID],$B136,tbl_ledger[イベント種類],"充当",tbl_ledger[元状態],J$1),
_xlpm.払出,SUMIFS(tbl_ledger[数量],tbl_ledger[ロットID],$B136,tbl_ledger[元状態],J$1),
_xlpm.受入+_xlpm.充当受入-_xlpm.払出))</f>
        <v/>
      </c>
      <c r="K136" s="8" t="str">
        <f>IF($B136="","",_xlfn.LET(
_xlpm.受入,SUMIFS(tbl_ledger[数量],tbl_ledger[ロットID],$B136,tbl_ledger[イベント種類],"発送準備開始"),
_xlpm.充当受入,SUMIFS(tbl_ledger[数量],tbl_ledger[充当先ロットID],$B136,tbl_ledger[イベント種類],"充当",tbl_ledger[元状態],K$1),
_xlpm.払出,SUMIFS(tbl_ledger[数量],tbl_ledger[ロットID],$B136,tbl_ledger[元状態],K$1),
_xlpm.受入+_xlpm.充当受入-_xlpm.払出))</f>
        <v/>
      </c>
      <c r="L136" s="8" t="str">
        <f>IF($B136="","",_xlfn.LET(
_xlpm.受入,SUMIFS(tbl_ledger[数量],tbl_ledger[ロットID],$B136,tbl_ledger[イベント種類],"発送準備完了"),
_xlpm.充当受入,SUMIFS(tbl_ledger[数量],tbl_ledger[充当先ロットID],$B136,tbl_ledger[イベント種類],"充当",tbl_ledger[元状態],L$1),
_xlpm.払出,SUMIFS(tbl_ledger[数量],tbl_ledger[ロットID],$B136,tbl_ledger[元状態],L$1),
_xlpm.受入+_xlpm.充当受入-_xlpm.払出))</f>
        <v/>
      </c>
      <c r="M136" s="8" t="str">
        <f>IF($B136="","",_xlfn.LET(
_xlpm.受入,SUMIFS(tbl_ledger[数量],tbl_ledger[ロットID],$B136,tbl_ledger[イベント種類],"不良発生"),
_xlpm.充当受入,SUMIFS(tbl_ledger[数量],tbl_ledger[充当先ロットID],$B136,tbl_ledger[イベント種類],"充当",tbl_ledger[元状態],M$1),
_xlpm.払出,SUMIFS(tbl_ledger[数量],tbl_ledger[ロットID],$B136,tbl_ledger[元状態],M$1),
_xlpm.受入+_xlpm.充当受入-_xlpm.払出))</f>
        <v/>
      </c>
      <c r="N136" s="8" t="str">
        <f t="shared" si="5"/>
        <v/>
      </c>
    </row>
    <row r="137" spans="1:14" ht="15" customHeight="1" x14ac:dyDescent="0.25">
      <c r="A137" s="4" t="str">
        <f t="shared" si="4"/>
        <v/>
      </c>
      <c r="B137" s="4" t="str">
        <f>IFERROR(IF(COUNTIF($B$1:$B136,INDEX(tbl_plan[ロットID],ROW()-1))&gt;0,"",INDEX(tbl_plan[ロットID],ROW()-1)),"")</f>
        <v/>
      </c>
      <c r="C137" s="4" t="str">
        <f>IF($B137="","",INDEX(tbl_plan[localId],ROW()-1))</f>
        <v/>
      </c>
      <c r="D137" s="8" t="str">
        <f>IF($B137="","",_xlfn.LET(
_xlpm.割当受入,SUMIF(V_充足確認!$A$2:$A$301,$B137,V_充足確認!$F$2:$F$301),
_xlpm.充当受入,SUMIFS(tbl_ledger[数量],tbl_ledger[充当先ロットID],$B137,tbl_ledger[イベント種類],"充当",tbl_ledger[元状態],D$1),
_xlpm.払出,SUMIFS(tbl_ledger[数量],tbl_ledger[ロットID],$B137,tbl_ledger[元状態],D$1),
_xlpm.割当受入+_xlpm.充当受入-_xlpm.払出))</f>
        <v/>
      </c>
      <c r="E137" s="8" t="str">
        <f>IF($B137="","",_xlfn.LET(
_xlpm.受入,SUMIFS(tbl_ledger[数量],tbl_ledger[ロットID],$B137,tbl_ledger[イベント種類],"アニール開始"),
_xlpm.充当受入,SUMIFS(tbl_ledger[数量],tbl_ledger[充当先ロットID],$B137,tbl_ledger[イベント種類],"充当",tbl_ledger[元状態],E$1),
_xlpm.払出,SUMIFS(tbl_ledger[数量],tbl_ledger[ロットID],$B137,tbl_ledger[元状態],E$1),
_xlpm.受入+_xlpm.充当受入-_xlpm.払出))</f>
        <v/>
      </c>
      <c r="F137" s="8" t="str">
        <f>IF($B137="","",_xlfn.LET(
_xlpm.受入,SUMIFS(tbl_ledger[数量],tbl_ledger[ロットID],$B137,tbl_ledger[イベント種類],"アニール完了"),
_xlpm.充当受入,SUMIFS(tbl_ledger[数量],tbl_ledger[充当先ロットID],$B137,tbl_ledger[イベント種類],"充当",tbl_ledger[元状態],F$1),
_xlpm.払出,SUMIFS(tbl_ledger[数量],tbl_ledger[ロットID],$B137,tbl_ledger[元状態],F$1),
_xlpm.受入+_xlpm.充当受入-_xlpm.払出))</f>
        <v/>
      </c>
      <c r="G137" s="8" t="str">
        <f>IF($B137="","",_xlfn.LET(
_xlpm.受入,SUMIFS(tbl_ledger[数量],tbl_ledger[ロットID],$B137,tbl_ledger[イベント種類],"アセンブリ開始"),
_xlpm.充当受入,SUMIFS(tbl_ledger[数量],tbl_ledger[充当先ロットID],$B137,tbl_ledger[イベント種類],"充当",tbl_ledger[元状態],G$1),
_xlpm.払出,SUMIFS(tbl_ledger[数量],tbl_ledger[ロットID],$B137,tbl_ledger[元状態],G$1),
_xlpm.受入+_xlpm.充当受入-_xlpm.払出))</f>
        <v/>
      </c>
      <c r="H137" s="8" t="str">
        <f>IF($B137="","",_xlfn.LET(
_xlpm.受入,SUMIFS(tbl_ledger[数量],tbl_ledger[ロットID],$B137,tbl_ledger[イベント種類],"アセンブリ完了"),
_xlpm.充当受入,SUMIFS(tbl_ledger[数量],tbl_ledger[充当先ロットID],$B137,tbl_ledger[イベント種類],"充当",tbl_ledger[元状態],H$1),
_xlpm.払出,SUMIFS(tbl_ledger[数量],tbl_ledger[ロットID],$B137,tbl_ledger[元状態],H$1),
_xlpm.受入+_xlpm.充当受入-_xlpm.払出))</f>
        <v/>
      </c>
      <c r="I137" s="8" t="str">
        <f>IF($B137="","",_xlfn.LET(
_xlpm.受入,SUMIFS(tbl_ledger[数量],tbl_ledger[ロットID],$B137,tbl_ledger[イベント種類],"梱包開始"),
_xlpm.充当受入,SUMIFS(tbl_ledger[数量],tbl_ledger[充当先ロットID],$B137,tbl_ledger[イベント種類],"充当",tbl_ledger[元状態],I$1),
_xlpm.払出,SUMIFS(tbl_ledger[数量],tbl_ledger[ロットID],$B137,tbl_ledger[元状態],I$1),
_xlpm.受入+_xlpm.充当受入-_xlpm.払出))</f>
        <v/>
      </c>
      <c r="J137" s="8" t="str">
        <f>IF($B137="","",_xlfn.LET(
_xlpm.受入,SUMIFS(tbl_ledger[数量],tbl_ledger[ロットID],$B137,tbl_ledger[イベント種類],"梱包完了"),
_xlpm.充当受入,SUMIFS(tbl_ledger[数量],tbl_ledger[充当先ロットID],$B137,tbl_ledger[イベント種類],"充当",tbl_ledger[元状態],J$1),
_xlpm.払出,SUMIFS(tbl_ledger[数量],tbl_ledger[ロットID],$B137,tbl_ledger[元状態],J$1),
_xlpm.受入+_xlpm.充当受入-_xlpm.払出))</f>
        <v/>
      </c>
      <c r="K137" s="8" t="str">
        <f>IF($B137="","",_xlfn.LET(
_xlpm.受入,SUMIFS(tbl_ledger[数量],tbl_ledger[ロットID],$B137,tbl_ledger[イベント種類],"発送準備開始"),
_xlpm.充当受入,SUMIFS(tbl_ledger[数量],tbl_ledger[充当先ロットID],$B137,tbl_ledger[イベント種類],"充当",tbl_ledger[元状態],K$1),
_xlpm.払出,SUMIFS(tbl_ledger[数量],tbl_ledger[ロットID],$B137,tbl_ledger[元状態],K$1),
_xlpm.受入+_xlpm.充当受入-_xlpm.払出))</f>
        <v/>
      </c>
      <c r="L137" s="8" t="str">
        <f>IF($B137="","",_xlfn.LET(
_xlpm.受入,SUMIFS(tbl_ledger[数量],tbl_ledger[ロットID],$B137,tbl_ledger[イベント種類],"発送準備完了"),
_xlpm.充当受入,SUMIFS(tbl_ledger[数量],tbl_ledger[充当先ロットID],$B137,tbl_ledger[イベント種類],"充当",tbl_ledger[元状態],L$1),
_xlpm.払出,SUMIFS(tbl_ledger[数量],tbl_ledger[ロットID],$B137,tbl_ledger[元状態],L$1),
_xlpm.受入+_xlpm.充当受入-_xlpm.払出))</f>
        <v/>
      </c>
      <c r="M137" s="8" t="str">
        <f>IF($B137="","",_xlfn.LET(
_xlpm.受入,SUMIFS(tbl_ledger[数量],tbl_ledger[ロットID],$B137,tbl_ledger[イベント種類],"不良発生"),
_xlpm.充当受入,SUMIFS(tbl_ledger[数量],tbl_ledger[充当先ロットID],$B137,tbl_ledger[イベント種類],"充当",tbl_ledger[元状態],M$1),
_xlpm.払出,SUMIFS(tbl_ledger[数量],tbl_ledger[ロットID],$B137,tbl_ledger[元状態],M$1),
_xlpm.受入+_xlpm.充当受入-_xlpm.払出))</f>
        <v/>
      </c>
      <c r="N137" s="8" t="str">
        <f t="shared" si="5"/>
        <v/>
      </c>
    </row>
    <row r="138" spans="1:14" ht="15" customHeight="1" x14ac:dyDescent="0.25">
      <c r="A138" s="4" t="str">
        <f t="shared" si="4"/>
        <v/>
      </c>
      <c r="B138" s="4" t="str">
        <f>IFERROR(IF(COUNTIF($B$1:$B137,INDEX(tbl_plan[ロットID],ROW()-1))&gt;0,"",INDEX(tbl_plan[ロットID],ROW()-1)),"")</f>
        <v/>
      </c>
      <c r="C138" s="4" t="str">
        <f>IF($B138="","",INDEX(tbl_plan[localId],ROW()-1))</f>
        <v/>
      </c>
      <c r="D138" s="8" t="str">
        <f>IF($B138="","",_xlfn.LET(
_xlpm.割当受入,SUMIF(V_充足確認!$A$2:$A$301,$B138,V_充足確認!$F$2:$F$301),
_xlpm.充当受入,SUMIFS(tbl_ledger[数量],tbl_ledger[充当先ロットID],$B138,tbl_ledger[イベント種類],"充当",tbl_ledger[元状態],D$1),
_xlpm.払出,SUMIFS(tbl_ledger[数量],tbl_ledger[ロットID],$B138,tbl_ledger[元状態],D$1),
_xlpm.割当受入+_xlpm.充当受入-_xlpm.払出))</f>
        <v/>
      </c>
      <c r="E138" s="8" t="str">
        <f>IF($B138="","",_xlfn.LET(
_xlpm.受入,SUMIFS(tbl_ledger[数量],tbl_ledger[ロットID],$B138,tbl_ledger[イベント種類],"アニール開始"),
_xlpm.充当受入,SUMIFS(tbl_ledger[数量],tbl_ledger[充当先ロットID],$B138,tbl_ledger[イベント種類],"充当",tbl_ledger[元状態],E$1),
_xlpm.払出,SUMIFS(tbl_ledger[数量],tbl_ledger[ロットID],$B138,tbl_ledger[元状態],E$1),
_xlpm.受入+_xlpm.充当受入-_xlpm.払出))</f>
        <v/>
      </c>
      <c r="F138" s="8" t="str">
        <f>IF($B138="","",_xlfn.LET(
_xlpm.受入,SUMIFS(tbl_ledger[数量],tbl_ledger[ロットID],$B138,tbl_ledger[イベント種類],"アニール完了"),
_xlpm.充当受入,SUMIFS(tbl_ledger[数量],tbl_ledger[充当先ロットID],$B138,tbl_ledger[イベント種類],"充当",tbl_ledger[元状態],F$1),
_xlpm.払出,SUMIFS(tbl_ledger[数量],tbl_ledger[ロットID],$B138,tbl_ledger[元状態],F$1),
_xlpm.受入+_xlpm.充当受入-_xlpm.払出))</f>
        <v/>
      </c>
      <c r="G138" s="8" t="str">
        <f>IF($B138="","",_xlfn.LET(
_xlpm.受入,SUMIFS(tbl_ledger[数量],tbl_ledger[ロットID],$B138,tbl_ledger[イベント種類],"アセンブリ開始"),
_xlpm.充当受入,SUMIFS(tbl_ledger[数量],tbl_ledger[充当先ロットID],$B138,tbl_ledger[イベント種類],"充当",tbl_ledger[元状態],G$1),
_xlpm.払出,SUMIFS(tbl_ledger[数量],tbl_ledger[ロットID],$B138,tbl_ledger[元状態],G$1),
_xlpm.受入+_xlpm.充当受入-_xlpm.払出))</f>
        <v/>
      </c>
      <c r="H138" s="8" t="str">
        <f>IF($B138="","",_xlfn.LET(
_xlpm.受入,SUMIFS(tbl_ledger[数量],tbl_ledger[ロットID],$B138,tbl_ledger[イベント種類],"アセンブリ完了"),
_xlpm.充当受入,SUMIFS(tbl_ledger[数量],tbl_ledger[充当先ロットID],$B138,tbl_ledger[イベント種類],"充当",tbl_ledger[元状態],H$1),
_xlpm.払出,SUMIFS(tbl_ledger[数量],tbl_ledger[ロットID],$B138,tbl_ledger[元状態],H$1),
_xlpm.受入+_xlpm.充当受入-_xlpm.払出))</f>
        <v/>
      </c>
      <c r="I138" s="8" t="str">
        <f>IF($B138="","",_xlfn.LET(
_xlpm.受入,SUMIFS(tbl_ledger[数量],tbl_ledger[ロットID],$B138,tbl_ledger[イベント種類],"梱包開始"),
_xlpm.充当受入,SUMIFS(tbl_ledger[数量],tbl_ledger[充当先ロットID],$B138,tbl_ledger[イベント種類],"充当",tbl_ledger[元状態],I$1),
_xlpm.払出,SUMIFS(tbl_ledger[数量],tbl_ledger[ロットID],$B138,tbl_ledger[元状態],I$1),
_xlpm.受入+_xlpm.充当受入-_xlpm.払出))</f>
        <v/>
      </c>
      <c r="J138" s="8" t="str">
        <f>IF($B138="","",_xlfn.LET(
_xlpm.受入,SUMIFS(tbl_ledger[数量],tbl_ledger[ロットID],$B138,tbl_ledger[イベント種類],"梱包完了"),
_xlpm.充当受入,SUMIFS(tbl_ledger[数量],tbl_ledger[充当先ロットID],$B138,tbl_ledger[イベント種類],"充当",tbl_ledger[元状態],J$1),
_xlpm.払出,SUMIFS(tbl_ledger[数量],tbl_ledger[ロットID],$B138,tbl_ledger[元状態],J$1),
_xlpm.受入+_xlpm.充当受入-_xlpm.払出))</f>
        <v/>
      </c>
      <c r="K138" s="8" t="str">
        <f>IF($B138="","",_xlfn.LET(
_xlpm.受入,SUMIFS(tbl_ledger[数量],tbl_ledger[ロットID],$B138,tbl_ledger[イベント種類],"発送準備開始"),
_xlpm.充当受入,SUMIFS(tbl_ledger[数量],tbl_ledger[充当先ロットID],$B138,tbl_ledger[イベント種類],"充当",tbl_ledger[元状態],K$1),
_xlpm.払出,SUMIFS(tbl_ledger[数量],tbl_ledger[ロットID],$B138,tbl_ledger[元状態],K$1),
_xlpm.受入+_xlpm.充当受入-_xlpm.払出))</f>
        <v/>
      </c>
      <c r="L138" s="8" t="str">
        <f>IF($B138="","",_xlfn.LET(
_xlpm.受入,SUMIFS(tbl_ledger[数量],tbl_ledger[ロットID],$B138,tbl_ledger[イベント種類],"発送準備完了"),
_xlpm.充当受入,SUMIFS(tbl_ledger[数量],tbl_ledger[充当先ロットID],$B138,tbl_ledger[イベント種類],"充当",tbl_ledger[元状態],L$1),
_xlpm.払出,SUMIFS(tbl_ledger[数量],tbl_ledger[ロットID],$B138,tbl_ledger[元状態],L$1),
_xlpm.受入+_xlpm.充当受入-_xlpm.払出))</f>
        <v/>
      </c>
      <c r="M138" s="8" t="str">
        <f>IF($B138="","",_xlfn.LET(
_xlpm.受入,SUMIFS(tbl_ledger[数量],tbl_ledger[ロットID],$B138,tbl_ledger[イベント種類],"不良発生"),
_xlpm.充当受入,SUMIFS(tbl_ledger[数量],tbl_ledger[充当先ロットID],$B138,tbl_ledger[イベント種類],"充当",tbl_ledger[元状態],M$1),
_xlpm.払出,SUMIFS(tbl_ledger[数量],tbl_ledger[ロットID],$B138,tbl_ledger[元状態],M$1),
_xlpm.受入+_xlpm.充当受入-_xlpm.払出))</f>
        <v/>
      </c>
      <c r="N138" s="8" t="str">
        <f t="shared" si="5"/>
        <v/>
      </c>
    </row>
    <row r="139" spans="1:14" ht="15" customHeight="1" x14ac:dyDescent="0.25">
      <c r="A139" s="4" t="str">
        <f t="shared" si="4"/>
        <v/>
      </c>
      <c r="B139" s="4" t="str">
        <f>IFERROR(IF(COUNTIF($B$1:$B138,INDEX(tbl_plan[ロットID],ROW()-1))&gt;0,"",INDEX(tbl_plan[ロットID],ROW()-1)),"")</f>
        <v/>
      </c>
      <c r="C139" s="4" t="str">
        <f>IF($B139="","",INDEX(tbl_plan[localId],ROW()-1))</f>
        <v/>
      </c>
      <c r="D139" s="8" t="str">
        <f>IF($B139="","",_xlfn.LET(
_xlpm.割当受入,SUMIF(V_充足確認!$A$2:$A$301,$B139,V_充足確認!$F$2:$F$301),
_xlpm.充当受入,SUMIFS(tbl_ledger[数量],tbl_ledger[充当先ロットID],$B139,tbl_ledger[イベント種類],"充当",tbl_ledger[元状態],D$1),
_xlpm.払出,SUMIFS(tbl_ledger[数量],tbl_ledger[ロットID],$B139,tbl_ledger[元状態],D$1),
_xlpm.割当受入+_xlpm.充当受入-_xlpm.払出))</f>
        <v/>
      </c>
      <c r="E139" s="8" t="str">
        <f>IF($B139="","",_xlfn.LET(
_xlpm.受入,SUMIFS(tbl_ledger[数量],tbl_ledger[ロットID],$B139,tbl_ledger[イベント種類],"アニール開始"),
_xlpm.充当受入,SUMIFS(tbl_ledger[数量],tbl_ledger[充当先ロットID],$B139,tbl_ledger[イベント種類],"充当",tbl_ledger[元状態],E$1),
_xlpm.払出,SUMIFS(tbl_ledger[数量],tbl_ledger[ロットID],$B139,tbl_ledger[元状態],E$1),
_xlpm.受入+_xlpm.充当受入-_xlpm.払出))</f>
        <v/>
      </c>
      <c r="F139" s="8" t="str">
        <f>IF($B139="","",_xlfn.LET(
_xlpm.受入,SUMIFS(tbl_ledger[数量],tbl_ledger[ロットID],$B139,tbl_ledger[イベント種類],"アニール完了"),
_xlpm.充当受入,SUMIFS(tbl_ledger[数量],tbl_ledger[充当先ロットID],$B139,tbl_ledger[イベント種類],"充当",tbl_ledger[元状態],F$1),
_xlpm.払出,SUMIFS(tbl_ledger[数量],tbl_ledger[ロットID],$B139,tbl_ledger[元状態],F$1),
_xlpm.受入+_xlpm.充当受入-_xlpm.払出))</f>
        <v/>
      </c>
      <c r="G139" s="8" t="str">
        <f>IF($B139="","",_xlfn.LET(
_xlpm.受入,SUMIFS(tbl_ledger[数量],tbl_ledger[ロットID],$B139,tbl_ledger[イベント種類],"アセンブリ開始"),
_xlpm.充当受入,SUMIFS(tbl_ledger[数量],tbl_ledger[充当先ロットID],$B139,tbl_ledger[イベント種類],"充当",tbl_ledger[元状態],G$1),
_xlpm.払出,SUMIFS(tbl_ledger[数量],tbl_ledger[ロットID],$B139,tbl_ledger[元状態],G$1),
_xlpm.受入+_xlpm.充当受入-_xlpm.払出))</f>
        <v/>
      </c>
      <c r="H139" s="8" t="str">
        <f>IF($B139="","",_xlfn.LET(
_xlpm.受入,SUMIFS(tbl_ledger[数量],tbl_ledger[ロットID],$B139,tbl_ledger[イベント種類],"アセンブリ完了"),
_xlpm.充当受入,SUMIFS(tbl_ledger[数量],tbl_ledger[充当先ロットID],$B139,tbl_ledger[イベント種類],"充当",tbl_ledger[元状態],H$1),
_xlpm.払出,SUMIFS(tbl_ledger[数量],tbl_ledger[ロットID],$B139,tbl_ledger[元状態],H$1),
_xlpm.受入+_xlpm.充当受入-_xlpm.払出))</f>
        <v/>
      </c>
      <c r="I139" s="8" t="str">
        <f>IF($B139="","",_xlfn.LET(
_xlpm.受入,SUMIFS(tbl_ledger[数量],tbl_ledger[ロットID],$B139,tbl_ledger[イベント種類],"梱包開始"),
_xlpm.充当受入,SUMIFS(tbl_ledger[数量],tbl_ledger[充当先ロットID],$B139,tbl_ledger[イベント種類],"充当",tbl_ledger[元状態],I$1),
_xlpm.払出,SUMIFS(tbl_ledger[数量],tbl_ledger[ロットID],$B139,tbl_ledger[元状態],I$1),
_xlpm.受入+_xlpm.充当受入-_xlpm.払出))</f>
        <v/>
      </c>
      <c r="J139" s="8" t="str">
        <f>IF($B139="","",_xlfn.LET(
_xlpm.受入,SUMIFS(tbl_ledger[数量],tbl_ledger[ロットID],$B139,tbl_ledger[イベント種類],"梱包完了"),
_xlpm.充当受入,SUMIFS(tbl_ledger[数量],tbl_ledger[充当先ロットID],$B139,tbl_ledger[イベント種類],"充当",tbl_ledger[元状態],J$1),
_xlpm.払出,SUMIFS(tbl_ledger[数量],tbl_ledger[ロットID],$B139,tbl_ledger[元状態],J$1),
_xlpm.受入+_xlpm.充当受入-_xlpm.払出))</f>
        <v/>
      </c>
      <c r="K139" s="8" t="str">
        <f>IF($B139="","",_xlfn.LET(
_xlpm.受入,SUMIFS(tbl_ledger[数量],tbl_ledger[ロットID],$B139,tbl_ledger[イベント種類],"発送準備開始"),
_xlpm.充当受入,SUMIFS(tbl_ledger[数量],tbl_ledger[充当先ロットID],$B139,tbl_ledger[イベント種類],"充当",tbl_ledger[元状態],K$1),
_xlpm.払出,SUMIFS(tbl_ledger[数量],tbl_ledger[ロットID],$B139,tbl_ledger[元状態],K$1),
_xlpm.受入+_xlpm.充当受入-_xlpm.払出))</f>
        <v/>
      </c>
      <c r="L139" s="8" t="str">
        <f>IF($B139="","",_xlfn.LET(
_xlpm.受入,SUMIFS(tbl_ledger[数量],tbl_ledger[ロットID],$B139,tbl_ledger[イベント種類],"発送準備完了"),
_xlpm.充当受入,SUMIFS(tbl_ledger[数量],tbl_ledger[充当先ロットID],$B139,tbl_ledger[イベント種類],"充当",tbl_ledger[元状態],L$1),
_xlpm.払出,SUMIFS(tbl_ledger[数量],tbl_ledger[ロットID],$B139,tbl_ledger[元状態],L$1),
_xlpm.受入+_xlpm.充当受入-_xlpm.払出))</f>
        <v/>
      </c>
      <c r="M139" s="8" t="str">
        <f>IF($B139="","",_xlfn.LET(
_xlpm.受入,SUMIFS(tbl_ledger[数量],tbl_ledger[ロットID],$B139,tbl_ledger[イベント種類],"不良発生"),
_xlpm.充当受入,SUMIFS(tbl_ledger[数量],tbl_ledger[充当先ロットID],$B139,tbl_ledger[イベント種類],"充当",tbl_ledger[元状態],M$1),
_xlpm.払出,SUMIFS(tbl_ledger[数量],tbl_ledger[ロットID],$B139,tbl_ledger[元状態],M$1),
_xlpm.受入+_xlpm.充当受入-_xlpm.払出))</f>
        <v/>
      </c>
      <c r="N139" s="8" t="str">
        <f t="shared" si="5"/>
        <v/>
      </c>
    </row>
    <row r="140" spans="1:14" ht="15" customHeight="1" x14ac:dyDescent="0.25">
      <c r="A140" s="4" t="str">
        <f t="shared" si="4"/>
        <v/>
      </c>
      <c r="B140" s="4" t="str">
        <f>IFERROR(IF(COUNTIF($B$1:$B139,INDEX(tbl_plan[ロットID],ROW()-1))&gt;0,"",INDEX(tbl_plan[ロットID],ROW()-1)),"")</f>
        <v/>
      </c>
      <c r="C140" s="4" t="str">
        <f>IF($B140="","",INDEX(tbl_plan[localId],ROW()-1))</f>
        <v/>
      </c>
      <c r="D140" s="8" t="str">
        <f>IF($B140="","",_xlfn.LET(
_xlpm.割当受入,SUMIF(V_充足確認!$A$2:$A$301,$B140,V_充足確認!$F$2:$F$301),
_xlpm.充当受入,SUMIFS(tbl_ledger[数量],tbl_ledger[充当先ロットID],$B140,tbl_ledger[イベント種類],"充当",tbl_ledger[元状態],D$1),
_xlpm.払出,SUMIFS(tbl_ledger[数量],tbl_ledger[ロットID],$B140,tbl_ledger[元状態],D$1),
_xlpm.割当受入+_xlpm.充当受入-_xlpm.払出))</f>
        <v/>
      </c>
      <c r="E140" s="8" t="str">
        <f>IF($B140="","",_xlfn.LET(
_xlpm.受入,SUMIFS(tbl_ledger[数量],tbl_ledger[ロットID],$B140,tbl_ledger[イベント種類],"アニール開始"),
_xlpm.充当受入,SUMIFS(tbl_ledger[数量],tbl_ledger[充当先ロットID],$B140,tbl_ledger[イベント種類],"充当",tbl_ledger[元状態],E$1),
_xlpm.払出,SUMIFS(tbl_ledger[数量],tbl_ledger[ロットID],$B140,tbl_ledger[元状態],E$1),
_xlpm.受入+_xlpm.充当受入-_xlpm.払出))</f>
        <v/>
      </c>
      <c r="F140" s="8" t="str">
        <f>IF($B140="","",_xlfn.LET(
_xlpm.受入,SUMIFS(tbl_ledger[数量],tbl_ledger[ロットID],$B140,tbl_ledger[イベント種類],"アニール完了"),
_xlpm.充当受入,SUMIFS(tbl_ledger[数量],tbl_ledger[充当先ロットID],$B140,tbl_ledger[イベント種類],"充当",tbl_ledger[元状態],F$1),
_xlpm.払出,SUMIFS(tbl_ledger[数量],tbl_ledger[ロットID],$B140,tbl_ledger[元状態],F$1),
_xlpm.受入+_xlpm.充当受入-_xlpm.払出))</f>
        <v/>
      </c>
      <c r="G140" s="8" t="str">
        <f>IF($B140="","",_xlfn.LET(
_xlpm.受入,SUMIFS(tbl_ledger[数量],tbl_ledger[ロットID],$B140,tbl_ledger[イベント種類],"アセンブリ開始"),
_xlpm.充当受入,SUMIFS(tbl_ledger[数量],tbl_ledger[充当先ロットID],$B140,tbl_ledger[イベント種類],"充当",tbl_ledger[元状態],G$1),
_xlpm.払出,SUMIFS(tbl_ledger[数量],tbl_ledger[ロットID],$B140,tbl_ledger[元状態],G$1),
_xlpm.受入+_xlpm.充当受入-_xlpm.払出))</f>
        <v/>
      </c>
      <c r="H140" s="8" t="str">
        <f>IF($B140="","",_xlfn.LET(
_xlpm.受入,SUMIFS(tbl_ledger[数量],tbl_ledger[ロットID],$B140,tbl_ledger[イベント種類],"アセンブリ完了"),
_xlpm.充当受入,SUMIFS(tbl_ledger[数量],tbl_ledger[充当先ロットID],$B140,tbl_ledger[イベント種類],"充当",tbl_ledger[元状態],H$1),
_xlpm.払出,SUMIFS(tbl_ledger[数量],tbl_ledger[ロットID],$B140,tbl_ledger[元状態],H$1),
_xlpm.受入+_xlpm.充当受入-_xlpm.払出))</f>
        <v/>
      </c>
      <c r="I140" s="8" t="str">
        <f>IF($B140="","",_xlfn.LET(
_xlpm.受入,SUMIFS(tbl_ledger[数量],tbl_ledger[ロットID],$B140,tbl_ledger[イベント種類],"梱包開始"),
_xlpm.充当受入,SUMIFS(tbl_ledger[数量],tbl_ledger[充当先ロットID],$B140,tbl_ledger[イベント種類],"充当",tbl_ledger[元状態],I$1),
_xlpm.払出,SUMIFS(tbl_ledger[数量],tbl_ledger[ロットID],$B140,tbl_ledger[元状態],I$1),
_xlpm.受入+_xlpm.充当受入-_xlpm.払出))</f>
        <v/>
      </c>
      <c r="J140" s="8" t="str">
        <f>IF($B140="","",_xlfn.LET(
_xlpm.受入,SUMIFS(tbl_ledger[数量],tbl_ledger[ロットID],$B140,tbl_ledger[イベント種類],"梱包完了"),
_xlpm.充当受入,SUMIFS(tbl_ledger[数量],tbl_ledger[充当先ロットID],$B140,tbl_ledger[イベント種類],"充当",tbl_ledger[元状態],J$1),
_xlpm.払出,SUMIFS(tbl_ledger[数量],tbl_ledger[ロットID],$B140,tbl_ledger[元状態],J$1),
_xlpm.受入+_xlpm.充当受入-_xlpm.払出))</f>
        <v/>
      </c>
      <c r="K140" s="8" t="str">
        <f>IF($B140="","",_xlfn.LET(
_xlpm.受入,SUMIFS(tbl_ledger[数量],tbl_ledger[ロットID],$B140,tbl_ledger[イベント種類],"発送準備開始"),
_xlpm.充当受入,SUMIFS(tbl_ledger[数量],tbl_ledger[充当先ロットID],$B140,tbl_ledger[イベント種類],"充当",tbl_ledger[元状態],K$1),
_xlpm.払出,SUMIFS(tbl_ledger[数量],tbl_ledger[ロットID],$B140,tbl_ledger[元状態],K$1),
_xlpm.受入+_xlpm.充当受入-_xlpm.払出))</f>
        <v/>
      </c>
      <c r="L140" s="8" t="str">
        <f>IF($B140="","",_xlfn.LET(
_xlpm.受入,SUMIFS(tbl_ledger[数量],tbl_ledger[ロットID],$B140,tbl_ledger[イベント種類],"発送準備完了"),
_xlpm.充当受入,SUMIFS(tbl_ledger[数量],tbl_ledger[充当先ロットID],$B140,tbl_ledger[イベント種類],"充当",tbl_ledger[元状態],L$1),
_xlpm.払出,SUMIFS(tbl_ledger[数量],tbl_ledger[ロットID],$B140,tbl_ledger[元状態],L$1),
_xlpm.受入+_xlpm.充当受入-_xlpm.払出))</f>
        <v/>
      </c>
      <c r="M140" s="8" t="str">
        <f>IF($B140="","",_xlfn.LET(
_xlpm.受入,SUMIFS(tbl_ledger[数量],tbl_ledger[ロットID],$B140,tbl_ledger[イベント種類],"不良発生"),
_xlpm.充当受入,SUMIFS(tbl_ledger[数量],tbl_ledger[充当先ロットID],$B140,tbl_ledger[イベント種類],"充当",tbl_ledger[元状態],M$1),
_xlpm.払出,SUMIFS(tbl_ledger[数量],tbl_ledger[ロットID],$B140,tbl_ledger[元状態],M$1),
_xlpm.受入+_xlpm.充当受入-_xlpm.払出))</f>
        <v/>
      </c>
      <c r="N140" s="8" t="str">
        <f t="shared" si="5"/>
        <v/>
      </c>
    </row>
    <row r="141" spans="1:14" ht="15" customHeight="1" x14ac:dyDescent="0.25">
      <c r="A141" s="4" t="str">
        <f t="shared" si="4"/>
        <v/>
      </c>
      <c r="B141" s="4" t="str">
        <f>IFERROR(IF(COUNTIF($B$1:$B140,INDEX(tbl_plan[ロットID],ROW()-1))&gt;0,"",INDEX(tbl_plan[ロットID],ROW()-1)),"")</f>
        <v/>
      </c>
      <c r="C141" s="4" t="str">
        <f>IF($B141="","",INDEX(tbl_plan[localId],ROW()-1))</f>
        <v/>
      </c>
      <c r="D141" s="8" t="str">
        <f>IF($B141="","",_xlfn.LET(
_xlpm.割当受入,SUMIF(V_充足確認!$A$2:$A$301,$B141,V_充足確認!$F$2:$F$301),
_xlpm.充当受入,SUMIFS(tbl_ledger[数量],tbl_ledger[充当先ロットID],$B141,tbl_ledger[イベント種類],"充当",tbl_ledger[元状態],D$1),
_xlpm.払出,SUMIFS(tbl_ledger[数量],tbl_ledger[ロットID],$B141,tbl_ledger[元状態],D$1),
_xlpm.割当受入+_xlpm.充当受入-_xlpm.払出))</f>
        <v/>
      </c>
      <c r="E141" s="8" t="str">
        <f>IF($B141="","",_xlfn.LET(
_xlpm.受入,SUMIFS(tbl_ledger[数量],tbl_ledger[ロットID],$B141,tbl_ledger[イベント種類],"アニール開始"),
_xlpm.充当受入,SUMIFS(tbl_ledger[数量],tbl_ledger[充当先ロットID],$B141,tbl_ledger[イベント種類],"充当",tbl_ledger[元状態],E$1),
_xlpm.払出,SUMIFS(tbl_ledger[数量],tbl_ledger[ロットID],$B141,tbl_ledger[元状態],E$1),
_xlpm.受入+_xlpm.充当受入-_xlpm.払出))</f>
        <v/>
      </c>
      <c r="F141" s="8" t="str">
        <f>IF($B141="","",_xlfn.LET(
_xlpm.受入,SUMIFS(tbl_ledger[数量],tbl_ledger[ロットID],$B141,tbl_ledger[イベント種類],"アニール完了"),
_xlpm.充当受入,SUMIFS(tbl_ledger[数量],tbl_ledger[充当先ロットID],$B141,tbl_ledger[イベント種類],"充当",tbl_ledger[元状態],F$1),
_xlpm.払出,SUMIFS(tbl_ledger[数量],tbl_ledger[ロットID],$B141,tbl_ledger[元状態],F$1),
_xlpm.受入+_xlpm.充当受入-_xlpm.払出))</f>
        <v/>
      </c>
      <c r="G141" s="8" t="str">
        <f>IF($B141="","",_xlfn.LET(
_xlpm.受入,SUMIFS(tbl_ledger[数量],tbl_ledger[ロットID],$B141,tbl_ledger[イベント種類],"アセンブリ開始"),
_xlpm.充当受入,SUMIFS(tbl_ledger[数量],tbl_ledger[充当先ロットID],$B141,tbl_ledger[イベント種類],"充当",tbl_ledger[元状態],G$1),
_xlpm.払出,SUMIFS(tbl_ledger[数量],tbl_ledger[ロットID],$B141,tbl_ledger[元状態],G$1),
_xlpm.受入+_xlpm.充当受入-_xlpm.払出))</f>
        <v/>
      </c>
      <c r="H141" s="8" t="str">
        <f>IF($B141="","",_xlfn.LET(
_xlpm.受入,SUMIFS(tbl_ledger[数量],tbl_ledger[ロットID],$B141,tbl_ledger[イベント種類],"アセンブリ完了"),
_xlpm.充当受入,SUMIFS(tbl_ledger[数量],tbl_ledger[充当先ロットID],$B141,tbl_ledger[イベント種類],"充当",tbl_ledger[元状態],H$1),
_xlpm.払出,SUMIFS(tbl_ledger[数量],tbl_ledger[ロットID],$B141,tbl_ledger[元状態],H$1),
_xlpm.受入+_xlpm.充当受入-_xlpm.払出))</f>
        <v/>
      </c>
      <c r="I141" s="8" t="str">
        <f>IF($B141="","",_xlfn.LET(
_xlpm.受入,SUMIFS(tbl_ledger[数量],tbl_ledger[ロットID],$B141,tbl_ledger[イベント種類],"梱包開始"),
_xlpm.充当受入,SUMIFS(tbl_ledger[数量],tbl_ledger[充当先ロットID],$B141,tbl_ledger[イベント種類],"充当",tbl_ledger[元状態],I$1),
_xlpm.払出,SUMIFS(tbl_ledger[数量],tbl_ledger[ロットID],$B141,tbl_ledger[元状態],I$1),
_xlpm.受入+_xlpm.充当受入-_xlpm.払出))</f>
        <v/>
      </c>
      <c r="J141" s="8" t="str">
        <f>IF($B141="","",_xlfn.LET(
_xlpm.受入,SUMIFS(tbl_ledger[数量],tbl_ledger[ロットID],$B141,tbl_ledger[イベント種類],"梱包完了"),
_xlpm.充当受入,SUMIFS(tbl_ledger[数量],tbl_ledger[充当先ロットID],$B141,tbl_ledger[イベント種類],"充当",tbl_ledger[元状態],J$1),
_xlpm.払出,SUMIFS(tbl_ledger[数量],tbl_ledger[ロットID],$B141,tbl_ledger[元状態],J$1),
_xlpm.受入+_xlpm.充当受入-_xlpm.払出))</f>
        <v/>
      </c>
      <c r="K141" s="8" t="str">
        <f>IF($B141="","",_xlfn.LET(
_xlpm.受入,SUMIFS(tbl_ledger[数量],tbl_ledger[ロットID],$B141,tbl_ledger[イベント種類],"発送準備開始"),
_xlpm.充当受入,SUMIFS(tbl_ledger[数量],tbl_ledger[充当先ロットID],$B141,tbl_ledger[イベント種類],"充当",tbl_ledger[元状態],K$1),
_xlpm.払出,SUMIFS(tbl_ledger[数量],tbl_ledger[ロットID],$B141,tbl_ledger[元状態],K$1),
_xlpm.受入+_xlpm.充当受入-_xlpm.払出))</f>
        <v/>
      </c>
      <c r="L141" s="8" t="str">
        <f>IF($B141="","",_xlfn.LET(
_xlpm.受入,SUMIFS(tbl_ledger[数量],tbl_ledger[ロットID],$B141,tbl_ledger[イベント種類],"発送準備完了"),
_xlpm.充当受入,SUMIFS(tbl_ledger[数量],tbl_ledger[充当先ロットID],$B141,tbl_ledger[イベント種類],"充当",tbl_ledger[元状態],L$1),
_xlpm.払出,SUMIFS(tbl_ledger[数量],tbl_ledger[ロットID],$B141,tbl_ledger[元状態],L$1),
_xlpm.受入+_xlpm.充当受入-_xlpm.払出))</f>
        <v/>
      </c>
      <c r="M141" s="8" t="str">
        <f>IF($B141="","",_xlfn.LET(
_xlpm.受入,SUMIFS(tbl_ledger[数量],tbl_ledger[ロットID],$B141,tbl_ledger[イベント種類],"不良発生"),
_xlpm.充当受入,SUMIFS(tbl_ledger[数量],tbl_ledger[充当先ロットID],$B141,tbl_ledger[イベント種類],"充当",tbl_ledger[元状態],M$1),
_xlpm.払出,SUMIFS(tbl_ledger[数量],tbl_ledger[ロットID],$B141,tbl_ledger[元状態],M$1),
_xlpm.受入+_xlpm.充当受入-_xlpm.払出))</f>
        <v/>
      </c>
      <c r="N141" s="8" t="str">
        <f t="shared" si="5"/>
        <v/>
      </c>
    </row>
    <row r="142" spans="1:14" ht="15" customHeight="1" x14ac:dyDescent="0.25">
      <c r="A142" s="4" t="str">
        <f t="shared" si="4"/>
        <v/>
      </c>
      <c r="B142" s="4" t="str">
        <f>IFERROR(IF(COUNTIF($B$1:$B141,INDEX(tbl_plan[ロットID],ROW()-1))&gt;0,"",INDEX(tbl_plan[ロットID],ROW()-1)),"")</f>
        <v/>
      </c>
      <c r="C142" s="4" t="str">
        <f>IF($B142="","",INDEX(tbl_plan[localId],ROW()-1))</f>
        <v/>
      </c>
      <c r="D142" s="8" t="str">
        <f>IF($B142="","",_xlfn.LET(
_xlpm.割当受入,SUMIF(V_充足確認!$A$2:$A$301,$B142,V_充足確認!$F$2:$F$301),
_xlpm.充当受入,SUMIFS(tbl_ledger[数量],tbl_ledger[充当先ロットID],$B142,tbl_ledger[イベント種類],"充当",tbl_ledger[元状態],D$1),
_xlpm.払出,SUMIFS(tbl_ledger[数量],tbl_ledger[ロットID],$B142,tbl_ledger[元状態],D$1),
_xlpm.割当受入+_xlpm.充当受入-_xlpm.払出))</f>
        <v/>
      </c>
      <c r="E142" s="8" t="str">
        <f>IF($B142="","",_xlfn.LET(
_xlpm.受入,SUMIFS(tbl_ledger[数量],tbl_ledger[ロットID],$B142,tbl_ledger[イベント種類],"アニール開始"),
_xlpm.充当受入,SUMIFS(tbl_ledger[数量],tbl_ledger[充当先ロットID],$B142,tbl_ledger[イベント種類],"充当",tbl_ledger[元状態],E$1),
_xlpm.払出,SUMIFS(tbl_ledger[数量],tbl_ledger[ロットID],$B142,tbl_ledger[元状態],E$1),
_xlpm.受入+_xlpm.充当受入-_xlpm.払出))</f>
        <v/>
      </c>
      <c r="F142" s="8" t="str">
        <f>IF($B142="","",_xlfn.LET(
_xlpm.受入,SUMIFS(tbl_ledger[数量],tbl_ledger[ロットID],$B142,tbl_ledger[イベント種類],"アニール完了"),
_xlpm.充当受入,SUMIFS(tbl_ledger[数量],tbl_ledger[充当先ロットID],$B142,tbl_ledger[イベント種類],"充当",tbl_ledger[元状態],F$1),
_xlpm.払出,SUMIFS(tbl_ledger[数量],tbl_ledger[ロットID],$B142,tbl_ledger[元状態],F$1),
_xlpm.受入+_xlpm.充当受入-_xlpm.払出))</f>
        <v/>
      </c>
      <c r="G142" s="8" t="str">
        <f>IF($B142="","",_xlfn.LET(
_xlpm.受入,SUMIFS(tbl_ledger[数量],tbl_ledger[ロットID],$B142,tbl_ledger[イベント種類],"アセンブリ開始"),
_xlpm.充当受入,SUMIFS(tbl_ledger[数量],tbl_ledger[充当先ロットID],$B142,tbl_ledger[イベント種類],"充当",tbl_ledger[元状態],G$1),
_xlpm.払出,SUMIFS(tbl_ledger[数量],tbl_ledger[ロットID],$B142,tbl_ledger[元状態],G$1),
_xlpm.受入+_xlpm.充当受入-_xlpm.払出))</f>
        <v/>
      </c>
      <c r="H142" s="8" t="str">
        <f>IF($B142="","",_xlfn.LET(
_xlpm.受入,SUMIFS(tbl_ledger[数量],tbl_ledger[ロットID],$B142,tbl_ledger[イベント種類],"アセンブリ完了"),
_xlpm.充当受入,SUMIFS(tbl_ledger[数量],tbl_ledger[充当先ロットID],$B142,tbl_ledger[イベント種類],"充当",tbl_ledger[元状態],H$1),
_xlpm.払出,SUMIFS(tbl_ledger[数量],tbl_ledger[ロットID],$B142,tbl_ledger[元状態],H$1),
_xlpm.受入+_xlpm.充当受入-_xlpm.払出))</f>
        <v/>
      </c>
      <c r="I142" s="8" t="str">
        <f>IF($B142="","",_xlfn.LET(
_xlpm.受入,SUMIFS(tbl_ledger[数量],tbl_ledger[ロットID],$B142,tbl_ledger[イベント種類],"梱包開始"),
_xlpm.充当受入,SUMIFS(tbl_ledger[数量],tbl_ledger[充当先ロットID],$B142,tbl_ledger[イベント種類],"充当",tbl_ledger[元状態],I$1),
_xlpm.払出,SUMIFS(tbl_ledger[数量],tbl_ledger[ロットID],$B142,tbl_ledger[元状態],I$1),
_xlpm.受入+_xlpm.充当受入-_xlpm.払出))</f>
        <v/>
      </c>
      <c r="J142" s="8" t="str">
        <f>IF($B142="","",_xlfn.LET(
_xlpm.受入,SUMIFS(tbl_ledger[数量],tbl_ledger[ロットID],$B142,tbl_ledger[イベント種類],"梱包完了"),
_xlpm.充当受入,SUMIFS(tbl_ledger[数量],tbl_ledger[充当先ロットID],$B142,tbl_ledger[イベント種類],"充当",tbl_ledger[元状態],J$1),
_xlpm.払出,SUMIFS(tbl_ledger[数量],tbl_ledger[ロットID],$B142,tbl_ledger[元状態],J$1),
_xlpm.受入+_xlpm.充当受入-_xlpm.払出))</f>
        <v/>
      </c>
      <c r="K142" s="8" t="str">
        <f>IF($B142="","",_xlfn.LET(
_xlpm.受入,SUMIFS(tbl_ledger[数量],tbl_ledger[ロットID],$B142,tbl_ledger[イベント種類],"発送準備開始"),
_xlpm.充当受入,SUMIFS(tbl_ledger[数量],tbl_ledger[充当先ロットID],$B142,tbl_ledger[イベント種類],"充当",tbl_ledger[元状態],K$1),
_xlpm.払出,SUMIFS(tbl_ledger[数量],tbl_ledger[ロットID],$B142,tbl_ledger[元状態],K$1),
_xlpm.受入+_xlpm.充当受入-_xlpm.払出))</f>
        <v/>
      </c>
      <c r="L142" s="8" t="str">
        <f>IF($B142="","",_xlfn.LET(
_xlpm.受入,SUMIFS(tbl_ledger[数量],tbl_ledger[ロットID],$B142,tbl_ledger[イベント種類],"発送準備完了"),
_xlpm.充当受入,SUMIFS(tbl_ledger[数量],tbl_ledger[充当先ロットID],$B142,tbl_ledger[イベント種類],"充当",tbl_ledger[元状態],L$1),
_xlpm.払出,SUMIFS(tbl_ledger[数量],tbl_ledger[ロットID],$B142,tbl_ledger[元状態],L$1),
_xlpm.受入+_xlpm.充当受入-_xlpm.払出))</f>
        <v/>
      </c>
      <c r="M142" s="8" t="str">
        <f>IF($B142="","",_xlfn.LET(
_xlpm.受入,SUMIFS(tbl_ledger[数量],tbl_ledger[ロットID],$B142,tbl_ledger[イベント種類],"不良発生"),
_xlpm.充当受入,SUMIFS(tbl_ledger[数量],tbl_ledger[充当先ロットID],$B142,tbl_ledger[イベント種類],"充当",tbl_ledger[元状態],M$1),
_xlpm.払出,SUMIFS(tbl_ledger[数量],tbl_ledger[ロットID],$B142,tbl_ledger[元状態],M$1),
_xlpm.受入+_xlpm.充当受入-_xlpm.払出))</f>
        <v/>
      </c>
      <c r="N142" s="8" t="str">
        <f t="shared" si="5"/>
        <v/>
      </c>
    </row>
    <row r="143" spans="1:14" ht="15" customHeight="1" x14ac:dyDescent="0.25">
      <c r="A143" s="4" t="str">
        <f t="shared" si="4"/>
        <v/>
      </c>
      <c r="B143" s="4" t="str">
        <f>IFERROR(IF(COUNTIF($B$1:$B142,INDEX(tbl_plan[ロットID],ROW()-1))&gt;0,"",INDEX(tbl_plan[ロットID],ROW()-1)),"")</f>
        <v/>
      </c>
      <c r="C143" s="4" t="str">
        <f>IF($B143="","",INDEX(tbl_plan[localId],ROW()-1))</f>
        <v/>
      </c>
      <c r="D143" s="8" t="str">
        <f>IF($B143="","",_xlfn.LET(
_xlpm.割当受入,SUMIF(V_充足確認!$A$2:$A$301,$B143,V_充足確認!$F$2:$F$301),
_xlpm.充当受入,SUMIFS(tbl_ledger[数量],tbl_ledger[充当先ロットID],$B143,tbl_ledger[イベント種類],"充当",tbl_ledger[元状態],D$1),
_xlpm.払出,SUMIFS(tbl_ledger[数量],tbl_ledger[ロットID],$B143,tbl_ledger[元状態],D$1),
_xlpm.割当受入+_xlpm.充当受入-_xlpm.払出))</f>
        <v/>
      </c>
      <c r="E143" s="8" t="str">
        <f>IF($B143="","",_xlfn.LET(
_xlpm.受入,SUMIFS(tbl_ledger[数量],tbl_ledger[ロットID],$B143,tbl_ledger[イベント種類],"アニール開始"),
_xlpm.充当受入,SUMIFS(tbl_ledger[数量],tbl_ledger[充当先ロットID],$B143,tbl_ledger[イベント種類],"充当",tbl_ledger[元状態],E$1),
_xlpm.払出,SUMIFS(tbl_ledger[数量],tbl_ledger[ロットID],$B143,tbl_ledger[元状態],E$1),
_xlpm.受入+_xlpm.充当受入-_xlpm.払出))</f>
        <v/>
      </c>
      <c r="F143" s="8" t="str">
        <f>IF($B143="","",_xlfn.LET(
_xlpm.受入,SUMIFS(tbl_ledger[数量],tbl_ledger[ロットID],$B143,tbl_ledger[イベント種類],"アニール完了"),
_xlpm.充当受入,SUMIFS(tbl_ledger[数量],tbl_ledger[充当先ロットID],$B143,tbl_ledger[イベント種類],"充当",tbl_ledger[元状態],F$1),
_xlpm.払出,SUMIFS(tbl_ledger[数量],tbl_ledger[ロットID],$B143,tbl_ledger[元状態],F$1),
_xlpm.受入+_xlpm.充当受入-_xlpm.払出))</f>
        <v/>
      </c>
      <c r="G143" s="8" t="str">
        <f>IF($B143="","",_xlfn.LET(
_xlpm.受入,SUMIFS(tbl_ledger[数量],tbl_ledger[ロットID],$B143,tbl_ledger[イベント種類],"アセンブリ開始"),
_xlpm.充当受入,SUMIFS(tbl_ledger[数量],tbl_ledger[充当先ロットID],$B143,tbl_ledger[イベント種類],"充当",tbl_ledger[元状態],G$1),
_xlpm.払出,SUMIFS(tbl_ledger[数量],tbl_ledger[ロットID],$B143,tbl_ledger[元状態],G$1),
_xlpm.受入+_xlpm.充当受入-_xlpm.払出))</f>
        <v/>
      </c>
      <c r="H143" s="8" t="str">
        <f>IF($B143="","",_xlfn.LET(
_xlpm.受入,SUMIFS(tbl_ledger[数量],tbl_ledger[ロットID],$B143,tbl_ledger[イベント種類],"アセンブリ完了"),
_xlpm.充当受入,SUMIFS(tbl_ledger[数量],tbl_ledger[充当先ロットID],$B143,tbl_ledger[イベント種類],"充当",tbl_ledger[元状態],H$1),
_xlpm.払出,SUMIFS(tbl_ledger[数量],tbl_ledger[ロットID],$B143,tbl_ledger[元状態],H$1),
_xlpm.受入+_xlpm.充当受入-_xlpm.払出))</f>
        <v/>
      </c>
      <c r="I143" s="8" t="str">
        <f>IF($B143="","",_xlfn.LET(
_xlpm.受入,SUMIFS(tbl_ledger[数量],tbl_ledger[ロットID],$B143,tbl_ledger[イベント種類],"梱包開始"),
_xlpm.充当受入,SUMIFS(tbl_ledger[数量],tbl_ledger[充当先ロットID],$B143,tbl_ledger[イベント種類],"充当",tbl_ledger[元状態],I$1),
_xlpm.払出,SUMIFS(tbl_ledger[数量],tbl_ledger[ロットID],$B143,tbl_ledger[元状態],I$1),
_xlpm.受入+_xlpm.充当受入-_xlpm.払出))</f>
        <v/>
      </c>
      <c r="J143" s="8" t="str">
        <f>IF($B143="","",_xlfn.LET(
_xlpm.受入,SUMIFS(tbl_ledger[数量],tbl_ledger[ロットID],$B143,tbl_ledger[イベント種類],"梱包完了"),
_xlpm.充当受入,SUMIFS(tbl_ledger[数量],tbl_ledger[充当先ロットID],$B143,tbl_ledger[イベント種類],"充当",tbl_ledger[元状態],J$1),
_xlpm.払出,SUMIFS(tbl_ledger[数量],tbl_ledger[ロットID],$B143,tbl_ledger[元状態],J$1),
_xlpm.受入+_xlpm.充当受入-_xlpm.払出))</f>
        <v/>
      </c>
      <c r="K143" s="8" t="str">
        <f>IF($B143="","",_xlfn.LET(
_xlpm.受入,SUMIFS(tbl_ledger[数量],tbl_ledger[ロットID],$B143,tbl_ledger[イベント種類],"発送準備開始"),
_xlpm.充当受入,SUMIFS(tbl_ledger[数量],tbl_ledger[充当先ロットID],$B143,tbl_ledger[イベント種類],"充当",tbl_ledger[元状態],K$1),
_xlpm.払出,SUMIFS(tbl_ledger[数量],tbl_ledger[ロットID],$B143,tbl_ledger[元状態],K$1),
_xlpm.受入+_xlpm.充当受入-_xlpm.払出))</f>
        <v/>
      </c>
      <c r="L143" s="8" t="str">
        <f>IF($B143="","",_xlfn.LET(
_xlpm.受入,SUMIFS(tbl_ledger[数量],tbl_ledger[ロットID],$B143,tbl_ledger[イベント種類],"発送準備完了"),
_xlpm.充当受入,SUMIFS(tbl_ledger[数量],tbl_ledger[充当先ロットID],$B143,tbl_ledger[イベント種類],"充当",tbl_ledger[元状態],L$1),
_xlpm.払出,SUMIFS(tbl_ledger[数量],tbl_ledger[ロットID],$B143,tbl_ledger[元状態],L$1),
_xlpm.受入+_xlpm.充当受入-_xlpm.払出))</f>
        <v/>
      </c>
      <c r="M143" s="8" t="str">
        <f>IF($B143="","",_xlfn.LET(
_xlpm.受入,SUMIFS(tbl_ledger[数量],tbl_ledger[ロットID],$B143,tbl_ledger[イベント種類],"不良発生"),
_xlpm.充当受入,SUMIFS(tbl_ledger[数量],tbl_ledger[充当先ロットID],$B143,tbl_ledger[イベント種類],"充当",tbl_ledger[元状態],M$1),
_xlpm.払出,SUMIFS(tbl_ledger[数量],tbl_ledger[ロットID],$B143,tbl_ledger[元状態],M$1),
_xlpm.受入+_xlpm.充当受入-_xlpm.払出))</f>
        <v/>
      </c>
      <c r="N143" s="8" t="str">
        <f t="shared" si="5"/>
        <v/>
      </c>
    </row>
    <row r="144" spans="1:14" ht="15" customHeight="1" x14ac:dyDescent="0.25">
      <c r="A144" s="4" t="str">
        <f t="shared" si="4"/>
        <v/>
      </c>
      <c r="B144" s="4" t="str">
        <f>IFERROR(IF(COUNTIF($B$1:$B143,INDEX(tbl_plan[ロットID],ROW()-1))&gt;0,"",INDEX(tbl_plan[ロットID],ROW()-1)),"")</f>
        <v/>
      </c>
      <c r="C144" s="4" t="str">
        <f>IF($B144="","",INDEX(tbl_plan[localId],ROW()-1))</f>
        <v/>
      </c>
      <c r="D144" s="8" t="str">
        <f>IF($B144="","",_xlfn.LET(
_xlpm.割当受入,SUMIF(V_充足確認!$A$2:$A$301,$B144,V_充足確認!$F$2:$F$301),
_xlpm.充当受入,SUMIFS(tbl_ledger[数量],tbl_ledger[充当先ロットID],$B144,tbl_ledger[イベント種類],"充当",tbl_ledger[元状態],D$1),
_xlpm.払出,SUMIFS(tbl_ledger[数量],tbl_ledger[ロットID],$B144,tbl_ledger[元状態],D$1),
_xlpm.割当受入+_xlpm.充当受入-_xlpm.払出))</f>
        <v/>
      </c>
      <c r="E144" s="8" t="str">
        <f>IF($B144="","",_xlfn.LET(
_xlpm.受入,SUMIFS(tbl_ledger[数量],tbl_ledger[ロットID],$B144,tbl_ledger[イベント種類],"アニール開始"),
_xlpm.充当受入,SUMIFS(tbl_ledger[数量],tbl_ledger[充当先ロットID],$B144,tbl_ledger[イベント種類],"充当",tbl_ledger[元状態],E$1),
_xlpm.払出,SUMIFS(tbl_ledger[数量],tbl_ledger[ロットID],$B144,tbl_ledger[元状態],E$1),
_xlpm.受入+_xlpm.充当受入-_xlpm.払出))</f>
        <v/>
      </c>
      <c r="F144" s="8" t="str">
        <f>IF($B144="","",_xlfn.LET(
_xlpm.受入,SUMIFS(tbl_ledger[数量],tbl_ledger[ロットID],$B144,tbl_ledger[イベント種類],"アニール完了"),
_xlpm.充当受入,SUMIFS(tbl_ledger[数量],tbl_ledger[充当先ロットID],$B144,tbl_ledger[イベント種類],"充当",tbl_ledger[元状態],F$1),
_xlpm.払出,SUMIFS(tbl_ledger[数量],tbl_ledger[ロットID],$B144,tbl_ledger[元状態],F$1),
_xlpm.受入+_xlpm.充当受入-_xlpm.払出))</f>
        <v/>
      </c>
      <c r="G144" s="8" t="str">
        <f>IF($B144="","",_xlfn.LET(
_xlpm.受入,SUMIFS(tbl_ledger[数量],tbl_ledger[ロットID],$B144,tbl_ledger[イベント種類],"アセンブリ開始"),
_xlpm.充当受入,SUMIFS(tbl_ledger[数量],tbl_ledger[充当先ロットID],$B144,tbl_ledger[イベント種類],"充当",tbl_ledger[元状態],G$1),
_xlpm.払出,SUMIFS(tbl_ledger[数量],tbl_ledger[ロットID],$B144,tbl_ledger[元状態],G$1),
_xlpm.受入+_xlpm.充当受入-_xlpm.払出))</f>
        <v/>
      </c>
      <c r="H144" s="8" t="str">
        <f>IF($B144="","",_xlfn.LET(
_xlpm.受入,SUMIFS(tbl_ledger[数量],tbl_ledger[ロットID],$B144,tbl_ledger[イベント種類],"アセンブリ完了"),
_xlpm.充当受入,SUMIFS(tbl_ledger[数量],tbl_ledger[充当先ロットID],$B144,tbl_ledger[イベント種類],"充当",tbl_ledger[元状態],H$1),
_xlpm.払出,SUMIFS(tbl_ledger[数量],tbl_ledger[ロットID],$B144,tbl_ledger[元状態],H$1),
_xlpm.受入+_xlpm.充当受入-_xlpm.払出))</f>
        <v/>
      </c>
      <c r="I144" s="8" t="str">
        <f>IF($B144="","",_xlfn.LET(
_xlpm.受入,SUMIFS(tbl_ledger[数量],tbl_ledger[ロットID],$B144,tbl_ledger[イベント種類],"梱包開始"),
_xlpm.充当受入,SUMIFS(tbl_ledger[数量],tbl_ledger[充当先ロットID],$B144,tbl_ledger[イベント種類],"充当",tbl_ledger[元状態],I$1),
_xlpm.払出,SUMIFS(tbl_ledger[数量],tbl_ledger[ロットID],$B144,tbl_ledger[元状態],I$1),
_xlpm.受入+_xlpm.充当受入-_xlpm.払出))</f>
        <v/>
      </c>
      <c r="J144" s="8" t="str">
        <f>IF($B144="","",_xlfn.LET(
_xlpm.受入,SUMIFS(tbl_ledger[数量],tbl_ledger[ロットID],$B144,tbl_ledger[イベント種類],"梱包完了"),
_xlpm.充当受入,SUMIFS(tbl_ledger[数量],tbl_ledger[充当先ロットID],$B144,tbl_ledger[イベント種類],"充当",tbl_ledger[元状態],J$1),
_xlpm.払出,SUMIFS(tbl_ledger[数量],tbl_ledger[ロットID],$B144,tbl_ledger[元状態],J$1),
_xlpm.受入+_xlpm.充当受入-_xlpm.払出))</f>
        <v/>
      </c>
      <c r="K144" s="8" t="str">
        <f>IF($B144="","",_xlfn.LET(
_xlpm.受入,SUMIFS(tbl_ledger[数量],tbl_ledger[ロットID],$B144,tbl_ledger[イベント種類],"発送準備開始"),
_xlpm.充当受入,SUMIFS(tbl_ledger[数量],tbl_ledger[充当先ロットID],$B144,tbl_ledger[イベント種類],"充当",tbl_ledger[元状態],K$1),
_xlpm.払出,SUMIFS(tbl_ledger[数量],tbl_ledger[ロットID],$B144,tbl_ledger[元状態],K$1),
_xlpm.受入+_xlpm.充当受入-_xlpm.払出))</f>
        <v/>
      </c>
      <c r="L144" s="8" t="str">
        <f>IF($B144="","",_xlfn.LET(
_xlpm.受入,SUMIFS(tbl_ledger[数量],tbl_ledger[ロットID],$B144,tbl_ledger[イベント種類],"発送準備完了"),
_xlpm.充当受入,SUMIFS(tbl_ledger[数量],tbl_ledger[充当先ロットID],$B144,tbl_ledger[イベント種類],"充当",tbl_ledger[元状態],L$1),
_xlpm.払出,SUMIFS(tbl_ledger[数量],tbl_ledger[ロットID],$B144,tbl_ledger[元状態],L$1),
_xlpm.受入+_xlpm.充当受入-_xlpm.払出))</f>
        <v/>
      </c>
      <c r="M144" s="8" t="str">
        <f>IF($B144="","",_xlfn.LET(
_xlpm.受入,SUMIFS(tbl_ledger[数量],tbl_ledger[ロットID],$B144,tbl_ledger[イベント種類],"不良発生"),
_xlpm.充当受入,SUMIFS(tbl_ledger[数量],tbl_ledger[充当先ロットID],$B144,tbl_ledger[イベント種類],"充当",tbl_ledger[元状態],M$1),
_xlpm.払出,SUMIFS(tbl_ledger[数量],tbl_ledger[ロットID],$B144,tbl_ledger[元状態],M$1),
_xlpm.受入+_xlpm.充当受入-_xlpm.払出))</f>
        <v/>
      </c>
      <c r="N144" s="8" t="str">
        <f t="shared" si="5"/>
        <v/>
      </c>
    </row>
    <row r="145" spans="1:14" ht="15" customHeight="1" x14ac:dyDescent="0.25">
      <c r="A145" s="4" t="str">
        <f t="shared" si="4"/>
        <v/>
      </c>
      <c r="B145" s="4" t="str">
        <f>IFERROR(IF(COUNTIF($B$1:$B144,INDEX(tbl_plan[ロットID],ROW()-1))&gt;0,"",INDEX(tbl_plan[ロットID],ROW()-1)),"")</f>
        <v/>
      </c>
      <c r="C145" s="4" t="str">
        <f>IF($B145="","",INDEX(tbl_plan[localId],ROW()-1))</f>
        <v/>
      </c>
      <c r="D145" s="8" t="str">
        <f>IF($B145="","",_xlfn.LET(
_xlpm.割当受入,SUMIF(V_充足確認!$A$2:$A$301,$B145,V_充足確認!$F$2:$F$301),
_xlpm.充当受入,SUMIFS(tbl_ledger[数量],tbl_ledger[充当先ロットID],$B145,tbl_ledger[イベント種類],"充当",tbl_ledger[元状態],D$1),
_xlpm.払出,SUMIFS(tbl_ledger[数量],tbl_ledger[ロットID],$B145,tbl_ledger[元状態],D$1),
_xlpm.割当受入+_xlpm.充当受入-_xlpm.払出))</f>
        <v/>
      </c>
      <c r="E145" s="8" t="str">
        <f>IF($B145="","",_xlfn.LET(
_xlpm.受入,SUMIFS(tbl_ledger[数量],tbl_ledger[ロットID],$B145,tbl_ledger[イベント種類],"アニール開始"),
_xlpm.充当受入,SUMIFS(tbl_ledger[数量],tbl_ledger[充当先ロットID],$B145,tbl_ledger[イベント種類],"充当",tbl_ledger[元状態],E$1),
_xlpm.払出,SUMIFS(tbl_ledger[数量],tbl_ledger[ロットID],$B145,tbl_ledger[元状態],E$1),
_xlpm.受入+_xlpm.充当受入-_xlpm.払出))</f>
        <v/>
      </c>
      <c r="F145" s="8" t="str">
        <f>IF($B145="","",_xlfn.LET(
_xlpm.受入,SUMIFS(tbl_ledger[数量],tbl_ledger[ロットID],$B145,tbl_ledger[イベント種類],"アニール完了"),
_xlpm.充当受入,SUMIFS(tbl_ledger[数量],tbl_ledger[充当先ロットID],$B145,tbl_ledger[イベント種類],"充当",tbl_ledger[元状態],F$1),
_xlpm.払出,SUMIFS(tbl_ledger[数量],tbl_ledger[ロットID],$B145,tbl_ledger[元状態],F$1),
_xlpm.受入+_xlpm.充当受入-_xlpm.払出))</f>
        <v/>
      </c>
      <c r="G145" s="8" t="str">
        <f>IF($B145="","",_xlfn.LET(
_xlpm.受入,SUMIFS(tbl_ledger[数量],tbl_ledger[ロットID],$B145,tbl_ledger[イベント種類],"アセンブリ開始"),
_xlpm.充当受入,SUMIFS(tbl_ledger[数量],tbl_ledger[充当先ロットID],$B145,tbl_ledger[イベント種類],"充当",tbl_ledger[元状態],G$1),
_xlpm.払出,SUMIFS(tbl_ledger[数量],tbl_ledger[ロットID],$B145,tbl_ledger[元状態],G$1),
_xlpm.受入+_xlpm.充当受入-_xlpm.払出))</f>
        <v/>
      </c>
      <c r="H145" s="8" t="str">
        <f>IF($B145="","",_xlfn.LET(
_xlpm.受入,SUMIFS(tbl_ledger[数量],tbl_ledger[ロットID],$B145,tbl_ledger[イベント種類],"アセンブリ完了"),
_xlpm.充当受入,SUMIFS(tbl_ledger[数量],tbl_ledger[充当先ロットID],$B145,tbl_ledger[イベント種類],"充当",tbl_ledger[元状態],H$1),
_xlpm.払出,SUMIFS(tbl_ledger[数量],tbl_ledger[ロットID],$B145,tbl_ledger[元状態],H$1),
_xlpm.受入+_xlpm.充当受入-_xlpm.払出))</f>
        <v/>
      </c>
      <c r="I145" s="8" t="str">
        <f>IF($B145="","",_xlfn.LET(
_xlpm.受入,SUMIFS(tbl_ledger[数量],tbl_ledger[ロットID],$B145,tbl_ledger[イベント種類],"梱包開始"),
_xlpm.充当受入,SUMIFS(tbl_ledger[数量],tbl_ledger[充当先ロットID],$B145,tbl_ledger[イベント種類],"充当",tbl_ledger[元状態],I$1),
_xlpm.払出,SUMIFS(tbl_ledger[数量],tbl_ledger[ロットID],$B145,tbl_ledger[元状態],I$1),
_xlpm.受入+_xlpm.充当受入-_xlpm.払出))</f>
        <v/>
      </c>
      <c r="J145" s="8" t="str">
        <f>IF($B145="","",_xlfn.LET(
_xlpm.受入,SUMIFS(tbl_ledger[数量],tbl_ledger[ロットID],$B145,tbl_ledger[イベント種類],"梱包完了"),
_xlpm.充当受入,SUMIFS(tbl_ledger[数量],tbl_ledger[充当先ロットID],$B145,tbl_ledger[イベント種類],"充当",tbl_ledger[元状態],J$1),
_xlpm.払出,SUMIFS(tbl_ledger[数量],tbl_ledger[ロットID],$B145,tbl_ledger[元状態],J$1),
_xlpm.受入+_xlpm.充当受入-_xlpm.払出))</f>
        <v/>
      </c>
      <c r="K145" s="8" t="str">
        <f>IF($B145="","",_xlfn.LET(
_xlpm.受入,SUMIFS(tbl_ledger[数量],tbl_ledger[ロットID],$B145,tbl_ledger[イベント種類],"発送準備開始"),
_xlpm.充当受入,SUMIFS(tbl_ledger[数量],tbl_ledger[充当先ロットID],$B145,tbl_ledger[イベント種類],"充当",tbl_ledger[元状態],K$1),
_xlpm.払出,SUMIFS(tbl_ledger[数量],tbl_ledger[ロットID],$B145,tbl_ledger[元状態],K$1),
_xlpm.受入+_xlpm.充当受入-_xlpm.払出))</f>
        <v/>
      </c>
      <c r="L145" s="8" t="str">
        <f>IF($B145="","",_xlfn.LET(
_xlpm.受入,SUMIFS(tbl_ledger[数量],tbl_ledger[ロットID],$B145,tbl_ledger[イベント種類],"発送準備完了"),
_xlpm.充当受入,SUMIFS(tbl_ledger[数量],tbl_ledger[充当先ロットID],$B145,tbl_ledger[イベント種類],"充当",tbl_ledger[元状態],L$1),
_xlpm.払出,SUMIFS(tbl_ledger[数量],tbl_ledger[ロットID],$B145,tbl_ledger[元状態],L$1),
_xlpm.受入+_xlpm.充当受入-_xlpm.払出))</f>
        <v/>
      </c>
      <c r="M145" s="8" t="str">
        <f>IF($B145="","",_xlfn.LET(
_xlpm.受入,SUMIFS(tbl_ledger[数量],tbl_ledger[ロットID],$B145,tbl_ledger[イベント種類],"不良発生"),
_xlpm.充当受入,SUMIFS(tbl_ledger[数量],tbl_ledger[充当先ロットID],$B145,tbl_ledger[イベント種類],"充当",tbl_ledger[元状態],M$1),
_xlpm.払出,SUMIFS(tbl_ledger[数量],tbl_ledger[ロットID],$B145,tbl_ledger[元状態],M$1),
_xlpm.受入+_xlpm.充当受入-_xlpm.払出))</f>
        <v/>
      </c>
      <c r="N145" s="8" t="str">
        <f t="shared" si="5"/>
        <v/>
      </c>
    </row>
    <row r="146" spans="1:14" ht="15" customHeight="1" x14ac:dyDescent="0.25">
      <c r="A146" s="4" t="str">
        <f t="shared" si="4"/>
        <v/>
      </c>
      <c r="B146" s="4" t="str">
        <f>IFERROR(IF(COUNTIF($B$1:$B145,INDEX(tbl_plan[ロットID],ROW()-1))&gt;0,"",INDEX(tbl_plan[ロットID],ROW()-1)),"")</f>
        <v/>
      </c>
      <c r="C146" s="4" t="str">
        <f>IF($B146="","",INDEX(tbl_plan[localId],ROW()-1))</f>
        <v/>
      </c>
      <c r="D146" s="8" t="str">
        <f>IF($B146="","",_xlfn.LET(
_xlpm.割当受入,SUMIF(V_充足確認!$A$2:$A$301,$B146,V_充足確認!$F$2:$F$301),
_xlpm.充当受入,SUMIFS(tbl_ledger[数量],tbl_ledger[充当先ロットID],$B146,tbl_ledger[イベント種類],"充当",tbl_ledger[元状態],D$1),
_xlpm.払出,SUMIFS(tbl_ledger[数量],tbl_ledger[ロットID],$B146,tbl_ledger[元状態],D$1),
_xlpm.割当受入+_xlpm.充当受入-_xlpm.払出))</f>
        <v/>
      </c>
      <c r="E146" s="8" t="str">
        <f>IF($B146="","",_xlfn.LET(
_xlpm.受入,SUMIFS(tbl_ledger[数量],tbl_ledger[ロットID],$B146,tbl_ledger[イベント種類],"アニール開始"),
_xlpm.充当受入,SUMIFS(tbl_ledger[数量],tbl_ledger[充当先ロットID],$B146,tbl_ledger[イベント種類],"充当",tbl_ledger[元状態],E$1),
_xlpm.払出,SUMIFS(tbl_ledger[数量],tbl_ledger[ロットID],$B146,tbl_ledger[元状態],E$1),
_xlpm.受入+_xlpm.充当受入-_xlpm.払出))</f>
        <v/>
      </c>
      <c r="F146" s="8" t="str">
        <f>IF($B146="","",_xlfn.LET(
_xlpm.受入,SUMIFS(tbl_ledger[数量],tbl_ledger[ロットID],$B146,tbl_ledger[イベント種類],"アニール完了"),
_xlpm.充当受入,SUMIFS(tbl_ledger[数量],tbl_ledger[充当先ロットID],$B146,tbl_ledger[イベント種類],"充当",tbl_ledger[元状態],F$1),
_xlpm.払出,SUMIFS(tbl_ledger[数量],tbl_ledger[ロットID],$B146,tbl_ledger[元状態],F$1),
_xlpm.受入+_xlpm.充当受入-_xlpm.払出))</f>
        <v/>
      </c>
      <c r="G146" s="8" t="str">
        <f>IF($B146="","",_xlfn.LET(
_xlpm.受入,SUMIFS(tbl_ledger[数量],tbl_ledger[ロットID],$B146,tbl_ledger[イベント種類],"アセンブリ開始"),
_xlpm.充当受入,SUMIFS(tbl_ledger[数量],tbl_ledger[充当先ロットID],$B146,tbl_ledger[イベント種類],"充当",tbl_ledger[元状態],G$1),
_xlpm.払出,SUMIFS(tbl_ledger[数量],tbl_ledger[ロットID],$B146,tbl_ledger[元状態],G$1),
_xlpm.受入+_xlpm.充当受入-_xlpm.払出))</f>
        <v/>
      </c>
      <c r="H146" s="8" t="str">
        <f>IF($B146="","",_xlfn.LET(
_xlpm.受入,SUMIFS(tbl_ledger[数量],tbl_ledger[ロットID],$B146,tbl_ledger[イベント種類],"アセンブリ完了"),
_xlpm.充当受入,SUMIFS(tbl_ledger[数量],tbl_ledger[充当先ロットID],$B146,tbl_ledger[イベント種類],"充当",tbl_ledger[元状態],H$1),
_xlpm.払出,SUMIFS(tbl_ledger[数量],tbl_ledger[ロットID],$B146,tbl_ledger[元状態],H$1),
_xlpm.受入+_xlpm.充当受入-_xlpm.払出))</f>
        <v/>
      </c>
      <c r="I146" s="8" t="str">
        <f>IF($B146="","",_xlfn.LET(
_xlpm.受入,SUMIFS(tbl_ledger[数量],tbl_ledger[ロットID],$B146,tbl_ledger[イベント種類],"梱包開始"),
_xlpm.充当受入,SUMIFS(tbl_ledger[数量],tbl_ledger[充当先ロットID],$B146,tbl_ledger[イベント種類],"充当",tbl_ledger[元状態],I$1),
_xlpm.払出,SUMIFS(tbl_ledger[数量],tbl_ledger[ロットID],$B146,tbl_ledger[元状態],I$1),
_xlpm.受入+_xlpm.充当受入-_xlpm.払出))</f>
        <v/>
      </c>
      <c r="J146" s="8" t="str">
        <f>IF($B146="","",_xlfn.LET(
_xlpm.受入,SUMIFS(tbl_ledger[数量],tbl_ledger[ロットID],$B146,tbl_ledger[イベント種類],"梱包完了"),
_xlpm.充当受入,SUMIFS(tbl_ledger[数量],tbl_ledger[充当先ロットID],$B146,tbl_ledger[イベント種類],"充当",tbl_ledger[元状態],J$1),
_xlpm.払出,SUMIFS(tbl_ledger[数量],tbl_ledger[ロットID],$B146,tbl_ledger[元状態],J$1),
_xlpm.受入+_xlpm.充当受入-_xlpm.払出))</f>
        <v/>
      </c>
      <c r="K146" s="8" t="str">
        <f>IF($B146="","",_xlfn.LET(
_xlpm.受入,SUMIFS(tbl_ledger[数量],tbl_ledger[ロットID],$B146,tbl_ledger[イベント種類],"発送準備開始"),
_xlpm.充当受入,SUMIFS(tbl_ledger[数量],tbl_ledger[充当先ロットID],$B146,tbl_ledger[イベント種類],"充当",tbl_ledger[元状態],K$1),
_xlpm.払出,SUMIFS(tbl_ledger[数量],tbl_ledger[ロットID],$B146,tbl_ledger[元状態],K$1),
_xlpm.受入+_xlpm.充当受入-_xlpm.払出))</f>
        <v/>
      </c>
      <c r="L146" s="8" t="str">
        <f>IF($B146="","",_xlfn.LET(
_xlpm.受入,SUMIFS(tbl_ledger[数量],tbl_ledger[ロットID],$B146,tbl_ledger[イベント種類],"発送準備完了"),
_xlpm.充当受入,SUMIFS(tbl_ledger[数量],tbl_ledger[充当先ロットID],$B146,tbl_ledger[イベント種類],"充当",tbl_ledger[元状態],L$1),
_xlpm.払出,SUMIFS(tbl_ledger[数量],tbl_ledger[ロットID],$B146,tbl_ledger[元状態],L$1),
_xlpm.受入+_xlpm.充当受入-_xlpm.払出))</f>
        <v/>
      </c>
      <c r="M146" s="8" t="str">
        <f>IF($B146="","",_xlfn.LET(
_xlpm.受入,SUMIFS(tbl_ledger[数量],tbl_ledger[ロットID],$B146,tbl_ledger[イベント種類],"不良発生"),
_xlpm.充当受入,SUMIFS(tbl_ledger[数量],tbl_ledger[充当先ロットID],$B146,tbl_ledger[イベント種類],"充当",tbl_ledger[元状態],M$1),
_xlpm.払出,SUMIFS(tbl_ledger[数量],tbl_ledger[ロットID],$B146,tbl_ledger[元状態],M$1),
_xlpm.受入+_xlpm.充当受入-_xlpm.払出))</f>
        <v/>
      </c>
      <c r="N146" s="8" t="str">
        <f t="shared" si="5"/>
        <v/>
      </c>
    </row>
    <row r="147" spans="1:14" ht="15" customHeight="1" x14ac:dyDescent="0.25">
      <c r="A147" s="4" t="str">
        <f t="shared" si="4"/>
        <v/>
      </c>
      <c r="B147" s="4" t="str">
        <f>IFERROR(IF(COUNTIF($B$1:$B146,INDEX(tbl_plan[ロットID],ROW()-1))&gt;0,"",INDEX(tbl_plan[ロットID],ROW()-1)),"")</f>
        <v/>
      </c>
      <c r="C147" s="4" t="str">
        <f>IF($B147="","",INDEX(tbl_plan[localId],ROW()-1))</f>
        <v/>
      </c>
      <c r="D147" s="8" t="str">
        <f>IF($B147="","",_xlfn.LET(
_xlpm.割当受入,SUMIF(V_充足確認!$A$2:$A$301,$B147,V_充足確認!$F$2:$F$301),
_xlpm.充当受入,SUMIFS(tbl_ledger[数量],tbl_ledger[充当先ロットID],$B147,tbl_ledger[イベント種類],"充当",tbl_ledger[元状態],D$1),
_xlpm.払出,SUMIFS(tbl_ledger[数量],tbl_ledger[ロットID],$B147,tbl_ledger[元状態],D$1),
_xlpm.割当受入+_xlpm.充当受入-_xlpm.払出))</f>
        <v/>
      </c>
      <c r="E147" s="8" t="str">
        <f>IF($B147="","",_xlfn.LET(
_xlpm.受入,SUMIFS(tbl_ledger[数量],tbl_ledger[ロットID],$B147,tbl_ledger[イベント種類],"アニール開始"),
_xlpm.充当受入,SUMIFS(tbl_ledger[数量],tbl_ledger[充当先ロットID],$B147,tbl_ledger[イベント種類],"充当",tbl_ledger[元状態],E$1),
_xlpm.払出,SUMIFS(tbl_ledger[数量],tbl_ledger[ロットID],$B147,tbl_ledger[元状態],E$1),
_xlpm.受入+_xlpm.充当受入-_xlpm.払出))</f>
        <v/>
      </c>
      <c r="F147" s="8" t="str">
        <f>IF($B147="","",_xlfn.LET(
_xlpm.受入,SUMIFS(tbl_ledger[数量],tbl_ledger[ロットID],$B147,tbl_ledger[イベント種類],"アニール完了"),
_xlpm.充当受入,SUMIFS(tbl_ledger[数量],tbl_ledger[充当先ロットID],$B147,tbl_ledger[イベント種類],"充当",tbl_ledger[元状態],F$1),
_xlpm.払出,SUMIFS(tbl_ledger[数量],tbl_ledger[ロットID],$B147,tbl_ledger[元状態],F$1),
_xlpm.受入+_xlpm.充当受入-_xlpm.払出))</f>
        <v/>
      </c>
      <c r="G147" s="8" t="str">
        <f>IF($B147="","",_xlfn.LET(
_xlpm.受入,SUMIFS(tbl_ledger[数量],tbl_ledger[ロットID],$B147,tbl_ledger[イベント種類],"アセンブリ開始"),
_xlpm.充当受入,SUMIFS(tbl_ledger[数量],tbl_ledger[充当先ロットID],$B147,tbl_ledger[イベント種類],"充当",tbl_ledger[元状態],G$1),
_xlpm.払出,SUMIFS(tbl_ledger[数量],tbl_ledger[ロットID],$B147,tbl_ledger[元状態],G$1),
_xlpm.受入+_xlpm.充当受入-_xlpm.払出))</f>
        <v/>
      </c>
      <c r="H147" s="8" t="str">
        <f>IF($B147="","",_xlfn.LET(
_xlpm.受入,SUMIFS(tbl_ledger[数量],tbl_ledger[ロットID],$B147,tbl_ledger[イベント種類],"アセンブリ完了"),
_xlpm.充当受入,SUMIFS(tbl_ledger[数量],tbl_ledger[充当先ロットID],$B147,tbl_ledger[イベント種類],"充当",tbl_ledger[元状態],H$1),
_xlpm.払出,SUMIFS(tbl_ledger[数量],tbl_ledger[ロットID],$B147,tbl_ledger[元状態],H$1),
_xlpm.受入+_xlpm.充当受入-_xlpm.払出))</f>
        <v/>
      </c>
      <c r="I147" s="8" t="str">
        <f>IF($B147="","",_xlfn.LET(
_xlpm.受入,SUMIFS(tbl_ledger[数量],tbl_ledger[ロットID],$B147,tbl_ledger[イベント種類],"梱包開始"),
_xlpm.充当受入,SUMIFS(tbl_ledger[数量],tbl_ledger[充当先ロットID],$B147,tbl_ledger[イベント種類],"充当",tbl_ledger[元状態],I$1),
_xlpm.払出,SUMIFS(tbl_ledger[数量],tbl_ledger[ロットID],$B147,tbl_ledger[元状態],I$1),
_xlpm.受入+_xlpm.充当受入-_xlpm.払出))</f>
        <v/>
      </c>
      <c r="J147" s="8" t="str">
        <f>IF($B147="","",_xlfn.LET(
_xlpm.受入,SUMIFS(tbl_ledger[数量],tbl_ledger[ロットID],$B147,tbl_ledger[イベント種類],"梱包完了"),
_xlpm.充当受入,SUMIFS(tbl_ledger[数量],tbl_ledger[充当先ロットID],$B147,tbl_ledger[イベント種類],"充当",tbl_ledger[元状態],J$1),
_xlpm.払出,SUMIFS(tbl_ledger[数量],tbl_ledger[ロットID],$B147,tbl_ledger[元状態],J$1),
_xlpm.受入+_xlpm.充当受入-_xlpm.払出))</f>
        <v/>
      </c>
      <c r="K147" s="8" t="str">
        <f>IF($B147="","",_xlfn.LET(
_xlpm.受入,SUMIFS(tbl_ledger[数量],tbl_ledger[ロットID],$B147,tbl_ledger[イベント種類],"発送準備開始"),
_xlpm.充当受入,SUMIFS(tbl_ledger[数量],tbl_ledger[充当先ロットID],$B147,tbl_ledger[イベント種類],"充当",tbl_ledger[元状態],K$1),
_xlpm.払出,SUMIFS(tbl_ledger[数量],tbl_ledger[ロットID],$B147,tbl_ledger[元状態],K$1),
_xlpm.受入+_xlpm.充当受入-_xlpm.払出))</f>
        <v/>
      </c>
      <c r="L147" s="8" t="str">
        <f>IF($B147="","",_xlfn.LET(
_xlpm.受入,SUMIFS(tbl_ledger[数量],tbl_ledger[ロットID],$B147,tbl_ledger[イベント種類],"発送準備完了"),
_xlpm.充当受入,SUMIFS(tbl_ledger[数量],tbl_ledger[充当先ロットID],$B147,tbl_ledger[イベント種類],"充当",tbl_ledger[元状態],L$1),
_xlpm.払出,SUMIFS(tbl_ledger[数量],tbl_ledger[ロットID],$B147,tbl_ledger[元状態],L$1),
_xlpm.受入+_xlpm.充当受入-_xlpm.払出))</f>
        <v/>
      </c>
      <c r="M147" s="8" t="str">
        <f>IF($B147="","",_xlfn.LET(
_xlpm.受入,SUMIFS(tbl_ledger[数量],tbl_ledger[ロットID],$B147,tbl_ledger[イベント種類],"不良発生"),
_xlpm.充当受入,SUMIFS(tbl_ledger[数量],tbl_ledger[充当先ロットID],$B147,tbl_ledger[イベント種類],"充当",tbl_ledger[元状態],M$1),
_xlpm.払出,SUMIFS(tbl_ledger[数量],tbl_ledger[ロットID],$B147,tbl_ledger[元状態],M$1),
_xlpm.受入+_xlpm.充当受入-_xlpm.払出))</f>
        <v/>
      </c>
      <c r="N147" s="8" t="str">
        <f t="shared" si="5"/>
        <v/>
      </c>
    </row>
    <row r="148" spans="1:14" ht="15" customHeight="1" x14ac:dyDescent="0.25">
      <c r="A148" s="4" t="str">
        <f t="shared" si="4"/>
        <v/>
      </c>
      <c r="B148" s="4" t="str">
        <f>IFERROR(IF(COUNTIF($B$1:$B147,INDEX(tbl_plan[ロットID],ROW()-1))&gt;0,"",INDEX(tbl_plan[ロットID],ROW()-1)),"")</f>
        <v/>
      </c>
      <c r="C148" s="4" t="str">
        <f>IF($B148="","",INDEX(tbl_plan[localId],ROW()-1))</f>
        <v/>
      </c>
      <c r="D148" s="8" t="str">
        <f>IF($B148="","",_xlfn.LET(
_xlpm.割当受入,SUMIF(V_充足確認!$A$2:$A$301,$B148,V_充足確認!$F$2:$F$301),
_xlpm.充当受入,SUMIFS(tbl_ledger[数量],tbl_ledger[充当先ロットID],$B148,tbl_ledger[イベント種類],"充当",tbl_ledger[元状態],D$1),
_xlpm.払出,SUMIFS(tbl_ledger[数量],tbl_ledger[ロットID],$B148,tbl_ledger[元状態],D$1),
_xlpm.割当受入+_xlpm.充当受入-_xlpm.払出))</f>
        <v/>
      </c>
      <c r="E148" s="8" t="str">
        <f>IF($B148="","",_xlfn.LET(
_xlpm.受入,SUMIFS(tbl_ledger[数量],tbl_ledger[ロットID],$B148,tbl_ledger[イベント種類],"アニール開始"),
_xlpm.充当受入,SUMIFS(tbl_ledger[数量],tbl_ledger[充当先ロットID],$B148,tbl_ledger[イベント種類],"充当",tbl_ledger[元状態],E$1),
_xlpm.払出,SUMIFS(tbl_ledger[数量],tbl_ledger[ロットID],$B148,tbl_ledger[元状態],E$1),
_xlpm.受入+_xlpm.充当受入-_xlpm.払出))</f>
        <v/>
      </c>
      <c r="F148" s="8" t="str">
        <f>IF($B148="","",_xlfn.LET(
_xlpm.受入,SUMIFS(tbl_ledger[数量],tbl_ledger[ロットID],$B148,tbl_ledger[イベント種類],"アニール完了"),
_xlpm.充当受入,SUMIFS(tbl_ledger[数量],tbl_ledger[充当先ロットID],$B148,tbl_ledger[イベント種類],"充当",tbl_ledger[元状態],F$1),
_xlpm.払出,SUMIFS(tbl_ledger[数量],tbl_ledger[ロットID],$B148,tbl_ledger[元状態],F$1),
_xlpm.受入+_xlpm.充当受入-_xlpm.払出))</f>
        <v/>
      </c>
      <c r="G148" s="8" t="str">
        <f>IF($B148="","",_xlfn.LET(
_xlpm.受入,SUMIFS(tbl_ledger[数量],tbl_ledger[ロットID],$B148,tbl_ledger[イベント種類],"アセンブリ開始"),
_xlpm.充当受入,SUMIFS(tbl_ledger[数量],tbl_ledger[充当先ロットID],$B148,tbl_ledger[イベント種類],"充当",tbl_ledger[元状態],G$1),
_xlpm.払出,SUMIFS(tbl_ledger[数量],tbl_ledger[ロットID],$B148,tbl_ledger[元状態],G$1),
_xlpm.受入+_xlpm.充当受入-_xlpm.払出))</f>
        <v/>
      </c>
      <c r="H148" s="8" t="str">
        <f>IF($B148="","",_xlfn.LET(
_xlpm.受入,SUMIFS(tbl_ledger[数量],tbl_ledger[ロットID],$B148,tbl_ledger[イベント種類],"アセンブリ完了"),
_xlpm.充当受入,SUMIFS(tbl_ledger[数量],tbl_ledger[充当先ロットID],$B148,tbl_ledger[イベント種類],"充当",tbl_ledger[元状態],H$1),
_xlpm.払出,SUMIFS(tbl_ledger[数量],tbl_ledger[ロットID],$B148,tbl_ledger[元状態],H$1),
_xlpm.受入+_xlpm.充当受入-_xlpm.払出))</f>
        <v/>
      </c>
      <c r="I148" s="8" t="str">
        <f>IF($B148="","",_xlfn.LET(
_xlpm.受入,SUMIFS(tbl_ledger[数量],tbl_ledger[ロットID],$B148,tbl_ledger[イベント種類],"梱包開始"),
_xlpm.充当受入,SUMIFS(tbl_ledger[数量],tbl_ledger[充当先ロットID],$B148,tbl_ledger[イベント種類],"充当",tbl_ledger[元状態],I$1),
_xlpm.払出,SUMIFS(tbl_ledger[数量],tbl_ledger[ロットID],$B148,tbl_ledger[元状態],I$1),
_xlpm.受入+_xlpm.充当受入-_xlpm.払出))</f>
        <v/>
      </c>
      <c r="J148" s="8" t="str">
        <f>IF($B148="","",_xlfn.LET(
_xlpm.受入,SUMIFS(tbl_ledger[数量],tbl_ledger[ロットID],$B148,tbl_ledger[イベント種類],"梱包完了"),
_xlpm.充当受入,SUMIFS(tbl_ledger[数量],tbl_ledger[充当先ロットID],$B148,tbl_ledger[イベント種類],"充当",tbl_ledger[元状態],J$1),
_xlpm.払出,SUMIFS(tbl_ledger[数量],tbl_ledger[ロットID],$B148,tbl_ledger[元状態],J$1),
_xlpm.受入+_xlpm.充当受入-_xlpm.払出))</f>
        <v/>
      </c>
      <c r="K148" s="8" t="str">
        <f>IF($B148="","",_xlfn.LET(
_xlpm.受入,SUMIFS(tbl_ledger[数量],tbl_ledger[ロットID],$B148,tbl_ledger[イベント種類],"発送準備開始"),
_xlpm.充当受入,SUMIFS(tbl_ledger[数量],tbl_ledger[充当先ロットID],$B148,tbl_ledger[イベント種類],"充当",tbl_ledger[元状態],K$1),
_xlpm.払出,SUMIFS(tbl_ledger[数量],tbl_ledger[ロットID],$B148,tbl_ledger[元状態],K$1),
_xlpm.受入+_xlpm.充当受入-_xlpm.払出))</f>
        <v/>
      </c>
      <c r="L148" s="8" t="str">
        <f>IF($B148="","",_xlfn.LET(
_xlpm.受入,SUMIFS(tbl_ledger[数量],tbl_ledger[ロットID],$B148,tbl_ledger[イベント種類],"発送準備完了"),
_xlpm.充当受入,SUMIFS(tbl_ledger[数量],tbl_ledger[充当先ロットID],$B148,tbl_ledger[イベント種類],"充当",tbl_ledger[元状態],L$1),
_xlpm.払出,SUMIFS(tbl_ledger[数量],tbl_ledger[ロットID],$B148,tbl_ledger[元状態],L$1),
_xlpm.受入+_xlpm.充当受入-_xlpm.払出))</f>
        <v/>
      </c>
      <c r="M148" s="8" t="str">
        <f>IF($B148="","",_xlfn.LET(
_xlpm.受入,SUMIFS(tbl_ledger[数量],tbl_ledger[ロットID],$B148,tbl_ledger[イベント種類],"不良発生"),
_xlpm.充当受入,SUMIFS(tbl_ledger[数量],tbl_ledger[充当先ロットID],$B148,tbl_ledger[イベント種類],"充当",tbl_ledger[元状態],M$1),
_xlpm.払出,SUMIFS(tbl_ledger[数量],tbl_ledger[ロットID],$B148,tbl_ledger[元状態],M$1),
_xlpm.受入+_xlpm.充当受入-_xlpm.払出))</f>
        <v/>
      </c>
      <c r="N148" s="8" t="str">
        <f t="shared" si="5"/>
        <v/>
      </c>
    </row>
    <row r="149" spans="1:14" ht="15" customHeight="1" x14ac:dyDescent="0.25">
      <c r="A149" s="4" t="str">
        <f t="shared" si="4"/>
        <v/>
      </c>
      <c r="B149" s="4" t="str">
        <f>IFERROR(IF(COUNTIF($B$1:$B148,INDEX(tbl_plan[ロットID],ROW()-1))&gt;0,"",INDEX(tbl_plan[ロットID],ROW()-1)),"")</f>
        <v/>
      </c>
      <c r="C149" s="4" t="str">
        <f>IF($B149="","",INDEX(tbl_plan[localId],ROW()-1))</f>
        <v/>
      </c>
      <c r="D149" s="8" t="str">
        <f>IF($B149="","",_xlfn.LET(
_xlpm.割当受入,SUMIF(V_充足確認!$A$2:$A$301,$B149,V_充足確認!$F$2:$F$301),
_xlpm.充当受入,SUMIFS(tbl_ledger[数量],tbl_ledger[充当先ロットID],$B149,tbl_ledger[イベント種類],"充当",tbl_ledger[元状態],D$1),
_xlpm.払出,SUMIFS(tbl_ledger[数量],tbl_ledger[ロットID],$B149,tbl_ledger[元状態],D$1),
_xlpm.割当受入+_xlpm.充当受入-_xlpm.払出))</f>
        <v/>
      </c>
      <c r="E149" s="8" t="str">
        <f>IF($B149="","",_xlfn.LET(
_xlpm.受入,SUMIFS(tbl_ledger[数量],tbl_ledger[ロットID],$B149,tbl_ledger[イベント種類],"アニール開始"),
_xlpm.充当受入,SUMIFS(tbl_ledger[数量],tbl_ledger[充当先ロットID],$B149,tbl_ledger[イベント種類],"充当",tbl_ledger[元状態],E$1),
_xlpm.払出,SUMIFS(tbl_ledger[数量],tbl_ledger[ロットID],$B149,tbl_ledger[元状態],E$1),
_xlpm.受入+_xlpm.充当受入-_xlpm.払出))</f>
        <v/>
      </c>
      <c r="F149" s="8" t="str">
        <f>IF($B149="","",_xlfn.LET(
_xlpm.受入,SUMIFS(tbl_ledger[数量],tbl_ledger[ロットID],$B149,tbl_ledger[イベント種類],"アニール完了"),
_xlpm.充当受入,SUMIFS(tbl_ledger[数量],tbl_ledger[充当先ロットID],$B149,tbl_ledger[イベント種類],"充当",tbl_ledger[元状態],F$1),
_xlpm.払出,SUMIFS(tbl_ledger[数量],tbl_ledger[ロットID],$B149,tbl_ledger[元状態],F$1),
_xlpm.受入+_xlpm.充当受入-_xlpm.払出))</f>
        <v/>
      </c>
      <c r="G149" s="8" t="str">
        <f>IF($B149="","",_xlfn.LET(
_xlpm.受入,SUMIFS(tbl_ledger[数量],tbl_ledger[ロットID],$B149,tbl_ledger[イベント種類],"アセンブリ開始"),
_xlpm.充当受入,SUMIFS(tbl_ledger[数量],tbl_ledger[充当先ロットID],$B149,tbl_ledger[イベント種類],"充当",tbl_ledger[元状態],G$1),
_xlpm.払出,SUMIFS(tbl_ledger[数量],tbl_ledger[ロットID],$B149,tbl_ledger[元状態],G$1),
_xlpm.受入+_xlpm.充当受入-_xlpm.払出))</f>
        <v/>
      </c>
      <c r="H149" s="8" t="str">
        <f>IF($B149="","",_xlfn.LET(
_xlpm.受入,SUMIFS(tbl_ledger[数量],tbl_ledger[ロットID],$B149,tbl_ledger[イベント種類],"アセンブリ完了"),
_xlpm.充当受入,SUMIFS(tbl_ledger[数量],tbl_ledger[充当先ロットID],$B149,tbl_ledger[イベント種類],"充当",tbl_ledger[元状態],H$1),
_xlpm.払出,SUMIFS(tbl_ledger[数量],tbl_ledger[ロットID],$B149,tbl_ledger[元状態],H$1),
_xlpm.受入+_xlpm.充当受入-_xlpm.払出))</f>
        <v/>
      </c>
      <c r="I149" s="8" t="str">
        <f>IF($B149="","",_xlfn.LET(
_xlpm.受入,SUMIFS(tbl_ledger[数量],tbl_ledger[ロットID],$B149,tbl_ledger[イベント種類],"梱包開始"),
_xlpm.充当受入,SUMIFS(tbl_ledger[数量],tbl_ledger[充当先ロットID],$B149,tbl_ledger[イベント種類],"充当",tbl_ledger[元状態],I$1),
_xlpm.払出,SUMIFS(tbl_ledger[数量],tbl_ledger[ロットID],$B149,tbl_ledger[元状態],I$1),
_xlpm.受入+_xlpm.充当受入-_xlpm.払出))</f>
        <v/>
      </c>
      <c r="J149" s="8" t="str">
        <f>IF($B149="","",_xlfn.LET(
_xlpm.受入,SUMIFS(tbl_ledger[数量],tbl_ledger[ロットID],$B149,tbl_ledger[イベント種類],"梱包完了"),
_xlpm.充当受入,SUMIFS(tbl_ledger[数量],tbl_ledger[充当先ロットID],$B149,tbl_ledger[イベント種類],"充当",tbl_ledger[元状態],J$1),
_xlpm.払出,SUMIFS(tbl_ledger[数量],tbl_ledger[ロットID],$B149,tbl_ledger[元状態],J$1),
_xlpm.受入+_xlpm.充当受入-_xlpm.払出))</f>
        <v/>
      </c>
      <c r="K149" s="8" t="str">
        <f>IF($B149="","",_xlfn.LET(
_xlpm.受入,SUMIFS(tbl_ledger[数量],tbl_ledger[ロットID],$B149,tbl_ledger[イベント種類],"発送準備開始"),
_xlpm.充当受入,SUMIFS(tbl_ledger[数量],tbl_ledger[充当先ロットID],$B149,tbl_ledger[イベント種類],"充当",tbl_ledger[元状態],K$1),
_xlpm.払出,SUMIFS(tbl_ledger[数量],tbl_ledger[ロットID],$B149,tbl_ledger[元状態],K$1),
_xlpm.受入+_xlpm.充当受入-_xlpm.払出))</f>
        <v/>
      </c>
      <c r="L149" s="8" t="str">
        <f>IF($B149="","",_xlfn.LET(
_xlpm.受入,SUMIFS(tbl_ledger[数量],tbl_ledger[ロットID],$B149,tbl_ledger[イベント種類],"発送準備完了"),
_xlpm.充当受入,SUMIFS(tbl_ledger[数量],tbl_ledger[充当先ロットID],$B149,tbl_ledger[イベント種類],"充当",tbl_ledger[元状態],L$1),
_xlpm.払出,SUMIFS(tbl_ledger[数量],tbl_ledger[ロットID],$B149,tbl_ledger[元状態],L$1),
_xlpm.受入+_xlpm.充当受入-_xlpm.払出))</f>
        <v/>
      </c>
      <c r="M149" s="8" t="str">
        <f>IF($B149="","",_xlfn.LET(
_xlpm.受入,SUMIFS(tbl_ledger[数量],tbl_ledger[ロットID],$B149,tbl_ledger[イベント種類],"不良発生"),
_xlpm.充当受入,SUMIFS(tbl_ledger[数量],tbl_ledger[充当先ロットID],$B149,tbl_ledger[イベント種類],"充当",tbl_ledger[元状態],M$1),
_xlpm.払出,SUMIFS(tbl_ledger[数量],tbl_ledger[ロットID],$B149,tbl_ledger[元状態],M$1),
_xlpm.受入+_xlpm.充当受入-_xlpm.払出))</f>
        <v/>
      </c>
      <c r="N149" s="8" t="str">
        <f t="shared" si="5"/>
        <v/>
      </c>
    </row>
    <row r="150" spans="1:14" ht="15" customHeight="1" x14ac:dyDescent="0.25">
      <c r="A150" s="4" t="str">
        <f t="shared" si="4"/>
        <v/>
      </c>
      <c r="B150" s="4" t="str">
        <f>IFERROR(IF(COUNTIF($B$1:$B149,INDEX(tbl_plan[ロットID],ROW()-1))&gt;0,"",INDEX(tbl_plan[ロットID],ROW()-1)),"")</f>
        <v/>
      </c>
      <c r="C150" s="4" t="str">
        <f>IF($B150="","",INDEX(tbl_plan[localId],ROW()-1))</f>
        <v/>
      </c>
      <c r="D150" s="8" t="str">
        <f>IF($B150="","",_xlfn.LET(
_xlpm.割当受入,SUMIF(V_充足確認!$A$2:$A$301,$B150,V_充足確認!$F$2:$F$301),
_xlpm.充当受入,SUMIFS(tbl_ledger[数量],tbl_ledger[充当先ロットID],$B150,tbl_ledger[イベント種類],"充当",tbl_ledger[元状態],D$1),
_xlpm.払出,SUMIFS(tbl_ledger[数量],tbl_ledger[ロットID],$B150,tbl_ledger[元状態],D$1),
_xlpm.割当受入+_xlpm.充当受入-_xlpm.払出))</f>
        <v/>
      </c>
      <c r="E150" s="8" t="str">
        <f>IF($B150="","",_xlfn.LET(
_xlpm.受入,SUMIFS(tbl_ledger[数量],tbl_ledger[ロットID],$B150,tbl_ledger[イベント種類],"アニール開始"),
_xlpm.充当受入,SUMIFS(tbl_ledger[数量],tbl_ledger[充当先ロットID],$B150,tbl_ledger[イベント種類],"充当",tbl_ledger[元状態],E$1),
_xlpm.払出,SUMIFS(tbl_ledger[数量],tbl_ledger[ロットID],$B150,tbl_ledger[元状態],E$1),
_xlpm.受入+_xlpm.充当受入-_xlpm.払出))</f>
        <v/>
      </c>
      <c r="F150" s="8" t="str">
        <f>IF($B150="","",_xlfn.LET(
_xlpm.受入,SUMIFS(tbl_ledger[数量],tbl_ledger[ロットID],$B150,tbl_ledger[イベント種類],"アニール完了"),
_xlpm.充当受入,SUMIFS(tbl_ledger[数量],tbl_ledger[充当先ロットID],$B150,tbl_ledger[イベント種類],"充当",tbl_ledger[元状態],F$1),
_xlpm.払出,SUMIFS(tbl_ledger[数量],tbl_ledger[ロットID],$B150,tbl_ledger[元状態],F$1),
_xlpm.受入+_xlpm.充当受入-_xlpm.払出))</f>
        <v/>
      </c>
      <c r="G150" s="8" t="str">
        <f>IF($B150="","",_xlfn.LET(
_xlpm.受入,SUMIFS(tbl_ledger[数量],tbl_ledger[ロットID],$B150,tbl_ledger[イベント種類],"アセンブリ開始"),
_xlpm.充当受入,SUMIFS(tbl_ledger[数量],tbl_ledger[充当先ロットID],$B150,tbl_ledger[イベント種類],"充当",tbl_ledger[元状態],G$1),
_xlpm.払出,SUMIFS(tbl_ledger[数量],tbl_ledger[ロットID],$B150,tbl_ledger[元状態],G$1),
_xlpm.受入+_xlpm.充当受入-_xlpm.払出))</f>
        <v/>
      </c>
      <c r="H150" s="8" t="str">
        <f>IF($B150="","",_xlfn.LET(
_xlpm.受入,SUMIFS(tbl_ledger[数量],tbl_ledger[ロットID],$B150,tbl_ledger[イベント種類],"アセンブリ完了"),
_xlpm.充当受入,SUMIFS(tbl_ledger[数量],tbl_ledger[充当先ロットID],$B150,tbl_ledger[イベント種類],"充当",tbl_ledger[元状態],H$1),
_xlpm.払出,SUMIFS(tbl_ledger[数量],tbl_ledger[ロットID],$B150,tbl_ledger[元状態],H$1),
_xlpm.受入+_xlpm.充当受入-_xlpm.払出))</f>
        <v/>
      </c>
      <c r="I150" s="8" t="str">
        <f>IF($B150="","",_xlfn.LET(
_xlpm.受入,SUMIFS(tbl_ledger[数量],tbl_ledger[ロットID],$B150,tbl_ledger[イベント種類],"梱包開始"),
_xlpm.充当受入,SUMIFS(tbl_ledger[数量],tbl_ledger[充当先ロットID],$B150,tbl_ledger[イベント種類],"充当",tbl_ledger[元状態],I$1),
_xlpm.払出,SUMIFS(tbl_ledger[数量],tbl_ledger[ロットID],$B150,tbl_ledger[元状態],I$1),
_xlpm.受入+_xlpm.充当受入-_xlpm.払出))</f>
        <v/>
      </c>
      <c r="J150" s="8" t="str">
        <f>IF($B150="","",_xlfn.LET(
_xlpm.受入,SUMIFS(tbl_ledger[数量],tbl_ledger[ロットID],$B150,tbl_ledger[イベント種類],"梱包完了"),
_xlpm.充当受入,SUMIFS(tbl_ledger[数量],tbl_ledger[充当先ロットID],$B150,tbl_ledger[イベント種類],"充当",tbl_ledger[元状態],J$1),
_xlpm.払出,SUMIFS(tbl_ledger[数量],tbl_ledger[ロットID],$B150,tbl_ledger[元状態],J$1),
_xlpm.受入+_xlpm.充当受入-_xlpm.払出))</f>
        <v/>
      </c>
      <c r="K150" s="8" t="str">
        <f>IF($B150="","",_xlfn.LET(
_xlpm.受入,SUMIFS(tbl_ledger[数量],tbl_ledger[ロットID],$B150,tbl_ledger[イベント種類],"発送準備開始"),
_xlpm.充当受入,SUMIFS(tbl_ledger[数量],tbl_ledger[充当先ロットID],$B150,tbl_ledger[イベント種類],"充当",tbl_ledger[元状態],K$1),
_xlpm.払出,SUMIFS(tbl_ledger[数量],tbl_ledger[ロットID],$B150,tbl_ledger[元状態],K$1),
_xlpm.受入+_xlpm.充当受入-_xlpm.払出))</f>
        <v/>
      </c>
      <c r="L150" s="8" t="str">
        <f>IF($B150="","",_xlfn.LET(
_xlpm.受入,SUMIFS(tbl_ledger[数量],tbl_ledger[ロットID],$B150,tbl_ledger[イベント種類],"発送準備完了"),
_xlpm.充当受入,SUMIFS(tbl_ledger[数量],tbl_ledger[充当先ロットID],$B150,tbl_ledger[イベント種類],"充当",tbl_ledger[元状態],L$1),
_xlpm.払出,SUMIFS(tbl_ledger[数量],tbl_ledger[ロットID],$B150,tbl_ledger[元状態],L$1),
_xlpm.受入+_xlpm.充当受入-_xlpm.払出))</f>
        <v/>
      </c>
      <c r="M150" s="8" t="str">
        <f>IF($B150="","",_xlfn.LET(
_xlpm.受入,SUMIFS(tbl_ledger[数量],tbl_ledger[ロットID],$B150,tbl_ledger[イベント種類],"不良発生"),
_xlpm.充当受入,SUMIFS(tbl_ledger[数量],tbl_ledger[充当先ロットID],$B150,tbl_ledger[イベント種類],"充当",tbl_ledger[元状態],M$1),
_xlpm.払出,SUMIFS(tbl_ledger[数量],tbl_ledger[ロットID],$B150,tbl_ledger[元状態],M$1),
_xlpm.受入+_xlpm.充当受入-_xlpm.払出))</f>
        <v/>
      </c>
      <c r="N150" s="8" t="str">
        <f t="shared" si="5"/>
        <v/>
      </c>
    </row>
    <row r="151" spans="1:14" ht="15" customHeight="1" x14ac:dyDescent="0.25">
      <c r="A151" s="4" t="str">
        <f t="shared" si="4"/>
        <v/>
      </c>
      <c r="B151" s="4" t="str">
        <f>IFERROR(IF(COUNTIF($B$1:$B150,INDEX(tbl_plan[ロットID],ROW()-1))&gt;0,"",INDEX(tbl_plan[ロットID],ROW()-1)),"")</f>
        <v/>
      </c>
      <c r="C151" s="4" t="str">
        <f>IF($B151="","",INDEX(tbl_plan[localId],ROW()-1))</f>
        <v/>
      </c>
      <c r="D151" s="8" t="str">
        <f>IF($B151="","",_xlfn.LET(
_xlpm.割当受入,SUMIF(V_充足確認!$A$2:$A$301,$B151,V_充足確認!$F$2:$F$301),
_xlpm.充当受入,SUMIFS(tbl_ledger[数量],tbl_ledger[充当先ロットID],$B151,tbl_ledger[イベント種類],"充当",tbl_ledger[元状態],D$1),
_xlpm.払出,SUMIFS(tbl_ledger[数量],tbl_ledger[ロットID],$B151,tbl_ledger[元状態],D$1),
_xlpm.割当受入+_xlpm.充当受入-_xlpm.払出))</f>
        <v/>
      </c>
      <c r="E151" s="8" t="str">
        <f>IF($B151="","",_xlfn.LET(
_xlpm.受入,SUMIFS(tbl_ledger[数量],tbl_ledger[ロットID],$B151,tbl_ledger[イベント種類],"アニール開始"),
_xlpm.充当受入,SUMIFS(tbl_ledger[数量],tbl_ledger[充当先ロットID],$B151,tbl_ledger[イベント種類],"充当",tbl_ledger[元状態],E$1),
_xlpm.払出,SUMIFS(tbl_ledger[数量],tbl_ledger[ロットID],$B151,tbl_ledger[元状態],E$1),
_xlpm.受入+_xlpm.充当受入-_xlpm.払出))</f>
        <v/>
      </c>
      <c r="F151" s="8" t="str">
        <f>IF($B151="","",_xlfn.LET(
_xlpm.受入,SUMIFS(tbl_ledger[数量],tbl_ledger[ロットID],$B151,tbl_ledger[イベント種類],"アニール完了"),
_xlpm.充当受入,SUMIFS(tbl_ledger[数量],tbl_ledger[充当先ロットID],$B151,tbl_ledger[イベント種類],"充当",tbl_ledger[元状態],F$1),
_xlpm.払出,SUMIFS(tbl_ledger[数量],tbl_ledger[ロットID],$B151,tbl_ledger[元状態],F$1),
_xlpm.受入+_xlpm.充当受入-_xlpm.払出))</f>
        <v/>
      </c>
      <c r="G151" s="8" t="str">
        <f>IF($B151="","",_xlfn.LET(
_xlpm.受入,SUMIFS(tbl_ledger[数量],tbl_ledger[ロットID],$B151,tbl_ledger[イベント種類],"アセンブリ開始"),
_xlpm.充当受入,SUMIFS(tbl_ledger[数量],tbl_ledger[充当先ロットID],$B151,tbl_ledger[イベント種類],"充当",tbl_ledger[元状態],G$1),
_xlpm.払出,SUMIFS(tbl_ledger[数量],tbl_ledger[ロットID],$B151,tbl_ledger[元状態],G$1),
_xlpm.受入+_xlpm.充当受入-_xlpm.払出))</f>
        <v/>
      </c>
      <c r="H151" s="8" t="str">
        <f>IF($B151="","",_xlfn.LET(
_xlpm.受入,SUMIFS(tbl_ledger[数量],tbl_ledger[ロットID],$B151,tbl_ledger[イベント種類],"アセンブリ完了"),
_xlpm.充当受入,SUMIFS(tbl_ledger[数量],tbl_ledger[充当先ロットID],$B151,tbl_ledger[イベント種類],"充当",tbl_ledger[元状態],H$1),
_xlpm.払出,SUMIFS(tbl_ledger[数量],tbl_ledger[ロットID],$B151,tbl_ledger[元状態],H$1),
_xlpm.受入+_xlpm.充当受入-_xlpm.払出))</f>
        <v/>
      </c>
      <c r="I151" s="8" t="str">
        <f>IF($B151="","",_xlfn.LET(
_xlpm.受入,SUMIFS(tbl_ledger[数量],tbl_ledger[ロットID],$B151,tbl_ledger[イベント種類],"梱包開始"),
_xlpm.充当受入,SUMIFS(tbl_ledger[数量],tbl_ledger[充当先ロットID],$B151,tbl_ledger[イベント種類],"充当",tbl_ledger[元状態],I$1),
_xlpm.払出,SUMIFS(tbl_ledger[数量],tbl_ledger[ロットID],$B151,tbl_ledger[元状態],I$1),
_xlpm.受入+_xlpm.充当受入-_xlpm.払出))</f>
        <v/>
      </c>
      <c r="J151" s="8" t="str">
        <f>IF($B151="","",_xlfn.LET(
_xlpm.受入,SUMIFS(tbl_ledger[数量],tbl_ledger[ロットID],$B151,tbl_ledger[イベント種類],"梱包完了"),
_xlpm.充当受入,SUMIFS(tbl_ledger[数量],tbl_ledger[充当先ロットID],$B151,tbl_ledger[イベント種類],"充当",tbl_ledger[元状態],J$1),
_xlpm.払出,SUMIFS(tbl_ledger[数量],tbl_ledger[ロットID],$B151,tbl_ledger[元状態],J$1),
_xlpm.受入+_xlpm.充当受入-_xlpm.払出))</f>
        <v/>
      </c>
      <c r="K151" s="8" t="str">
        <f>IF($B151="","",_xlfn.LET(
_xlpm.受入,SUMIFS(tbl_ledger[数量],tbl_ledger[ロットID],$B151,tbl_ledger[イベント種類],"発送準備開始"),
_xlpm.充当受入,SUMIFS(tbl_ledger[数量],tbl_ledger[充当先ロットID],$B151,tbl_ledger[イベント種類],"充当",tbl_ledger[元状態],K$1),
_xlpm.払出,SUMIFS(tbl_ledger[数量],tbl_ledger[ロットID],$B151,tbl_ledger[元状態],K$1),
_xlpm.受入+_xlpm.充当受入-_xlpm.払出))</f>
        <v/>
      </c>
      <c r="L151" s="8" t="str">
        <f>IF($B151="","",_xlfn.LET(
_xlpm.受入,SUMIFS(tbl_ledger[数量],tbl_ledger[ロットID],$B151,tbl_ledger[イベント種類],"発送準備完了"),
_xlpm.充当受入,SUMIFS(tbl_ledger[数量],tbl_ledger[充当先ロットID],$B151,tbl_ledger[イベント種類],"充当",tbl_ledger[元状態],L$1),
_xlpm.払出,SUMIFS(tbl_ledger[数量],tbl_ledger[ロットID],$B151,tbl_ledger[元状態],L$1),
_xlpm.受入+_xlpm.充当受入-_xlpm.払出))</f>
        <v/>
      </c>
      <c r="M151" s="8" t="str">
        <f>IF($B151="","",_xlfn.LET(
_xlpm.受入,SUMIFS(tbl_ledger[数量],tbl_ledger[ロットID],$B151,tbl_ledger[イベント種類],"不良発生"),
_xlpm.充当受入,SUMIFS(tbl_ledger[数量],tbl_ledger[充当先ロットID],$B151,tbl_ledger[イベント種類],"充当",tbl_ledger[元状態],M$1),
_xlpm.払出,SUMIFS(tbl_ledger[数量],tbl_ledger[ロットID],$B151,tbl_ledger[元状態],M$1),
_xlpm.受入+_xlpm.充当受入-_xlpm.払出))</f>
        <v/>
      </c>
      <c r="N151" s="8" t="str">
        <f t="shared" si="5"/>
        <v/>
      </c>
    </row>
    <row r="152" spans="1:14" ht="15" customHeight="1" x14ac:dyDescent="0.25">
      <c r="A152" s="4" t="str">
        <f t="shared" si="4"/>
        <v/>
      </c>
      <c r="B152" s="4" t="str">
        <f>IFERROR(IF(COUNTIF($B$1:$B151,INDEX(tbl_plan[ロットID],ROW()-1))&gt;0,"",INDEX(tbl_plan[ロットID],ROW()-1)),"")</f>
        <v/>
      </c>
      <c r="C152" s="4" t="str">
        <f>IF($B152="","",INDEX(tbl_plan[localId],ROW()-1))</f>
        <v/>
      </c>
      <c r="D152" s="8" t="str">
        <f>IF($B152="","",_xlfn.LET(
_xlpm.割当受入,SUMIF(V_充足確認!$A$2:$A$301,$B152,V_充足確認!$F$2:$F$301),
_xlpm.充当受入,SUMIFS(tbl_ledger[数量],tbl_ledger[充当先ロットID],$B152,tbl_ledger[イベント種類],"充当",tbl_ledger[元状態],D$1),
_xlpm.払出,SUMIFS(tbl_ledger[数量],tbl_ledger[ロットID],$B152,tbl_ledger[元状態],D$1),
_xlpm.割当受入+_xlpm.充当受入-_xlpm.払出))</f>
        <v/>
      </c>
      <c r="E152" s="8" t="str">
        <f>IF($B152="","",_xlfn.LET(
_xlpm.受入,SUMIFS(tbl_ledger[数量],tbl_ledger[ロットID],$B152,tbl_ledger[イベント種類],"アニール開始"),
_xlpm.充当受入,SUMIFS(tbl_ledger[数量],tbl_ledger[充当先ロットID],$B152,tbl_ledger[イベント種類],"充当",tbl_ledger[元状態],E$1),
_xlpm.払出,SUMIFS(tbl_ledger[数量],tbl_ledger[ロットID],$B152,tbl_ledger[元状態],E$1),
_xlpm.受入+_xlpm.充当受入-_xlpm.払出))</f>
        <v/>
      </c>
      <c r="F152" s="8" t="str">
        <f>IF($B152="","",_xlfn.LET(
_xlpm.受入,SUMIFS(tbl_ledger[数量],tbl_ledger[ロットID],$B152,tbl_ledger[イベント種類],"アニール完了"),
_xlpm.充当受入,SUMIFS(tbl_ledger[数量],tbl_ledger[充当先ロットID],$B152,tbl_ledger[イベント種類],"充当",tbl_ledger[元状態],F$1),
_xlpm.払出,SUMIFS(tbl_ledger[数量],tbl_ledger[ロットID],$B152,tbl_ledger[元状態],F$1),
_xlpm.受入+_xlpm.充当受入-_xlpm.払出))</f>
        <v/>
      </c>
      <c r="G152" s="8" t="str">
        <f>IF($B152="","",_xlfn.LET(
_xlpm.受入,SUMIFS(tbl_ledger[数量],tbl_ledger[ロットID],$B152,tbl_ledger[イベント種類],"アセンブリ開始"),
_xlpm.充当受入,SUMIFS(tbl_ledger[数量],tbl_ledger[充当先ロットID],$B152,tbl_ledger[イベント種類],"充当",tbl_ledger[元状態],G$1),
_xlpm.払出,SUMIFS(tbl_ledger[数量],tbl_ledger[ロットID],$B152,tbl_ledger[元状態],G$1),
_xlpm.受入+_xlpm.充当受入-_xlpm.払出))</f>
        <v/>
      </c>
      <c r="H152" s="8" t="str">
        <f>IF($B152="","",_xlfn.LET(
_xlpm.受入,SUMIFS(tbl_ledger[数量],tbl_ledger[ロットID],$B152,tbl_ledger[イベント種類],"アセンブリ完了"),
_xlpm.充当受入,SUMIFS(tbl_ledger[数量],tbl_ledger[充当先ロットID],$B152,tbl_ledger[イベント種類],"充当",tbl_ledger[元状態],H$1),
_xlpm.払出,SUMIFS(tbl_ledger[数量],tbl_ledger[ロットID],$B152,tbl_ledger[元状態],H$1),
_xlpm.受入+_xlpm.充当受入-_xlpm.払出))</f>
        <v/>
      </c>
      <c r="I152" s="8" t="str">
        <f>IF($B152="","",_xlfn.LET(
_xlpm.受入,SUMIFS(tbl_ledger[数量],tbl_ledger[ロットID],$B152,tbl_ledger[イベント種類],"梱包開始"),
_xlpm.充当受入,SUMIFS(tbl_ledger[数量],tbl_ledger[充当先ロットID],$B152,tbl_ledger[イベント種類],"充当",tbl_ledger[元状態],I$1),
_xlpm.払出,SUMIFS(tbl_ledger[数量],tbl_ledger[ロットID],$B152,tbl_ledger[元状態],I$1),
_xlpm.受入+_xlpm.充当受入-_xlpm.払出))</f>
        <v/>
      </c>
      <c r="J152" s="8" t="str">
        <f>IF($B152="","",_xlfn.LET(
_xlpm.受入,SUMIFS(tbl_ledger[数量],tbl_ledger[ロットID],$B152,tbl_ledger[イベント種類],"梱包完了"),
_xlpm.充当受入,SUMIFS(tbl_ledger[数量],tbl_ledger[充当先ロットID],$B152,tbl_ledger[イベント種類],"充当",tbl_ledger[元状態],J$1),
_xlpm.払出,SUMIFS(tbl_ledger[数量],tbl_ledger[ロットID],$B152,tbl_ledger[元状態],J$1),
_xlpm.受入+_xlpm.充当受入-_xlpm.払出))</f>
        <v/>
      </c>
      <c r="K152" s="8" t="str">
        <f>IF($B152="","",_xlfn.LET(
_xlpm.受入,SUMIFS(tbl_ledger[数量],tbl_ledger[ロットID],$B152,tbl_ledger[イベント種類],"発送準備開始"),
_xlpm.充当受入,SUMIFS(tbl_ledger[数量],tbl_ledger[充当先ロットID],$B152,tbl_ledger[イベント種類],"充当",tbl_ledger[元状態],K$1),
_xlpm.払出,SUMIFS(tbl_ledger[数量],tbl_ledger[ロットID],$B152,tbl_ledger[元状態],K$1),
_xlpm.受入+_xlpm.充当受入-_xlpm.払出))</f>
        <v/>
      </c>
      <c r="L152" s="8" t="str">
        <f>IF($B152="","",_xlfn.LET(
_xlpm.受入,SUMIFS(tbl_ledger[数量],tbl_ledger[ロットID],$B152,tbl_ledger[イベント種類],"発送準備完了"),
_xlpm.充当受入,SUMIFS(tbl_ledger[数量],tbl_ledger[充当先ロットID],$B152,tbl_ledger[イベント種類],"充当",tbl_ledger[元状態],L$1),
_xlpm.払出,SUMIFS(tbl_ledger[数量],tbl_ledger[ロットID],$B152,tbl_ledger[元状態],L$1),
_xlpm.受入+_xlpm.充当受入-_xlpm.払出))</f>
        <v/>
      </c>
      <c r="M152" s="8" t="str">
        <f>IF($B152="","",_xlfn.LET(
_xlpm.受入,SUMIFS(tbl_ledger[数量],tbl_ledger[ロットID],$B152,tbl_ledger[イベント種類],"不良発生"),
_xlpm.充当受入,SUMIFS(tbl_ledger[数量],tbl_ledger[充当先ロットID],$B152,tbl_ledger[イベント種類],"充当",tbl_ledger[元状態],M$1),
_xlpm.払出,SUMIFS(tbl_ledger[数量],tbl_ledger[ロットID],$B152,tbl_ledger[元状態],M$1),
_xlpm.受入+_xlpm.充当受入-_xlpm.払出))</f>
        <v/>
      </c>
      <c r="N152" s="8" t="str">
        <f t="shared" si="5"/>
        <v/>
      </c>
    </row>
    <row r="153" spans="1:14" ht="15" customHeight="1" x14ac:dyDescent="0.25">
      <c r="A153" s="4" t="str">
        <f t="shared" si="4"/>
        <v/>
      </c>
      <c r="B153" s="4" t="str">
        <f>IFERROR(IF(COUNTIF($B$1:$B152,INDEX(tbl_plan[ロットID],ROW()-1))&gt;0,"",INDEX(tbl_plan[ロットID],ROW()-1)),"")</f>
        <v/>
      </c>
      <c r="C153" s="4" t="str">
        <f>IF($B153="","",INDEX(tbl_plan[localId],ROW()-1))</f>
        <v/>
      </c>
      <c r="D153" s="8" t="str">
        <f>IF($B153="","",_xlfn.LET(
_xlpm.割当受入,SUMIF(V_充足確認!$A$2:$A$301,$B153,V_充足確認!$F$2:$F$301),
_xlpm.充当受入,SUMIFS(tbl_ledger[数量],tbl_ledger[充当先ロットID],$B153,tbl_ledger[イベント種類],"充当",tbl_ledger[元状態],D$1),
_xlpm.払出,SUMIFS(tbl_ledger[数量],tbl_ledger[ロットID],$B153,tbl_ledger[元状態],D$1),
_xlpm.割当受入+_xlpm.充当受入-_xlpm.払出))</f>
        <v/>
      </c>
      <c r="E153" s="8" t="str">
        <f>IF($B153="","",_xlfn.LET(
_xlpm.受入,SUMIFS(tbl_ledger[数量],tbl_ledger[ロットID],$B153,tbl_ledger[イベント種類],"アニール開始"),
_xlpm.充当受入,SUMIFS(tbl_ledger[数量],tbl_ledger[充当先ロットID],$B153,tbl_ledger[イベント種類],"充当",tbl_ledger[元状態],E$1),
_xlpm.払出,SUMIFS(tbl_ledger[数量],tbl_ledger[ロットID],$B153,tbl_ledger[元状態],E$1),
_xlpm.受入+_xlpm.充当受入-_xlpm.払出))</f>
        <v/>
      </c>
      <c r="F153" s="8" t="str">
        <f>IF($B153="","",_xlfn.LET(
_xlpm.受入,SUMIFS(tbl_ledger[数量],tbl_ledger[ロットID],$B153,tbl_ledger[イベント種類],"アニール完了"),
_xlpm.充当受入,SUMIFS(tbl_ledger[数量],tbl_ledger[充当先ロットID],$B153,tbl_ledger[イベント種類],"充当",tbl_ledger[元状態],F$1),
_xlpm.払出,SUMIFS(tbl_ledger[数量],tbl_ledger[ロットID],$B153,tbl_ledger[元状態],F$1),
_xlpm.受入+_xlpm.充当受入-_xlpm.払出))</f>
        <v/>
      </c>
      <c r="G153" s="8" t="str">
        <f>IF($B153="","",_xlfn.LET(
_xlpm.受入,SUMIFS(tbl_ledger[数量],tbl_ledger[ロットID],$B153,tbl_ledger[イベント種類],"アセンブリ開始"),
_xlpm.充当受入,SUMIFS(tbl_ledger[数量],tbl_ledger[充当先ロットID],$B153,tbl_ledger[イベント種類],"充当",tbl_ledger[元状態],G$1),
_xlpm.払出,SUMIFS(tbl_ledger[数量],tbl_ledger[ロットID],$B153,tbl_ledger[元状態],G$1),
_xlpm.受入+_xlpm.充当受入-_xlpm.払出))</f>
        <v/>
      </c>
      <c r="H153" s="8" t="str">
        <f>IF($B153="","",_xlfn.LET(
_xlpm.受入,SUMIFS(tbl_ledger[数量],tbl_ledger[ロットID],$B153,tbl_ledger[イベント種類],"アセンブリ完了"),
_xlpm.充当受入,SUMIFS(tbl_ledger[数量],tbl_ledger[充当先ロットID],$B153,tbl_ledger[イベント種類],"充当",tbl_ledger[元状態],H$1),
_xlpm.払出,SUMIFS(tbl_ledger[数量],tbl_ledger[ロットID],$B153,tbl_ledger[元状態],H$1),
_xlpm.受入+_xlpm.充当受入-_xlpm.払出))</f>
        <v/>
      </c>
      <c r="I153" s="8" t="str">
        <f>IF($B153="","",_xlfn.LET(
_xlpm.受入,SUMIFS(tbl_ledger[数量],tbl_ledger[ロットID],$B153,tbl_ledger[イベント種類],"梱包開始"),
_xlpm.充当受入,SUMIFS(tbl_ledger[数量],tbl_ledger[充当先ロットID],$B153,tbl_ledger[イベント種類],"充当",tbl_ledger[元状態],I$1),
_xlpm.払出,SUMIFS(tbl_ledger[数量],tbl_ledger[ロットID],$B153,tbl_ledger[元状態],I$1),
_xlpm.受入+_xlpm.充当受入-_xlpm.払出))</f>
        <v/>
      </c>
      <c r="J153" s="8" t="str">
        <f>IF($B153="","",_xlfn.LET(
_xlpm.受入,SUMIFS(tbl_ledger[数量],tbl_ledger[ロットID],$B153,tbl_ledger[イベント種類],"梱包完了"),
_xlpm.充当受入,SUMIFS(tbl_ledger[数量],tbl_ledger[充当先ロットID],$B153,tbl_ledger[イベント種類],"充当",tbl_ledger[元状態],J$1),
_xlpm.払出,SUMIFS(tbl_ledger[数量],tbl_ledger[ロットID],$B153,tbl_ledger[元状態],J$1),
_xlpm.受入+_xlpm.充当受入-_xlpm.払出))</f>
        <v/>
      </c>
      <c r="K153" s="8" t="str">
        <f>IF($B153="","",_xlfn.LET(
_xlpm.受入,SUMIFS(tbl_ledger[数量],tbl_ledger[ロットID],$B153,tbl_ledger[イベント種類],"発送準備開始"),
_xlpm.充当受入,SUMIFS(tbl_ledger[数量],tbl_ledger[充当先ロットID],$B153,tbl_ledger[イベント種類],"充当",tbl_ledger[元状態],K$1),
_xlpm.払出,SUMIFS(tbl_ledger[数量],tbl_ledger[ロットID],$B153,tbl_ledger[元状態],K$1),
_xlpm.受入+_xlpm.充当受入-_xlpm.払出))</f>
        <v/>
      </c>
      <c r="L153" s="8" t="str">
        <f>IF($B153="","",_xlfn.LET(
_xlpm.受入,SUMIFS(tbl_ledger[数量],tbl_ledger[ロットID],$B153,tbl_ledger[イベント種類],"発送準備完了"),
_xlpm.充当受入,SUMIFS(tbl_ledger[数量],tbl_ledger[充当先ロットID],$B153,tbl_ledger[イベント種類],"充当",tbl_ledger[元状態],L$1),
_xlpm.払出,SUMIFS(tbl_ledger[数量],tbl_ledger[ロットID],$B153,tbl_ledger[元状態],L$1),
_xlpm.受入+_xlpm.充当受入-_xlpm.払出))</f>
        <v/>
      </c>
      <c r="M153" s="8" t="str">
        <f>IF($B153="","",_xlfn.LET(
_xlpm.受入,SUMIFS(tbl_ledger[数量],tbl_ledger[ロットID],$B153,tbl_ledger[イベント種類],"不良発生"),
_xlpm.充当受入,SUMIFS(tbl_ledger[数量],tbl_ledger[充当先ロットID],$B153,tbl_ledger[イベント種類],"充当",tbl_ledger[元状態],M$1),
_xlpm.払出,SUMIFS(tbl_ledger[数量],tbl_ledger[ロットID],$B153,tbl_ledger[元状態],M$1),
_xlpm.受入+_xlpm.充当受入-_xlpm.払出))</f>
        <v/>
      </c>
      <c r="N153" s="8" t="str">
        <f t="shared" si="5"/>
        <v/>
      </c>
    </row>
    <row r="154" spans="1:14" ht="15" customHeight="1" x14ac:dyDescent="0.25">
      <c r="A154" s="4" t="str">
        <f t="shared" si="4"/>
        <v/>
      </c>
      <c r="B154" s="4" t="str">
        <f>IFERROR(IF(COUNTIF($B$1:$B153,INDEX(tbl_plan[ロットID],ROW()-1))&gt;0,"",INDEX(tbl_plan[ロットID],ROW()-1)),"")</f>
        <v/>
      </c>
      <c r="C154" s="4" t="str">
        <f>IF($B154="","",INDEX(tbl_plan[localId],ROW()-1))</f>
        <v/>
      </c>
      <c r="D154" s="8" t="str">
        <f>IF($B154="","",_xlfn.LET(
_xlpm.割当受入,SUMIF(V_充足確認!$A$2:$A$301,$B154,V_充足確認!$F$2:$F$301),
_xlpm.充当受入,SUMIFS(tbl_ledger[数量],tbl_ledger[充当先ロットID],$B154,tbl_ledger[イベント種類],"充当",tbl_ledger[元状態],D$1),
_xlpm.払出,SUMIFS(tbl_ledger[数量],tbl_ledger[ロットID],$B154,tbl_ledger[元状態],D$1),
_xlpm.割当受入+_xlpm.充当受入-_xlpm.払出))</f>
        <v/>
      </c>
      <c r="E154" s="8" t="str">
        <f>IF($B154="","",_xlfn.LET(
_xlpm.受入,SUMIFS(tbl_ledger[数量],tbl_ledger[ロットID],$B154,tbl_ledger[イベント種類],"アニール開始"),
_xlpm.充当受入,SUMIFS(tbl_ledger[数量],tbl_ledger[充当先ロットID],$B154,tbl_ledger[イベント種類],"充当",tbl_ledger[元状態],E$1),
_xlpm.払出,SUMIFS(tbl_ledger[数量],tbl_ledger[ロットID],$B154,tbl_ledger[元状態],E$1),
_xlpm.受入+_xlpm.充当受入-_xlpm.払出))</f>
        <v/>
      </c>
      <c r="F154" s="8" t="str">
        <f>IF($B154="","",_xlfn.LET(
_xlpm.受入,SUMIFS(tbl_ledger[数量],tbl_ledger[ロットID],$B154,tbl_ledger[イベント種類],"アニール完了"),
_xlpm.充当受入,SUMIFS(tbl_ledger[数量],tbl_ledger[充当先ロットID],$B154,tbl_ledger[イベント種類],"充当",tbl_ledger[元状態],F$1),
_xlpm.払出,SUMIFS(tbl_ledger[数量],tbl_ledger[ロットID],$B154,tbl_ledger[元状態],F$1),
_xlpm.受入+_xlpm.充当受入-_xlpm.払出))</f>
        <v/>
      </c>
      <c r="G154" s="8" t="str">
        <f>IF($B154="","",_xlfn.LET(
_xlpm.受入,SUMIFS(tbl_ledger[数量],tbl_ledger[ロットID],$B154,tbl_ledger[イベント種類],"アセンブリ開始"),
_xlpm.充当受入,SUMIFS(tbl_ledger[数量],tbl_ledger[充当先ロットID],$B154,tbl_ledger[イベント種類],"充当",tbl_ledger[元状態],G$1),
_xlpm.払出,SUMIFS(tbl_ledger[数量],tbl_ledger[ロットID],$B154,tbl_ledger[元状態],G$1),
_xlpm.受入+_xlpm.充当受入-_xlpm.払出))</f>
        <v/>
      </c>
      <c r="H154" s="8" t="str">
        <f>IF($B154="","",_xlfn.LET(
_xlpm.受入,SUMIFS(tbl_ledger[数量],tbl_ledger[ロットID],$B154,tbl_ledger[イベント種類],"アセンブリ完了"),
_xlpm.充当受入,SUMIFS(tbl_ledger[数量],tbl_ledger[充当先ロットID],$B154,tbl_ledger[イベント種類],"充当",tbl_ledger[元状態],H$1),
_xlpm.払出,SUMIFS(tbl_ledger[数量],tbl_ledger[ロットID],$B154,tbl_ledger[元状態],H$1),
_xlpm.受入+_xlpm.充当受入-_xlpm.払出))</f>
        <v/>
      </c>
      <c r="I154" s="8" t="str">
        <f>IF($B154="","",_xlfn.LET(
_xlpm.受入,SUMIFS(tbl_ledger[数量],tbl_ledger[ロットID],$B154,tbl_ledger[イベント種類],"梱包開始"),
_xlpm.充当受入,SUMIFS(tbl_ledger[数量],tbl_ledger[充当先ロットID],$B154,tbl_ledger[イベント種類],"充当",tbl_ledger[元状態],I$1),
_xlpm.払出,SUMIFS(tbl_ledger[数量],tbl_ledger[ロットID],$B154,tbl_ledger[元状態],I$1),
_xlpm.受入+_xlpm.充当受入-_xlpm.払出))</f>
        <v/>
      </c>
      <c r="J154" s="8" t="str">
        <f>IF($B154="","",_xlfn.LET(
_xlpm.受入,SUMIFS(tbl_ledger[数量],tbl_ledger[ロットID],$B154,tbl_ledger[イベント種類],"梱包完了"),
_xlpm.充当受入,SUMIFS(tbl_ledger[数量],tbl_ledger[充当先ロットID],$B154,tbl_ledger[イベント種類],"充当",tbl_ledger[元状態],J$1),
_xlpm.払出,SUMIFS(tbl_ledger[数量],tbl_ledger[ロットID],$B154,tbl_ledger[元状態],J$1),
_xlpm.受入+_xlpm.充当受入-_xlpm.払出))</f>
        <v/>
      </c>
      <c r="K154" s="8" t="str">
        <f>IF($B154="","",_xlfn.LET(
_xlpm.受入,SUMIFS(tbl_ledger[数量],tbl_ledger[ロットID],$B154,tbl_ledger[イベント種類],"発送準備開始"),
_xlpm.充当受入,SUMIFS(tbl_ledger[数量],tbl_ledger[充当先ロットID],$B154,tbl_ledger[イベント種類],"充当",tbl_ledger[元状態],K$1),
_xlpm.払出,SUMIFS(tbl_ledger[数量],tbl_ledger[ロットID],$B154,tbl_ledger[元状態],K$1),
_xlpm.受入+_xlpm.充当受入-_xlpm.払出))</f>
        <v/>
      </c>
      <c r="L154" s="8" t="str">
        <f>IF($B154="","",_xlfn.LET(
_xlpm.受入,SUMIFS(tbl_ledger[数量],tbl_ledger[ロットID],$B154,tbl_ledger[イベント種類],"発送準備完了"),
_xlpm.充当受入,SUMIFS(tbl_ledger[数量],tbl_ledger[充当先ロットID],$B154,tbl_ledger[イベント種類],"充当",tbl_ledger[元状態],L$1),
_xlpm.払出,SUMIFS(tbl_ledger[数量],tbl_ledger[ロットID],$B154,tbl_ledger[元状態],L$1),
_xlpm.受入+_xlpm.充当受入-_xlpm.払出))</f>
        <v/>
      </c>
      <c r="M154" s="8" t="str">
        <f>IF($B154="","",_xlfn.LET(
_xlpm.受入,SUMIFS(tbl_ledger[数量],tbl_ledger[ロットID],$B154,tbl_ledger[イベント種類],"不良発生"),
_xlpm.充当受入,SUMIFS(tbl_ledger[数量],tbl_ledger[充当先ロットID],$B154,tbl_ledger[イベント種類],"充当",tbl_ledger[元状態],M$1),
_xlpm.払出,SUMIFS(tbl_ledger[数量],tbl_ledger[ロットID],$B154,tbl_ledger[元状態],M$1),
_xlpm.受入+_xlpm.充当受入-_xlpm.払出))</f>
        <v/>
      </c>
      <c r="N154" s="8" t="str">
        <f t="shared" si="5"/>
        <v/>
      </c>
    </row>
    <row r="155" spans="1:14" ht="15" customHeight="1" x14ac:dyDescent="0.25">
      <c r="A155" s="4" t="str">
        <f t="shared" si="4"/>
        <v/>
      </c>
      <c r="B155" s="4" t="str">
        <f>IFERROR(IF(COUNTIF($B$1:$B154,INDEX(tbl_plan[ロットID],ROW()-1))&gt;0,"",INDEX(tbl_plan[ロットID],ROW()-1)),"")</f>
        <v/>
      </c>
      <c r="C155" s="4" t="str">
        <f>IF($B155="","",INDEX(tbl_plan[localId],ROW()-1))</f>
        <v/>
      </c>
      <c r="D155" s="8" t="str">
        <f>IF($B155="","",_xlfn.LET(
_xlpm.割当受入,SUMIF(V_充足確認!$A$2:$A$301,$B155,V_充足確認!$F$2:$F$301),
_xlpm.充当受入,SUMIFS(tbl_ledger[数量],tbl_ledger[充当先ロットID],$B155,tbl_ledger[イベント種類],"充当",tbl_ledger[元状態],D$1),
_xlpm.払出,SUMIFS(tbl_ledger[数量],tbl_ledger[ロットID],$B155,tbl_ledger[元状態],D$1),
_xlpm.割当受入+_xlpm.充当受入-_xlpm.払出))</f>
        <v/>
      </c>
      <c r="E155" s="8" t="str">
        <f>IF($B155="","",_xlfn.LET(
_xlpm.受入,SUMIFS(tbl_ledger[数量],tbl_ledger[ロットID],$B155,tbl_ledger[イベント種類],"アニール開始"),
_xlpm.充当受入,SUMIFS(tbl_ledger[数量],tbl_ledger[充当先ロットID],$B155,tbl_ledger[イベント種類],"充当",tbl_ledger[元状態],E$1),
_xlpm.払出,SUMIFS(tbl_ledger[数量],tbl_ledger[ロットID],$B155,tbl_ledger[元状態],E$1),
_xlpm.受入+_xlpm.充当受入-_xlpm.払出))</f>
        <v/>
      </c>
      <c r="F155" s="8" t="str">
        <f>IF($B155="","",_xlfn.LET(
_xlpm.受入,SUMIFS(tbl_ledger[数量],tbl_ledger[ロットID],$B155,tbl_ledger[イベント種類],"アニール完了"),
_xlpm.充当受入,SUMIFS(tbl_ledger[数量],tbl_ledger[充当先ロットID],$B155,tbl_ledger[イベント種類],"充当",tbl_ledger[元状態],F$1),
_xlpm.払出,SUMIFS(tbl_ledger[数量],tbl_ledger[ロットID],$B155,tbl_ledger[元状態],F$1),
_xlpm.受入+_xlpm.充当受入-_xlpm.払出))</f>
        <v/>
      </c>
      <c r="G155" s="8" t="str">
        <f>IF($B155="","",_xlfn.LET(
_xlpm.受入,SUMIFS(tbl_ledger[数量],tbl_ledger[ロットID],$B155,tbl_ledger[イベント種類],"アセンブリ開始"),
_xlpm.充当受入,SUMIFS(tbl_ledger[数量],tbl_ledger[充当先ロットID],$B155,tbl_ledger[イベント種類],"充当",tbl_ledger[元状態],G$1),
_xlpm.払出,SUMIFS(tbl_ledger[数量],tbl_ledger[ロットID],$B155,tbl_ledger[元状態],G$1),
_xlpm.受入+_xlpm.充当受入-_xlpm.払出))</f>
        <v/>
      </c>
      <c r="H155" s="8" t="str">
        <f>IF($B155="","",_xlfn.LET(
_xlpm.受入,SUMIFS(tbl_ledger[数量],tbl_ledger[ロットID],$B155,tbl_ledger[イベント種類],"アセンブリ完了"),
_xlpm.充当受入,SUMIFS(tbl_ledger[数量],tbl_ledger[充当先ロットID],$B155,tbl_ledger[イベント種類],"充当",tbl_ledger[元状態],H$1),
_xlpm.払出,SUMIFS(tbl_ledger[数量],tbl_ledger[ロットID],$B155,tbl_ledger[元状態],H$1),
_xlpm.受入+_xlpm.充当受入-_xlpm.払出))</f>
        <v/>
      </c>
      <c r="I155" s="8" t="str">
        <f>IF($B155="","",_xlfn.LET(
_xlpm.受入,SUMIFS(tbl_ledger[数量],tbl_ledger[ロットID],$B155,tbl_ledger[イベント種類],"梱包開始"),
_xlpm.充当受入,SUMIFS(tbl_ledger[数量],tbl_ledger[充当先ロットID],$B155,tbl_ledger[イベント種類],"充当",tbl_ledger[元状態],I$1),
_xlpm.払出,SUMIFS(tbl_ledger[数量],tbl_ledger[ロットID],$B155,tbl_ledger[元状態],I$1),
_xlpm.受入+_xlpm.充当受入-_xlpm.払出))</f>
        <v/>
      </c>
      <c r="J155" s="8" t="str">
        <f>IF($B155="","",_xlfn.LET(
_xlpm.受入,SUMIFS(tbl_ledger[数量],tbl_ledger[ロットID],$B155,tbl_ledger[イベント種類],"梱包完了"),
_xlpm.充当受入,SUMIFS(tbl_ledger[数量],tbl_ledger[充当先ロットID],$B155,tbl_ledger[イベント種類],"充当",tbl_ledger[元状態],J$1),
_xlpm.払出,SUMIFS(tbl_ledger[数量],tbl_ledger[ロットID],$B155,tbl_ledger[元状態],J$1),
_xlpm.受入+_xlpm.充当受入-_xlpm.払出))</f>
        <v/>
      </c>
      <c r="K155" s="8" t="str">
        <f>IF($B155="","",_xlfn.LET(
_xlpm.受入,SUMIFS(tbl_ledger[数量],tbl_ledger[ロットID],$B155,tbl_ledger[イベント種類],"発送準備開始"),
_xlpm.充当受入,SUMIFS(tbl_ledger[数量],tbl_ledger[充当先ロットID],$B155,tbl_ledger[イベント種類],"充当",tbl_ledger[元状態],K$1),
_xlpm.払出,SUMIFS(tbl_ledger[数量],tbl_ledger[ロットID],$B155,tbl_ledger[元状態],K$1),
_xlpm.受入+_xlpm.充当受入-_xlpm.払出))</f>
        <v/>
      </c>
      <c r="L155" s="8" t="str">
        <f>IF($B155="","",_xlfn.LET(
_xlpm.受入,SUMIFS(tbl_ledger[数量],tbl_ledger[ロットID],$B155,tbl_ledger[イベント種類],"発送準備完了"),
_xlpm.充当受入,SUMIFS(tbl_ledger[数量],tbl_ledger[充当先ロットID],$B155,tbl_ledger[イベント種類],"充当",tbl_ledger[元状態],L$1),
_xlpm.払出,SUMIFS(tbl_ledger[数量],tbl_ledger[ロットID],$B155,tbl_ledger[元状態],L$1),
_xlpm.受入+_xlpm.充当受入-_xlpm.払出))</f>
        <v/>
      </c>
      <c r="M155" s="8" t="str">
        <f>IF($B155="","",_xlfn.LET(
_xlpm.受入,SUMIFS(tbl_ledger[数量],tbl_ledger[ロットID],$B155,tbl_ledger[イベント種類],"不良発生"),
_xlpm.充当受入,SUMIFS(tbl_ledger[数量],tbl_ledger[充当先ロットID],$B155,tbl_ledger[イベント種類],"充当",tbl_ledger[元状態],M$1),
_xlpm.払出,SUMIFS(tbl_ledger[数量],tbl_ledger[ロットID],$B155,tbl_ledger[元状態],M$1),
_xlpm.受入+_xlpm.充当受入-_xlpm.払出))</f>
        <v/>
      </c>
      <c r="N155" s="8" t="str">
        <f t="shared" si="5"/>
        <v/>
      </c>
    </row>
    <row r="156" spans="1:14" ht="15" customHeight="1" x14ac:dyDescent="0.25">
      <c r="A156" s="4" t="str">
        <f t="shared" si="4"/>
        <v/>
      </c>
      <c r="B156" s="4" t="str">
        <f>IFERROR(IF(COUNTIF($B$1:$B155,INDEX(tbl_plan[ロットID],ROW()-1))&gt;0,"",INDEX(tbl_plan[ロットID],ROW()-1)),"")</f>
        <v/>
      </c>
      <c r="C156" s="4" t="str">
        <f>IF($B156="","",INDEX(tbl_plan[localId],ROW()-1))</f>
        <v/>
      </c>
      <c r="D156" s="8" t="str">
        <f>IF($B156="","",_xlfn.LET(
_xlpm.割当受入,SUMIF(V_充足確認!$A$2:$A$301,$B156,V_充足確認!$F$2:$F$301),
_xlpm.充当受入,SUMIFS(tbl_ledger[数量],tbl_ledger[充当先ロットID],$B156,tbl_ledger[イベント種類],"充当",tbl_ledger[元状態],D$1),
_xlpm.払出,SUMIFS(tbl_ledger[数量],tbl_ledger[ロットID],$B156,tbl_ledger[元状態],D$1),
_xlpm.割当受入+_xlpm.充当受入-_xlpm.払出))</f>
        <v/>
      </c>
      <c r="E156" s="8" t="str">
        <f>IF($B156="","",_xlfn.LET(
_xlpm.受入,SUMIFS(tbl_ledger[数量],tbl_ledger[ロットID],$B156,tbl_ledger[イベント種類],"アニール開始"),
_xlpm.充当受入,SUMIFS(tbl_ledger[数量],tbl_ledger[充当先ロットID],$B156,tbl_ledger[イベント種類],"充当",tbl_ledger[元状態],E$1),
_xlpm.払出,SUMIFS(tbl_ledger[数量],tbl_ledger[ロットID],$B156,tbl_ledger[元状態],E$1),
_xlpm.受入+_xlpm.充当受入-_xlpm.払出))</f>
        <v/>
      </c>
      <c r="F156" s="8" t="str">
        <f>IF($B156="","",_xlfn.LET(
_xlpm.受入,SUMIFS(tbl_ledger[数量],tbl_ledger[ロットID],$B156,tbl_ledger[イベント種類],"アニール完了"),
_xlpm.充当受入,SUMIFS(tbl_ledger[数量],tbl_ledger[充当先ロットID],$B156,tbl_ledger[イベント種類],"充当",tbl_ledger[元状態],F$1),
_xlpm.払出,SUMIFS(tbl_ledger[数量],tbl_ledger[ロットID],$B156,tbl_ledger[元状態],F$1),
_xlpm.受入+_xlpm.充当受入-_xlpm.払出))</f>
        <v/>
      </c>
      <c r="G156" s="8" t="str">
        <f>IF($B156="","",_xlfn.LET(
_xlpm.受入,SUMIFS(tbl_ledger[数量],tbl_ledger[ロットID],$B156,tbl_ledger[イベント種類],"アセンブリ開始"),
_xlpm.充当受入,SUMIFS(tbl_ledger[数量],tbl_ledger[充当先ロットID],$B156,tbl_ledger[イベント種類],"充当",tbl_ledger[元状態],G$1),
_xlpm.払出,SUMIFS(tbl_ledger[数量],tbl_ledger[ロットID],$B156,tbl_ledger[元状態],G$1),
_xlpm.受入+_xlpm.充当受入-_xlpm.払出))</f>
        <v/>
      </c>
      <c r="H156" s="8" t="str">
        <f>IF($B156="","",_xlfn.LET(
_xlpm.受入,SUMIFS(tbl_ledger[数量],tbl_ledger[ロットID],$B156,tbl_ledger[イベント種類],"アセンブリ完了"),
_xlpm.充当受入,SUMIFS(tbl_ledger[数量],tbl_ledger[充当先ロットID],$B156,tbl_ledger[イベント種類],"充当",tbl_ledger[元状態],H$1),
_xlpm.払出,SUMIFS(tbl_ledger[数量],tbl_ledger[ロットID],$B156,tbl_ledger[元状態],H$1),
_xlpm.受入+_xlpm.充当受入-_xlpm.払出))</f>
        <v/>
      </c>
      <c r="I156" s="8" t="str">
        <f>IF($B156="","",_xlfn.LET(
_xlpm.受入,SUMIFS(tbl_ledger[数量],tbl_ledger[ロットID],$B156,tbl_ledger[イベント種類],"梱包開始"),
_xlpm.充当受入,SUMIFS(tbl_ledger[数量],tbl_ledger[充当先ロットID],$B156,tbl_ledger[イベント種類],"充当",tbl_ledger[元状態],I$1),
_xlpm.払出,SUMIFS(tbl_ledger[数量],tbl_ledger[ロットID],$B156,tbl_ledger[元状態],I$1),
_xlpm.受入+_xlpm.充当受入-_xlpm.払出))</f>
        <v/>
      </c>
      <c r="J156" s="8" t="str">
        <f>IF($B156="","",_xlfn.LET(
_xlpm.受入,SUMIFS(tbl_ledger[数量],tbl_ledger[ロットID],$B156,tbl_ledger[イベント種類],"梱包完了"),
_xlpm.充当受入,SUMIFS(tbl_ledger[数量],tbl_ledger[充当先ロットID],$B156,tbl_ledger[イベント種類],"充当",tbl_ledger[元状態],J$1),
_xlpm.払出,SUMIFS(tbl_ledger[数量],tbl_ledger[ロットID],$B156,tbl_ledger[元状態],J$1),
_xlpm.受入+_xlpm.充当受入-_xlpm.払出))</f>
        <v/>
      </c>
      <c r="K156" s="8" t="str">
        <f>IF($B156="","",_xlfn.LET(
_xlpm.受入,SUMIFS(tbl_ledger[数量],tbl_ledger[ロットID],$B156,tbl_ledger[イベント種類],"発送準備開始"),
_xlpm.充当受入,SUMIFS(tbl_ledger[数量],tbl_ledger[充当先ロットID],$B156,tbl_ledger[イベント種類],"充当",tbl_ledger[元状態],K$1),
_xlpm.払出,SUMIFS(tbl_ledger[数量],tbl_ledger[ロットID],$B156,tbl_ledger[元状態],K$1),
_xlpm.受入+_xlpm.充当受入-_xlpm.払出))</f>
        <v/>
      </c>
      <c r="L156" s="8" t="str">
        <f>IF($B156="","",_xlfn.LET(
_xlpm.受入,SUMIFS(tbl_ledger[数量],tbl_ledger[ロットID],$B156,tbl_ledger[イベント種類],"発送準備完了"),
_xlpm.充当受入,SUMIFS(tbl_ledger[数量],tbl_ledger[充当先ロットID],$B156,tbl_ledger[イベント種類],"充当",tbl_ledger[元状態],L$1),
_xlpm.払出,SUMIFS(tbl_ledger[数量],tbl_ledger[ロットID],$B156,tbl_ledger[元状態],L$1),
_xlpm.受入+_xlpm.充当受入-_xlpm.払出))</f>
        <v/>
      </c>
      <c r="M156" s="8" t="str">
        <f>IF($B156="","",_xlfn.LET(
_xlpm.受入,SUMIFS(tbl_ledger[数量],tbl_ledger[ロットID],$B156,tbl_ledger[イベント種類],"不良発生"),
_xlpm.充当受入,SUMIFS(tbl_ledger[数量],tbl_ledger[充当先ロットID],$B156,tbl_ledger[イベント種類],"充当",tbl_ledger[元状態],M$1),
_xlpm.払出,SUMIFS(tbl_ledger[数量],tbl_ledger[ロットID],$B156,tbl_ledger[元状態],M$1),
_xlpm.受入+_xlpm.充当受入-_xlpm.払出))</f>
        <v/>
      </c>
      <c r="N156" s="8" t="str">
        <f t="shared" si="5"/>
        <v/>
      </c>
    </row>
    <row r="157" spans="1:14" ht="15" customHeight="1" x14ac:dyDescent="0.25">
      <c r="A157" s="4" t="str">
        <f t="shared" si="4"/>
        <v/>
      </c>
      <c r="B157" s="4" t="str">
        <f>IFERROR(IF(COUNTIF($B$1:$B156,INDEX(tbl_plan[ロットID],ROW()-1))&gt;0,"",INDEX(tbl_plan[ロットID],ROW()-1)),"")</f>
        <v/>
      </c>
      <c r="C157" s="4" t="str">
        <f>IF($B157="","",INDEX(tbl_plan[localId],ROW()-1))</f>
        <v/>
      </c>
      <c r="D157" s="8" t="str">
        <f>IF($B157="","",_xlfn.LET(
_xlpm.割当受入,SUMIF(V_充足確認!$A$2:$A$301,$B157,V_充足確認!$F$2:$F$301),
_xlpm.充当受入,SUMIFS(tbl_ledger[数量],tbl_ledger[充当先ロットID],$B157,tbl_ledger[イベント種類],"充当",tbl_ledger[元状態],D$1),
_xlpm.払出,SUMIFS(tbl_ledger[数量],tbl_ledger[ロットID],$B157,tbl_ledger[元状態],D$1),
_xlpm.割当受入+_xlpm.充当受入-_xlpm.払出))</f>
        <v/>
      </c>
      <c r="E157" s="8" t="str">
        <f>IF($B157="","",_xlfn.LET(
_xlpm.受入,SUMIFS(tbl_ledger[数量],tbl_ledger[ロットID],$B157,tbl_ledger[イベント種類],"アニール開始"),
_xlpm.充当受入,SUMIFS(tbl_ledger[数量],tbl_ledger[充当先ロットID],$B157,tbl_ledger[イベント種類],"充当",tbl_ledger[元状態],E$1),
_xlpm.払出,SUMIFS(tbl_ledger[数量],tbl_ledger[ロットID],$B157,tbl_ledger[元状態],E$1),
_xlpm.受入+_xlpm.充当受入-_xlpm.払出))</f>
        <v/>
      </c>
      <c r="F157" s="8" t="str">
        <f>IF($B157="","",_xlfn.LET(
_xlpm.受入,SUMIFS(tbl_ledger[数量],tbl_ledger[ロットID],$B157,tbl_ledger[イベント種類],"アニール完了"),
_xlpm.充当受入,SUMIFS(tbl_ledger[数量],tbl_ledger[充当先ロットID],$B157,tbl_ledger[イベント種類],"充当",tbl_ledger[元状態],F$1),
_xlpm.払出,SUMIFS(tbl_ledger[数量],tbl_ledger[ロットID],$B157,tbl_ledger[元状態],F$1),
_xlpm.受入+_xlpm.充当受入-_xlpm.払出))</f>
        <v/>
      </c>
      <c r="G157" s="8" t="str">
        <f>IF($B157="","",_xlfn.LET(
_xlpm.受入,SUMIFS(tbl_ledger[数量],tbl_ledger[ロットID],$B157,tbl_ledger[イベント種類],"アセンブリ開始"),
_xlpm.充当受入,SUMIFS(tbl_ledger[数量],tbl_ledger[充当先ロットID],$B157,tbl_ledger[イベント種類],"充当",tbl_ledger[元状態],G$1),
_xlpm.払出,SUMIFS(tbl_ledger[数量],tbl_ledger[ロットID],$B157,tbl_ledger[元状態],G$1),
_xlpm.受入+_xlpm.充当受入-_xlpm.払出))</f>
        <v/>
      </c>
      <c r="H157" s="8" t="str">
        <f>IF($B157="","",_xlfn.LET(
_xlpm.受入,SUMIFS(tbl_ledger[数量],tbl_ledger[ロットID],$B157,tbl_ledger[イベント種類],"アセンブリ完了"),
_xlpm.充当受入,SUMIFS(tbl_ledger[数量],tbl_ledger[充当先ロットID],$B157,tbl_ledger[イベント種類],"充当",tbl_ledger[元状態],H$1),
_xlpm.払出,SUMIFS(tbl_ledger[数量],tbl_ledger[ロットID],$B157,tbl_ledger[元状態],H$1),
_xlpm.受入+_xlpm.充当受入-_xlpm.払出))</f>
        <v/>
      </c>
      <c r="I157" s="8" t="str">
        <f>IF($B157="","",_xlfn.LET(
_xlpm.受入,SUMIFS(tbl_ledger[数量],tbl_ledger[ロットID],$B157,tbl_ledger[イベント種類],"梱包開始"),
_xlpm.充当受入,SUMIFS(tbl_ledger[数量],tbl_ledger[充当先ロットID],$B157,tbl_ledger[イベント種類],"充当",tbl_ledger[元状態],I$1),
_xlpm.払出,SUMIFS(tbl_ledger[数量],tbl_ledger[ロットID],$B157,tbl_ledger[元状態],I$1),
_xlpm.受入+_xlpm.充当受入-_xlpm.払出))</f>
        <v/>
      </c>
      <c r="J157" s="8" t="str">
        <f>IF($B157="","",_xlfn.LET(
_xlpm.受入,SUMIFS(tbl_ledger[数量],tbl_ledger[ロットID],$B157,tbl_ledger[イベント種類],"梱包完了"),
_xlpm.充当受入,SUMIFS(tbl_ledger[数量],tbl_ledger[充当先ロットID],$B157,tbl_ledger[イベント種類],"充当",tbl_ledger[元状態],J$1),
_xlpm.払出,SUMIFS(tbl_ledger[数量],tbl_ledger[ロットID],$B157,tbl_ledger[元状態],J$1),
_xlpm.受入+_xlpm.充当受入-_xlpm.払出))</f>
        <v/>
      </c>
      <c r="K157" s="8" t="str">
        <f>IF($B157="","",_xlfn.LET(
_xlpm.受入,SUMIFS(tbl_ledger[数量],tbl_ledger[ロットID],$B157,tbl_ledger[イベント種類],"発送準備開始"),
_xlpm.充当受入,SUMIFS(tbl_ledger[数量],tbl_ledger[充当先ロットID],$B157,tbl_ledger[イベント種類],"充当",tbl_ledger[元状態],K$1),
_xlpm.払出,SUMIFS(tbl_ledger[数量],tbl_ledger[ロットID],$B157,tbl_ledger[元状態],K$1),
_xlpm.受入+_xlpm.充当受入-_xlpm.払出))</f>
        <v/>
      </c>
      <c r="L157" s="8" t="str">
        <f>IF($B157="","",_xlfn.LET(
_xlpm.受入,SUMIFS(tbl_ledger[数量],tbl_ledger[ロットID],$B157,tbl_ledger[イベント種類],"発送準備完了"),
_xlpm.充当受入,SUMIFS(tbl_ledger[数量],tbl_ledger[充当先ロットID],$B157,tbl_ledger[イベント種類],"充当",tbl_ledger[元状態],L$1),
_xlpm.払出,SUMIFS(tbl_ledger[数量],tbl_ledger[ロットID],$B157,tbl_ledger[元状態],L$1),
_xlpm.受入+_xlpm.充当受入-_xlpm.払出))</f>
        <v/>
      </c>
      <c r="M157" s="8" t="str">
        <f>IF($B157="","",_xlfn.LET(
_xlpm.受入,SUMIFS(tbl_ledger[数量],tbl_ledger[ロットID],$B157,tbl_ledger[イベント種類],"不良発生"),
_xlpm.充当受入,SUMIFS(tbl_ledger[数量],tbl_ledger[充当先ロットID],$B157,tbl_ledger[イベント種類],"充当",tbl_ledger[元状態],M$1),
_xlpm.払出,SUMIFS(tbl_ledger[数量],tbl_ledger[ロットID],$B157,tbl_ledger[元状態],M$1),
_xlpm.受入+_xlpm.充当受入-_xlpm.払出))</f>
        <v/>
      </c>
      <c r="N157" s="8" t="str">
        <f t="shared" si="5"/>
        <v/>
      </c>
    </row>
    <row r="158" spans="1:14" ht="15" customHeight="1" x14ac:dyDescent="0.25">
      <c r="A158" s="4" t="str">
        <f t="shared" si="4"/>
        <v/>
      </c>
      <c r="B158" s="4" t="str">
        <f>IFERROR(IF(COUNTIF($B$1:$B157,INDEX(tbl_plan[ロットID],ROW()-1))&gt;0,"",INDEX(tbl_plan[ロットID],ROW()-1)),"")</f>
        <v/>
      </c>
      <c r="C158" s="4" t="str">
        <f>IF($B158="","",INDEX(tbl_plan[localId],ROW()-1))</f>
        <v/>
      </c>
      <c r="D158" s="8" t="str">
        <f>IF($B158="","",_xlfn.LET(
_xlpm.割当受入,SUMIF(V_充足確認!$A$2:$A$301,$B158,V_充足確認!$F$2:$F$301),
_xlpm.充当受入,SUMIFS(tbl_ledger[数量],tbl_ledger[充当先ロットID],$B158,tbl_ledger[イベント種類],"充当",tbl_ledger[元状態],D$1),
_xlpm.払出,SUMIFS(tbl_ledger[数量],tbl_ledger[ロットID],$B158,tbl_ledger[元状態],D$1),
_xlpm.割当受入+_xlpm.充当受入-_xlpm.払出))</f>
        <v/>
      </c>
      <c r="E158" s="8" t="str">
        <f>IF($B158="","",_xlfn.LET(
_xlpm.受入,SUMIFS(tbl_ledger[数量],tbl_ledger[ロットID],$B158,tbl_ledger[イベント種類],"アニール開始"),
_xlpm.充当受入,SUMIFS(tbl_ledger[数量],tbl_ledger[充当先ロットID],$B158,tbl_ledger[イベント種類],"充当",tbl_ledger[元状態],E$1),
_xlpm.払出,SUMIFS(tbl_ledger[数量],tbl_ledger[ロットID],$B158,tbl_ledger[元状態],E$1),
_xlpm.受入+_xlpm.充当受入-_xlpm.払出))</f>
        <v/>
      </c>
      <c r="F158" s="8" t="str">
        <f>IF($B158="","",_xlfn.LET(
_xlpm.受入,SUMIFS(tbl_ledger[数量],tbl_ledger[ロットID],$B158,tbl_ledger[イベント種類],"アニール完了"),
_xlpm.充当受入,SUMIFS(tbl_ledger[数量],tbl_ledger[充当先ロットID],$B158,tbl_ledger[イベント種類],"充当",tbl_ledger[元状態],F$1),
_xlpm.払出,SUMIFS(tbl_ledger[数量],tbl_ledger[ロットID],$B158,tbl_ledger[元状態],F$1),
_xlpm.受入+_xlpm.充当受入-_xlpm.払出))</f>
        <v/>
      </c>
      <c r="G158" s="8" t="str">
        <f>IF($B158="","",_xlfn.LET(
_xlpm.受入,SUMIFS(tbl_ledger[数量],tbl_ledger[ロットID],$B158,tbl_ledger[イベント種類],"アセンブリ開始"),
_xlpm.充当受入,SUMIFS(tbl_ledger[数量],tbl_ledger[充当先ロットID],$B158,tbl_ledger[イベント種類],"充当",tbl_ledger[元状態],G$1),
_xlpm.払出,SUMIFS(tbl_ledger[数量],tbl_ledger[ロットID],$B158,tbl_ledger[元状態],G$1),
_xlpm.受入+_xlpm.充当受入-_xlpm.払出))</f>
        <v/>
      </c>
      <c r="H158" s="8" t="str">
        <f>IF($B158="","",_xlfn.LET(
_xlpm.受入,SUMIFS(tbl_ledger[数量],tbl_ledger[ロットID],$B158,tbl_ledger[イベント種類],"アセンブリ完了"),
_xlpm.充当受入,SUMIFS(tbl_ledger[数量],tbl_ledger[充当先ロットID],$B158,tbl_ledger[イベント種類],"充当",tbl_ledger[元状態],H$1),
_xlpm.払出,SUMIFS(tbl_ledger[数量],tbl_ledger[ロットID],$B158,tbl_ledger[元状態],H$1),
_xlpm.受入+_xlpm.充当受入-_xlpm.払出))</f>
        <v/>
      </c>
      <c r="I158" s="8" t="str">
        <f>IF($B158="","",_xlfn.LET(
_xlpm.受入,SUMIFS(tbl_ledger[数量],tbl_ledger[ロットID],$B158,tbl_ledger[イベント種類],"梱包開始"),
_xlpm.充当受入,SUMIFS(tbl_ledger[数量],tbl_ledger[充当先ロットID],$B158,tbl_ledger[イベント種類],"充当",tbl_ledger[元状態],I$1),
_xlpm.払出,SUMIFS(tbl_ledger[数量],tbl_ledger[ロットID],$B158,tbl_ledger[元状態],I$1),
_xlpm.受入+_xlpm.充当受入-_xlpm.払出))</f>
        <v/>
      </c>
      <c r="J158" s="8" t="str">
        <f>IF($B158="","",_xlfn.LET(
_xlpm.受入,SUMIFS(tbl_ledger[数量],tbl_ledger[ロットID],$B158,tbl_ledger[イベント種類],"梱包完了"),
_xlpm.充当受入,SUMIFS(tbl_ledger[数量],tbl_ledger[充当先ロットID],$B158,tbl_ledger[イベント種類],"充当",tbl_ledger[元状態],J$1),
_xlpm.払出,SUMIFS(tbl_ledger[数量],tbl_ledger[ロットID],$B158,tbl_ledger[元状態],J$1),
_xlpm.受入+_xlpm.充当受入-_xlpm.払出))</f>
        <v/>
      </c>
      <c r="K158" s="8" t="str">
        <f>IF($B158="","",_xlfn.LET(
_xlpm.受入,SUMIFS(tbl_ledger[数量],tbl_ledger[ロットID],$B158,tbl_ledger[イベント種類],"発送準備開始"),
_xlpm.充当受入,SUMIFS(tbl_ledger[数量],tbl_ledger[充当先ロットID],$B158,tbl_ledger[イベント種類],"充当",tbl_ledger[元状態],K$1),
_xlpm.払出,SUMIFS(tbl_ledger[数量],tbl_ledger[ロットID],$B158,tbl_ledger[元状態],K$1),
_xlpm.受入+_xlpm.充当受入-_xlpm.払出))</f>
        <v/>
      </c>
      <c r="L158" s="8" t="str">
        <f>IF($B158="","",_xlfn.LET(
_xlpm.受入,SUMIFS(tbl_ledger[数量],tbl_ledger[ロットID],$B158,tbl_ledger[イベント種類],"発送準備完了"),
_xlpm.充当受入,SUMIFS(tbl_ledger[数量],tbl_ledger[充当先ロットID],$B158,tbl_ledger[イベント種類],"充当",tbl_ledger[元状態],L$1),
_xlpm.払出,SUMIFS(tbl_ledger[数量],tbl_ledger[ロットID],$B158,tbl_ledger[元状態],L$1),
_xlpm.受入+_xlpm.充当受入-_xlpm.払出))</f>
        <v/>
      </c>
      <c r="M158" s="8" t="str">
        <f>IF($B158="","",_xlfn.LET(
_xlpm.受入,SUMIFS(tbl_ledger[数量],tbl_ledger[ロットID],$B158,tbl_ledger[イベント種類],"不良発生"),
_xlpm.充当受入,SUMIFS(tbl_ledger[数量],tbl_ledger[充当先ロットID],$B158,tbl_ledger[イベント種類],"充当",tbl_ledger[元状態],M$1),
_xlpm.払出,SUMIFS(tbl_ledger[数量],tbl_ledger[ロットID],$B158,tbl_ledger[元状態],M$1),
_xlpm.受入+_xlpm.充当受入-_xlpm.払出))</f>
        <v/>
      </c>
      <c r="N158" s="8" t="str">
        <f t="shared" si="5"/>
        <v/>
      </c>
    </row>
    <row r="159" spans="1:14" ht="15" customHeight="1" x14ac:dyDescent="0.25">
      <c r="A159" s="4" t="str">
        <f t="shared" si="4"/>
        <v/>
      </c>
      <c r="B159" s="4" t="str">
        <f>IFERROR(IF(COUNTIF($B$1:$B158,INDEX(tbl_plan[ロットID],ROW()-1))&gt;0,"",INDEX(tbl_plan[ロットID],ROW()-1)),"")</f>
        <v/>
      </c>
      <c r="C159" s="4" t="str">
        <f>IF($B159="","",INDEX(tbl_plan[localId],ROW()-1))</f>
        <v/>
      </c>
      <c r="D159" s="8" t="str">
        <f>IF($B159="","",_xlfn.LET(
_xlpm.割当受入,SUMIF(V_充足確認!$A$2:$A$301,$B159,V_充足確認!$F$2:$F$301),
_xlpm.充当受入,SUMIFS(tbl_ledger[数量],tbl_ledger[充当先ロットID],$B159,tbl_ledger[イベント種類],"充当",tbl_ledger[元状態],D$1),
_xlpm.払出,SUMIFS(tbl_ledger[数量],tbl_ledger[ロットID],$B159,tbl_ledger[元状態],D$1),
_xlpm.割当受入+_xlpm.充当受入-_xlpm.払出))</f>
        <v/>
      </c>
      <c r="E159" s="8" t="str">
        <f>IF($B159="","",_xlfn.LET(
_xlpm.受入,SUMIFS(tbl_ledger[数量],tbl_ledger[ロットID],$B159,tbl_ledger[イベント種類],"アニール開始"),
_xlpm.充当受入,SUMIFS(tbl_ledger[数量],tbl_ledger[充当先ロットID],$B159,tbl_ledger[イベント種類],"充当",tbl_ledger[元状態],E$1),
_xlpm.払出,SUMIFS(tbl_ledger[数量],tbl_ledger[ロットID],$B159,tbl_ledger[元状態],E$1),
_xlpm.受入+_xlpm.充当受入-_xlpm.払出))</f>
        <v/>
      </c>
      <c r="F159" s="8" t="str">
        <f>IF($B159="","",_xlfn.LET(
_xlpm.受入,SUMIFS(tbl_ledger[数量],tbl_ledger[ロットID],$B159,tbl_ledger[イベント種類],"アニール完了"),
_xlpm.充当受入,SUMIFS(tbl_ledger[数量],tbl_ledger[充当先ロットID],$B159,tbl_ledger[イベント種類],"充当",tbl_ledger[元状態],F$1),
_xlpm.払出,SUMIFS(tbl_ledger[数量],tbl_ledger[ロットID],$B159,tbl_ledger[元状態],F$1),
_xlpm.受入+_xlpm.充当受入-_xlpm.払出))</f>
        <v/>
      </c>
      <c r="G159" s="8" t="str">
        <f>IF($B159="","",_xlfn.LET(
_xlpm.受入,SUMIFS(tbl_ledger[数量],tbl_ledger[ロットID],$B159,tbl_ledger[イベント種類],"アセンブリ開始"),
_xlpm.充当受入,SUMIFS(tbl_ledger[数量],tbl_ledger[充当先ロットID],$B159,tbl_ledger[イベント種類],"充当",tbl_ledger[元状態],G$1),
_xlpm.払出,SUMIFS(tbl_ledger[数量],tbl_ledger[ロットID],$B159,tbl_ledger[元状態],G$1),
_xlpm.受入+_xlpm.充当受入-_xlpm.払出))</f>
        <v/>
      </c>
      <c r="H159" s="8" t="str">
        <f>IF($B159="","",_xlfn.LET(
_xlpm.受入,SUMIFS(tbl_ledger[数量],tbl_ledger[ロットID],$B159,tbl_ledger[イベント種類],"アセンブリ完了"),
_xlpm.充当受入,SUMIFS(tbl_ledger[数量],tbl_ledger[充当先ロットID],$B159,tbl_ledger[イベント種類],"充当",tbl_ledger[元状態],H$1),
_xlpm.払出,SUMIFS(tbl_ledger[数量],tbl_ledger[ロットID],$B159,tbl_ledger[元状態],H$1),
_xlpm.受入+_xlpm.充当受入-_xlpm.払出))</f>
        <v/>
      </c>
      <c r="I159" s="8" t="str">
        <f>IF($B159="","",_xlfn.LET(
_xlpm.受入,SUMIFS(tbl_ledger[数量],tbl_ledger[ロットID],$B159,tbl_ledger[イベント種類],"梱包開始"),
_xlpm.充当受入,SUMIFS(tbl_ledger[数量],tbl_ledger[充当先ロットID],$B159,tbl_ledger[イベント種類],"充当",tbl_ledger[元状態],I$1),
_xlpm.払出,SUMIFS(tbl_ledger[数量],tbl_ledger[ロットID],$B159,tbl_ledger[元状態],I$1),
_xlpm.受入+_xlpm.充当受入-_xlpm.払出))</f>
        <v/>
      </c>
      <c r="J159" s="8" t="str">
        <f>IF($B159="","",_xlfn.LET(
_xlpm.受入,SUMIFS(tbl_ledger[数量],tbl_ledger[ロットID],$B159,tbl_ledger[イベント種類],"梱包完了"),
_xlpm.充当受入,SUMIFS(tbl_ledger[数量],tbl_ledger[充当先ロットID],$B159,tbl_ledger[イベント種類],"充当",tbl_ledger[元状態],J$1),
_xlpm.払出,SUMIFS(tbl_ledger[数量],tbl_ledger[ロットID],$B159,tbl_ledger[元状態],J$1),
_xlpm.受入+_xlpm.充当受入-_xlpm.払出))</f>
        <v/>
      </c>
      <c r="K159" s="8" t="str">
        <f>IF($B159="","",_xlfn.LET(
_xlpm.受入,SUMIFS(tbl_ledger[数量],tbl_ledger[ロットID],$B159,tbl_ledger[イベント種類],"発送準備開始"),
_xlpm.充当受入,SUMIFS(tbl_ledger[数量],tbl_ledger[充当先ロットID],$B159,tbl_ledger[イベント種類],"充当",tbl_ledger[元状態],K$1),
_xlpm.払出,SUMIFS(tbl_ledger[数量],tbl_ledger[ロットID],$B159,tbl_ledger[元状態],K$1),
_xlpm.受入+_xlpm.充当受入-_xlpm.払出))</f>
        <v/>
      </c>
      <c r="L159" s="8" t="str">
        <f>IF($B159="","",_xlfn.LET(
_xlpm.受入,SUMIFS(tbl_ledger[数量],tbl_ledger[ロットID],$B159,tbl_ledger[イベント種類],"発送準備完了"),
_xlpm.充当受入,SUMIFS(tbl_ledger[数量],tbl_ledger[充当先ロットID],$B159,tbl_ledger[イベント種類],"充当",tbl_ledger[元状態],L$1),
_xlpm.払出,SUMIFS(tbl_ledger[数量],tbl_ledger[ロットID],$B159,tbl_ledger[元状態],L$1),
_xlpm.受入+_xlpm.充当受入-_xlpm.払出))</f>
        <v/>
      </c>
      <c r="M159" s="8" t="str">
        <f>IF($B159="","",_xlfn.LET(
_xlpm.受入,SUMIFS(tbl_ledger[数量],tbl_ledger[ロットID],$B159,tbl_ledger[イベント種類],"不良発生"),
_xlpm.充当受入,SUMIFS(tbl_ledger[数量],tbl_ledger[充当先ロットID],$B159,tbl_ledger[イベント種類],"充当",tbl_ledger[元状態],M$1),
_xlpm.払出,SUMIFS(tbl_ledger[数量],tbl_ledger[ロットID],$B159,tbl_ledger[元状態],M$1),
_xlpm.受入+_xlpm.充当受入-_xlpm.払出))</f>
        <v/>
      </c>
      <c r="N159" s="8" t="str">
        <f t="shared" si="5"/>
        <v/>
      </c>
    </row>
    <row r="160" spans="1:14" ht="15" customHeight="1" x14ac:dyDescent="0.25">
      <c r="A160" s="4" t="str">
        <f t="shared" si="4"/>
        <v/>
      </c>
      <c r="B160" s="4" t="str">
        <f>IFERROR(IF(COUNTIF($B$1:$B159,INDEX(tbl_plan[ロットID],ROW()-1))&gt;0,"",INDEX(tbl_plan[ロットID],ROW()-1)),"")</f>
        <v/>
      </c>
      <c r="C160" s="4" t="str">
        <f>IF($B160="","",INDEX(tbl_plan[localId],ROW()-1))</f>
        <v/>
      </c>
      <c r="D160" s="8" t="str">
        <f>IF($B160="","",_xlfn.LET(
_xlpm.割当受入,SUMIF(V_充足確認!$A$2:$A$301,$B160,V_充足確認!$F$2:$F$301),
_xlpm.充当受入,SUMIFS(tbl_ledger[数量],tbl_ledger[充当先ロットID],$B160,tbl_ledger[イベント種類],"充当",tbl_ledger[元状態],D$1),
_xlpm.払出,SUMIFS(tbl_ledger[数量],tbl_ledger[ロットID],$B160,tbl_ledger[元状態],D$1),
_xlpm.割当受入+_xlpm.充当受入-_xlpm.払出))</f>
        <v/>
      </c>
      <c r="E160" s="8" t="str">
        <f>IF($B160="","",_xlfn.LET(
_xlpm.受入,SUMIFS(tbl_ledger[数量],tbl_ledger[ロットID],$B160,tbl_ledger[イベント種類],"アニール開始"),
_xlpm.充当受入,SUMIFS(tbl_ledger[数量],tbl_ledger[充当先ロットID],$B160,tbl_ledger[イベント種類],"充当",tbl_ledger[元状態],E$1),
_xlpm.払出,SUMIFS(tbl_ledger[数量],tbl_ledger[ロットID],$B160,tbl_ledger[元状態],E$1),
_xlpm.受入+_xlpm.充当受入-_xlpm.払出))</f>
        <v/>
      </c>
      <c r="F160" s="8" t="str">
        <f>IF($B160="","",_xlfn.LET(
_xlpm.受入,SUMIFS(tbl_ledger[数量],tbl_ledger[ロットID],$B160,tbl_ledger[イベント種類],"アニール完了"),
_xlpm.充当受入,SUMIFS(tbl_ledger[数量],tbl_ledger[充当先ロットID],$B160,tbl_ledger[イベント種類],"充当",tbl_ledger[元状態],F$1),
_xlpm.払出,SUMIFS(tbl_ledger[数量],tbl_ledger[ロットID],$B160,tbl_ledger[元状態],F$1),
_xlpm.受入+_xlpm.充当受入-_xlpm.払出))</f>
        <v/>
      </c>
      <c r="G160" s="8" t="str">
        <f>IF($B160="","",_xlfn.LET(
_xlpm.受入,SUMIFS(tbl_ledger[数量],tbl_ledger[ロットID],$B160,tbl_ledger[イベント種類],"アセンブリ開始"),
_xlpm.充当受入,SUMIFS(tbl_ledger[数量],tbl_ledger[充当先ロットID],$B160,tbl_ledger[イベント種類],"充当",tbl_ledger[元状態],G$1),
_xlpm.払出,SUMIFS(tbl_ledger[数量],tbl_ledger[ロットID],$B160,tbl_ledger[元状態],G$1),
_xlpm.受入+_xlpm.充当受入-_xlpm.払出))</f>
        <v/>
      </c>
      <c r="H160" s="8" t="str">
        <f>IF($B160="","",_xlfn.LET(
_xlpm.受入,SUMIFS(tbl_ledger[数量],tbl_ledger[ロットID],$B160,tbl_ledger[イベント種類],"アセンブリ完了"),
_xlpm.充当受入,SUMIFS(tbl_ledger[数量],tbl_ledger[充当先ロットID],$B160,tbl_ledger[イベント種類],"充当",tbl_ledger[元状態],H$1),
_xlpm.払出,SUMIFS(tbl_ledger[数量],tbl_ledger[ロットID],$B160,tbl_ledger[元状態],H$1),
_xlpm.受入+_xlpm.充当受入-_xlpm.払出))</f>
        <v/>
      </c>
      <c r="I160" s="8" t="str">
        <f>IF($B160="","",_xlfn.LET(
_xlpm.受入,SUMIFS(tbl_ledger[数量],tbl_ledger[ロットID],$B160,tbl_ledger[イベント種類],"梱包開始"),
_xlpm.充当受入,SUMIFS(tbl_ledger[数量],tbl_ledger[充当先ロットID],$B160,tbl_ledger[イベント種類],"充当",tbl_ledger[元状態],I$1),
_xlpm.払出,SUMIFS(tbl_ledger[数量],tbl_ledger[ロットID],$B160,tbl_ledger[元状態],I$1),
_xlpm.受入+_xlpm.充当受入-_xlpm.払出))</f>
        <v/>
      </c>
      <c r="J160" s="8" t="str">
        <f>IF($B160="","",_xlfn.LET(
_xlpm.受入,SUMIFS(tbl_ledger[数量],tbl_ledger[ロットID],$B160,tbl_ledger[イベント種類],"梱包完了"),
_xlpm.充当受入,SUMIFS(tbl_ledger[数量],tbl_ledger[充当先ロットID],$B160,tbl_ledger[イベント種類],"充当",tbl_ledger[元状態],J$1),
_xlpm.払出,SUMIFS(tbl_ledger[数量],tbl_ledger[ロットID],$B160,tbl_ledger[元状態],J$1),
_xlpm.受入+_xlpm.充当受入-_xlpm.払出))</f>
        <v/>
      </c>
      <c r="K160" s="8" t="str">
        <f>IF($B160="","",_xlfn.LET(
_xlpm.受入,SUMIFS(tbl_ledger[数量],tbl_ledger[ロットID],$B160,tbl_ledger[イベント種類],"発送準備開始"),
_xlpm.充当受入,SUMIFS(tbl_ledger[数量],tbl_ledger[充当先ロットID],$B160,tbl_ledger[イベント種類],"充当",tbl_ledger[元状態],K$1),
_xlpm.払出,SUMIFS(tbl_ledger[数量],tbl_ledger[ロットID],$B160,tbl_ledger[元状態],K$1),
_xlpm.受入+_xlpm.充当受入-_xlpm.払出))</f>
        <v/>
      </c>
      <c r="L160" s="8" t="str">
        <f>IF($B160="","",_xlfn.LET(
_xlpm.受入,SUMIFS(tbl_ledger[数量],tbl_ledger[ロットID],$B160,tbl_ledger[イベント種類],"発送準備完了"),
_xlpm.充当受入,SUMIFS(tbl_ledger[数量],tbl_ledger[充当先ロットID],$B160,tbl_ledger[イベント種類],"充当",tbl_ledger[元状態],L$1),
_xlpm.払出,SUMIFS(tbl_ledger[数量],tbl_ledger[ロットID],$B160,tbl_ledger[元状態],L$1),
_xlpm.受入+_xlpm.充当受入-_xlpm.払出))</f>
        <v/>
      </c>
      <c r="M160" s="8" t="str">
        <f>IF($B160="","",_xlfn.LET(
_xlpm.受入,SUMIFS(tbl_ledger[数量],tbl_ledger[ロットID],$B160,tbl_ledger[イベント種類],"不良発生"),
_xlpm.充当受入,SUMIFS(tbl_ledger[数量],tbl_ledger[充当先ロットID],$B160,tbl_ledger[イベント種類],"充当",tbl_ledger[元状態],M$1),
_xlpm.払出,SUMIFS(tbl_ledger[数量],tbl_ledger[ロットID],$B160,tbl_ledger[元状態],M$1),
_xlpm.受入+_xlpm.充当受入-_xlpm.払出))</f>
        <v/>
      </c>
      <c r="N160" s="8" t="str">
        <f t="shared" si="5"/>
        <v/>
      </c>
    </row>
    <row r="161" spans="1:14" ht="15" customHeight="1" x14ac:dyDescent="0.25">
      <c r="A161" s="4" t="str">
        <f t="shared" si="4"/>
        <v/>
      </c>
      <c r="B161" s="4" t="str">
        <f>IFERROR(IF(COUNTIF($B$1:$B160,INDEX(tbl_plan[ロットID],ROW()-1))&gt;0,"",INDEX(tbl_plan[ロットID],ROW()-1)),"")</f>
        <v/>
      </c>
      <c r="C161" s="4" t="str">
        <f>IF($B161="","",INDEX(tbl_plan[localId],ROW()-1))</f>
        <v/>
      </c>
      <c r="D161" s="8" t="str">
        <f>IF($B161="","",_xlfn.LET(
_xlpm.割当受入,SUMIF(V_充足確認!$A$2:$A$301,$B161,V_充足確認!$F$2:$F$301),
_xlpm.充当受入,SUMIFS(tbl_ledger[数量],tbl_ledger[充当先ロットID],$B161,tbl_ledger[イベント種類],"充当",tbl_ledger[元状態],D$1),
_xlpm.払出,SUMIFS(tbl_ledger[数量],tbl_ledger[ロットID],$B161,tbl_ledger[元状態],D$1),
_xlpm.割当受入+_xlpm.充当受入-_xlpm.払出))</f>
        <v/>
      </c>
      <c r="E161" s="8" t="str">
        <f>IF($B161="","",_xlfn.LET(
_xlpm.受入,SUMIFS(tbl_ledger[数量],tbl_ledger[ロットID],$B161,tbl_ledger[イベント種類],"アニール開始"),
_xlpm.充当受入,SUMIFS(tbl_ledger[数量],tbl_ledger[充当先ロットID],$B161,tbl_ledger[イベント種類],"充当",tbl_ledger[元状態],E$1),
_xlpm.払出,SUMIFS(tbl_ledger[数量],tbl_ledger[ロットID],$B161,tbl_ledger[元状態],E$1),
_xlpm.受入+_xlpm.充当受入-_xlpm.払出))</f>
        <v/>
      </c>
      <c r="F161" s="8" t="str">
        <f>IF($B161="","",_xlfn.LET(
_xlpm.受入,SUMIFS(tbl_ledger[数量],tbl_ledger[ロットID],$B161,tbl_ledger[イベント種類],"アニール完了"),
_xlpm.充当受入,SUMIFS(tbl_ledger[数量],tbl_ledger[充当先ロットID],$B161,tbl_ledger[イベント種類],"充当",tbl_ledger[元状態],F$1),
_xlpm.払出,SUMIFS(tbl_ledger[数量],tbl_ledger[ロットID],$B161,tbl_ledger[元状態],F$1),
_xlpm.受入+_xlpm.充当受入-_xlpm.払出))</f>
        <v/>
      </c>
      <c r="G161" s="8" t="str">
        <f>IF($B161="","",_xlfn.LET(
_xlpm.受入,SUMIFS(tbl_ledger[数量],tbl_ledger[ロットID],$B161,tbl_ledger[イベント種類],"アセンブリ開始"),
_xlpm.充当受入,SUMIFS(tbl_ledger[数量],tbl_ledger[充当先ロットID],$B161,tbl_ledger[イベント種類],"充当",tbl_ledger[元状態],G$1),
_xlpm.払出,SUMIFS(tbl_ledger[数量],tbl_ledger[ロットID],$B161,tbl_ledger[元状態],G$1),
_xlpm.受入+_xlpm.充当受入-_xlpm.払出))</f>
        <v/>
      </c>
      <c r="H161" s="8" t="str">
        <f>IF($B161="","",_xlfn.LET(
_xlpm.受入,SUMIFS(tbl_ledger[数量],tbl_ledger[ロットID],$B161,tbl_ledger[イベント種類],"アセンブリ完了"),
_xlpm.充当受入,SUMIFS(tbl_ledger[数量],tbl_ledger[充当先ロットID],$B161,tbl_ledger[イベント種類],"充当",tbl_ledger[元状態],H$1),
_xlpm.払出,SUMIFS(tbl_ledger[数量],tbl_ledger[ロットID],$B161,tbl_ledger[元状態],H$1),
_xlpm.受入+_xlpm.充当受入-_xlpm.払出))</f>
        <v/>
      </c>
      <c r="I161" s="8" t="str">
        <f>IF($B161="","",_xlfn.LET(
_xlpm.受入,SUMIFS(tbl_ledger[数量],tbl_ledger[ロットID],$B161,tbl_ledger[イベント種類],"梱包開始"),
_xlpm.充当受入,SUMIFS(tbl_ledger[数量],tbl_ledger[充当先ロットID],$B161,tbl_ledger[イベント種類],"充当",tbl_ledger[元状態],I$1),
_xlpm.払出,SUMIFS(tbl_ledger[数量],tbl_ledger[ロットID],$B161,tbl_ledger[元状態],I$1),
_xlpm.受入+_xlpm.充当受入-_xlpm.払出))</f>
        <v/>
      </c>
      <c r="J161" s="8" t="str">
        <f>IF($B161="","",_xlfn.LET(
_xlpm.受入,SUMIFS(tbl_ledger[数量],tbl_ledger[ロットID],$B161,tbl_ledger[イベント種類],"梱包完了"),
_xlpm.充当受入,SUMIFS(tbl_ledger[数量],tbl_ledger[充当先ロットID],$B161,tbl_ledger[イベント種類],"充当",tbl_ledger[元状態],J$1),
_xlpm.払出,SUMIFS(tbl_ledger[数量],tbl_ledger[ロットID],$B161,tbl_ledger[元状態],J$1),
_xlpm.受入+_xlpm.充当受入-_xlpm.払出))</f>
        <v/>
      </c>
      <c r="K161" s="8" t="str">
        <f>IF($B161="","",_xlfn.LET(
_xlpm.受入,SUMIFS(tbl_ledger[数量],tbl_ledger[ロットID],$B161,tbl_ledger[イベント種類],"発送準備開始"),
_xlpm.充当受入,SUMIFS(tbl_ledger[数量],tbl_ledger[充当先ロットID],$B161,tbl_ledger[イベント種類],"充当",tbl_ledger[元状態],K$1),
_xlpm.払出,SUMIFS(tbl_ledger[数量],tbl_ledger[ロットID],$B161,tbl_ledger[元状態],K$1),
_xlpm.受入+_xlpm.充当受入-_xlpm.払出))</f>
        <v/>
      </c>
      <c r="L161" s="8" t="str">
        <f>IF($B161="","",_xlfn.LET(
_xlpm.受入,SUMIFS(tbl_ledger[数量],tbl_ledger[ロットID],$B161,tbl_ledger[イベント種類],"発送準備完了"),
_xlpm.充当受入,SUMIFS(tbl_ledger[数量],tbl_ledger[充当先ロットID],$B161,tbl_ledger[イベント種類],"充当",tbl_ledger[元状態],L$1),
_xlpm.払出,SUMIFS(tbl_ledger[数量],tbl_ledger[ロットID],$B161,tbl_ledger[元状態],L$1),
_xlpm.受入+_xlpm.充当受入-_xlpm.払出))</f>
        <v/>
      </c>
      <c r="M161" s="8" t="str">
        <f>IF($B161="","",_xlfn.LET(
_xlpm.受入,SUMIFS(tbl_ledger[数量],tbl_ledger[ロットID],$B161,tbl_ledger[イベント種類],"不良発生"),
_xlpm.充当受入,SUMIFS(tbl_ledger[数量],tbl_ledger[充当先ロットID],$B161,tbl_ledger[イベント種類],"充当",tbl_ledger[元状態],M$1),
_xlpm.払出,SUMIFS(tbl_ledger[数量],tbl_ledger[ロットID],$B161,tbl_ledger[元状態],M$1),
_xlpm.受入+_xlpm.充当受入-_xlpm.払出))</f>
        <v/>
      </c>
      <c r="N161" s="8" t="str">
        <f t="shared" si="5"/>
        <v/>
      </c>
    </row>
    <row r="162" spans="1:14" ht="15" customHeight="1" x14ac:dyDescent="0.25">
      <c r="A162" s="4" t="str">
        <f t="shared" si="4"/>
        <v/>
      </c>
      <c r="B162" s="4" t="str">
        <f>IFERROR(IF(COUNTIF($B$1:$B161,INDEX(tbl_plan[ロットID],ROW()-1))&gt;0,"",INDEX(tbl_plan[ロットID],ROW()-1)),"")</f>
        <v/>
      </c>
      <c r="C162" s="4" t="str">
        <f>IF($B162="","",INDEX(tbl_plan[localId],ROW()-1))</f>
        <v/>
      </c>
      <c r="D162" s="8" t="str">
        <f>IF($B162="","",_xlfn.LET(
_xlpm.割当受入,SUMIF(V_充足確認!$A$2:$A$301,$B162,V_充足確認!$F$2:$F$301),
_xlpm.充当受入,SUMIFS(tbl_ledger[数量],tbl_ledger[充当先ロットID],$B162,tbl_ledger[イベント種類],"充当",tbl_ledger[元状態],D$1),
_xlpm.払出,SUMIFS(tbl_ledger[数量],tbl_ledger[ロットID],$B162,tbl_ledger[元状態],D$1),
_xlpm.割当受入+_xlpm.充当受入-_xlpm.払出))</f>
        <v/>
      </c>
      <c r="E162" s="8" t="str">
        <f>IF($B162="","",_xlfn.LET(
_xlpm.受入,SUMIFS(tbl_ledger[数量],tbl_ledger[ロットID],$B162,tbl_ledger[イベント種類],"アニール開始"),
_xlpm.充当受入,SUMIFS(tbl_ledger[数量],tbl_ledger[充当先ロットID],$B162,tbl_ledger[イベント種類],"充当",tbl_ledger[元状態],E$1),
_xlpm.払出,SUMIFS(tbl_ledger[数量],tbl_ledger[ロットID],$B162,tbl_ledger[元状態],E$1),
_xlpm.受入+_xlpm.充当受入-_xlpm.払出))</f>
        <v/>
      </c>
      <c r="F162" s="8" t="str">
        <f>IF($B162="","",_xlfn.LET(
_xlpm.受入,SUMIFS(tbl_ledger[数量],tbl_ledger[ロットID],$B162,tbl_ledger[イベント種類],"アニール完了"),
_xlpm.充当受入,SUMIFS(tbl_ledger[数量],tbl_ledger[充当先ロットID],$B162,tbl_ledger[イベント種類],"充当",tbl_ledger[元状態],F$1),
_xlpm.払出,SUMIFS(tbl_ledger[数量],tbl_ledger[ロットID],$B162,tbl_ledger[元状態],F$1),
_xlpm.受入+_xlpm.充当受入-_xlpm.払出))</f>
        <v/>
      </c>
      <c r="G162" s="8" t="str">
        <f>IF($B162="","",_xlfn.LET(
_xlpm.受入,SUMIFS(tbl_ledger[数量],tbl_ledger[ロットID],$B162,tbl_ledger[イベント種類],"アセンブリ開始"),
_xlpm.充当受入,SUMIFS(tbl_ledger[数量],tbl_ledger[充当先ロットID],$B162,tbl_ledger[イベント種類],"充当",tbl_ledger[元状態],G$1),
_xlpm.払出,SUMIFS(tbl_ledger[数量],tbl_ledger[ロットID],$B162,tbl_ledger[元状態],G$1),
_xlpm.受入+_xlpm.充当受入-_xlpm.払出))</f>
        <v/>
      </c>
      <c r="H162" s="8" t="str">
        <f>IF($B162="","",_xlfn.LET(
_xlpm.受入,SUMIFS(tbl_ledger[数量],tbl_ledger[ロットID],$B162,tbl_ledger[イベント種類],"アセンブリ完了"),
_xlpm.充当受入,SUMIFS(tbl_ledger[数量],tbl_ledger[充当先ロットID],$B162,tbl_ledger[イベント種類],"充当",tbl_ledger[元状態],H$1),
_xlpm.払出,SUMIFS(tbl_ledger[数量],tbl_ledger[ロットID],$B162,tbl_ledger[元状態],H$1),
_xlpm.受入+_xlpm.充当受入-_xlpm.払出))</f>
        <v/>
      </c>
      <c r="I162" s="8" t="str">
        <f>IF($B162="","",_xlfn.LET(
_xlpm.受入,SUMIFS(tbl_ledger[数量],tbl_ledger[ロットID],$B162,tbl_ledger[イベント種類],"梱包開始"),
_xlpm.充当受入,SUMIFS(tbl_ledger[数量],tbl_ledger[充当先ロットID],$B162,tbl_ledger[イベント種類],"充当",tbl_ledger[元状態],I$1),
_xlpm.払出,SUMIFS(tbl_ledger[数量],tbl_ledger[ロットID],$B162,tbl_ledger[元状態],I$1),
_xlpm.受入+_xlpm.充当受入-_xlpm.払出))</f>
        <v/>
      </c>
      <c r="J162" s="8" t="str">
        <f>IF($B162="","",_xlfn.LET(
_xlpm.受入,SUMIFS(tbl_ledger[数量],tbl_ledger[ロットID],$B162,tbl_ledger[イベント種類],"梱包完了"),
_xlpm.充当受入,SUMIFS(tbl_ledger[数量],tbl_ledger[充当先ロットID],$B162,tbl_ledger[イベント種類],"充当",tbl_ledger[元状態],J$1),
_xlpm.払出,SUMIFS(tbl_ledger[数量],tbl_ledger[ロットID],$B162,tbl_ledger[元状態],J$1),
_xlpm.受入+_xlpm.充当受入-_xlpm.払出))</f>
        <v/>
      </c>
      <c r="K162" s="8" t="str">
        <f>IF($B162="","",_xlfn.LET(
_xlpm.受入,SUMIFS(tbl_ledger[数量],tbl_ledger[ロットID],$B162,tbl_ledger[イベント種類],"発送準備開始"),
_xlpm.充当受入,SUMIFS(tbl_ledger[数量],tbl_ledger[充当先ロットID],$B162,tbl_ledger[イベント種類],"充当",tbl_ledger[元状態],K$1),
_xlpm.払出,SUMIFS(tbl_ledger[数量],tbl_ledger[ロットID],$B162,tbl_ledger[元状態],K$1),
_xlpm.受入+_xlpm.充当受入-_xlpm.払出))</f>
        <v/>
      </c>
      <c r="L162" s="8" t="str">
        <f>IF($B162="","",_xlfn.LET(
_xlpm.受入,SUMIFS(tbl_ledger[数量],tbl_ledger[ロットID],$B162,tbl_ledger[イベント種類],"発送準備完了"),
_xlpm.充当受入,SUMIFS(tbl_ledger[数量],tbl_ledger[充当先ロットID],$B162,tbl_ledger[イベント種類],"充当",tbl_ledger[元状態],L$1),
_xlpm.払出,SUMIFS(tbl_ledger[数量],tbl_ledger[ロットID],$B162,tbl_ledger[元状態],L$1),
_xlpm.受入+_xlpm.充当受入-_xlpm.払出))</f>
        <v/>
      </c>
      <c r="M162" s="8" t="str">
        <f>IF($B162="","",_xlfn.LET(
_xlpm.受入,SUMIFS(tbl_ledger[数量],tbl_ledger[ロットID],$B162,tbl_ledger[イベント種類],"不良発生"),
_xlpm.充当受入,SUMIFS(tbl_ledger[数量],tbl_ledger[充当先ロットID],$B162,tbl_ledger[イベント種類],"充当",tbl_ledger[元状態],M$1),
_xlpm.払出,SUMIFS(tbl_ledger[数量],tbl_ledger[ロットID],$B162,tbl_ledger[元状態],M$1),
_xlpm.受入+_xlpm.充当受入-_xlpm.払出))</f>
        <v/>
      </c>
      <c r="N162" s="8" t="str">
        <f t="shared" si="5"/>
        <v/>
      </c>
    </row>
    <row r="163" spans="1:14" ht="15" customHeight="1" x14ac:dyDescent="0.25">
      <c r="A163" s="4" t="str">
        <f t="shared" si="4"/>
        <v/>
      </c>
      <c r="B163" s="4" t="str">
        <f>IFERROR(IF(COUNTIF($B$1:$B162,INDEX(tbl_plan[ロットID],ROW()-1))&gt;0,"",INDEX(tbl_plan[ロットID],ROW()-1)),"")</f>
        <v/>
      </c>
      <c r="C163" s="4" t="str">
        <f>IF($B163="","",INDEX(tbl_plan[localId],ROW()-1))</f>
        <v/>
      </c>
      <c r="D163" s="8" t="str">
        <f>IF($B163="","",_xlfn.LET(
_xlpm.割当受入,SUMIF(V_充足確認!$A$2:$A$301,$B163,V_充足確認!$F$2:$F$301),
_xlpm.充当受入,SUMIFS(tbl_ledger[数量],tbl_ledger[充当先ロットID],$B163,tbl_ledger[イベント種類],"充当",tbl_ledger[元状態],D$1),
_xlpm.払出,SUMIFS(tbl_ledger[数量],tbl_ledger[ロットID],$B163,tbl_ledger[元状態],D$1),
_xlpm.割当受入+_xlpm.充当受入-_xlpm.払出))</f>
        <v/>
      </c>
      <c r="E163" s="8" t="str">
        <f>IF($B163="","",_xlfn.LET(
_xlpm.受入,SUMIFS(tbl_ledger[数量],tbl_ledger[ロットID],$B163,tbl_ledger[イベント種類],"アニール開始"),
_xlpm.充当受入,SUMIFS(tbl_ledger[数量],tbl_ledger[充当先ロットID],$B163,tbl_ledger[イベント種類],"充当",tbl_ledger[元状態],E$1),
_xlpm.払出,SUMIFS(tbl_ledger[数量],tbl_ledger[ロットID],$B163,tbl_ledger[元状態],E$1),
_xlpm.受入+_xlpm.充当受入-_xlpm.払出))</f>
        <v/>
      </c>
      <c r="F163" s="8" t="str">
        <f>IF($B163="","",_xlfn.LET(
_xlpm.受入,SUMIFS(tbl_ledger[数量],tbl_ledger[ロットID],$B163,tbl_ledger[イベント種類],"アニール完了"),
_xlpm.充当受入,SUMIFS(tbl_ledger[数量],tbl_ledger[充当先ロットID],$B163,tbl_ledger[イベント種類],"充当",tbl_ledger[元状態],F$1),
_xlpm.払出,SUMIFS(tbl_ledger[数量],tbl_ledger[ロットID],$B163,tbl_ledger[元状態],F$1),
_xlpm.受入+_xlpm.充当受入-_xlpm.払出))</f>
        <v/>
      </c>
      <c r="G163" s="8" t="str">
        <f>IF($B163="","",_xlfn.LET(
_xlpm.受入,SUMIFS(tbl_ledger[数量],tbl_ledger[ロットID],$B163,tbl_ledger[イベント種類],"アセンブリ開始"),
_xlpm.充当受入,SUMIFS(tbl_ledger[数量],tbl_ledger[充当先ロットID],$B163,tbl_ledger[イベント種類],"充当",tbl_ledger[元状態],G$1),
_xlpm.払出,SUMIFS(tbl_ledger[数量],tbl_ledger[ロットID],$B163,tbl_ledger[元状態],G$1),
_xlpm.受入+_xlpm.充当受入-_xlpm.払出))</f>
        <v/>
      </c>
      <c r="H163" s="8" t="str">
        <f>IF($B163="","",_xlfn.LET(
_xlpm.受入,SUMIFS(tbl_ledger[数量],tbl_ledger[ロットID],$B163,tbl_ledger[イベント種類],"アセンブリ完了"),
_xlpm.充当受入,SUMIFS(tbl_ledger[数量],tbl_ledger[充当先ロットID],$B163,tbl_ledger[イベント種類],"充当",tbl_ledger[元状態],H$1),
_xlpm.払出,SUMIFS(tbl_ledger[数量],tbl_ledger[ロットID],$B163,tbl_ledger[元状態],H$1),
_xlpm.受入+_xlpm.充当受入-_xlpm.払出))</f>
        <v/>
      </c>
      <c r="I163" s="8" t="str">
        <f>IF($B163="","",_xlfn.LET(
_xlpm.受入,SUMIFS(tbl_ledger[数量],tbl_ledger[ロットID],$B163,tbl_ledger[イベント種類],"梱包開始"),
_xlpm.充当受入,SUMIFS(tbl_ledger[数量],tbl_ledger[充当先ロットID],$B163,tbl_ledger[イベント種類],"充当",tbl_ledger[元状態],I$1),
_xlpm.払出,SUMIFS(tbl_ledger[数量],tbl_ledger[ロットID],$B163,tbl_ledger[元状態],I$1),
_xlpm.受入+_xlpm.充当受入-_xlpm.払出))</f>
        <v/>
      </c>
      <c r="J163" s="8" t="str">
        <f>IF($B163="","",_xlfn.LET(
_xlpm.受入,SUMIFS(tbl_ledger[数量],tbl_ledger[ロットID],$B163,tbl_ledger[イベント種類],"梱包完了"),
_xlpm.充当受入,SUMIFS(tbl_ledger[数量],tbl_ledger[充当先ロットID],$B163,tbl_ledger[イベント種類],"充当",tbl_ledger[元状態],J$1),
_xlpm.払出,SUMIFS(tbl_ledger[数量],tbl_ledger[ロットID],$B163,tbl_ledger[元状態],J$1),
_xlpm.受入+_xlpm.充当受入-_xlpm.払出))</f>
        <v/>
      </c>
      <c r="K163" s="8" t="str">
        <f>IF($B163="","",_xlfn.LET(
_xlpm.受入,SUMIFS(tbl_ledger[数量],tbl_ledger[ロットID],$B163,tbl_ledger[イベント種類],"発送準備開始"),
_xlpm.充当受入,SUMIFS(tbl_ledger[数量],tbl_ledger[充当先ロットID],$B163,tbl_ledger[イベント種類],"充当",tbl_ledger[元状態],K$1),
_xlpm.払出,SUMIFS(tbl_ledger[数量],tbl_ledger[ロットID],$B163,tbl_ledger[元状態],K$1),
_xlpm.受入+_xlpm.充当受入-_xlpm.払出))</f>
        <v/>
      </c>
      <c r="L163" s="8" t="str">
        <f>IF($B163="","",_xlfn.LET(
_xlpm.受入,SUMIFS(tbl_ledger[数量],tbl_ledger[ロットID],$B163,tbl_ledger[イベント種類],"発送準備完了"),
_xlpm.充当受入,SUMIFS(tbl_ledger[数量],tbl_ledger[充当先ロットID],$B163,tbl_ledger[イベント種類],"充当",tbl_ledger[元状態],L$1),
_xlpm.払出,SUMIFS(tbl_ledger[数量],tbl_ledger[ロットID],$B163,tbl_ledger[元状態],L$1),
_xlpm.受入+_xlpm.充当受入-_xlpm.払出))</f>
        <v/>
      </c>
      <c r="M163" s="8" t="str">
        <f>IF($B163="","",_xlfn.LET(
_xlpm.受入,SUMIFS(tbl_ledger[数量],tbl_ledger[ロットID],$B163,tbl_ledger[イベント種類],"不良発生"),
_xlpm.充当受入,SUMIFS(tbl_ledger[数量],tbl_ledger[充当先ロットID],$B163,tbl_ledger[イベント種類],"充当",tbl_ledger[元状態],M$1),
_xlpm.払出,SUMIFS(tbl_ledger[数量],tbl_ledger[ロットID],$B163,tbl_ledger[元状態],M$1),
_xlpm.受入+_xlpm.充当受入-_xlpm.払出))</f>
        <v/>
      </c>
      <c r="N163" s="8" t="str">
        <f t="shared" si="5"/>
        <v/>
      </c>
    </row>
    <row r="164" spans="1:14" ht="15" customHeight="1" x14ac:dyDescent="0.25">
      <c r="A164" s="4" t="str">
        <f t="shared" si="4"/>
        <v/>
      </c>
      <c r="B164" s="4" t="str">
        <f>IFERROR(IF(COUNTIF($B$1:$B163,INDEX(tbl_plan[ロットID],ROW()-1))&gt;0,"",INDEX(tbl_plan[ロットID],ROW()-1)),"")</f>
        <v/>
      </c>
      <c r="C164" s="4" t="str">
        <f>IF($B164="","",INDEX(tbl_plan[localId],ROW()-1))</f>
        <v/>
      </c>
      <c r="D164" s="8" t="str">
        <f>IF($B164="","",_xlfn.LET(
_xlpm.割当受入,SUMIF(V_充足確認!$A$2:$A$301,$B164,V_充足確認!$F$2:$F$301),
_xlpm.充当受入,SUMIFS(tbl_ledger[数量],tbl_ledger[充当先ロットID],$B164,tbl_ledger[イベント種類],"充当",tbl_ledger[元状態],D$1),
_xlpm.払出,SUMIFS(tbl_ledger[数量],tbl_ledger[ロットID],$B164,tbl_ledger[元状態],D$1),
_xlpm.割当受入+_xlpm.充当受入-_xlpm.払出))</f>
        <v/>
      </c>
      <c r="E164" s="8" t="str">
        <f>IF($B164="","",_xlfn.LET(
_xlpm.受入,SUMIFS(tbl_ledger[数量],tbl_ledger[ロットID],$B164,tbl_ledger[イベント種類],"アニール開始"),
_xlpm.充当受入,SUMIFS(tbl_ledger[数量],tbl_ledger[充当先ロットID],$B164,tbl_ledger[イベント種類],"充当",tbl_ledger[元状態],E$1),
_xlpm.払出,SUMIFS(tbl_ledger[数量],tbl_ledger[ロットID],$B164,tbl_ledger[元状態],E$1),
_xlpm.受入+_xlpm.充当受入-_xlpm.払出))</f>
        <v/>
      </c>
      <c r="F164" s="8" t="str">
        <f>IF($B164="","",_xlfn.LET(
_xlpm.受入,SUMIFS(tbl_ledger[数量],tbl_ledger[ロットID],$B164,tbl_ledger[イベント種類],"アニール完了"),
_xlpm.充当受入,SUMIFS(tbl_ledger[数量],tbl_ledger[充当先ロットID],$B164,tbl_ledger[イベント種類],"充当",tbl_ledger[元状態],F$1),
_xlpm.払出,SUMIFS(tbl_ledger[数量],tbl_ledger[ロットID],$B164,tbl_ledger[元状態],F$1),
_xlpm.受入+_xlpm.充当受入-_xlpm.払出))</f>
        <v/>
      </c>
      <c r="G164" s="8" t="str">
        <f>IF($B164="","",_xlfn.LET(
_xlpm.受入,SUMIFS(tbl_ledger[数量],tbl_ledger[ロットID],$B164,tbl_ledger[イベント種類],"アセンブリ開始"),
_xlpm.充当受入,SUMIFS(tbl_ledger[数量],tbl_ledger[充当先ロットID],$B164,tbl_ledger[イベント種類],"充当",tbl_ledger[元状態],G$1),
_xlpm.払出,SUMIFS(tbl_ledger[数量],tbl_ledger[ロットID],$B164,tbl_ledger[元状態],G$1),
_xlpm.受入+_xlpm.充当受入-_xlpm.払出))</f>
        <v/>
      </c>
      <c r="H164" s="8" t="str">
        <f>IF($B164="","",_xlfn.LET(
_xlpm.受入,SUMIFS(tbl_ledger[数量],tbl_ledger[ロットID],$B164,tbl_ledger[イベント種類],"アセンブリ完了"),
_xlpm.充当受入,SUMIFS(tbl_ledger[数量],tbl_ledger[充当先ロットID],$B164,tbl_ledger[イベント種類],"充当",tbl_ledger[元状態],H$1),
_xlpm.払出,SUMIFS(tbl_ledger[数量],tbl_ledger[ロットID],$B164,tbl_ledger[元状態],H$1),
_xlpm.受入+_xlpm.充当受入-_xlpm.払出))</f>
        <v/>
      </c>
      <c r="I164" s="8" t="str">
        <f>IF($B164="","",_xlfn.LET(
_xlpm.受入,SUMIFS(tbl_ledger[数量],tbl_ledger[ロットID],$B164,tbl_ledger[イベント種類],"梱包開始"),
_xlpm.充当受入,SUMIFS(tbl_ledger[数量],tbl_ledger[充当先ロットID],$B164,tbl_ledger[イベント種類],"充当",tbl_ledger[元状態],I$1),
_xlpm.払出,SUMIFS(tbl_ledger[数量],tbl_ledger[ロットID],$B164,tbl_ledger[元状態],I$1),
_xlpm.受入+_xlpm.充当受入-_xlpm.払出))</f>
        <v/>
      </c>
      <c r="J164" s="8" t="str">
        <f>IF($B164="","",_xlfn.LET(
_xlpm.受入,SUMIFS(tbl_ledger[数量],tbl_ledger[ロットID],$B164,tbl_ledger[イベント種類],"梱包完了"),
_xlpm.充当受入,SUMIFS(tbl_ledger[数量],tbl_ledger[充当先ロットID],$B164,tbl_ledger[イベント種類],"充当",tbl_ledger[元状態],J$1),
_xlpm.払出,SUMIFS(tbl_ledger[数量],tbl_ledger[ロットID],$B164,tbl_ledger[元状態],J$1),
_xlpm.受入+_xlpm.充当受入-_xlpm.払出))</f>
        <v/>
      </c>
      <c r="K164" s="8" t="str">
        <f>IF($B164="","",_xlfn.LET(
_xlpm.受入,SUMIFS(tbl_ledger[数量],tbl_ledger[ロットID],$B164,tbl_ledger[イベント種類],"発送準備開始"),
_xlpm.充当受入,SUMIFS(tbl_ledger[数量],tbl_ledger[充当先ロットID],$B164,tbl_ledger[イベント種類],"充当",tbl_ledger[元状態],K$1),
_xlpm.払出,SUMIFS(tbl_ledger[数量],tbl_ledger[ロットID],$B164,tbl_ledger[元状態],K$1),
_xlpm.受入+_xlpm.充当受入-_xlpm.払出))</f>
        <v/>
      </c>
      <c r="L164" s="8" t="str">
        <f>IF($B164="","",_xlfn.LET(
_xlpm.受入,SUMIFS(tbl_ledger[数量],tbl_ledger[ロットID],$B164,tbl_ledger[イベント種類],"発送準備完了"),
_xlpm.充当受入,SUMIFS(tbl_ledger[数量],tbl_ledger[充当先ロットID],$B164,tbl_ledger[イベント種類],"充当",tbl_ledger[元状態],L$1),
_xlpm.払出,SUMIFS(tbl_ledger[数量],tbl_ledger[ロットID],$B164,tbl_ledger[元状態],L$1),
_xlpm.受入+_xlpm.充当受入-_xlpm.払出))</f>
        <v/>
      </c>
      <c r="M164" s="8" t="str">
        <f>IF($B164="","",_xlfn.LET(
_xlpm.受入,SUMIFS(tbl_ledger[数量],tbl_ledger[ロットID],$B164,tbl_ledger[イベント種類],"不良発生"),
_xlpm.充当受入,SUMIFS(tbl_ledger[数量],tbl_ledger[充当先ロットID],$B164,tbl_ledger[イベント種類],"充当",tbl_ledger[元状態],M$1),
_xlpm.払出,SUMIFS(tbl_ledger[数量],tbl_ledger[ロットID],$B164,tbl_ledger[元状態],M$1),
_xlpm.受入+_xlpm.充当受入-_xlpm.払出))</f>
        <v/>
      </c>
      <c r="N164" s="8" t="str">
        <f t="shared" si="5"/>
        <v/>
      </c>
    </row>
    <row r="165" spans="1:14" ht="15" customHeight="1" x14ac:dyDescent="0.25">
      <c r="A165" s="4" t="str">
        <f t="shared" si="4"/>
        <v/>
      </c>
      <c r="B165" s="4" t="str">
        <f>IFERROR(IF(COUNTIF($B$1:$B164,INDEX(tbl_plan[ロットID],ROW()-1))&gt;0,"",INDEX(tbl_plan[ロットID],ROW()-1)),"")</f>
        <v/>
      </c>
      <c r="C165" s="4" t="str">
        <f>IF($B165="","",INDEX(tbl_plan[localId],ROW()-1))</f>
        <v/>
      </c>
      <c r="D165" s="8" t="str">
        <f>IF($B165="","",_xlfn.LET(
_xlpm.割当受入,SUMIF(V_充足確認!$A$2:$A$301,$B165,V_充足確認!$F$2:$F$301),
_xlpm.充当受入,SUMIFS(tbl_ledger[数量],tbl_ledger[充当先ロットID],$B165,tbl_ledger[イベント種類],"充当",tbl_ledger[元状態],D$1),
_xlpm.払出,SUMIFS(tbl_ledger[数量],tbl_ledger[ロットID],$B165,tbl_ledger[元状態],D$1),
_xlpm.割当受入+_xlpm.充当受入-_xlpm.払出))</f>
        <v/>
      </c>
      <c r="E165" s="8" t="str">
        <f>IF($B165="","",_xlfn.LET(
_xlpm.受入,SUMIFS(tbl_ledger[数量],tbl_ledger[ロットID],$B165,tbl_ledger[イベント種類],"アニール開始"),
_xlpm.充当受入,SUMIFS(tbl_ledger[数量],tbl_ledger[充当先ロットID],$B165,tbl_ledger[イベント種類],"充当",tbl_ledger[元状態],E$1),
_xlpm.払出,SUMIFS(tbl_ledger[数量],tbl_ledger[ロットID],$B165,tbl_ledger[元状態],E$1),
_xlpm.受入+_xlpm.充当受入-_xlpm.払出))</f>
        <v/>
      </c>
      <c r="F165" s="8" t="str">
        <f>IF($B165="","",_xlfn.LET(
_xlpm.受入,SUMIFS(tbl_ledger[数量],tbl_ledger[ロットID],$B165,tbl_ledger[イベント種類],"アニール完了"),
_xlpm.充当受入,SUMIFS(tbl_ledger[数量],tbl_ledger[充当先ロットID],$B165,tbl_ledger[イベント種類],"充当",tbl_ledger[元状態],F$1),
_xlpm.払出,SUMIFS(tbl_ledger[数量],tbl_ledger[ロットID],$B165,tbl_ledger[元状態],F$1),
_xlpm.受入+_xlpm.充当受入-_xlpm.払出))</f>
        <v/>
      </c>
      <c r="G165" s="8" t="str">
        <f>IF($B165="","",_xlfn.LET(
_xlpm.受入,SUMIFS(tbl_ledger[数量],tbl_ledger[ロットID],$B165,tbl_ledger[イベント種類],"アセンブリ開始"),
_xlpm.充当受入,SUMIFS(tbl_ledger[数量],tbl_ledger[充当先ロットID],$B165,tbl_ledger[イベント種類],"充当",tbl_ledger[元状態],G$1),
_xlpm.払出,SUMIFS(tbl_ledger[数量],tbl_ledger[ロットID],$B165,tbl_ledger[元状態],G$1),
_xlpm.受入+_xlpm.充当受入-_xlpm.払出))</f>
        <v/>
      </c>
      <c r="H165" s="8" t="str">
        <f>IF($B165="","",_xlfn.LET(
_xlpm.受入,SUMIFS(tbl_ledger[数量],tbl_ledger[ロットID],$B165,tbl_ledger[イベント種類],"アセンブリ完了"),
_xlpm.充当受入,SUMIFS(tbl_ledger[数量],tbl_ledger[充当先ロットID],$B165,tbl_ledger[イベント種類],"充当",tbl_ledger[元状態],H$1),
_xlpm.払出,SUMIFS(tbl_ledger[数量],tbl_ledger[ロットID],$B165,tbl_ledger[元状態],H$1),
_xlpm.受入+_xlpm.充当受入-_xlpm.払出))</f>
        <v/>
      </c>
      <c r="I165" s="8" t="str">
        <f>IF($B165="","",_xlfn.LET(
_xlpm.受入,SUMIFS(tbl_ledger[数量],tbl_ledger[ロットID],$B165,tbl_ledger[イベント種類],"梱包開始"),
_xlpm.充当受入,SUMIFS(tbl_ledger[数量],tbl_ledger[充当先ロットID],$B165,tbl_ledger[イベント種類],"充当",tbl_ledger[元状態],I$1),
_xlpm.払出,SUMIFS(tbl_ledger[数量],tbl_ledger[ロットID],$B165,tbl_ledger[元状態],I$1),
_xlpm.受入+_xlpm.充当受入-_xlpm.払出))</f>
        <v/>
      </c>
      <c r="J165" s="8" t="str">
        <f>IF($B165="","",_xlfn.LET(
_xlpm.受入,SUMIFS(tbl_ledger[数量],tbl_ledger[ロットID],$B165,tbl_ledger[イベント種類],"梱包完了"),
_xlpm.充当受入,SUMIFS(tbl_ledger[数量],tbl_ledger[充当先ロットID],$B165,tbl_ledger[イベント種類],"充当",tbl_ledger[元状態],J$1),
_xlpm.払出,SUMIFS(tbl_ledger[数量],tbl_ledger[ロットID],$B165,tbl_ledger[元状態],J$1),
_xlpm.受入+_xlpm.充当受入-_xlpm.払出))</f>
        <v/>
      </c>
      <c r="K165" s="8" t="str">
        <f>IF($B165="","",_xlfn.LET(
_xlpm.受入,SUMIFS(tbl_ledger[数量],tbl_ledger[ロットID],$B165,tbl_ledger[イベント種類],"発送準備開始"),
_xlpm.充当受入,SUMIFS(tbl_ledger[数量],tbl_ledger[充当先ロットID],$B165,tbl_ledger[イベント種類],"充当",tbl_ledger[元状態],K$1),
_xlpm.払出,SUMIFS(tbl_ledger[数量],tbl_ledger[ロットID],$B165,tbl_ledger[元状態],K$1),
_xlpm.受入+_xlpm.充当受入-_xlpm.払出))</f>
        <v/>
      </c>
      <c r="L165" s="8" t="str">
        <f>IF($B165="","",_xlfn.LET(
_xlpm.受入,SUMIFS(tbl_ledger[数量],tbl_ledger[ロットID],$B165,tbl_ledger[イベント種類],"発送準備完了"),
_xlpm.充当受入,SUMIFS(tbl_ledger[数量],tbl_ledger[充当先ロットID],$B165,tbl_ledger[イベント種類],"充当",tbl_ledger[元状態],L$1),
_xlpm.払出,SUMIFS(tbl_ledger[数量],tbl_ledger[ロットID],$B165,tbl_ledger[元状態],L$1),
_xlpm.受入+_xlpm.充当受入-_xlpm.払出))</f>
        <v/>
      </c>
      <c r="M165" s="8" t="str">
        <f>IF($B165="","",_xlfn.LET(
_xlpm.受入,SUMIFS(tbl_ledger[数量],tbl_ledger[ロットID],$B165,tbl_ledger[イベント種類],"不良発生"),
_xlpm.充当受入,SUMIFS(tbl_ledger[数量],tbl_ledger[充当先ロットID],$B165,tbl_ledger[イベント種類],"充当",tbl_ledger[元状態],M$1),
_xlpm.払出,SUMIFS(tbl_ledger[数量],tbl_ledger[ロットID],$B165,tbl_ledger[元状態],M$1),
_xlpm.受入+_xlpm.充当受入-_xlpm.払出))</f>
        <v/>
      </c>
      <c r="N165" s="8" t="str">
        <f t="shared" si="5"/>
        <v/>
      </c>
    </row>
    <row r="166" spans="1:14" ht="15" customHeight="1" x14ac:dyDescent="0.25">
      <c r="A166" s="4" t="str">
        <f t="shared" si="4"/>
        <v/>
      </c>
      <c r="B166" s="4" t="str">
        <f>IFERROR(IF(COUNTIF($B$1:$B165,INDEX(tbl_plan[ロットID],ROW()-1))&gt;0,"",INDEX(tbl_plan[ロットID],ROW()-1)),"")</f>
        <v/>
      </c>
      <c r="C166" s="4" t="str">
        <f>IF($B166="","",INDEX(tbl_plan[localId],ROW()-1))</f>
        <v/>
      </c>
      <c r="D166" s="8" t="str">
        <f>IF($B166="","",_xlfn.LET(
_xlpm.割当受入,SUMIF(V_充足確認!$A$2:$A$301,$B166,V_充足確認!$F$2:$F$301),
_xlpm.充当受入,SUMIFS(tbl_ledger[数量],tbl_ledger[充当先ロットID],$B166,tbl_ledger[イベント種類],"充当",tbl_ledger[元状態],D$1),
_xlpm.払出,SUMIFS(tbl_ledger[数量],tbl_ledger[ロットID],$B166,tbl_ledger[元状態],D$1),
_xlpm.割当受入+_xlpm.充当受入-_xlpm.払出))</f>
        <v/>
      </c>
      <c r="E166" s="8" t="str">
        <f>IF($B166="","",_xlfn.LET(
_xlpm.受入,SUMIFS(tbl_ledger[数量],tbl_ledger[ロットID],$B166,tbl_ledger[イベント種類],"アニール開始"),
_xlpm.充当受入,SUMIFS(tbl_ledger[数量],tbl_ledger[充当先ロットID],$B166,tbl_ledger[イベント種類],"充当",tbl_ledger[元状態],E$1),
_xlpm.払出,SUMIFS(tbl_ledger[数量],tbl_ledger[ロットID],$B166,tbl_ledger[元状態],E$1),
_xlpm.受入+_xlpm.充当受入-_xlpm.払出))</f>
        <v/>
      </c>
      <c r="F166" s="8" t="str">
        <f>IF($B166="","",_xlfn.LET(
_xlpm.受入,SUMIFS(tbl_ledger[数量],tbl_ledger[ロットID],$B166,tbl_ledger[イベント種類],"アニール完了"),
_xlpm.充当受入,SUMIFS(tbl_ledger[数量],tbl_ledger[充当先ロットID],$B166,tbl_ledger[イベント種類],"充当",tbl_ledger[元状態],F$1),
_xlpm.払出,SUMIFS(tbl_ledger[数量],tbl_ledger[ロットID],$B166,tbl_ledger[元状態],F$1),
_xlpm.受入+_xlpm.充当受入-_xlpm.払出))</f>
        <v/>
      </c>
      <c r="G166" s="8" t="str">
        <f>IF($B166="","",_xlfn.LET(
_xlpm.受入,SUMIFS(tbl_ledger[数量],tbl_ledger[ロットID],$B166,tbl_ledger[イベント種類],"アセンブリ開始"),
_xlpm.充当受入,SUMIFS(tbl_ledger[数量],tbl_ledger[充当先ロットID],$B166,tbl_ledger[イベント種類],"充当",tbl_ledger[元状態],G$1),
_xlpm.払出,SUMIFS(tbl_ledger[数量],tbl_ledger[ロットID],$B166,tbl_ledger[元状態],G$1),
_xlpm.受入+_xlpm.充当受入-_xlpm.払出))</f>
        <v/>
      </c>
      <c r="H166" s="8" t="str">
        <f>IF($B166="","",_xlfn.LET(
_xlpm.受入,SUMIFS(tbl_ledger[数量],tbl_ledger[ロットID],$B166,tbl_ledger[イベント種類],"アセンブリ完了"),
_xlpm.充当受入,SUMIFS(tbl_ledger[数量],tbl_ledger[充当先ロットID],$B166,tbl_ledger[イベント種類],"充当",tbl_ledger[元状態],H$1),
_xlpm.払出,SUMIFS(tbl_ledger[数量],tbl_ledger[ロットID],$B166,tbl_ledger[元状態],H$1),
_xlpm.受入+_xlpm.充当受入-_xlpm.払出))</f>
        <v/>
      </c>
      <c r="I166" s="8" t="str">
        <f>IF($B166="","",_xlfn.LET(
_xlpm.受入,SUMIFS(tbl_ledger[数量],tbl_ledger[ロットID],$B166,tbl_ledger[イベント種類],"梱包開始"),
_xlpm.充当受入,SUMIFS(tbl_ledger[数量],tbl_ledger[充当先ロットID],$B166,tbl_ledger[イベント種類],"充当",tbl_ledger[元状態],I$1),
_xlpm.払出,SUMIFS(tbl_ledger[数量],tbl_ledger[ロットID],$B166,tbl_ledger[元状態],I$1),
_xlpm.受入+_xlpm.充当受入-_xlpm.払出))</f>
        <v/>
      </c>
      <c r="J166" s="8" t="str">
        <f>IF($B166="","",_xlfn.LET(
_xlpm.受入,SUMIFS(tbl_ledger[数量],tbl_ledger[ロットID],$B166,tbl_ledger[イベント種類],"梱包完了"),
_xlpm.充当受入,SUMIFS(tbl_ledger[数量],tbl_ledger[充当先ロットID],$B166,tbl_ledger[イベント種類],"充当",tbl_ledger[元状態],J$1),
_xlpm.払出,SUMIFS(tbl_ledger[数量],tbl_ledger[ロットID],$B166,tbl_ledger[元状態],J$1),
_xlpm.受入+_xlpm.充当受入-_xlpm.払出))</f>
        <v/>
      </c>
      <c r="K166" s="8" t="str">
        <f>IF($B166="","",_xlfn.LET(
_xlpm.受入,SUMIFS(tbl_ledger[数量],tbl_ledger[ロットID],$B166,tbl_ledger[イベント種類],"発送準備開始"),
_xlpm.充当受入,SUMIFS(tbl_ledger[数量],tbl_ledger[充当先ロットID],$B166,tbl_ledger[イベント種類],"充当",tbl_ledger[元状態],K$1),
_xlpm.払出,SUMIFS(tbl_ledger[数量],tbl_ledger[ロットID],$B166,tbl_ledger[元状態],K$1),
_xlpm.受入+_xlpm.充当受入-_xlpm.払出))</f>
        <v/>
      </c>
      <c r="L166" s="8" t="str">
        <f>IF($B166="","",_xlfn.LET(
_xlpm.受入,SUMIFS(tbl_ledger[数量],tbl_ledger[ロットID],$B166,tbl_ledger[イベント種類],"発送準備完了"),
_xlpm.充当受入,SUMIFS(tbl_ledger[数量],tbl_ledger[充当先ロットID],$B166,tbl_ledger[イベント種類],"充当",tbl_ledger[元状態],L$1),
_xlpm.払出,SUMIFS(tbl_ledger[数量],tbl_ledger[ロットID],$B166,tbl_ledger[元状態],L$1),
_xlpm.受入+_xlpm.充当受入-_xlpm.払出))</f>
        <v/>
      </c>
      <c r="M166" s="8" t="str">
        <f>IF($B166="","",_xlfn.LET(
_xlpm.受入,SUMIFS(tbl_ledger[数量],tbl_ledger[ロットID],$B166,tbl_ledger[イベント種類],"不良発生"),
_xlpm.充当受入,SUMIFS(tbl_ledger[数量],tbl_ledger[充当先ロットID],$B166,tbl_ledger[イベント種類],"充当",tbl_ledger[元状態],M$1),
_xlpm.払出,SUMIFS(tbl_ledger[数量],tbl_ledger[ロットID],$B166,tbl_ledger[元状態],M$1),
_xlpm.受入+_xlpm.充当受入-_xlpm.払出))</f>
        <v/>
      </c>
      <c r="N166" s="8" t="str">
        <f t="shared" si="5"/>
        <v/>
      </c>
    </row>
    <row r="167" spans="1:14" ht="15" customHeight="1" x14ac:dyDescent="0.25">
      <c r="A167" s="4" t="str">
        <f t="shared" si="4"/>
        <v/>
      </c>
      <c r="B167" s="4" t="str">
        <f>IFERROR(IF(COUNTIF($B$1:$B166,INDEX(tbl_plan[ロットID],ROW()-1))&gt;0,"",INDEX(tbl_plan[ロットID],ROW()-1)),"")</f>
        <v/>
      </c>
      <c r="C167" s="4" t="str">
        <f>IF($B167="","",INDEX(tbl_plan[localId],ROW()-1))</f>
        <v/>
      </c>
      <c r="D167" s="8" t="str">
        <f>IF($B167="","",_xlfn.LET(
_xlpm.割当受入,SUMIF(V_充足確認!$A$2:$A$301,$B167,V_充足確認!$F$2:$F$301),
_xlpm.充当受入,SUMIFS(tbl_ledger[数量],tbl_ledger[充当先ロットID],$B167,tbl_ledger[イベント種類],"充当",tbl_ledger[元状態],D$1),
_xlpm.払出,SUMIFS(tbl_ledger[数量],tbl_ledger[ロットID],$B167,tbl_ledger[元状態],D$1),
_xlpm.割当受入+_xlpm.充当受入-_xlpm.払出))</f>
        <v/>
      </c>
      <c r="E167" s="8" t="str">
        <f>IF($B167="","",_xlfn.LET(
_xlpm.受入,SUMIFS(tbl_ledger[数量],tbl_ledger[ロットID],$B167,tbl_ledger[イベント種類],"アニール開始"),
_xlpm.充当受入,SUMIFS(tbl_ledger[数量],tbl_ledger[充当先ロットID],$B167,tbl_ledger[イベント種類],"充当",tbl_ledger[元状態],E$1),
_xlpm.払出,SUMIFS(tbl_ledger[数量],tbl_ledger[ロットID],$B167,tbl_ledger[元状態],E$1),
_xlpm.受入+_xlpm.充当受入-_xlpm.払出))</f>
        <v/>
      </c>
      <c r="F167" s="8" t="str">
        <f>IF($B167="","",_xlfn.LET(
_xlpm.受入,SUMIFS(tbl_ledger[数量],tbl_ledger[ロットID],$B167,tbl_ledger[イベント種類],"アニール完了"),
_xlpm.充当受入,SUMIFS(tbl_ledger[数量],tbl_ledger[充当先ロットID],$B167,tbl_ledger[イベント種類],"充当",tbl_ledger[元状態],F$1),
_xlpm.払出,SUMIFS(tbl_ledger[数量],tbl_ledger[ロットID],$B167,tbl_ledger[元状態],F$1),
_xlpm.受入+_xlpm.充当受入-_xlpm.払出))</f>
        <v/>
      </c>
      <c r="G167" s="8" t="str">
        <f>IF($B167="","",_xlfn.LET(
_xlpm.受入,SUMIFS(tbl_ledger[数量],tbl_ledger[ロットID],$B167,tbl_ledger[イベント種類],"アセンブリ開始"),
_xlpm.充当受入,SUMIFS(tbl_ledger[数量],tbl_ledger[充当先ロットID],$B167,tbl_ledger[イベント種類],"充当",tbl_ledger[元状態],G$1),
_xlpm.払出,SUMIFS(tbl_ledger[数量],tbl_ledger[ロットID],$B167,tbl_ledger[元状態],G$1),
_xlpm.受入+_xlpm.充当受入-_xlpm.払出))</f>
        <v/>
      </c>
      <c r="H167" s="8" t="str">
        <f>IF($B167="","",_xlfn.LET(
_xlpm.受入,SUMIFS(tbl_ledger[数量],tbl_ledger[ロットID],$B167,tbl_ledger[イベント種類],"アセンブリ完了"),
_xlpm.充当受入,SUMIFS(tbl_ledger[数量],tbl_ledger[充当先ロットID],$B167,tbl_ledger[イベント種類],"充当",tbl_ledger[元状態],H$1),
_xlpm.払出,SUMIFS(tbl_ledger[数量],tbl_ledger[ロットID],$B167,tbl_ledger[元状態],H$1),
_xlpm.受入+_xlpm.充当受入-_xlpm.払出))</f>
        <v/>
      </c>
      <c r="I167" s="8" t="str">
        <f>IF($B167="","",_xlfn.LET(
_xlpm.受入,SUMIFS(tbl_ledger[数量],tbl_ledger[ロットID],$B167,tbl_ledger[イベント種類],"梱包開始"),
_xlpm.充当受入,SUMIFS(tbl_ledger[数量],tbl_ledger[充当先ロットID],$B167,tbl_ledger[イベント種類],"充当",tbl_ledger[元状態],I$1),
_xlpm.払出,SUMIFS(tbl_ledger[数量],tbl_ledger[ロットID],$B167,tbl_ledger[元状態],I$1),
_xlpm.受入+_xlpm.充当受入-_xlpm.払出))</f>
        <v/>
      </c>
      <c r="J167" s="8" t="str">
        <f>IF($B167="","",_xlfn.LET(
_xlpm.受入,SUMIFS(tbl_ledger[数量],tbl_ledger[ロットID],$B167,tbl_ledger[イベント種類],"梱包完了"),
_xlpm.充当受入,SUMIFS(tbl_ledger[数量],tbl_ledger[充当先ロットID],$B167,tbl_ledger[イベント種類],"充当",tbl_ledger[元状態],J$1),
_xlpm.払出,SUMIFS(tbl_ledger[数量],tbl_ledger[ロットID],$B167,tbl_ledger[元状態],J$1),
_xlpm.受入+_xlpm.充当受入-_xlpm.払出))</f>
        <v/>
      </c>
      <c r="K167" s="8" t="str">
        <f>IF($B167="","",_xlfn.LET(
_xlpm.受入,SUMIFS(tbl_ledger[数量],tbl_ledger[ロットID],$B167,tbl_ledger[イベント種類],"発送準備開始"),
_xlpm.充当受入,SUMIFS(tbl_ledger[数量],tbl_ledger[充当先ロットID],$B167,tbl_ledger[イベント種類],"充当",tbl_ledger[元状態],K$1),
_xlpm.払出,SUMIFS(tbl_ledger[数量],tbl_ledger[ロットID],$B167,tbl_ledger[元状態],K$1),
_xlpm.受入+_xlpm.充当受入-_xlpm.払出))</f>
        <v/>
      </c>
      <c r="L167" s="8" t="str">
        <f>IF($B167="","",_xlfn.LET(
_xlpm.受入,SUMIFS(tbl_ledger[数量],tbl_ledger[ロットID],$B167,tbl_ledger[イベント種類],"発送準備完了"),
_xlpm.充当受入,SUMIFS(tbl_ledger[数量],tbl_ledger[充当先ロットID],$B167,tbl_ledger[イベント種類],"充当",tbl_ledger[元状態],L$1),
_xlpm.払出,SUMIFS(tbl_ledger[数量],tbl_ledger[ロットID],$B167,tbl_ledger[元状態],L$1),
_xlpm.受入+_xlpm.充当受入-_xlpm.払出))</f>
        <v/>
      </c>
      <c r="M167" s="8" t="str">
        <f>IF($B167="","",_xlfn.LET(
_xlpm.受入,SUMIFS(tbl_ledger[数量],tbl_ledger[ロットID],$B167,tbl_ledger[イベント種類],"不良発生"),
_xlpm.充当受入,SUMIFS(tbl_ledger[数量],tbl_ledger[充当先ロットID],$B167,tbl_ledger[イベント種類],"充当",tbl_ledger[元状態],M$1),
_xlpm.払出,SUMIFS(tbl_ledger[数量],tbl_ledger[ロットID],$B167,tbl_ledger[元状態],M$1),
_xlpm.受入+_xlpm.充当受入-_xlpm.払出))</f>
        <v/>
      </c>
      <c r="N167" s="8" t="str">
        <f t="shared" si="5"/>
        <v/>
      </c>
    </row>
    <row r="168" spans="1:14" ht="15" customHeight="1" x14ac:dyDescent="0.25">
      <c r="A168" s="4" t="str">
        <f t="shared" si="4"/>
        <v/>
      </c>
      <c r="B168" s="4" t="str">
        <f>IFERROR(IF(COUNTIF($B$1:$B167,INDEX(tbl_plan[ロットID],ROW()-1))&gt;0,"",INDEX(tbl_plan[ロットID],ROW()-1)),"")</f>
        <v/>
      </c>
      <c r="C168" s="4" t="str">
        <f>IF($B168="","",INDEX(tbl_plan[localId],ROW()-1))</f>
        <v/>
      </c>
      <c r="D168" s="8" t="str">
        <f>IF($B168="","",_xlfn.LET(
_xlpm.割当受入,SUMIF(V_充足確認!$A$2:$A$301,$B168,V_充足確認!$F$2:$F$301),
_xlpm.充当受入,SUMIFS(tbl_ledger[数量],tbl_ledger[充当先ロットID],$B168,tbl_ledger[イベント種類],"充当",tbl_ledger[元状態],D$1),
_xlpm.払出,SUMIFS(tbl_ledger[数量],tbl_ledger[ロットID],$B168,tbl_ledger[元状態],D$1),
_xlpm.割当受入+_xlpm.充当受入-_xlpm.払出))</f>
        <v/>
      </c>
      <c r="E168" s="8" t="str">
        <f>IF($B168="","",_xlfn.LET(
_xlpm.受入,SUMIFS(tbl_ledger[数量],tbl_ledger[ロットID],$B168,tbl_ledger[イベント種類],"アニール開始"),
_xlpm.充当受入,SUMIFS(tbl_ledger[数量],tbl_ledger[充当先ロットID],$B168,tbl_ledger[イベント種類],"充当",tbl_ledger[元状態],E$1),
_xlpm.払出,SUMIFS(tbl_ledger[数量],tbl_ledger[ロットID],$B168,tbl_ledger[元状態],E$1),
_xlpm.受入+_xlpm.充当受入-_xlpm.払出))</f>
        <v/>
      </c>
      <c r="F168" s="8" t="str">
        <f>IF($B168="","",_xlfn.LET(
_xlpm.受入,SUMIFS(tbl_ledger[数量],tbl_ledger[ロットID],$B168,tbl_ledger[イベント種類],"アニール完了"),
_xlpm.充当受入,SUMIFS(tbl_ledger[数量],tbl_ledger[充当先ロットID],$B168,tbl_ledger[イベント種類],"充当",tbl_ledger[元状態],F$1),
_xlpm.払出,SUMIFS(tbl_ledger[数量],tbl_ledger[ロットID],$B168,tbl_ledger[元状態],F$1),
_xlpm.受入+_xlpm.充当受入-_xlpm.払出))</f>
        <v/>
      </c>
      <c r="G168" s="8" t="str">
        <f>IF($B168="","",_xlfn.LET(
_xlpm.受入,SUMIFS(tbl_ledger[数量],tbl_ledger[ロットID],$B168,tbl_ledger[イベント種類],"アセンブリ開始"),
_xlpm.充当受入,SUMIFS(tbl_ledger[数量],tbl_ledger[充当先ロットID],$B168,tbl_ledger[イベント種類],"充当",tbl_ledger[元状態],G$1),
_xlpm.払出,SUMIFS(tbl_ledger[数量],tbl_ledger[ロットID],$B168,tbl_ledger[元状態],G$1),
_xlpm.受入+_xlpm.充当受入-_xlpm.払出))</f>
        <v/>
      </c>
      <c r="H168" s="8" t="str">
        <f>IF($B168="","",_xlfn.LET(
_xlpm.受入,SUMIFS(tbl_ledger[数量],tbl_ledger[ロットID],$B168,tbl_ledger[イベント種類],"アセンブリ完了"),
_xlpm.充当受入,SUMIFS(tbl_ledger[数量],tbl_ledger[充当先ロットID],$B168,tbl_ledger[イベント種類],"充当",tbl_ledger[元状態],H$1),
_xlpm.払出,SUMIFS(tbl_ledger[数量],tbl_ledger[ロットID],$B168,tbl_ledger[元状態],H$1),
_xlpm.受入+_xlpm.充当受入-_xlpm.払出))</f>
        <v/>
      </c>
      <c r="I168" s="8" t="str">
        <f>IF($B168="","",_xlfn.LET(
_xlpm.受入,SUMIFS(tbl_ledger[数量],tbl_ledger[ロットID],$B168,tbl_ledger[イベント種類],"梱包開始"),
_xlpm.充当受入,SUMIFS(tbl_ledger[数量],tbl_ledger[充当先ロットID],$B168,tbl_ledger[イベント種類],"充当",tbl_ledger[元状態],I$1),
_xlpm.払出,SUMIFS(tbl_ledger[数量],tbl_ledger[ロットID],$B168,tbl_ledger[元状態],I$1),
_xlpm.受入+_xlpm.充当受入-_xlpm.払出))</f>
        <v/>
      </c>
      <c r="J168" s="8" t="str">
        <f>IF($B168="","",_xlfn.LET(
_xlpm.受入,SUMIFS(tbl_ledger[数量],tbl_ledger[ロットID],$B168,tbl_ledger[イベント種類],"梱包完了"),
_xlpm.充当受入,SUMIFS(tbl_ledger[数量],tbl_ledger[充当先ロットID],$B168,tbl_ledger[イベント種類],"充当",tbl_ledger[元状態],J$1),
_xlpm.払出,SUMIFS(tbl_ledger[数量],tbl_ledger[ロットID],$B168,tbl_ledger[元状態],J$1),
_xlpm.受入+_xlpm.充当受入-_xlpm.払出))</f>
        <v/>
      </c>
      <c r="K168" s="8" t="str">
        <f>IF($B168="","",_xlfn.LET(
_xlpm.受入,SUMIFS(tbl_ledger[数量],tbl_ledger[ロットID],$B168,tbl_ledger[イベント種類],"発送準備開始"),
_xlpm.充当受入,SUMIFS(tbl_ledger[数量],tbl_ledger[充当先ロットID],$B168,tbl_ledger[イベント種類],"充当",tbl_ledger[元状態],K$1),
_xlpm.払出,SUMIFS(tbl_ledger[数量],tbl_ledger[ロットID],$B168,tbl_ledger[元状態],K$1),
_xlpm.受入+_xlpm.充当受入-_xlpm.払出))</f>
        <v/>
      </c>
      <c r="L168" s="8" t="str">
        <f>IF($B168="","",_xlfn.LET(
_xlpm.受入,SUMIFS(tbl_ledger[数量],tbl_ledger[ロットID],$B168,tbl_ledger[イベント種類],"発送準備完了"),
_xlpm.充当受入,SUMIFS(tbl_ledger[数量],tbl_ledger[充当先ロットID],$B168,tbl_ledger[イベント種類],"充当",tbl_ledger[元状態],L$1),
_xlpm.払出,SUMIFS(tbl_ledger[数量],tbl_ledger[ロットID],$B168,tbl_ledger[元状態],L$1),
_xlpm.受入+_xlpm.充当受入-_xlpm.払出))</f>
        <v/>
      </c>
      <c r="M168" s="8" t="str">
        <f>IF($B168="","",_xlfn.LET(
_xlpm.受入,SUMIFS(tbl_ledger[数量],tbl_ledger[ロットID],$B168,tbl_ledger[イベント種類],"不良発生"),
_xlpm.充当受入,SUMIFS(tbl_ledger[数量],tbl_ledger[充当先ロットID],$B168,tbl_ledger[イベント種類],"充当",tbl_ledger[元状態],M$1),
_xlpm.払出,SUMIFS(tbl_ledger[数量],tbl_ledger[ロットID],$B168,tbl_ledger[元状態],M$1),
_xlpm.受入+_xlpm.充当受入-_xlpm.払出))</f>
        <v/>
      </c>
      <c r="N168" s="8" t="str">
        <f t="shared" si="5"/>
        <v/>
      </c>
    </row>
    <row r="169" spans="1:14" ht="15" customHeight="1" x14ac:dyDescent="0.25">
      <c r="A169" s="4" t="str">
        <f t="shared" si="4"/>
        <v/>
      </c>
      <c r="B169" s="4" t="str">
        <f>IFERROR(IF(COUNTIF($B$1:$B168,INDEX(tbl_plan[ロットID],ROW()-1))&gt;0,"",INDEX(tbl_plan[ロットID],ROW()-1)),"")</f>
        <v/>
      </c>
      <c r="C169" s="4" t="str">
        <f>IF($B169="","",INDEX(tbl_plan[localId],ROW()-1))</f>
        <v/>
      </c>
      <c r="D169" s="8" t="str">
        <f>IF($B169="","",_xlfn.LET(
_xlpm.割当受入,SUMIF(V_充足確認!$A$2:$A$301,$B169,V_充足確認!$F$2:$F$301),
_xlpm.充当受入,SUMIFS(tbl_ledger[数量],tbl_ledger[充当先ロットID],$B169,tbl_ledger[イベント種類],"充当",tbl_ledger[元状態],D$1),
_xlpm.払出,SUMIFS(tbl_ledger[数量],tbl_ledger[ロットID],$B169,tbl_ledger[元状態],D$1),
_xlpm.割当受入+_xlpm.充当受入-_xlpm.払出))</f>
        <v/>
      </c>
      <c r="E169" s="8" t="str">
        <f>IF($B169="","",_xlfn.LET(
_xlpm.受入,SUMIFS(tbl_ledger[数量],tbl_ledger[ロットID],$B169,tbl_ledger[イベント種類],"アニール開始"),
_xlpm.充当受入,SUMIFS(tbl_ledger[数量],tbl_ledger[充当先ロットID],$B169,tbl_ledger[イベント種類],"充当",tbl_ledger[元状態],E$1),
_xlpm.払出,SUMIFS(tbl_ledger[数量],tbl_ledger[ロットID],$B169,tbl_ledger[元状態],E$1),
_xlpm.受入+_xlpm.充当受入-_xlpm.払出))</f>
        <v/>
      </c>
      <c r="F169" s="8" t="str">
        <f>IF($B169="","",_xlfn.LET(
_xlpm.受入,SUMIFS(tbl_ledger[数量],tbl_ledger[ロットID],$B169,tbl_ledger[イベント種類],"アニール完了"),
_xlpm.充当受入,SUMIFS(tbl_ledger[数量],tbl_ledger[充当先ロットID],$B169,tbl_ledger[イベント種類],"充当",tbl_ledger[元状態],F$1),
_xlpm.払出,SUMIFS(tbl_ledger[数量],tbl_ledger[ロットID],$B169,tbl_ledger[元状態],F$1),
_xlpm.受入+_xlpm.充当受入-_xlpm.払出))</f>
        <v/>
      </c>
      <c r="G169" s="8" t="str">
        <f>IF($B169="","",_xlfn.LET(
_xlpm.受入,SUMIFS(tbl_ledger[数量],tbl_ledger[ロットID],$B169,tbl_ledger[イベント種類],"アセンブリ開始"),
_xlpm.充当受入,SUMIFS(tbl_ledger[数量],tbl_ledger[充当先ロットID],$B169,tbl_ledger[イベント種類],"充当",tbl_ledger[元状態],G$1),
_xlpm.払出,SUMIFS(tbl_ledger[数量],tbl_ledger[ロットID],$B169,tbl_ledger[元状態],G$1),
_xlpm.受入+_xlpm.充当受入-_xlpm.払出))</f>
        <v/>
      </c>
      <c r="H169" s="8" t="str">
        <f>IF($B169="","",_xlfn.LET(
_xlpm.受入,SUMIFS(tbl_ledger[数量],tbl_ledger[ロットID],$B169,tbl_ledger[イベント種類],"アセンブリ完了"),
_xlpm.充当受入,SUMIFS(tbl_ledger[数量],tbl_ledger[充当先ロットID],$B169,tbl_ledger[イベント種類],"充当",tbl_ledger[元状態],H$1),
_xlpm.払出,SUMIFS(tbl_ledger[数量],tbl_ledger[ロットID],$B169,tbl_ledger[元状態],H$1),
_xlpm.受入+_xlpm.充当受入-_xlpm.払出))</f>
        <v/>
      </c>
      <c r="I169" s="8" t="str">
        <f>IF($B169="","",_xlfn.LET(
_xlpm.受入,SUMIFS(tbl_ledger[数量],tbl_ledger[ロットID],$B169,tbl_ledger[イベント種類],"梱包開始"),
_xlpm.充当受入,SUMIFS(tbl_ledger[数量],tbl_ledger[充当先ロットID],$B169,tbl_ledger[イベント種類],"充当",tbl_ledger[元状態],I$1),
_xlpm.払出,SUMIFS(tbl_ledger[数量],tbl_ledger[ロットID],$B169,tbl_ledger[元状態],I$1),
_xlpm.受入+_xlpm.充当受入-_xlpm.払出))</f>
        <v/>
      </c>
      <c r="J169" s="8" t="str">
        <f>IF($B169="","",_xlfn.LET(
_xlpm.受入,SUMIFS(tbl_ledger[数量],tbl_ledger[ロットID],$B169,tbl_ledger[イベント種類],"梱包完了"),
_xlpm.充当受入,SUMIFS(tbl_ledger[数量],tbl_ledger[充当先ロットID],$B169,tbl_ledger[イベント種類],"充当",tbl_ledger[元状態],J$1),
_xlpm.払出,SUMIFS(tbl_ledger[数量],tbl_ledger[ロットID],$B169,tbl_ledger[元状態],J$1),
_xlpm.受入+_xlpm.充当受入-_xlpm.払出))</f>
        <v/>
      </c>
      <c r="K169" s="8" t="str">
        <f>IF($B169="","",_xlfn.LET(
_xlpm.受入,SUMIFS(tbl_ledger[数量],tbl_ledger[ロットID],$B169,tbl_ledger[イベント種類],"発送準備開始"),
_xlpm.充当受入,SUMIFS(tbl_ledger[数量],tbl_ledger[充当先ロットID],$B169,tbl_ledger[イベント種類],"充当",tbl_ledger[元状態],K$1),
_xlpm.払出,SUMIFS(tbl_ledger[数量],tbl_ledger[ロットID],$B169,tbl_ledger[元状態],K$1),
_xlpm.受入+_xlpm.充当受入-_xlpm.払出))</f>
        <v/>
      </c>
      <c r="L169" s="8" t="str">
        <f>IF($B169="","",_xlfn.LET(
_xlpm.受入,SUMIFS(tbl_ledger[数量],tbl_ledger[ロットID],$B169,tbl_ledger[イベント種類],"発送準備完了"),
_xlpm.充当受入,SUMIFS(tbl_ledger[数量],tbl_ledger[充当先ロットID],$B169,tbl_ledger[イベント種類],"充当",tbl_ledger[元状態],L$1),
_xlpm.払出,SUMIFS(tbl_ledger[数量],tbl_ledger[ロットID],$B169,tbl_ledger[元状態],L$1),
_xlpm.受入+_xlpm.充当受入-_xlpm.払出))</f>
        <v/>
      </c>
      <c r="M169" s="8" t="str">
        <f>IF($B169="","",_xlfn.LET(
_xlpm.受入,SUMIFS(tbl_ledger[数量],tbl_ledger[ロットID],$B169,tbl_ledger[イベント種類],"不良発生"),
_xlpm.充当受入,SUMIFS(tbl_ledger[数量],tbl_ledger[充当先ロットID],$B169,tbl_ledger[イベント種類],"充当",tbl_ledger[元状態],M$1),
_xlpm.払出,SUMIFS(tbl_ledger[数量],tbl_ledger[ロットID],$B169,tbl_ledger[元状態],M$1),
_xlpm.受入+_xlpm.充当受入-_xlpm.払出))</f>
        <v/>
      </c>
      <c r="N169" s="8" t="str">
        <f t="shared" si="5"/>
        <v/>
      </c>
    </row>
    <row r="170" spans="1:14" ht="15" customHeight="1" x14ac:dyDescent="0.25">
      <c r="A170" s="4" t="str">
        <f t="shared" si="4"/>
        <v/>
      </c>
      <c r="B170" s="4" t="str">
        <f>IFERROR(IF(COUNTIF($B$1:$B169,INDEX(tbl_plan[ロットID],ROW()-1))&gt;0,"",INDEX(tbl_plan[ロットID],ROW()-1)),"")</f>
        <v/>
      </c>
      <c r="C170" s="4" t="str">
        <f>IF($B170="","",INDEX(tbl_plan[localId],ROW()-1))</f>
        <v/>
      </c>
      <c r="D170" s="8" t="str">
        <f>IF($B170="","",_xlfn.LET(
_xlpm.割当受入,SUMIF(V_充足確認!$A$2:$A$301,$B170,V_充足確認!$F$2:$F$301),
_xlpm.充当受入,SUMIFS(tbl_ledger[数量],tbl_ledger[充当先ロットID],$B170,tbl_ledger[イベント種類],"充当",tbl_ledger[元状態],D$1),
_xlpm.払出,SUMIFS(tbl_ledger[数量],tbl_ledger[ロットID],$B170,tbl_ledger[元状態],D$1),
_xlpm.割当受入+_xlpm.充当受入-_xlpm.払出))</f>
        <v/>
      </c>
      <c r="E170" s="8" t="str">
        <f>IF($B170="","",_xlfn.LET(
_xlpm.受入,SUMIFS(tbl_ledger[数量],tbl_ledger[ロットID],$B170,tbl_ledger[イベント種類],"アニール開始"),
_xlpm.充当受入,SUMIFS(tbl_ledger[数量],tbl_ledger[充当先ロットID],$B170,tbl_ledger[イベント種類],"充当",tbl_ledger[元状態],E$1),
_xlpm.払出,SUMIFS(tbl_ledger[数量],tbl_ledger[ロットID],$B170,tbl_ledger[元状態],E$1),
_xlpm.受入+_xlpm.充当受入-_xlpm.払出))</f>
        <v/>
      </c>
      <c r="F170" s="8" t="str">
        <f>IF($B170="","",_xlfn.LET(
_xlpm.受入,SUMIFS(tbl_ledger[数量],tbl_ledger[ロットID],$B170,tbl_ledger[イベント種類],"アニール完了"),
_xlpm.充当受入,SUMIFS(tbl_ledger[数量],tbl_ledger[充当先ロットID],$B170,tbl_ledger[イベント種類],"充当",tbl_ledger[元状態],F$1),
_xlpm.払出,SUMIFS(tbl_ledger[数量],tbl_ledger[ロットID],$B170,tbl_ledger[元状態],F$1),
_xlpm.受入+_xlpm.充当受入-_xlpm.払出))</f>
        <v/>
      </c>
      <c r="G170" s="8" t="str">
        <f>IF($B170="","",_xlfn.LET(
_xlpm.受入,SUMIFS(tbl_ledger[数量],tbl_ledger[ロットID],$B170,tbl_ledger[イベント種類],"アセンブリ開始"),
_xlpm.充当受入,SUMIFS(tbl_ledger[数量],tbl_ledger[充当先ロットID],$B170,tbl_ledger[イベント種類],"充当",tbl_ledger[元状態],G$1),
_xlpm.払出,SUMIFS(tbl_ledger[数量],tbl_ledger[ロットID],$B170,tbl_ledger[元状態],G$1),
_xlpm.受入+_xlpm.充当受入-_xlpm.払出))</f>
        <v/>
      </c>
      <c r="H170" s="8" t="str">
        <f>IF($B170="","",_xlfn.LET(
_xlpm.受入,SUMIFS(tbl_ledger[数量],tbl_ledger[ロットID],$B170,tbl_ledger[イベント種類],"アセンブリ完了"),
_xlpm.充当受入,SUMIFS(tbl_ledger[数量],tbl_ledger[充当先ロットID],$B170,tbl_ledger[イベント種類],"充当",tbl_ledger[元状態],H$1),
_xlpm.払出,SUMIFS(tbl_ledger[数量],tbl_ledger[ロットID],$B170,tbl_ledger[元状態],H$1),
_xlpm.受入+_xlpm.充当受入-_xlpm.払出))</f>
        <v/>
      </c>
      <c r="I170" s="8" t="str">
        <f>IF($B170="","",_xlfn.LET(
_xlpm.受入,SUMIFS(tbl_ledger[数量],tbl_ledger[ロットID],$B170,tbl_ledger[イベント種類],"梱包開始"),
_xlpm.充当受入,SUMIFS(tbl_ledger[数量],tbl_ledger[充当先ロットID],$B170,tbl_ledger[イベント種類],"充当",tbl_ledger[元状態],I$1),
_xlpm.払出,SUMIFS(tbl_ledger[数量],tbl_ledger[ロットID],$B170,tbl_ledger[元状態],I$1),
_xlpm.受入+_xlpm.充当受入-_xlpm.払出))</f>
        <v/>
      </c>
      <c r="J170" s="8" t="str">
        <f>IF($B170="","",_xlfn.LET(
_xlpm.受入,SUMIFS(tbl_ledger[数量],tbl_ledger[ロットID],$B170,tbl_ledger[イベント種類],"梱包完了"),
_xlpm.充当受入,SUMIFS(tbl_ledger[数量],tbl_ledger[充当先ロットID],$B170,tbl_ledger[イベント種類],"充当",tbl_ledger[元状態],J$1),
_xlpm.払出,SUMIFS(tbl_ledger[数量],tbl_ledger[ロットID],$B170,tbl_ledger[元状態],J$1),
_xlpm.受入+_xlpm.充当受入-_xlpm.払出))</f>
        <v/>
      </c>
      <c r="K170" s="8" t="str">
        <f>IF($B170="","",_xlfn.LET(
_xlpm.受入,SUMIFS(tbl_ledger[数量],tbl_ledger[ロットID],$B170,tbl_ledger[イベント種類],"発送準備開始"),
_xlpm.充当受入,SUMIFS(tbl_ledger[数量],tbl_ledger[充当先ロットID],$B170,tbl_ledger[イベント種類],"充当",tbl_ledger[元状態],K$1),
_xlpm.払出,SUMIFS(tbl_ledger[数量],tbl_ledger[ロットID],$B170,tbl_ledger[元状態],K$1),
_xlpm.受入+_xlpm.充当受入-_xlpm.払出))</f>
        <v/>
      </c>
      <c r="L170" s="8" t="str">
        <f>IF($B170="","",_xlfn.LET(
_xlpm.受入,SUMIFS(tbl_ledger[数量],tbl_ledger[ロットID],$B170,tbl_ledger[イベント種類],"発送準備完了"),
_xlpm.充当受入,SUMIFS(tbl_ledger[数量],tbl_ledger[充当先ロットID],$B170,tbl_ledger[イベント種類],"充当",tbl_ledger[元状態],L$1),
_xlpm.払出,SUMIFS(tbl_ledger[数量],tbl_ledger[ロットID],$B170,tbl_ledger[元状態],L$1),
_xlpm.受入+_xlpm.充当受入-_xlpm.払出))</f>
        <v/>
      </c>
      <c r="M170" s="8" t="str">
        <f>IF($B170="","",_xlfn.LET(
_xlpm.受入,SUMIFS(tbl_ledger[数量],tbl_ledger[ロットID],$B170,tbl_ledger[イベント種類],"不良発生"),
_xlpm.充当受入,SUMIFS(tbl_ledger[数量],tbl_ledger[充当先ロットID],$B170,tbl_ledger[イベント種類],"充当",tbl_ledger[元状態],M$1),
_xlpm.払出,SUMIFS(tbl_ledger[数量],tbl_ledger[ロットID],$B170,tbl_ledger[元状態],M$1),
_xlpm.受入+_xlpm.充当受入-_xlpm.払出))</f>
        <v/>
      </c>
      <c r="N170" s="8" t="str">
        <f t="shared" si="5"/>
        <v/>
      </c>
    </row>
    <row r="171" spans="1:14" ht="15" customHeight="1" x14ac:dyDescent="0.25">
      <c r="A171" s="4" t="str">
        <f t="shared" si="4"/>
        <v/>
      </c>
      <c r="B171" s="4" t="str">
        <f>IFERROR(IF(COUNTIF($B$1:$B170,INDEX(tbl_plan[ロットID],ROW()-1))&gt;0,"",INDEX(tbl_plan[ロットID],ROW()-1)),"")</f>
        <v/>
      </c>
      <c r="C171" s="4" t="str">
        <f>IF($B171="","",INDEX(tbl_plan[localId],ROW()-1))</f>
        <v/>
      </c>
      <c r="D171" s="8" t="str">
        <f>IF($B171="","",_xlfn.LET(
_xlpm.割当受入,SUMIF(V_充足確認!$A$2:$A$301,$B171,V_充足確認!$F$2:$F$301),
_xlpm.充当受入,SUMIFS(tbl_ledger[数量],tbl_ledger[充当先ロットID],$B171,tbl_ledger[イベント種類],"充当",tbl_ledger[元状態],D$1),
_xlpm.払出,SUMIFS(tbl_ledger[数量],tbl_ledger[ロットID],$B171,tbl_ledger[元状態],D$1),
_xlpm.割当受入+_xlpm.充当受入-_xlpm.払出))</f>
        <v/>
      </c>
      <c r="E171" s="8" t="str">
        <f>IF($B171="","",_xlfn.LET(
_xlpm.受入,SUMIFS(tbl_ledger[数量],tbl_ledger[ロットID],$B171,tbl_ledger[イベント種類],"アニール開始"),
_xlpm.充当受入,SUMIFS(tbl_ledger[数量],tbl_ledger[充当先ロットID],$B171,tbl_ledger[イベント種類],"充当",tbl_ledger[元状態],E$1),
_xlpm.払出,SUMIFS(tbl_ledger[数量],tbl_ledger[ロットID],$B171,tbl_ledger[元状態],E$1),
_xlpm.受入+_xlpm.充当受入-_xlpm.払出))</f>
        <v/>
      </c>
      <c r="F171" s="8" t="str">
        <f>IF($B171="","",_xlfn.LET(
_xlpm.受入,SUMIFS(tbl_ledger[数量],tbl_ledger[ロットID],$B171,tbl_ledger[イベント種類],"アニール完了"),
_xlpm.充当受入,SUMIFS(tbl_ledger[数量],tbl_ledger[充当先ロットID],$B171,tbl_ledger[イベント種類],"充当",tbl_ledger[元状態],F$1),
_xlpm.払出,SUMIFS(tbl_ledger[数量],tbl_ledger[ロットID],$B171,tbl_ledger[元状態],F$1),
_xlpm.受入+_xlpm.充当受入-_xlpm.払出))</f>
        <v/>
      </c>
      <c r="G171" s="8" t="str">
        <f>IF($B171="","",_xlfn.LET(
_xlpm.受入,SUMIFS(tbl_ledger[数量],tbl_ledger[ロットID],$B171,tbl_ledger[イベント種類],"アセンブリ開始"),
_xlpm.充当受入,SUMIFS(tbl_ledger[数量],tbl_ledger[充当先ロットID],$B171,tbl_ledger[イベント種類],"充当",tbl_ledger[元状態],G$1),
_xlpm.払出,SUMIFS(tbl_ledger[数量],tbl_ledger[ロットID],$B171,tbl_ledger[元状態],G$1),
_xlpm.受入+_xlpm.充当受入-_xlpm.払出))</f>
        <v/>
      </c>
      <c r="H171" s="8" t="str">
        <f>IF($B171="","",_xlfn.LET(
_xlpm.受入,SUMIFS(tbl_ledger[数量],tbl_ledger[ロットID],$B171,tbl_ledger[イベント種類],"アセンブリ完了"),
_xlpm.充当受入,SUMIFS(tbl_ledger[数量],tbl_ledger[充当先ロットID],$B171,tbl_ledger[イベント種類],"充当",tbl_ledger[元状態],H$1),
_xlpm.払出,SUMIFS(tbl_ledger[数量],tbl_ledger[ロットID],$B171,tbl_ledger[元状態],H$1),
_xlpm.受入+_xlpm.充当受入-_xlpm.払出))</f>
        <v/>
      </c>
      <c r="I171" s="8" t="str">
        <f>IF($B171="","",_xlfn.LET(
_xlpm.受入,SUMIFS(tbl_ledger[数量],tbl_ledger[ロットID],$B171,tbl_ledger[イベント種類],"梱包開始"),
_xlpm.充当受入,SUMIFS(tbl_ledger[数量],tbl_ledger[充当先ロットID],$B171,tbl_ledger[イベント種類],"充当",tbl_ledger[元状態],I$1),
_xlpm.払出,SUMIFS(tbl_ledger[数量],tbl_ledger[ロットID],$B171,tbl_ledger[元状態],I$1),
_xlpm.受入+_xlpm.充当受入-_xlpm.払出))</f>
        <v/>
      </c>
      <c r="J171" s="8" t="str">
        <f>IF($B171="","",_xlfn.LET(
_xlpm.受入,SUMIFS(tbl_ledger[数量],tbl_ledger[ロットID],$B171,tbl_ledger[イベント種類],"梱包完了"),
_xlpm.充当受入,SUMIFS(tbl_ledger[数量],tbl_ledger[充当先ロットID],$B171,tbl_ledger[イベント種類],"充当",tbl_ledger[元状態],J$1),
_xlpm.払出,SUMIFS(tbl_ledger[数量],tbl_ledger[ロットID],$B171,tbl_ledger[元状態],J$1),
_xlpm.受入+_xlpm.充当受入-_xlpm.払出))</f>
        <v/>
      </c>
      <c r="K171" s="8" t="str">
        <f>IF($B171="","",_xlfn.LET(
_xlpm.受入,SUMIFS(tbl_ledger[数量],tbl_ledger[ロットID],$B171,tbl_ledger[イベント種類],"発送準備開始"),
_xlpm.充当受入,SUMIFS(tbl_ledger[数量],tbl_ledger[充当先ロットID],$B171,tbl_ledger[イベント種類],"充当",tbl_ledger[元状態],K$1),
_xlpm.払出,SUMIFS(tbl_ledger[数量],tbl_ledger[ロットID],$B171,tbl_ledger[元状態],K$1),
_xlpm.受入+_xlpm.充当受入-_xlpm.払出))</f>
        <v/>
      </c>
      <c r="L171" s="8" t="str">
        <f>IF($B171="","",_xlfn.LET(
_xlpm.受入,SUMIFS(tbl_ledger[数量],tbl_ledger[ロットID],$B171,tbl_ledger[イベント種類],"発送準備完了"),
_xlpm.充当受入,SUMIFS(tbl_ledger[数量],tbl_ledger[充当先ロットID],$B171,tbl_ledger[イベント種類],"充当",tbl_ledger[元状態],L$1),
_xlpm.払出,SUMIFS(tbl_ledger[数量],tbl_ledger[ロットID],$B171,tbl_ledger[元状態],L$1),
_xlpm.受入+_xlpm.充当受入-_xlpm.払出))</f>
        <v/>
      </c>
      <c r="M171" s="8" t="str">
        <f>IF($B171="","",_xlfn.LET(
_xlpm.受入,SUMIFS(tbl_ledger[数量],tbl_ledger[ロットID],$B171,tbl_ledger[イベント種類],"不良発生"),
_xlpm.充当受入,SUMIFS(tbl_ledger[数量],tbl_ledger[充当先ロットID],$B171,tbl_ledger[イベント種類],"充当",tbl_ledger[元状態],M$1),
_xlpm.払出,SUMIFS(tbl_ledger[数量],tbl_ledger[ロットID],$B171,tbl_ledger[元状態],M$1),
_xlpm.受入+_xlpm.充当受入-_xlpm.払出))</f>
        <v/>
      </c>
      <c r="N171" s="8" t="str">
        <f t="shared" si="5"/>
        <v/>
      </c>
    </row>
    <row r="172" spans="1:14" ht="15" customHeight="1" x14ac:dyDescent="0.25">
      <c r="A172" s="4" t="str">
        <f t="shared" si="4"/>
        <v/>
      </c>
      <c r="B172" s="4" t="str">
        <f>IFERROR(IF(COUNTIF($B$1:$B171,INDEX(tbl_plan[ロットID],ROW()-1))&gt;0,"",INDEX(tbl_plan[ロットID],ROW()-1)),"")</f>
        <v/>
      </c>
      <c r="C172" s="4" t="str">
        <f>IF($B172="","",INDEX(tbl_plan[localId],ROW()-1))</f>
        <v/>
      </c>
      <c r="D172" s="8" t="str">
        <f>IF($B172="","",_xlfn.LET(
_xlpm.割当受入,SUMIF(V_充足確認!$A$2:$A$301,$B172,V_充足確認!$F$2:$F$301),
_xlpm.充当受入,SUMIFS(tbl_ledger[数量],tbl_ledger[充当先ロットID],$B172,tbl_ledger[イベント種類],"充当",tbl_ledger[元状態],D$1),
_xlpm.払出,SUMIFS(tbl_ledger[数量],tbl_ledger[ロットID],$B172,tbl_ledger[元状態],D$1),
_xlpm.割当受入+_xlpm.充当受入-_xlpm.払出))</f>
        <v/>
      </c>
      <c r="E172" s="8" t="str">
        <f>IF($B172="","",_xlfn.LET(
_xlpm.受入,SUMIFS(tbl_ledger[数量],tbl_ledger[ロットID],$B172,tbl_ledger[イベント種類],"アニール開始"),
_xlpm.充当受入,SUMIFS(tbl_ledger[数量],tbl_ledger[充当先ロットID],$B172,tbl_ledger[イベント種類],"充当",tbl_ledger[元状態],E$1),
_xlpm.払出,SUMIFS(tbl_ledger[数量],tbl_ledger[ロットID],$B172,tbl_ledger[元状態],E$1),
_xlpm.受入+_xlpm.充当受入-_xlpm.払出))</f>
        <v/>
      </c>
      <c r="F172" s="8" t="str">
        <f>IF($B172="","",_xlfn.LET(
_xlpm.受入,SUMIFS(tbl_ledger[数量],tbl_ledger[ロットID],$B172,tbl_ledger[イベント種類],"アニール完了"),
_xlpm.充当受入,SUMIFS(tbl_ledger[数量],tbl_ledger[充当先ロットID],$B172,tbl_ledger[イベント種類],"充当",tbl_ledger[元状態],F$1),
_xlpm.払出,SUMIFS(tbl_ledger[数量],tbl_ledger[ロットID],$B172,tbl_ledger[元状態],F$1),
_xlpm.受入+_xlpm.充当受入-_xlpm.払出))</f>
        <v/>
      </c>
      <c r="G172" s="8" t="str">
        <f>IF($B172="","",_xlfn.LET(
_xlpm.受入,SUMIFS(tbl_ledger[数量],tbl_ledger[ロットID],$B172,tbl_ledger[イベント種類],"アセンブリ開始"),
_xlpm.充当受入,SUMIFS(tbl_ledger[数量],tbl_ledger[充当先ロットID],$B172,tbl_ledger[イベント種類],"充当",tbl_ledger[元状態],G$1),
_xlpm.払出,SUMIFS(tbl_ledger[数量],tbl_ledger[ロットID],$B172,tbl_ledger[元状態],G$1),
_xlpm.受入+_xlpm.充当受入-_xlpm.払出))</f>
        <v/>
      </c>
      <c r="H172" s="8" t="str">
        <f>IF($B172="","",_xlfn.LET(
_xlpm.受入,SUMIFS(tbl_ledger[数量],tbl_ledger[ロットID],$B172,tbl_ledger[イベント種類],"アセンブリ完了"),
_xlpm.充当受入,SUMIFS(tbl_ledger[数量],tbl_ledger[充当先ロットID],$B172,tbl_ledger[イベント種類],"充当",tbl_ledger[元状態],H$1),
_xlpm.払出,SUMIFS(tbl_ledger[数量],tbl_ledger[ロットID],$B172,tbl_ledger[元状態],H$1),
_xlpm.受入+_xlpm.充当受入-_xlpm.払出))</f>
        <v/>
      </c>
      <c r="I172" s="8" t="str">
        <f>IF($B172="","",_xlfn.LET(
_xlpm.受入,SUMIFS(tbl_ledger[数量],tbl_ledger[ロットID],$B172,tbl_ledger[イベント種類],"梱包開始"),
_xlpm.充当受入,SUMIFS(tbl_ledger[数量],tbl_ledger[充当先ロットID],$B172,tbl_ledger[イベント種類],"充当",tbl_ledger[元状態],I$1),
_xlpm.払出,SUMIFS(tbl_ledger[数量],tbl_ledger[ロットID],$B172,tbl_ledger[元状態],I$1),
_xlpm.受入+_xlpm.充当受入-_xlpm.払出))</f>
        <v/>
      </c>
      <c r="J172" s="8" t="str">
        <f>IF($B172="","",_xlfn.LET(
_xlpm.受入,SUMIFS(tbl_ledger[数量],tbl_ledger[ロットID],$B172,tbl_ledger[イベント種類],"梱包完了"),
_xlpm.充当受入,SUMIFS(tbl_ledger[数量],tbl_ledger[充当先ロットID],$B172,tbl_ledger[イベント種類],"充当",tbl_ledger[元状態],J$1),
_xlpm.払出,SUMIFS(tbl_ledger[数量],tbl_ledger[ロットID],$B172,tbl_ledger[元状態],J$1),
_xlpm.受入+_xlpm.充当受入-_xlpm.払出))</f>
        <v/>
      </c>
      <c r="K172" s="8" t="str">
        <f>IF($B172="","",_xlfn.LET(
_xlpm.受入,SUMIFS(tbl_ledger[数量],tbl_ledger[ロットID],$B172,tbl_ledger[イベント種類],"発送準備開始"),
_xlpm.充当受入,SUMIFS(tbl_ledger[数量],tbl_ledger[充当先ロットID],$B172,tbl_ledger[イベント種類],"充当",tbl_ledger[元状態],K$1),
_xlpm.払出,SUMIFS(tbl_ledger[数量],tbl_ledger[ロットID],$B172,tbl_ledger[元状態],K$1),
_xlpm.受入+_xlpm.充当受入-_xlpm.払出))</f>
        <v/>
      </c>
      <c r="L172" s="8" t="str">
        <f>IF($B172="","",_xlfn.LET(
_xlpm.受入,SUMIFS(tbl_ledger[数量],tbl_ledger[ロットID],$B172,tbl_ledger[イベント種類],"発送準備完了"),
_xlpm.充当受入,SUMIFS(tbl_ledger[数量],tbl_ledger[充当先ロットID],$B172,tbl_ledger[イベント種類],"充当",tbl_ledger[元状態],L$1),
_xlpm.払出,SUMIFS(tbl_ledger[数量],tbl_ledger[ロットID],$B172,tbl_ledger[元状態],L$1),
_xlpm.受入+_xlpm.充当受入-_xlpm.払出))</f>
        <v/>
      </c>
      <c r="M172" s="8" t="str">
        <f>IF($B172="","",_xlfn.LET(
_xlpm.受入,SUMIFS(tbl_ledger[数量],tbl_ledger[ロットID],$B172,tbl_ledger[イベント種類],"不良発生"),
_xlpm.充当受入,SUMIFS(tbl_ledger[数量],tbl_ledger[充当先ロットID],$B172,tbl_ledger[イベント種類],"充当",tbl_ledger[元状態],M$1),
_xlpm.払出,SUMIFS(tbl_ledger[数量],tbl_ledger[ロットID],$B172,tbl_ledger[元状態],M$1),
_xlpm.受入+_xlpm.充当受入-_xlpm.払出))</f>
        <v/>
      </c>
      <c r="N172" s="8" t="str">
        <f t="shared" si="5"/>
        <v/>
      </c>
    </row>
    <row r="173" spans="1:14" ht="15" customHeight="1" x14ac:dyDescent="0.25">
      <c r="A173" s="4" t="str">
        <f t="shared" si="4"/>
        <v/>
      </c>
      <c r="B173" s="4" t="str">
        <f>IFERROR(IF(COUNTIF($B$1:$B172,INDEX(tbl_plan[ロットID],ROW()-1))&gt;0,"",INDEX(tbl_plan[ロットID],ROW()-1)),"")</f>
        <v/>
      </c>
      <c r="C173" s="4" t="str">
        <f>IF($B173="","",INDEX(tbl_plan[localId],ROW()-1))</f>
        <v/>
      </c>
      <c r="D173" s="8" t="str">
        <f>IF($B173="","",_xlfn.LET(
_xlpm.割当受入,SUMIF(V_充足確認!$A$2:$A$301,$B173,V_充足確認!$F$2:$F$301),
_xlpm.充当受入,SUMIFS(tbl_ledger[数量],tbl_ledger[充当先ロットID],$B173,tbl_ledger[イベント種類],"充当",tbl_ledger[元状態],D$1),
_xlpm.払出,SUMIFS(tbl_ledger[数量],tbl_ledger[ロットID],$B173,tbl_ledger[元状態],D$1),
_xlpm.割当受入+_xlpm.充当受入-_xlpm.払出))</f>
        <v/>
      </c>
      <c r="E173" s="8" t="str">
        <f>IF($B173="","",_xlfn.LET(
_xlpm.受入,SUMIFS(tbl_ledger[数量],tbl_ledger[ロットID],$B173,tbl_ledger[イベント種類],"アニール開始"),
_xlpm.充当受入,SUMIFS(tbl_ledger[数量],tbl_ledger[充当先ロットID],$B173,tbl_ledger[イベント種類],"充当",tbl_ledger[元状態],E$1),
_xlpm.払出,SUMIFS(tbl_ledger[数量],tbl_ledger[ロットID],$B173,tbl_ledger[元状態],E$1),
_xlpm.受入+_xlpm.充当受入-_xlpm.払出))</f>
        <v/>
      </c>
      <c r="F173" s="8" t="str">
        <f>IF($B173="","",_xlfn.LET(
_xlpm.受入,SUMIFS(tbl_ledger[数量],tbl_ledger[ロットID],$B173,tbl_ledger[イベント種類],"アニール完了"),
_xlpm.充当受入,SUMIFS(tbl_ledger[数量],tbl_ledger[充当先ロットID],$B173,tbl_ledger[イベント種類],"充当",tbl_ledger[元状態],F$1),
_xlpm.払出,SUMIFS(tbl_ledger[数量],tbl_ledger[ロットID],$B173,tbl_ledger[元状態],F$1),
_xlpm.受入+_xlpm.充当受入-_xlpm.払出))</f>
        <v/>
      </c>
      <c r="G173" s="8" t="str">
        <f>IF($B173="","",_xlfn.LET(
_xlpm.受入,SUMIFS(tbl_ledger[数量],tbl_ledger[ロットID],$B173,tbl_ledger[イベント種類],"アセンブリ開始"),
_xlpm.充当受入,SUMIFS(tbl_ledger[数量],tbl_ledger[充当先ロットID],$B173,tbl_ledger[イベント種類],"充当",tbl_ledger[元状態],G$1),
_xlpm.払出,SUMIFS(tbl_ledger[数量],tbl_ledger[ロットID],$B173,tbl_ledger[元状態],G$1),
_xlpm.受入+_xlpm.充当受入-_xlpm.払出))</f>
        <v/>
      </c>
      <c r="H173" s="8" t="str">
        <f>IF($B173="","",_xlfn.LET(
_xlpm.受入,SUMIFS(tbl_ledger[数量],tbl_ledger[ロットID],$B173,tbl_ledger[イベント種類],"アセンブリ完了"),
_xlpm.充当受入,SUMIFS(tbl_ledger[数量],tbl_ledger[充当先ロットID],$B173,tbl_ledger[イベント種類],"充当",tbl_ledger[元状態],H$1),
_xlpm.払出,SUMIFS(tbl_ledger[数量],tbl_ledger[ロットID],$B173,tbl_ledger[元状態],H$1),
_xlpm.受入+_xlpm.充当受入-_xlpm.払出))</f>
        <v/>
      </c>
      <c r="I173" s="8" t="str">
        <f>IF($B173="","",_xlfn.LET(
_xlpm.受入,SUMIFS(tbl_ledger[数量],tbl_ledger[ロットID],$B173,tbl_ledger[イベント種類],"梱包開始"),
_xlpm.充当受入,SUMIFS(tbl_ledger[数量],tbl_ledger[充当先ロットID],$B173,tbl_ledger[イベント種類],"充当",tbl_ledger[元状態],I$1),
_xlpm.払出,SUMIFS(tbl_ledger[数量],tbl_ledger[ロットID],$B173,tbl_ledger[元状態],I$1),
_xlpm.受入+_xlpm.充当受入-_xlpm.払出))</f>
        <v/>
      </c>
      <c r="J173" s="8" t="str">
        <f>IF($B173="","",_xlfn.LET(
_xlpm.受入,SUMIFS(tbl_ledger[数量],tbl_ledger[ロットID],$B173,tbl_ledger[イベント種類],"梱包完了"),
_xlpm.充当受入,SUMIFS(tbl_ledger[数量],tbl_ledger[充当先ロットID],$B173,tbl_ledger[イベント種類],"充当",tbl_ledger[元状態],J$1),
_xlpm.払出,SUMIFS(tbl_ledger[数量],tbl_ledger[ロットID],$B173,tbl_ledger[元状態],J$1),
_xlpm.受入+_xlpm.充当受入-_xlpm.払出))</f>
        <v/>
      </c>
      <c r="K173" s="8" t="str">
        <f>IF($B173="","",_xlfn.LET(
_xlpm.受入,SUMIFS(tbl_ledger[数量],tbl_ledger[ロットID],$B173,tbl_ledger[イベント種類],"発送準備開始"),
_xlpm.充当受入,SUMIFS(tbl_ledger[数量],tbl_ledger[充当先ロットID],$B173,tbl_ledger[イベント種類],"充当",tbl_ledger[元状態],K$1),
_xlpm.払出,SUMIFS(tbl_ledger[数量],tbl_ledger[ロットID],$B173,tbl_ledger[元状態],K$1),
_xlpm.受入+_xlpm.充当受入-_xlpm.払出))</f>
        <v/>
      </c>
      <c r="L173" s="8" t="str">
        <f>IF($B173="","",_xlfn.LET(
_xlpm.受入,SUMIFS(tbl_ledger[数量],tbl_ledger[ロットID],$B173,tbl_ledger[イベント種類],"発送準備完了"),
_xlpm.充当受入,SUMIFS(tbl_ledger[数量],tbl_ledger[充当先ロットID],$B173,tbl_ledger[イベント種類],"充当",tbl_ledger[元状態],L$1),
_xlpm.払出,SUMIFS(tbl_ledger[数量],tbl_ledger[ロットID],$B173,tbl_ledger[元状態],L$1),
_xlpm.受入+_xlpm.充当受入-_xlpm.払出))</f>
        <v/>
      </c>
      <c r="M173" s="8" t="str">
        <f>IF($B173="","",_xlfn.LET(
_xlpm.受入,SUMIFS(tbl_ledger[数量],tbl_ledger[ロットID],$B173,tbl_ledger[イベント種類],"不良発生"),
_xlpm.充当受入,SUMIFS(tbl_ledger[数量],tbl_ledger[充当先ロットID],$B173,tbl_ledger[イベント種類],"充当",tbl_ledger[元状態],M$1),
_xlpm.払出,SUMIFS(tbl_ledger[数量],tbl_ledger[ロットID],$B173,tbl_ledger[元状態],M$1),
_xlpm.受入+_xlpm.充当受入-_xlpm.払出))</f>
        <v/>
      </c>
      <c r="N173" s="8" t="str">
        <f t="shared" si="5"/>
        <v/>
      </c>
    </row>
    <row r="174" spans="1:14" ht="15" customHeight="1" x14ac:dyDescent="0.25">
      <c r="A174" s="4" t="str">
        <f t="shared" si="4"/>
        <v/>
      </c>
      <c r="B174" s="4" t="str">
        <f>IFERROR(IF(COUNTIF($B$1:$B173,INDEX(tbl_plan[ロットID],ROW()-1))&gt;0,"",INDEX(tbl_plan[ロットID],ROW()-1)),"")</f>
        <v/>
      </c>
      <c r="C174" s="4" t="str">
        <f>IF($B174="","",INDEX(tbl_plan[localId],ROW()-1))</f>
        <v/>
      </c>
      <c r="D174" s="8" t="str">
        <f>IF($B174="","",_xlfn.LET(
_xlpm.割当受入,SUMIF(V_充足確認!$A$2:$A$301,$B174,V_充足確認!$F$2:$F$301),
_xlpm.充当受入,SUMIFS(tbl_ledger[数量],tbl_ledger[充当先ロットID],$B174,tbl_ledger[イベント種類],"充当",tbl_ledger[元状態],D$1),
_xlpm.払出,SUMIFS(tbl_ledger[数量],tbl_ledger[ロットID],$B174,tbl_ledger[元状態],D$1),
_xlpm.割当受入+_xlpm.充当受入-_xlpm.払出))</f>
        <v/>
      </c>
      <c r="E174" s="8" t="str">
        <f>IF($B174="","",_xlfn.LET(
_xlpm.受入,SUMIFS(tbl_ledger[数量],tbl_ledger[ロットID],$B174,tbl_ledger[イベント種類],"アニール開始"),
_xlpm.充当受入,SUMIFS(tbl_ledger[数量],tbl_ledger[充当先ロットID],$B174,tbl_ledger[イベント種類],"充当",tbl_ledger[元状態],E$1),
_xlpm.払出,SUMIFS(tbl_ledger[数量],tbl_ledger[ロットID],$B174,tbl_ledger[元状態],E$1),
_xlpm.受入+_xlpm.充当受入-_xlpm.払出))</f>
        <v/>
      </c>
      <c r="F174" s="8" t="str">
        <f>IF($B174="","",_xlfn.LET(
_xlpm.受入,SUMIFS(tbl_ledger[数量],tbl_ledger[ロットID],$B174,tbl_ledger[イベント種類],"アニール完了"),
_xlpm.充当受入,SUMIFS(tbl_ledger[数量],tbl_ledger[充当先ロットID],$B174,tbl_ledger[イベント種類],"充当",tbl_ledger[元状態],F$1),
_xlpm.払出,SUMIFS(tbl_ledger[数量],tbl_ledger[ロットID],$B174,tbl_ledger[元状態],F$1),
_xlpm.受入+_xlpm.充当受入-_xlpm.払出))</f>
        <v/>
      </c>
      <c r="G174" s="8" t="str">
        <f>IF($B174="","",_xlfn.LET(
_xlpm.受入,SUMIFS(tbl_ledger[数量],tbl_ledger[ロットID],$B174,tbl_ledger[イベント種類],"アセンブリ開始"),
_xlpm.充当受入,SUMIFS(tbl_ledger[数量],tbl_ledger[充当先ロットID],$B174,tbl_ledger[イベント種類],"充当",tbl_ledger[元状態],G$1),
_xlpm.払出,SUMIFS(tbl_ledger[数量],tbl_ledger[ロットID],$B174,tbl_ledger[元状態],G$1),
_xlpm.受入+_xlpm.充当受入-_xlpm.払出))</f>
        <v/>
      </c>
      <c r="H174" s="8" t="str">
        <f>IF($B174="","",_xlfn.LET(
_xlpm.受入,SUMIFS(tbl_ledger[数量],tbl_ledger[ロットID],$B174,tbl_ledger[イベント種類],"アセンブリ完了"),
_xlpm.充当受入,SUMIFS(tbl_ledger[数量],tbl_ledger[充当先ロットID],$B174,tbl_ledger[イベント種類],"充当",tbl_ledger[元状態],H$1),
_xlpm.払出,SUMIFS(tbl_ledger[数量],tbl_ledger[ロットID],$B174,tbl_ledger[元状態],H$1),
_xlpm.受入+_xlpm.充当受入-_xlpm.払出))</f>
        <v/>
      </c>
      <c r="I174" s="8" t="str">
        <f>IF($B174="","",_xlfn.LET(
_xlpm.受入,SUMIFS(tbl_ledger[数量],tbl_ledger[ロットID],$B174,tbl_ledger[イベント種類],"梱包開始"),
_xlpm.充当受入,SUMIFS(tbl_ledger[数量],tbl_ledger[充当先ロットID],$B174,tbl_ledger[イベント種類],"充当",tbl_ledger[元状態],I$1),
_xlpm.払出,SUMIFS(tbl_ledger[数量],tbl_ledger[ロットID],$B174,tbl_ledger[元状態],I$1),
_xlpm.受入+_xlpm.充当受入-_xlpm.払出))</f>
        <v/>
      </c>
      <c r="J174" s="8" t="str">
        <f>IF($B174="","",_xlfn.LET(
_xlpm.受入,SUMIFS(tbl_ledger[数量],tbl_ledger[ロットID],$B174,tbl_ledger[イベント種類],"梱包完了"),
_xlpm.充当受入,SUMIFS(tbl_ledger[数量],tbl_ledger[充当先ロットID],$B174,tbl_ledger[イベント種類],"充当",tbl_ledger[元状態],J$1),
_xlpm.払出,SUMIFS(tbl_ledger[数量],tbl_ledger[ロットID],$B174,tbl_ledger[元状態],J$1),
_xlpm.受入+_xlpm.充当受入-_xlpm.払出))</f>
        <v/>
      </c>
      <c r="K174" s="8" t="str">
        <f>IF($B174="","",_xlfn.LET(
_xlpm.受入,SUMIFS(tbl_ledger[数量],tbl_ledger[ロットID],$B174,tbl_ledger[イベント種類],"発送準備開始"),
_xlpm.充当受入,SUMIFS(tbl_ledger[数量],tbl_ledger[充当先ロットID],$B174,tbl_ledger[イベント種類],"充当",tbl_ledger[元状態],K$1),
_xlpm.払出,SUMIFS(tbl_ledger[数量],tbl_ledger[ロットID],$B174,tbl_ledger[元状態],K$1),
_xlpm.受入+_xlpm.充当受入-_xlpm.払出))</f>
        <v/>
      </c>
      <c r="L174" s="8" t="str">
        <f>IF($B174="","",_xlfn.LET(
_xlpm.受入,SUMIFS(tbl_ledger[数量],tbl_ledger[ロットID],$B174,tbl_ledger[イベント種類],"発送準備完了"),
_xlpm.充当受入,SUMIFS(tbl_ledger[数量],tbl_ledger[充当先ロットID],$B174,tbl_ledger[イベント種類],"充当",tbl_ledger[元状態],L$1),
_xlpm.払出,SUMIFS(tbl_ledger[数量],tbl_ledger[ロットID],$B174,tbl_ledger[元状態],L$1),
_xlpm.受入+_xlpm.充当受入-_xlpm.払出))</f>
        <v/>
      </c>
      <c r="M174" s="8" t="str">
        <f>IF($B174="","",_xlfn.LET(
_xlpm.受入,SUMIFS(tbl_ledger[数量],tbl_ledger[ロットID],$B174,tbl_ledger[イベント種類],"不良発生"),
_xlpm.充当受入,SUMIFS(tbl_ledger[数量],tbl_ledger[充当先ロットID],$B174,tbl_ledger[イベント種類],"充当",tbl_ledger[元状態],M$1),
_xlpm.払出,SUMIFS(tbl_ledger[数量],tbl_ledger[ロットID],$B174,tbl_ledger[元状態],M$1),
_xlpm.受入+_xlpm.充当受入-_xlpm.払出))</f>
        <v/>
      </c>
      <c r="N174" s="8" t="str">
        <f t="shared" si="5"/>
        <v/>
      </c>
    </row>
    <row r="175" spans="1:14" ht="15" customHeight="1" x14ac:dyDescent="0.25">
      <c r="A175" s="4" t="str">
        <f t="shared" si="4"/>
        <v/>
      </c>
      <c r="B175" s="4" t="str">
        <f>IFERROR(IF(COUNTIF($B$1:$B174,INDEX(tbl_plan[ロットID],ROW()-1))&gt;0,"",INDEX(tbl_plan[ロットID],ROW()-1)),"")</f>
        <v/>
      </c>
      <c r="C175" s="4" t="str">
        <f>IF($B175="","",INDEX(tbl_plan[localId],ROW()-1))</f>
        <v/>
      </c>
      <c r="D175" s="8" t="str">
        <f>IF($B175="","",_xlfn.LET(
_xlpm.割当受入,SUMIF(V_充足確認!$A$2:$A$301,$B175,V_充足確認!$F$2:$F$301),
_xlpm.充当受入,SUMIFS(tbl_ledger[数量],tbl_ledger[充当先ロットID],$B175,tbl_ledger[イベント種類],"充当",tbl_ledger[元状態],D$1),
_xlpm.払出,SUMIFS(tbl_ledger[数量],tbl_ledger[ロットID],$B175,tbl_ledger[元状態],D$1),
_xlpm.割当受入+_xlpm.充当受入-_xlpm.払出))</f>
        <v/>
      </c>
      <c r="E175" s="8" t="str">
        <f>IF($B175="","",_xlfn.LET(
_xlpm.受入,SUMIFS(tbl_ledger[数量],tbl_ledger[ロットID],$B175,tbl_ledger[イベント種類],"アニール開始"),
_xlpm.充当受入,SUMIFS(tbl_ledger[数量],tbl_ledger[充当先ロットID],$B175,tbl_ledger[イベント種類],"充当",tbl_ledger[元状態],E$1),
_xlpm.払出,SUMIFS(tbl_ledger[数量],tbl_ledger[ロットID],$B175,tbl_ledger[元状態],E$1),
_xlpm.受入+_xlpm.充当受入-_xlpm.払出))</f>
        <v/>
      </c>
      <c r="F175" s="8" t="str">
        <f>IF($B175="","",_xlfn.LET(
_xlpm.受入,SUMIFS(tbl_ledger[数量],tbl_ledger[ロットID],$B175,tbl_ledger[イベント種類],"アニール完了"),
_xlpm.充当受入,SUMIFS(tbl_ledger[数量],tbl_ledger[充当先ロットID],$B175,tbl_ledger[イベント種類],"充当",tbl_ledger[元状態],F$1),
_xlpm.払出,SUMIFS(tbl_ledger[数量],tbl_ledger[ロットID],$B175,tbl_ledger[元状態],F$1),
_xlpm.受入+_xlpm.充当受入-_xlpm.払出))</f>
        <v/>
      </c>
      <c r="G175" s="8" t="str">
        <f>IF($B175="","",_xlfn.LET(
_xlpm.受入,SUMIFS(tbl_ledger[数量],tbl_ledger[ロットID],$B175,tbl_ledger[イベント種類],"アセンブリ開始"),
_xlpm.充当受入,SUMIFS(tbl_ledger[数量],tbl_ledger[充当先ロットID],$B175,tbl_ledger[イベント種類],"充当",tbl_ledger[元状態],G$1),
_xlpm.払出,SUMIFS(tbl_ledger[数量],tbl_ledger[ロットID],$B175,tbl_ledger[元状態],G$1),
_xlpm.受入+_xlpm.充当受入-_xlpm.払出))</f>
        <v/>
      </c>
      <c r="H175" s="8" t="str">
        <f>IF($B175="","",_xlfn.LET(
_xlpm.受入,SUMIFS(tbl_ledger[数量],tbl_ledger[ロットID],$B175,tbl_ledger[イベント種類],"アセンブリ完了"),
_xlpm.充当受入,SUMIFS(tbl_ledger[数量],tbl_ledger[充当先ロットID],$B175,tbl_ledger[イベント種類],"充当",tbl_ledger[元状態],H$1),
_xlpm.払出,SUMIFS(tbl_ledger[数量],tbl_ledger[ロットID],$B175,tbl_ledger[元状態],H$1),
_xlpm.受入+_xlpm.充当受入-_xlpm.払出))</f>
        <v/>
      </c>
      <c r="I175" s="8" t="str">
        <f>IF($B175="","",_xlfn.LET(
_xlpm.受入,SUMIFS(tbl_ledger[数量],tbl_ledger[ロットID],$B175,tbl_ledger[イベント種類],"梱包開始"),
_xlpm.充当受入,SUMIFS(tbl_ledger[数量],tbl_ledger[充当先ロットID],$B175,tbl_ledger[イベント種類],"充当",tbl_ledger[元状態],I$1),
_xlpm.払出,SUMIFS(tbl_ledger[数量],tbl_ledger[ロットID],$B175,tbl_ledger[元状態],I$1),
_xlpm.受入+_xlpm.充当受入-_xlpm.払出))</f>
        <v/>
      </c>
      <c r="J175" s="8" t="str">
        <f>IF($B175="","",_xlfn.LET(
_xlpm.受入,SUMIFS(tbl_ledger[数量],tbl_ledger[ロットID],$B175,tbl_ledger[イベント種類],"梱包完了"),
_xlpm.充当受入,SUMIFS(tbl_ledger[数量],tbl_ledger[充当先ロットID],$B175,tbl_ledger[イベント種類],"充当",tbl_ledger[元状態],J$1),
_xlpm.払出,SUMIFS(tbl_ledger[数量],tbl_ledger[ロットID],$B175,tbl_ledger[元状態],J$1),
_xlpm.受入+_xlpm.充当受入-_xlpm.払出))</f>
        <v/>
      </c>
      <c r="K175" s="8" t="str">
        <f>IF($B175="","",_xlfn.LET(
_xlpm.受入,SUMIFS(tbl_ledger[数量],tbl_ledger[ロットID],$B175,tbl_ledger[イベント種類],"発送準備開始"),
_xlpm.充当受入,SUMIFS(tbl_ledger[数量],tbl_ledger[充当先ロットID],$B175,tbl_ledger[イベント種類],"充当",tbl_ledger[元状態],K$1),
_xlpm.払出,SUMIFS(tbl_ledger[数量],tbl_ledger[ロットID],$B175,tbl_ledger[元状態],K$1),
_xlpm.受入+_xlpm.充当受入-_xlpm.払出))</f>
        <v/>
      </c>
      <c r="L175" s="8" t="str">
        <f>IF($B175="","",_xlfn.LET(
_xlpm.受入,SUMIFS(tbl_ledger[数量],tbl_ledger[ロットID],$B175,tbl_ledger[イベント種類],"発送準備完了"),
_xlpm.充当受入,SUMIFS(tbl_ledger[数量],tbl_ledger[充当先ロットID],$B175,tbl_ledger[イベント種類],"充当",tbl_ledger[元状態],L$1),
_xlpm.払出,SUMIFS(tbl_ledger[数量],tbl_ledger[ロットID],$B175,tbl_ledger[元状態],L$1),
_xlpm.受入+_xlpm.充当受入-_xlpm.払出))</f>
        <v/>
      </c>
      <c r="M175" s="8" t="str">
        <f>IF($B175="","",_xlfn.LET(
_xlpm.受入,SUMIFS(tbl_ledger[数量],tbl_ledger[ロットID],$B175,tbl_ledger[イベント種類],"不良発生"),
_xlpm.充当受入,SUMIFS(tbl_ledger[数量],tbl_ledger[充当先ロットID],$B175,tbl_ledger[イベント種類],"充当",tbl_ledger[元状態],M$1),
_xlpm.払出,SUMIFS(tbl_ledger[数量],tbl_ledger[ロットID],$B175,tbl_ledger[元状態],M$1),
_xlpm.受入+_xlpm.充当受入-_xlpm.払出))</f>
        <v/>
      </c>
      <c r="N175" s="8" t="str">
        <f t="shared" si="5"/>
        <v/>
      </c>
    </row>
    <row r="176" spans="1:14" ht="15" customHeight="1" x14ac:dyDescent="0.25">
      <c r="A176" s="4" t="str">
        <f t="shared" si="4"/>
        <v/>
      </c>
      <c r="B176" s="4" t="str">
        <f>IFERROR(IF(COUNTIF($B$1:$B175,INDEX(tbl_plan[ロットID],ROW()-1))&gt;0,"",INDEX(tbl_plan[ロットID],ROW()-1)),"")</f>
        <v/>
      </c>
      <c r="C176" s="4" t="str">
        <f>IF($B176="","",INDEX(tbl_plan[localId],ROW()-1))</f>
        <v/>
      </c>
      <c r="D176" s="8" t="str">
        <f>IF($B176="","",_xlfn.LET(
_xlpm.割当受入,SUMIF(V_充足確認!$A$2:$A$301,$B176,V_充足確認!$F$2:$F$301),
_xlpm.充当受入,SUMIFS(tbl_ledger[数量],tbl_ledger[充当先ロットID],$B176,tbl_ledger[イベント種類],"充当",tbl_ledger[元状態],D$1),
_xlpm.払出,SUMIFS(tbl_ledger[数量],tbl_ledger[ロットID],$B176,tbl_ledger[元状態],D$1),
_xlpm.割当受入+_xlpm.充当受入-_xlpm.払出))</f>
        <v/>
      </c>
      <c r="E176" s="8" t="str">
        <f>IF($B176="","",_xlfn.LET(
_xlpm.受入,SUMIFS(tbl_ledger[数量],tbl_ledger[ロットID],$B176,tbl_ledger[イベント種類],"アニール開始"),
_xlpm.充当受入,SUMIFS(tbl_ledger[数量],tbl_ledger[充当先ロットID],$B176,tbl_ledger[イベント種類],"充当",tbl_ledger[元状態],E$1),
_xlpm.払出,SUMIFS(tbl_ledger[数量],tbl_ledger[ロットID],$B176,tbl_ledger[元状態],E$1),
_xlpm.受入+_xlpm.充当受入-_xlpm.払出))</f>
        <v/>
      </c>
      <c r="F176" s="8" t="str">
        <f>IF($B176="","",_xlfn.LET(
_xlpm.受入,SUMIFS(tbl_ledger[数量],tbl_ledger[ロットID],$B176,tbl_ledger[イベント種類],"アニール完了"),
_xlpm.充当受入,SUMIFS(tbl_ledger[数量],tbl_ledger[充当先ロットID],$B176,tbl_ledger[イベント種類],"充当",tbl_ledger[元状態],F$1),
_xlpm.払出,SUMIFS(tbl_ledger[数量],tbl_ledger[ロットID],$B176,tbl_ledger[元状態],F$1),
_xlpm.受入+_xlpm.充当受入-_xlpm.払出))</f>
        <v/>
      </c>
      <c r="G176" s="8" t="str">
        <f>IF($B176="","",_xlfn.LET(
_xlpm.受入,SUMIFS(tbl_ledger[数量],tbl_ledger[ロットID],$B176,tbl_ledger[イベント種類],"アセンブリ開始"),
_xlpm.充当受入,SUMIFS(tbl_ledger[数量],tbl_ledger[充当先ロットID],$B176,tbl_ledger[イベント種類],"充当",tbl_ledger[元状態],G$1),
_xlpm.払出,SUMIFS(tbl_ledger[数量],tbl_ledger[ロットID],$B176,tbl_ledger[元状態],G$1),
_xlpm.受入+_xlpm.充当受入-_xlpm.払出))</f>
        <v/>
      </c>
      <c r="H176" s="8" t="str">
        <f>IF($B176="","",_xlfn.LET(
_xlpm.受入,SUMIFS(tbl_ledger[数量],tbl_ledger[ロットID],$B176,tbl_ledger[イベント種類],"アセンブリ完了"),
_xlpm.充当受入,SUMIFS(tbl_ledger[数量],tbl_ledger[充当先ロットID],$B176,tbl_ledger[イベント種類],"充当",tbl_ledger[元状態],H$1),
_xlpm.払出,SUMIFS(tbl_ledger[数量],tbl_ledger[ロットID],$B176,tbl_ledger[元状態],H$1),
_xlpm.受入+_xlpm.充当受入-_xlpm.払出))</f>
        <v/>
      </c>
      <c r="I176" s="8" t="str">
        <f>IF($B176="","",_xlfn.LET(
_xlpm.受入,SUMIFS(tbl_ledger[数量],tbl_ledger[ロットID],$B176,tbl_ledger[イベント種類],"梱包開始"),
_xlpm.充当受入,SUMIFS(tbl_ledger[数量],tbl_ledger[充当先ロットID],$B176,tbl_ledger[イベント種類],"充当",tbl_ledger[元状態],I$1),
_xlpm.払出,SUMIFS(tbl_ledger[数量],tbl_ledger[ロットID],$B176,tbl_ledger[元状態],I$1),
_xlpm.受入+_xlpm.充当受入-_xlpm.払出))</f>
        <v/>
      </c>
      <c r="J176" s="8" t="str">
        <f>IF($B176="","",_xlfn.LET(
_xlpm.受入,SUMIFS(tbl_ledger[数量],tbl_ledger[ロットID],$B176,tbl_ledger[イベント種類],"梱包完了"),
_xlpm.充当受入,SUMIFS(tbl_ledger[数量],tbl_ledger[充当先ロットID],$B176,tbl_ledger[イベント種類],"充当",tbl_ledger[元状態],J$1),
_xlpm.払出,SUMIFS(tbl_ledger[数量],tbl_ledger[ロットID],$B176,tbl_ledger[元状態],J$1),
_xlpm.受入+_xlpm.充当受入-_xlpm.払出))</f>
        <v/>
      </c>
      <c r="K176" s="8" t="str">
        <f>IF($B176="","",_xlfn.LET(
_xlpm.受入,SUMIFS(tbl_ledger[数量],tbl_ledger[ロットID],$B176,tbl_ledger[イベント種類],"発送準備開始"),
_xlpm.充当受入,SUMIFS(tbl_ledger[数量],tbl_ledger[充当先ロットID],$B176,tbl_ledger[イベント種類],"充当",tbl_ledger[元状態],K$1),
_xlpm.払出,SUMIFS(tbl_ledger[数量],tbl_ledger[ロットID],$B176,tbl_ledger[元状態],K$1),
_xlpm.受入+_xlpm.充当受入-_xlpm.払出))</f>
        <v/>
      </c>
      <c r="L176" s="8" t="str">
        <f>IF($B176="","",_xlfn.LET(
_xlpm.受入,SUMIFS(tbl_ledger[数量],tbl_ledger[ロットID],$B176,tbl_ledger[イベント種類],"発送準備完了"),
_xlpm.充当受入,SUMIFS(tbl_ledger[数量],tbl_ledger[充当先ロットID],$B176,tbl_ledger[イベント種類],"充当",tbl_ledger[元状態],L$1),
_xlpm.払出,SUMIFS(tbl_ledger[数量],tbl_ledger[ロットID],$B176,tbl_ledger[元状態],L$1),
_xlpm.受入+_xlpm.充当受入-_xlpm.払出))</f>
        <v/>
      </c>
      <c r="M176" s="8" t="str">
        <f>IF($B176="","",_xlfn.LET(
_xlpm.受入,SUMIFS(tbl_ledger[数量],tbl_ledger[ロットID],$B176,tbl_ledger[イベント種類],"不良発生"),
_xlpm.充当受入,SUMIFS(tbl_ledger[数量],tbl_ledger[充当先ロットID],$B176,tbl_ledger[イベント種類],"充当",tbl_ledger[元状態],M$1),
_xlpm.払出,SUMIFS(tbl_ledger[数量],tbl_ledger[ロットID],$B176,tbl_ledger[元状態],M$1),
_xlpm.受入+_xlpm.充当受入-_xlpm.払出))</f>
        <v/>
      </c>
      <c r="N176" s="8" t="str">
        <f t="shared" si="5"/>
        <v/>
      </c>
    </row>
    <row r="177" spans="1:14" ht="15" customHeight="1" x14ac:dyDescent="0.25">
      <c r="A177" s="4" t="str">
        <f t="shared" si="4"/>
        <v/>
      </c>
      <c r="B177" s="4" t="str">
        <f>IFERROR(IF(COUNTIF($B$1:$B176,INDEX(tbl_plan[ロットID],ROW()-1))&gt;0,"",INDEX(tbl_plan[ロットID],ROW()-1)),"")</f>
        <v/>
      </c>
      <c r="C177" s="4" t="str">
        <f>IF($B177="","",INDEX(tbl_plan[localId],ROW()-1))</f>
        <v/>
      </c>
      <c r="D177" s="8" t="str">
        <f>IF($B177="","",_xlfn.LET(
_xlpm.割当受入,SUMIF(V_充足確認!$A$2:$A$301,$B177,V_充足確認!$F$2:$F$301),
_xlpm.充当受入,SUMIFS(tbl_ledger[数量],tbl_ledger[充当先ロットID],$B177,tbl_ledger[イベント種類],"充当",tbl_ledger[元状態],D$1),
_xlpm.払出,SUMIFS(tbl_ledger[数量],tbl_ledger[ロットID],$B177,tbl_ledger[元状態],D$1),
_xlpm.割当受入+_xlpm.充当受入-_xlpm.払出))</f>
        <v/>
      </c>
      <c r="E177" s="8" t="str">
        <f>IF($B177="","",_xlfn.LET(
_xlpm.受入,SUMIFS(tbl_ledger[数量],tbl_ledger[ロットID],$B177,tbl_ledger[イベント種類],"アニール開始"),
_xlpm.充当受入,SUMIFS(tbl_ledger[数量],tbl_ledger[充当先ロットID],$B177,tbl_ledger[イベント種類],"充当",tbl_ledger[元状態],E$1),
_xlpm.払出,SUMIFS(tbl_ledger[数量],tbl_ledger[ロットID],$B177,tbl_ledger[元状態],E$1),
_xlpm.受入+_xlpm.充当受入-_xlpm.払出))</f>
        <v/>
      </c>
      <c r="F177" s="8" t="str">
        <f>IF($B177="","",_xlfn.LET(
_xlpm.受入,SUMIFS(tbl_ledger[数量],tbl_ledger[ロットID],$B177,tbl_ledger[イベント種類],"アニール完了"),
_xlpm.充当受入,SUMIFS(tbl_ledger[数量],tbl_ledger[充当先ロットID],$B177,tbl_ledger[イベント種類],"充当",tbl_ledger[元状態],F$1),
_xlpm.払出,SUMIFS(tbl_ledger[数量],tbl_ledger[ロットID],$B177,tbl_ledger[元状態],F$1),
_xlpm.受入+_xlpm.充当受入-_xlpm.払出))</f>
        <v/>
      </c>
      <c r="G177" s="8" t="str">
        <f>IF($B177="","",_xlfn.LET(
_xlpm.受入,SUMIFS(tbl_ledger[数量],tbl_ledger[ロットID],$B177,tbl_ledger[イベント種類],"アセンブリ開始"),
_xlpm.充当受入,SUMIFS(tbl_ledger[数量],tbl_ledger[充当先ロットID],$B177,tbl_ledger[イベント種類],"充当",tbl_ledger[元状態],G$1),
_xlpm.払出,SUMIFS(tbl_ledger[数量],tbl_ledger[ロットID],$B177,tbl_ledger[元状態],G$1),
_xlpm.受入+_xlpm.充当受入-_xlpm.払出))</f>
        <v/>
      </c>
      <c r="H177" s="8" t="str">
        <f>IF($B177="","",_xlfn.LET(
_xlpm.受入,SUMIFS(tbl_ledger[数量],tbl_ledger[ロットID],$B177,tbl_ledger[イベント種類],"アセンブリ完了"),
_xlpm.充当受入,SUMIFS(tbl_ledger[数量],tbl_ledger[充当先ロットID],$B177,tbl_ledger[イベント種類],"充当",tbl_ledger[元状態],H$1),
_xlpm.払出,SUMIFS(tbl_ledger[数量],tbl_ledger[ロットID],$B177,tbl_ledger[元状態],H$1),
_xlpm.受入+_xlpm.充当受入-_xlpm.払出))</f>
        <v/>
      </c>
      <c r="I177" s="8" t="str">
        <f>IF($B177="","",_xlfn.LET(
_xlpm.受入,SUMIFS(tbl_ledger[数量],tbl_ledger[ロットID],$B177,tbl_ledger[イベント種類],"梱包開始"),
_xlpm.充当受入,SUMIFS(tbl_ledger[数量],tbl_ledger[充当先ロットID],$B177,tbl_ledger[イベント種類],"充当",tbl_ledger[元状態],I$1),
_xlpm.払出,SUMIFS(tbl_ledger[数量],tbl_ledger[ロットID],$B177,tbl_ledger[元状態],I$1),
_xlpm.受入+_xlpm.充当受入-_xlpm.払出))</f>
        <v/>
      </c>
      <c r="J177" s="8" t="str">
        <f>IF($B177="","",_xlfn.LET(
_xlpm.受入,SUMIFS(tbl_ledger[数量],tbl_ledger[ロットID],$B177,tbl_ledger[イベント種類],"梱包完了"),
_xlpm.充当受入,SUMIFS(tbl_ledger[数量],tbl_ledger[充当先ロットID],$B177,tbl_ledger[イベント種類],"充当",tbl_ledger[元状態],J$1),
_xlpm.払出,SUMIFS(tbl_ledger[数量],tbl_ledger[ロットID],$B177,tbl_ledger[元状態],J$1),
_xlpm.受入+_xlpm.充当受入-_xlpm.払出))</f>
        <v/>
      </c>
      <c r="K177" s="8" t="str">
        <f>IF($B177="","",_xlfn.LET(
_xlpm.受入,SUMIFS(tbl_ledger[数量],tbl_ledger[ロットID],$B177,tbl_ledger[イベント種類],"発送準備開始"),
_xlpm.充当受入,SUMIFS(tbl_ledger[数量],tbl_ledger[充当先ロットID],$B177,tbl_ledger[イベント種類],"充当",tbl_ledger[元状態],K$1),
_xlpm.払出,SUMIFS(tbl_ledger[数量],tbl_ledger[ロットID],$B177,tbl_ledger[元状態],K$1),
_xlpm.受入+_xlpm.充当受入-_xlpm.払出))</f>
        <v/>
      </c>
      <c r="L177" s="8" t="str">
        <f>IF($B177="","",_xlfn.LET(
_xlpm.受入,SUMIFS(tbl_ledger[数量],tbl_ledger[ロットID],$B177,tbl_ledger[イベント種類],"発送準備完了"),
_xlpm.充当受入,SUMIFS(tbl_ledger[数量],tbl_ledger[充当先ロットID],$B177,tbl_ledger[イベント種類],"充当",tbl_ledger[元状態],L$1),
_xlpm.払出,SUMIFS(tbl_ledger[数量],tbl_ledger[ロットID],$B177,tbl_ledger[元状態],L$1),
_xlpm.受入+_xlpm.充当受入-_xlpm.払出))</f>
        <v/>
      </c>
      <c r="M177" s="8" t="str">
        <f>IF($B177="","",_xlfn.LET(
_xlpm.受入,SUMIFS(tbl_ledger[数量],tbl_ledger[ロットID],$B177,tbl_ledger[イベント種類],"不良発生"),
_xlpm.充当受入,SUMIFS(tbl_ledger[数量],tbl_ledger[充当先ロットID],$B177,tbl_ledger[イベント種類],"充当",tbl_ledger[元状態],M$1),
_xlpm.払出,SUMIFS(tbl_ledger[数量],tbl_ledger[ロットID],$B177,tbl_ledger[元状態],M$1),
_xlpm.受入+_xlpm.充当受入-_xlpm.払出))</f>
        <v/>
      </c>
      <c r="N177" s="8" t="str">
        <f t="shared" si="5"/>
        <v/>
      </c>
    </row>
    <row r="178" spans="1:14" ht="15" customHeight="1" x14ac:dyDescent="0.25">
      <c r="A178" s="4" t="str">
        <f t="shared" si="4"/>
        <v/>
      </c>
      <c r="B178" s="4" t="str">
        <f>IFERROR(IF(COUNTIF($B$1:$B177,INDEX(tbl_plan[ロットID],ROW()-1))&gt;0,"",INDEX(tbl_plan[ロットID],ROW()-1)),"")</f>
        <v/>
      </c>
      <c r="C178" s="4" t="str">
        <f>IF($B178="","",INDEX(tbl_plan[localId],ROW()-1))</f>
        <v/>
      </c>
      <c r="D178" s="8" t="str">
        <f>IF($B178="","",_xlfn.LET(
_xlpm.割当受入,SUMIF(V_充足確認!$A$2:$A$301,$B178,V_充足確認!$F$2:$F$301),
_xlpm.充当受入,SUMIFS(tbl_ledger[数量],tbl_ledger[充当先ロットID],$B178,tbl_ledger[イベント種類],"充当",tbl_ledger[元状態],D$1),
_xlpm.払出,SUMIFS(tbl_ledger[数量],tbl_ledger[ロットID],$B178,tbl_ledger[元状態],D$1),
_xlpm.割当受入+_xlpm.充当受入-_xlpm.払出))</f>
        <v/>
      </c>
      <c r="E178" s="8" t="str">
        <f>IF($B178="","",_xlfn.LET(
_xlpm.受入,SUMIFS(tbl_ledger[数量],tbl_ledger[ロットID],$B178,tbl_ledger[イベント種類],"アニール開始"),
_xlpm.充当受入,SUMIFS(tbl_ledger[数量],tbl_ledger[充当先ロットID],$B178,tbl_ledger[イベント種類],"充当",tbl_ledger[元状態],E$1),
_xlpm.払出,SUMIFS(tbl_ledger[数量],tbl_ledger[ロットID],$B178,tbl_ledger[元状態],E$1),
_xlpm.受入+_xlpm.充当受入-_xlpm.払出))</f>
        <v/>
      </c>
      <c r="F178" s="8" t="str">
        <f>IF($B178="","",_xlfn.LET(
_xlpm.受入,SUMIFS(tbl_ledger[数量],tbl_ledger[ロットID],$B178,tbl_ledger[イベント種類],"アニール完了"),
_xlpm.充当受入,SUMIFS(tbl_ledger[数量],tbl_ledger[充当先ロットID],$B178,tbl_ledger[イベント種類],"充当",tbl_ledger[元状態],F$1),
_xlpm.払出,SUMIFS(tbl_ledger[数量],tbl_ledger[ロットID],$B178,tbl_ledger[元状態],F$1),
_xlpm.受入+_xlpm.充当受入-_xlpm.払出))</f>
        <v/>
      </c>
      <c r="G178" s="8" t="str">
        <f>IF($B178="","",_xlfn.LET(
_xlpm.受入,SUMIFS(tbl_ledger[数量],tbl_ledger[ロットID],$B178,tbl_ledger[イベント種類],"アセンブリ開始"),
_xlpm.充当受入,SUMIFS(tbl_ledger[数量],tbl_ledger[充当先ロットID],$B178,tbl_ledger[イベント種類],"充当",tbl_ledger[元状態],G$1),
_xlpm.払出,SUMIFS(tbl_ledger[数量],tbl_ledger[ロットID],$B178,tbl_ledger[元状態],G$1),
_xlpm.受入+_xlpm.充当受入-_xlpm.払出))</f>
        <v/>
      </c>
      <c r="H178" s="8" t="str">
        <f>IF($B178="","",_xlfn.LET(
_xlpm.受入,SUMIFS(tbl_ledger[数量],tbl_ledger[ロットID],$B178,tbl_ledger[イベント種類],"アセンブリ完了"),
_xlpm.充当受入,SUMIFS(tbl_ledger[数量],tbl_ledger[充当先ロットID],$B178,tbl_ledger[イベント種類],"充当",tbl_ledger[元状態],H$1),
_xlpm.払出,SUMIFS(tbl_ledger[数量],tbl_ledger[ロットID],$B178,tbl_ledger[元状態],H$1),
_xlpm.受入+_xlpm.充当受入-_xlpm.払出))</f>
        <v/>
      </c>
      <c r="I178" s="8" t="str">
        <f>IF($B178="","",_xlfn.LET(
_xlpm.受入,SUMIFS(tbl_ledger[数量],tbl_ledger[ロットID],$B178,tbl_ledger[イベント種類],"梱包開始"),
_xlpm.充当受入,SUMIFS(tbl_ledger[数量],tbl_ledger[充当先ロットID],$B178,tbl_ledger[イベント種類],"充当",tbl_ledger[元状態],I$1),
_xlpm.払出,SUMIFS(tbl_ledger[数量],tbl_ledger[ロットID],$B178,tbl_ledger[元状態],I$1),
_xlpm.受入+_xlpm.充当受入-_xlpm.払出))</f>
        <v/>
      </c>
      <c r="J178" s="8" t="str">
        <f>IF($B178="","",_xlfn.LET(
_xlpm.受入,SUMIFS(tbl_ledger[数量],tbl_ledger[ロットID],$B178,tbl_ledger[イベント種類],"梱包完了"),
_xlpm.充当受入,SUMIFS(tbl_ledger[数量],tbl_ledger[充当先ロットID],$B178,tbl_ledger[イベント種類],"充当",tbl_ledger[元状態],J$1),
_xlpm.払出,SUMIFS(tbl_ledger[数量],tbl_ledger[ロットID],$B178,tbl_ledger[元状態],J$1),
_xlpm.受入+_xlpm.充当受入-_xlpm.払出))</f>
        <v/>
      </c>
      <c r="K178" s="8" t="str">
        <f>IF($B178="","",_xlfn.LET(
_xlpm.受入,SUMIFS(tbl_ledger[数量],tbl_ledger[ロットID],$B178,tbl_ledger[イベント種類],"発送準備開始"),
_xlpm.充当受入,SUMIFS(tbl_ledger[数量],tbl_ledger[充当先ロットID],$B178,tbl_ledger[イベント種類],"充当",tbl_ledger[元状態],K$1),
_xlpm.払出,SUMIFS(tbl_ledger[数量],tbl_ledger[ロットID],$B178,tbl_ledger[元状態],K$1),
_xlpm.受入+_xlpm.充当受入-_xlpm.払出))</f>
        <v/>
      </c>
      <c r="L178" s="8" t="str">
        <f>IF($B178="","",_xlfn.LET(
_xlpm.受入,SUMIFS(tbl_ledger[数量],tbl_ledger[ロットID],$B178,tbl_ledger[イベント種類],"発送準備完了"),
_xlpm.充当受入,SUMIFS(tbl_ledger[数量],tbl_ledger[充当先ロットID],$B178,tbl_ledger[イベント種類],"充当",tbl_ledger[元状態],L$1),
_xlpm.払出,SUMIFS(tbl_ledger[数量],tbl_ledger[ロットID],$B178,tbl_ledger[元状態],L$1),
_xlpm.受入+_xlpm.充当受入-_xlpm.払出))</f>
        <v/>
      </c>
      <c r="M178" s="8" t="str">
        <f>IF($B178="","",_xlfn.LET(
_xlpm.受入,SUMIFS(tbl_ledger[数量],tbl_ledger[ロットID],$B178,tbl_ledger[イベント種類],"不良発生"),
_xlpm.充当受入,SUMIFS(tbl_ledger[数量],tbl_ledger[充当先ロットID],$B178,tbl_ledger[イベント種類],"充当",tbl_ledger[元状態],M$1),
_xlpm.払出,SUMIFS(tbl_ledger[数量],tbl_ledger[ロットID],$B178,tbl_ledger[元状態],M$1),
_xlpm.受入+_xlpm.充当受入-_xlpm.払出))</f>
        <v/>
      </c>
      <c r="N178" s="8" t="str">
        <f t="shared" si="5"/>
        <v/>
      </c>
    </row>
    <row r="179" spans="1:14" ht="15" customHeight="1" x14ac:dyDescent="0.25">
      <c r="A179" s="4" t="str">
        <f t="shared" si="4"/>
        <v/>
      </c>
      <c r="B179" s="4" t="str">
        <f>IFERROR(IF(COUNTIF($B$1:$B178,INDEX(tbl_plan[ロットID],ROW()-1))&gt;0,"",INDEX(tbl_plan[ロットID],ROW()-1)),"")</f>
        <v/>
      </c>
      <c r="C179" s="4" t="str">
        <f>IF($B179="","",INDEX(tbl_plan[localId],ROW()-1))</f>
        <v/>
      </c>
      <c r="D179" s="8" t="str">
        <f>IF($B179="","",_xlfn.LET(
_xlpm.割当受入,SUMIF(V_充足確認!$A$2:$A$301,$B179,V_充足確認!$F$2:$F$301),
_xlpm.充当受入,SUMIFS(tbl_ledger[数量],tbl_ledger[充当先ロットID],$B179,tbl_ledger[イベント種類],"充当",tbl_ledger[元状態],D$1),
_xlpm.払出,SUMIFS(tbl_ledger[数量],tbl_ledger[ロットID],$B179,tbl_ledger[元状態],D$1),
_xlpm.割当受入+_xlpm.充当受入-_xlpm.払出))</f>
        <v/>
      </c>
      <c r="E179" s="8" t="str">
        <f>IF($B179="","",_xlfn.LET(
_xlpm.受入,SUMIFS(tbl_ledger[数量],tbl_ledger[ロットID],$B179,tbl_ledger[イベント種類],"アニール開始"),
_xlpm.充当受入,SUMIFS(tbl_ledger[数量],tbl_ledger[充当先ロットID],$B179,tbl_ledger[イベント種類],"充当",tbl_ledger[元状態],E$1),
_xlpm.払出,SUMIFS(tbl_ledger[数量],tbl_ledger[ロットID],$B179,tbl_ledger[元状態],E$1),
_xlpm.受入+_xlpm.充当受入-_xlpm.払出))</f>
        <v/>
      </c>
      <c r="F179" s="8" t="str">
        <f>IF($B179="","",_xlfn.LET(
_xlpm.受入,SUMIFS(tbl_ledger[数量],tbl_ledger[ロットID],$B179,tbl_ledger[イベント種類],"アニール完了"),
_xlpm.充当受入,SUMIFS(tbl_ledger[数量],tbl_ledger[充当先ロットID],$B179,tbl_ledger[イベント種類],"充当",tbl_ledger[元状態],F$1),
_xlpm.払出,SUMIFS(tbl_ledger[数量],tbl_ledger[ロットID],$B179,tbl_ledger[元状態],F$1),
_xlpm.受入+_xlpm.充当受入-_xlpm.払出))</f>
        <v/>
      </c>
      <c r="G179" s="8" t="str">
        <f>IF($B179="","",_xlfn.LET(
_xlpm.受入,SUMIFS(tbl_ledger[数量],tbl_ledger[ロットID],$B179,tbl_ledger[イベント種類],"アセンブリ開始"),
_xlpm.充当受入,SUMIFS(tbl_ledger[数量],tbl_ledger[充当先ロットID],$B179,tbl_ledger[イベント種類],"充当",tbl_ledger[元状態],G$1),
_xlpm.払出,SUMIFS(tbl_ledger[数量],tbl_ledger[ロットID],$B179,tbl_ledger[元状態],G$1),
_xlpm.受入+_xlpm.充当受入-_xlpm.払出))</f>
        <v/>
      </c>
      <c r="H179" s="8" t="str">
        <f>IF($B179="","",_xlfn.LET(
_xlpm.受入,SUMIFS(tbl_ledger[数量],tbl_ledger[ロットID],$B179,tbl_ledger[イベント種類],"アセンブリ完了"),
_xlpm.充当受入,SUMIFS(tbl_ledger[数量],tbl_ledger[充当先ロットID],$B179,tbl_ledger[イベント種類],"充当",tbl_ledger[元状態],H$1),
_xlpm.払出,SUMIFS(tbl_ledger[数量],tbl_ledger[ロットID],$B179,tbl_ledger[元状態],H$1),
_xlpm.受入+_xlpm.充当受入-_xlpm.払出))</f>
        <v/>
      </c>
      <c r="I179" s="8" t="str">
        <f>IF($B179="","",_xlfn.LET(
_xlpm.受入,SUMIFS(tbl_ledger[数量],tbl_ledger[ロットID],$B179,tbl_ledger[イベント種類],"梱包開始"),
_xlpm.充当受入,SUMIFS(tbl_ledger[数量],tbl_ledger[充当先ロットID],$B179,tbl_ledger[イベント種類],"充当",tbl_ledger[元状態],I$1),
_xlpm.払出,SUMIFS(tbl_ledger[数量],tbl_ledger[ロットID],$B179,tbl_ledger[元状態],I$1),
_xlpm.受入+_xlpm.充当受入-_xlpm.払出))</f>
        <v/>
      </c>
      <c r="J179" s="8" t="str">
        <f>IF($B179="","",_xlfn.LET(
_xlpm.受入,SUMIFS(tbl_ledger[数量],tbl_ledger[ロットID],$B179,tbl_ledger[イベント種類],"梱包完了"),
_xlpm.充当受入,SUMIFS(tbl_ledger[数量],tbl_ledger[充当先ロットID],$B179,tbl_ledger[イベント種類],"充当",tbl_ledger[元状態],J$1),
_xlpm.払出,SUMIFS(tbl_ledger[数量],tbl_ledger[ロットID],$B179,tbl_ledger[元状態],J$1),
_xlpm.受入+_xlpm.充当受入-_xlpm.払出))</f>
        <v/>
      </c>
      <c r="K179" s="8" t="str">
        <f>IF($B179="","",_xlfn.LET(
_xlpm.受入,SUMIFS(tbl_ledger[数量],tbl_ledger[ロットID],$B179,tbl_ledger[イベント種類],"発送準備開始"),
_xlpm.充当受入,SUMIFS(tbl_ledger[数量],tbl_ledger[充当先ロットID],$B179,tbl_ledger[イベント種類],"充当",tbl_ledger[元状態],K$1),
_xlpm.払出,SUMIFS(tbl_ledger[数量],tbl_ledger[ロットID],$B179,tbl_ledger[元状態],K$1),
_xlpm.受入+_xlpm.充当受入-_xlpm.払出))</f>
        <v/>
      </c>
      <c r="L179" s="8" t="str">
        <f>IF($B179="","",_xlfn.LET(
_xlpm.受入,SUMIFS(tbl_ledger[数量],tbl_ledger[ロットID],$B179,tbl_ledger[イベント種類],"発送準備完了"),
_xlpm.充当受入,SUMIFS(tbl_ledger[数量],tbl_ledger[充当先ロットID],$B179,tbl_ledger[イベント種類],"充当",tbl_ledger[元状態],L$1),
_xlpm.払出,SUMIFS(tbl_ledger[数量],tbl_ledger[ロットID],$B179,tbl_ledger[元状態],L$1),
_xlpm.受入+_xlpm.充当受入-_xlpm.払出))</f>
        <v/>
      </c>
      <c r="M179" s="8" t="str">
        <f>IF($B179="","",_xlfn.LET(
_xlpm.受入,SUMIFS(tbl_ledger[数量],tbl_ledger[ロットID],$B179,tbl_ledger[イベント種類],"不良発生"),
_xlpm.充当受入,SUMIFS(tbl_ledger[数量],tbl_ledger[充当先ロットID],$B179,tbl_ledger[イベント種類],"充当",tbl_ledger[元状態],M$1),
_xlpm.払出,SUMIFS(tbl_ledger[数量],tbl_ledger[ロットID],$B179,tbl_ledger[元状態],M$1),
_xlpm.受入+_xlpm.充当受入-_xlpm.払出))</f>
        <v/>
      </c>
      <c r="N179" s="8" t="str">
        <f t="shared" si="5"/>
        <v/>
      </c>
    </row>
    <row r="180" spans="1:14" ht="15" customHeight="1" x14ac:dyDescent="0.25">
      <c r="A180" s="4" t="str">
        <f t="shared" si="4"/>
        <v/>
      </c>
      <c r="B180" s="4" t="str">
        <f>IFERROR(IF(COUNTIF($B$1:$B179,INDEX(tbl_plan[ロットID],ROW()-1))&gt;0,"",INDEX(tbl_plan[ロットID],ROW()-1)),"")</f>
        <v/>
      </c>
      <c r="C180" s="4" t="str">
        <f>IF($B180="","",INDEX(tbl_plan[localId],ROW()-1))</f>
        <v/>
      </c>
      <c r="D180" s="8" t="str">
        <f>IF($B180="","",_xlfn.LET(
_xlpm.割当受入,SUMIF(V_充足確認!$A$2:$A$301,$B180,V_充足確認!$F$2:$F$301),
_xlpm.充当受入,SUMIFS(tbl_ledger[数量],tbl_ledger[充当先ロットID],$B180,tbl_ledger[イベント種類],"充当",tbl_ledger[元状態],D$1),
_xlpm.払出,SUMIFS(tbl_ledger[数量],tbl_ledger[ロットID],$B180,tbl_ledger[元状態],D$1),
_xlpm.割当受入+_xlpm.充当受入-_xlpm.払出))</f>
        <v/>
      </c>
      <c r="E180" s="8" t="str">
        <f>IF($B180="","",_xlfn.LET(
_xlpm.受入,SUMIFS(tbl_ledger[数量],tbl_ledger[ロットID],$B180,tbl_ledger[イベント種類],"アニール開始"),
_xlpm.充当受入,SUMIFS(tbl_ledger[数量],tbl_ledger[充当先ロットID],$B180,tbl_ledger[イベント種類],"充当",tbl_ledger[元状態],E$1),
_xlpm.払出,SUMIFS(tbl_ledger[数量],tbl_ledger[ロットID],$B180,tbl_ledger[元状態],E$1),
_xlpm.受入+_xlpm.充当受入-_xlpm.払出))</f>
        <v/>
      </c>
      <c r="F180" s="8" t="str">
        <f>IF($B180="","",_xlfn.LET(
_xlpm.受入,SUMIFS(tbl_ledger[数量],tbl_ledger[ロットID],$B180,tbl_ledger[イベント種類],"アニール完了"),
_xlpm.充当受入,SUMIFS(tbl_ledger[数量],tbl_ledger[充当先ロットID],$B180,tbl_ledger[イベント種類],"充当",tbl_ledger[元状態],F$1),
_xlpm.払出,SUMIFS(tbl_ledger[数量],tbl_ledger[ロットID],$B180,tbl_ledger[元状態],F$1),
_xlpm.受入+_xlpm.充当受入-_xlpm.払出))</f>
        <v/>
      </c>
      <c r="G180" s="8" t="str">
        <f>IF($B180="","",_xlfn.LET(
_xlpm.受入,SUMIFS(tbl_ledger[数量],tbl_ledger[ロットID],$B180,tbl_ledger[イベント種類],"アセンブリ開始"),
_xlpm.充当受入,SUMIFS(tbl_ledger[数量],tbl_ledger[充当先ロットID],$B180,tbl_ledger[イベント種類],"充当",tbl_ledger[元状態],G$1),
_xlpm.払出,SUMIFS(tbl_ledger[数量],tbl_ledger[ロットID],$B180,tbl_ledger[元状態],G$1),
_xlpm.受入+_xlpm.充当受入-_xlpm.払出))</f>
        <v/>
      </c>
      <c r="H180" s="8" t="str">
        <f>IF($B180="","",_xlfn.LET(
_xlpm.受入,SUMIFS(tbl_ledger[数量],tbl_ledger[ロットID],$B180,tbl_ledger[イベント種類],"アセンブリ完了"),
_xlpm.充当受入,SUMIFS(tbl_ledger[数量],tbl_ledger[充当先ロットID],$B180,tbl_ledger[イベント種類],"充当",tbl_ledger[元状態],H$1),
_xlpm.払出,SUMIFS(tbl_ledger[数量],tbl_ledger[ロットID],$B180,tbl_ledger[元状態],H$1),
_xlpm.受入+_xlpm.充当受入-_xlpm.払出))</f>
        <v/>
      </c>
      <c r="I180" s="8" t="str">
        <f>IF($B180="","",_xlfn.LET(
_xlpm.受入,SUMIFS(tbl_ledger[数量],tbl_ledger[ロットID],$B180,tbl_ledger[イベント種類],"梱包開始"),
_xlpm.充当受入,SUMIFS(tbl_ledger[数量],tbl_ledger[充当先ロットID],$B180,tbl_ledger[イベント種類],"充当",tbl_ledger[元状態],I$1),
_xlpm.払出,SUMIFS(tbl_ledger[数量],tbl_ledger[ロットID],$B180,tbl_ledger[元状態],I$1),
_xlpm.受入+_xlpm.充当受入-_xlpm.払出))</f>
        <v/>
      </c>
      <c r="J180" s="8" t="str">
        <f>IF($B180="","",_xlfn.LET(
_xlpm.受入,SUMIFS(tbl_ledger[数量],tbl_ledger[ロットID],$B180,tbl_ledger[イベント種類],"梱包完了"),
_xlpm.充当受入,SUMIFS(tbl_ledger[数量],tbl_ledger[充当先ロットID],$B180,tbl_ledger[イベント種類],"充当",tbl_ledger[元状態],J$1),
_xlpm.払出,SUMIFS(tbl_ledger[数量],tbl_ledger[ロットID],$B180,tbl_ledger[元状態],J$1),
_xlpm.受入+_xlpm.充当受入-_xlpm.払出))</f>
        <v/>
      </c>
      <c r="K180" s="8" t="str">
        <f>IF($B180="","",_xlfn.LET(
_xlpm.受入,SUMIFS(tbl_ledger[数量],tbl_ledger[ロットID],$B180,tbl_ledger[イベント種類],"発送準備開始"),
_xlpm.充当受入,SUMIFS(tbl_ledger[数量],tbl_ledger[充当先ロットID],$B180,tbl_ledger[イベント種類],"充当",tbl_ledger[元状態],K$1),
_xlpm.払出,SUMIFS(tbl_ledger[数量],tbl_ledger[ロットID],$B180,tbl_ledger[元状態],K$1),
_xlpm.受入+_xlpm.充当受入-_xlpm.払出))</f>
        <v/>
      </c>
      <c r="L180" s="8" t="str">
        <f>IF($B180="","",_xlfn.LET(
_xlpm.受入,SUMIFS(tbl_ledger[数量],tbl_ledger[ロットID],$B180,tbl_ledger[イベント種類],"発送準備完了"),
_xlpm.充当受入,SUMIFS(tbl_ledger[数量],tbl_ledger[充当先ロットID],$B180,tbl_ledger[イベント種類],"充当",tbl_ledger[元状態],L$1),
_xlpm.払出,SUMIFS(tbl_ledger[数量],tbl_ledger[ロットID],$B180,tbl_ledger[元状態],L$1),
_xlpm.受入+_xlpm.充当受入-_xlpm.払出))</f>
        <v/>
      </c>
      <c r="M180" s="8" t="str">
        <f>IF($B180="","",_xlfn.LET(
_xlpm.受入,SUMIFS(tbl_ledger[数量],tbl_ledger[ロットID],$B180,tbl_ledger[イベント種類],"不良発生"),
_xlpm.充当受入,SUMIFS(tbl_ledger[数量],tbl_ledger[充当先ロットID],$B180,tbl_ledger[イベント種類],"充当",tbl_ledger[元状態],M$1),
_xlpm.払出,SUMIFS(tbl_ledger[数量],tbl_ledger[ロットID],$B180,tbl_ledger[元状態],M$1),
_xlpm.受入+_xlpm.充当受入-_xlpm.払出))</f>
        <v/>
      </c>
      <c r="N180" s="8" t="str">
        <f t="shared" si="5"/>
        <v/>
      </c>
    </row>
    <row r="181" spans="1:14" ht="15" customHeight="1" x14ac:dyDescent="0.25">
      <c r="A181" s="4" t="str">
        <f t="shared" si="4"/>
        <v/>
      </c>
      <c r="B181" s="4" t="str">
        <f>IFERROR(IF(COUNTIF($B$1:$B180,INDEX(tbl_plan[ロットID],ROW()-1))&gt;0,"",INDEX(tbl_plan[ロットID],ROW()-1)),"")</f>
        <v/>
      </c>
      <c r="C181" s="4" t="str">
        <f>IF($B181="","",INDEX(tbl_plan[localId],ROW()-1))</f>
        <v/>
      </c>
      <c r="D181" s="8" t="str">
        <f>IF($B181="","",_xlfn.LET(
_xlpm.割当受入,SUMIF(V_充足確認!$A$2:$A$301,$B181,V_充足確認!$F$2:$F$301),
_xlpm.充当受入,SUMIFS(tbl_ledger[数量],tbl_ledger[充当先ロットID],$B181,tbl_ledger[イベント種類],"充当",tbl_ledger[元状態],D$1),
_xlpm.払出,SUMIFS(tbl_ledger[数量],tbl_ledger[ロットID],$B181,tbl_ledger[元状態],D$1),
_xlpm.割当受入+_xlpm.充当受入-_xlpm.払出))</f>
        <v/>
      </c>
      <c r="E181" s="8" t="str">
        <f>IF($B181="","",_xlfn.LET(
_xlpm.受入,SUMIFS(tbl_ledger[数量],tbl_ledger[ロットID],$B181,tbl_ledger[イベント種類],"アニール開始"),
_xlpm.充当受入,SUMIFS(tbl_ledger[数量],tbl_ledger[充当先ロットID],$B181,tbl_ledger[イベント種類],"充当",tbl_ledger[元状態],E$1),
_xlpm.払出,SUMIFS(tbl_ledger[数量],tbl_ledger[ロットID],$B181,tbl_ledger[元状態],E$1),
_xlpm.受入+_xlpm.充当受入-_xlpm.払出))</f>
        <v/>
      </c>
      <c r="F181" s="8" t="str">
        <f>IF($B181="","",_xlfn.LET(
_xlpm.受入,SUMIFS(tbl_ledger[数量],tbl_ledger[ロットID],$B181,tbl_ledger[イベント種類],"アニール完了"),
_xlpm.充当受入,SUMIFS(tbl_ledger[数量],tbl_ledger[充当先ロットID],$B181,tbl_ledger[イベント種類],"充当",tbl_ledger[元状態],F$1),
_xlpm.払出,SUMIFS(tbl_ledger[数量],tbl_ledger[ロットID],$B181,tbl_ledger[元状態],F$1),
_xlpm.受入+_xlpm.充当受入-_xlpm.払出))</f>
        <v/>
      </c>
      <c r="G181" s="8" t="str">
        <f>IF($B181="","",_xlfn.LET(
_xlpm.受入,SUMIFS(tbl_ledger[数量],tbl_ledger[ロットID],$B181,tbl_ledger[イベント種類],"アセンブリ開始"),
_xlpm.充当受入,SUMIFS(tbl_ledger[数量],tbl_ledger[充当先ロットID],$B181,tbl_ledger[イベント種類],"充当",tbl_ledger[元状態],G$1),
_xlpm.払出,SUMIFS(tbl_ledger[数量],tbl_ledger[ロットID],$B181,tbl_ledger[元状態],G$1),
_xlpm.受入+_xlpm.充当受入-_xlpm.払出))</f>
        <v/>
      </c>
      <c r="H181" s="8" t="str">
        <f>IF($B181="","",_xlfn.LET(
_xlpm.受入,SUMIFS(tbl_ledger[数量],tbl_ledger[ロットID],$B181,tbl_ledger[イベント種類],"アセンブリ完了"),
_xlpm.充当受入,SUMIFS(tbl_ledger[数量],tbl_ledger[充当先ロットID],$B181,tbl_ledger[イベント種類],"充当",tbl_ledger[元状態],H$1),
_xlpm.払出,SUMIFS(tbl_ledger[数量],tbl_ledger[ロットID],$B181,tbl_ledger[元状態],H$1),
_xlpm.受入+_xlpm.充当受入-_xlpm.払出))</f>
        <v/>
      </c>
      <c r="I181" s="8" t="str">
        <f>IF($B181="","",_xlfn.LET(
_xlpm.受入,SUMIFS(tbl_ledger[数量],tbl_ledger[ロットID],$B181,tbl_ledger[イベント種類],"梱包開始"),
_xlpm.充当受入,SUMIFS(tbl_ledger[数量],tbl_ledger[充当先ロットID],$B181,tbl_ledger[イベント種類],"充当",tbl_ledger[元状態],I$1),
_xlpm.払出,SUMIFS(tbl_ledger[数量],tbl_ledger[ロットID],$B181,tbl_ledger[元状態],I$1),
_xlpm.受入+_xlpm.充当受入-_xlpm.払出))</f>
        <v/>
      </c>
      <c r="J181" s="8" t="str">
        <f>IF($B181="","",_xlfn.LET(
_xlpm.受入,SUMIFS(tbl_ledger[数量],tbl_ledger[ロットID],$B181,tbl_ledger[イベント種類],"梱包完了"),
_xlpm.充当受入,SUMIFS(tbl_ledger[数量],tbl_ledger[充当先ロットID],$B181,tbl_ledger[イベント種類],"充当",tbl_ledger[元状態],J$1),
_xlpm.払出,SUMIFS(tbl_ledger[数量],tbl_ledger[ロットID],$B181,tbl_ledger[元状態],J$1),
_xlpm.受入+_xlpm.充当受入-_xlpm.払出))</f>
        <v/>
      </c>
      <c r="K181" s="8" t="str">
        <f>IF($B181="","",_xlfn.LET(
_xlpm.受入,SUMIFS(tbl_ledger[数量],tbl_ledger[ロットID],$B181,tbl_ledger[イベント種類],"発送準備開始"),
_xlpm.充当受入,SUMIFS(tbl_ledger[数量],tbl_ledger[充当先ロットID],$B181,tbl_ledger[イベント種類],"充当",tbl_ledger[元状態],K$1),
_xlpm.払出,SUMIFS(tbl_ledger[数量],tbl_ledger[ロットID],$B181,tbl_ledger[元状態],K$1),
_xlpm.受入+_xlpm.充当受入-_xlpm.払出))</f>
        <v/>
      </c>
      <c r="L181" s="8" t="str">
        <f>IF($B181="","",_xlfn.LET(
_xlpm.受入,SUMIFS(tbl_ledger[数量],tbl_ledger[ロットID],$B181,tbl_ledger[イベント種類],"発送準備完了"),
_xlpm.充当受入,SUMIFS(tbl_ledger[数量],tbl_ledger[充当先ロットID],$B181,tbl_ledger[イベント種類],"充当",tbl_ledger[元状態],L$1),
_xlpm.払出,SUMIFS(tbl_ledger[数量],tbl_ledger[ロットID],$B181,tbl_ledger[元状態],L$1),
_xlpm.受入+_xlpm.充当受入-_xlpm.払出))</f>
        <v/>
      </c>
      <c r="M181" s="8" t="str">
        <f>IF($B181="","",_xlfn.LET(
_xlpm.受入,SUMIFS(tbl_ledger[数量],tbl_ledger[ロットID],$B181,tbl_ledger[イベント種類],"不良発生"),
_xlpm.充当受入,SUMIFS(tbl_ledger[数量],tbl_ledger[充当先ロットID],$B181,tbl_ledger[イベント種類],"充当",tbl_ledger[元状態],M$1),
_xlpm.払出,SUMIFS(tbl_ledger[数量],tbl_ledger[ロットID],$B181,tbl_ledger[元状態],M$1),
_xlpm.受入+_xlpm.充当受入-_xlpm.払出))</f>
        <v/>
      </c>
      <c r="N181" s="8" t="str">
        <f t="shared" si="5"/>
        <v/>
      </c>
    </row>
    <row r="182" spans="1:14" ht="15" customHeight="1" x14ac:dyDescent="0.25">
      <c r="A182" s="4" t="str">
        <f t="shared" si="4"/>
        <v/>
      </c>
      <c r="B182" s="4" t="str">
        <f>IFERROR(IF(COUNTIF($B$1:$B181,INDEX(tbl_plan[ロットID],ROW()-1))&gt;0,"",INDEX(tbl_plan[ロットID],ROW()-1)),"")</f>
        <v/>
      </c>
      <c r="C182" s="4" t="str">
        <f>IF($B182="","",INDEX(tbl_plan[localId],ROW()-1))</f>
        <v/>
      </c>
      <c r="D182" s="8" t="str">
        <f>IF($B182="","",_xlfn.LET(
_xlpm.割当受入,SUMIF(V_充足確認!$A$2:$A$301,$B182,V_充足確認!$F$2:$F$301),
_xlpm.充当受入,SUMIFS(tbl_ledger[数量],tbl_ledger[充当先ロットID],$B182,tbl_ledger[イベント種類],"充当",tbl_ledger[元状態],D$1),
_xlpm.払出,SUMIFS(tbl_ledger[数量],tbl_ledger[ロットID],$B182,tbl_ledger[元状態],D$1),
_xlpm.割当受入+_xlpm.充当受入-_xlpm.払出))</f>
        <v/>
      </c>
      <c r="E182" s="8" t="str">
        <f>IF($B182="","",_xlfn.LET(
_xlpm.受入,SUMIFS(tbl_ledger[数量],tbl_ledger[ロットID],$B182,tbl_ledger[イベント種類],"アニール開始"),
_xlpm.充当受入,SUMIFS(tbl_ledger[数量],tbl_ledger[充当先ロットID],$B182,tbl_ledger[イベント種類],"充当",tbl_ledger[元状態],E$1),
_xlpm.払出,SUMIFS(tbl_ledger[数量],tbl_ledger[ロットID],$B182,tbl_ledger[元状態],E$1),
_xlpm.受入+_xlpm.充当受入-_xlpm.払出))</f>
        <v/>
      </c>
      <c r="F182" s="8" t="str">
        <f>IF($B182="","",_xlfn.LET(
_xlpm.受入,SUMIFS(tbl_ledger[数量],tbl_ledger[ロットID],$B182,tbl_ledger[イベント種類],"アニール完了"),
_xlpm.充当受入,SUMIFS(tbl_ledger[数量],tbl_ledger[充当先ロットID],$B182,tbl_ledger[イベント種類],"充当",tbl_ledger[元状態],F$1),
_xlpm.払出,SUMIFS(tbl_ledger[数量],tbl_ledger[ロットID],$B182,tbl_ledger[元状態],F$1),
_xlpm.受入+_xlpm.充当受入-_xlpm.払出))</f>
        <v/>
      </c>
      <c r="G182" s="8" t="str">
        <f>IF($B182="","",_xlfn.LET(
_xlpm.受入,SUMIFS(tbl_ledger[数量],tbl_ledger[ロットID],$B182,tbl_ledger[イベント種類],"アセンブリ開始"),
_xlpm.充当受入,SUMIFS(tbl_ledger[数量],tbl_ledger[充当先ロットID],$B182,tbl_ledger[イベント種類],"充当",tbl_ledger[元状態],G$1),
_xlpm.払出,SUMIFS(tbl_ledger[数量],tbl_ledger[ロットID],$B182,tbl_ledger[元状態],G$1),
_xlpm.受入+_xlpm.充当受入-_xlpm.払出))</f>
        <v/>
      </c>
      <c r="H182" s="8" t="str">
        <f>IF($B182="","",_xlfn.LET(
_xlpm.受入,SUMIFS(tbl_ledger[数量],tbl_ledger[ロットID],$B182,tbl_ledger[イベント種類],"アセンブリ完了"),
_xlpm.充当受入,SUMIFS(tbl_ledger[数量],tbl_ledger[充当先ロットID],$B182,tbl_ledger[イベント種類],"充当",tbl_ledger[元状態],H$1),
_xlpm.払出,SUMIFS(tbl_ledger[数量],tbl_ledger[ロットID],$B182,tbl_ledger[元状態],H$1),
_xlpm.受入+_xlpm.充当受入-_xlpm.払出))</f>
        <v/>
      </c>
      <c r="I182" s="8" t="str">
        <f>IF($B182="","",_xlfn.LET(
_xlpm.受入,SUMIFS(tbl_ledger[数量],tbl_ledger[ロットID],$B182,tbl_ledger[イベント種類],"梱包開始"),
_xlpm.充当受入,SUMIFS(tbl_ledger[数量],tbl_ledger[充当先ロットID],$B182,tbl_ledger[イベント種類],"充当",tbl_ledger[元状態],I$1),
_xlpm.払出,SUMIFS(tbl_ledger[数量],tbl_ledger[ロットID],$B182,tbl_ledger[元状態],I$1),
_xlpm.受入+_xlpm.充当受入-_xlpm.払出))</f>
        <v/>
      </c>
      <c r="J182" s="8" t="str">
        <f>IF($B182="","",_xlfn.LET(
_xlpm.受入,SUMIFS(tbl_ledger[数量],tbl_ledger[ロットID],$B182,tbl_ledger[イベント種類],"梱包完了"),
_xlpm.充当受入,SUMIFS(tbl_ledger[数量],tbl_ledger[充当先ロットID],$B182,tbl_ledger[イベント種類],"充当",tbl_ledger[元状態],J$1),
_xlpm.払出,SUMIFS(tbl_ledger[数量],tbl_ledger[ロットID],$B182,tbl_ledger[元状態],J$1),
_xlpm.受入+_xlpm.充当受入-_xlpm.払出))</f>
        <v/>
      </c>
      <c r="K182" s="8" t="str">
        <f>IF($B182="","",_xlfn.LET(
_xlpm.受入,SUMIFS(tbl_ledger[数量],tbl_ledger[ロットID],$B182,tbl_ledger[イベント種類],"発送準備開始"),
_xlpm.充当受入,SUMIFS(tbl_ledger[数量],tbl_ledger[充当先ロットID],$B182,tbl_ledger[イベント種類],"充当",tbl_ledger[元状態],K$1),
_xlpm.払出,SUMIFS(tbl_ledger[数量],tbl_ledger[ロットID],$B182,tbl_ledger[元状態],K$1),
_xlpm.受入+_xlpm.充当受入-_xlpm.払出))</f>
        <v/>
      </c>
      <c r="L182" s="8" t="str">
        <f>IF($B182="","",_xlfn.LET(
_xlpm.受入,SUMIFS(tbl_ledger[数量],tbl_ledger[ロットID],$B182,tbl_ledger[イベント種類],"発送準備完了"),
_xlpm.充当受入,SUMIFS(tbl_ledger[数量],tbl_ledger[充当先ロットID],$B182,tbl_ledger[イベント種類],"充当",tbl_ledger[元状態],L$1),
_xlpm.払出,SUMIFS(tbl_ledger[数量],tbl_ledger[ロットID],$B182,tbl_ledger[元状態],L$1),
_xlpm.受入+_xlpm.充当受入-_xlpm.払出))</f>
        <v/>
      </c>
      <c r="M182" s="8" t="str">
        <f>IF($B182="","",_xlfn.LET(
_xlpm.受入,SUMIFS(tbl_ledger[数量],tbl_ledger[ロットID],$B182,tbl_ledger[イベント種類],"不良発生"),
_xlpm.充当受入,SUMIFS(tbl_ledger[数量],tbl_ledger[充当先ロットID],$B182,tbl_ledger[イベント種類],"充当",tbl_ledger[元状態],M$1),
_xlpm.払出,SUMIFS(tbl_ledger[数量],tbl_ledger[ロットID],$B182,tbl_ledger[元状態],M$1),
_xlpm.受入+_xlpm.充当受入-_xlpm.払出))</f>
        <v/>
      </c>
      <c r="N182" s="8" t="str">
        <f t="shared" si="5"/>
        <v/>
      </c>
    </row>
    <row r="183" spans="1:14" ht="15" customHeight="1" x14ac:dyDescent="0.25">
      <c r="A183" s="4" t="str">
        <f t="shared" si="4"/>
        <v/>
      </c>
      <c r="B183" s="4" t="str">
        <f>IFERROR(IF(COUNTIF($B$1:$B182,INDEX(tbl_plan[ロットID],ROW()-1))&gt;0,"",INDEX(tbl_plan[ロットID],ROW()-1)),"")</f>
        <v/>
      </c>
      <c r="C183" s="4" t="str">
        <f>IF($B183="","",INDEX(tbl_plan[localId],ROW()-1))</f>
        <v/>
      </c>
      <c r="D183" s="8" t="str">
        <f>IF($B183="","",_xlfn.LET(
_xlpm.割当受入,SUMIF(V_充足確認!$A$2:$A$301,$B183,V_充足確認!$F$2:$F$301),
_xlpm.充当受入,SUMIFS(tbl_ledger[数量],tbl_ledger[充当先ロットID],$B183,tbl_ledger[イベント種類],"充当",tbl_ledger[元状態],D$1),
_xlpm.払出,SUMIFS(tbl_ledger[数量],tbl_ledger[ロットID],$B183,tbl_ledger[元状態],D$1),
_xlpm.割当受入+_xlpm.充当受入-_xlpm.払出))</f>
        <v/>
      </c>
      <c r="E183" s="8" t="str">
        <f>IF($B183="","",_xlfn.LET(
_xlpm.受入,SUMIFS(tbl_ledger[数量],tbl_ledger[ロットID],$B183,tbl_ledger[イベント種類],"アニール開始"),
_xlpm.充当受入,SUMIFS(tbl_ledger[数量],tbl_ledger[充当先ロットID],$B183,tbl_ledger[イベント種類],"充当",tbl_ledger[元状態],E$1),
_xlpm.払出,SUMIFS(tbl_ledger[数量],tbl_ledger[ロットID],$B183,tbl_ledger[元状態],E$1),
_xlpm.受入+_xlpm.充当受入-_xlpm.払出))</f>
        <v/>
      </c>
      <c r="F183" s="8" t="str">
        <f>IF($B183="","",_xlfn.LET(
_xlpm.受入,SUMIFS(tbl_ledger[数量],tbl_ledger[ロットID],$B183,tbl_ledger[イベント種類],"アニール完了"),
_xlpm.充当受入,SUMIFS(tbl_ledger[数量],tbl_ledger[充当先ロットID],$B183,tbl_ledger[イベント種類],"充当",tbl_ledger[元状態],F$1),
_xlpm.払出,SUMIFS(tbl_ledger[数量],tbl_ledger[ロットID],$B183,tbl_ledger[元状態],F$1),
_xlpm.受入+_xlpm.充当受入-_xlpm.払出))</f>
        <v/>
      </c>
      <c r="G183" s="8" t="str">
        <f>IF($B183="","",_xlfn.LET(
_xlpm.受入,SUMIFS(tbl_ledger[数量],tbl_ledger[ロットID],$B183,tbl_ledger[イベント種類],"アセンブリ開始"),
_xlpm.充当受入,SUMIFS(tbl_ledger[数量],tbl_ledger[充当先ロットID],$B183,tbl_ledger[イベント種類],"充当",tbl_ledger[元状態],G$1),
_xlpm.払出,SUMIFS(tbl_ledger[数量],tbl_ledger[ロットID],$B183,tbl_ledger[元状態],G$1),
_xlpm.受入+_xlpm.充当受入-_xlpm.払出))</f>
        <v/>
      </c>
      <c r="H183" s="8" t="str">
        <f>IF($B183="","",_xlfn.LET(
_xlpm.受入,SUMIFS(tbl_ledger[数量],tbl_ledger[ロットID],$B183,tbl_ledger[イベント種類],"アセンブリ完了"),
_xlpm.充当受入,SUMIFS(tbl_ledger[数量],tbl_ledger[充当先ロットID],$B183,tbl_ledger[イベント種類],"充当",tbl_ledger[元状態],H$1),
_xlpm.払出,SUMIFS(tbl_ledger[数量],tbl_ledger[ロットID],$B183,tbl_ledger[元状態],H$1),
_xlpm.受入+_xlpm.充当受入-_xlpm.払出))</f>
        <v/>
      </c>
      <c r="I183" s="8" t="str">
        <f>IF($B183="","",_xlfn.LET(
_xlpm.受入,SUMIFS(tbl_ledger[数量],tbl_ledger[ロットID],$B183,tbl_ledger[イベント種類],"梱包開始"),
_xlpm.充当受入,SUMIFS(tbl_ledger[数量],tbl_ledger[充当先ロットID],$B183,tbl_ledger[イベント種類],"充当",tbl_ledger[元状態],I$1),
_xlpm.払出,SUMIFS(tbl_ledger[数量],tbl_ledger[ロットID],$B183,tbl_ledger[元状態],I$1),
_xlpm.受入+_xlpm.充当受入-_xlpm.払出))</f>
        <v/>
      </c>
      <c r="J183" s="8" t="str">
        <f>IF($B183="","",_xlfn.LET(
_xlpm.受入,SUMIFS(tbl_ledger[数量],tbl_ledger[ロットID],$B183,tbl_ledger[イベント種類],"梱包完了"),
_xlpm.充当受入,SUMIFS(tbl_ledger[数量],tbl_ledger[充当先ロットID],$B183,tbl_ledger[イベント種類],"充当",tbl_ledger[元状態],J$1),
_xlpm.払出,SUMIFS(tbl_ledger[数量],tbl_ledger[ロットID],$B183,tbl_ledger[元状態],J$1),
_xlpm.受入+_xlpm.充当受入-_xlpm.払出))</f>
        <v/>
      </c>
      <c r="K183" s="8" t="str">
        <f>IF($B183="","",_xlfn.LET(
_xlpm.受入,SUMIFS(tbl_ledger[数量],tbl_ledger[ロットID],$B183,tbl_ledger[イベント種類],"発送準備開始"),
_xlpm.充当受入,SUMIFS(tbl_ledger[数量],tbl_ledger[充当先ロットID],$B183,tbl_ledger[イベント種類],"充当",tbl_ledger[元状態],K$1),
_xlpm.払出,SUMIFS(tbl_ledger[数量],tbl_ledger[ロットID],$B183,tbl_ledger[元状態],K$1),
_xlpm.受入+_xlpm.充当受入-_xlpm.払出))</f>
        <v/>
      </c>
      <c r="L183" s="8" t="str">
        <f>IF($B183="","",_xlfn.LET(
_xlpm.受入,SUMIFS(tbl_ledger[数量],tbl_ledger[ロットID],$B183,tbl_ledger[イベント種類],"発送準備完了"),
_xlpm.充当受入,SUMIFS(tbl_ledger[数量],tbl_ledger[充当先ロットID],$B183,tbl_ledger[イベント種類],"充当",tbl_ledger[元状態],L$1),
_xlpm.払出,SUMIFS(tbl_ledger[数量],tbl_ledger[ロットID],$B183,tbl_ledger[元状態],L$1),
_xlpm.受入+_xlpm.充当受入-_xlpm.払出))</f>
        <v/>
      </c>
      <c r="M183" s="8" t="str">
        <f>IF($B183="","",_xlfn.LET(
_xlpm.受入,SUMIFS(tbl_ledger[数量],tbl_ledger[ロットID],$B183,tbl_ledger[イベント種類],"不良発生"),
_xlpm.充当受入,SUMIFS(tbl_ledger[数量],tbl_ledger[充当先ロットID],$B183,tbl_ledger[イベント種類],"充当",tbl_ledger[元状態],M$1),
_xlpm.払出,SUMIFS(tbl_ledger[数量],tbl_ledger[ロットID],$B183,tbl_ledger[元状態],M$1),
_xlpm.受入+_xlpm.充当受入-_xlpm.払出))</f>
        <v/>
      </c>
      <c r="N183" s="8" t="str">
        <f t="shared" si="5"/>
        <v/>
      </c>
    </row>
    <row r="184" spans="1:14" ht="15" customHeight="1" x14ac:dyDescent="0.25">
      <c r="A184" s="4" t="str">
        <f t="shared" si="4"/>
        <v/>
      </c>
      <c r="B184" s="4" t="str">
        <f>IFERROR(IF(COUNTIF($B$1:$B183,INDEX(tbl_plan[ロットID],ROW()-1))&gt;0,"",INDEX(tbl_plan[ロットID],ROW()-1)),"")</f>
        <v/>
      </c>
      <c r="C184" s="4" t="str">
        <f>IF($B184="","",INDEX(tbl_plan[localId],ROW()-1))</f>
        <v/>
      </c>
      <c r="D184" s="8" t="str">
        <f>IF($B184="","",_xlfn.LET(
_xlpm.割当受入,SUMIF(V_充足確認!$A$2:$A$301,$B184,V_充足確認!$F$2:$F$301),
_xlpm.充当受入,SUMIFS(tbl_ledger[数量],tbl_ledger[充当先ロットID],$B184,tbl_ledger[イベント種類],"充当",tbl_ledger[元状態],D$1),
_xlpm.払出,SUMIFS(tbl_ledger[数量],tbl_ledger[ロットID],$B184,tbl_ledger[元状態],D$1),
_xlpm.割当受入+_xlpm.充当受入-_xlpm.払出))</f>
        <v/>
      </c>
      <c r="E184" s="8" t="str">
        <f>IF($B184="","",_xlfn.LET(
_xlpm.受入,SUMIFS(tbl_ledger[数量],tbl_ledger[ロットID],$B184,tbl_ledger[イベント種類],"アニール開始"),
_xlpm.充当受入,SUMIFS(tbl_ledger[数量],tbl_ledger[充当先ロットID],$B184,tbl_ledger[イベント種類],"充当",tbl_ledger[元状態],E$1),
_xlpm.払出,SUMIFS(tbl_ledger[数量],tbl_ledger[ロットID],$B184,tbl_ledger[元状態],E$1),
_xlpm.受入+_xlpm.充当受入-_xlpm.払出))</f>
        <v/>
      </c>
      <c r="F184" s="8" t="str">
        <f>IF($B184="","",_xlfn.LET(
_xlpm.受入,SUMIFS(tbl_ledger[数量],tbl_ledger[ロットID],$B184,tbl_ledger[イベント種類],"アニール完了"),
_xlpm.充当受入,SUMIFS(tbl_ledger[数量],tbl_ledger[充当先ロットID],$B184,tbl_ledger[イベント種類],"充当",tbl_ledger[元状態],F$1),
_xlpm.払出,SUMIFS(tbl_ledger[数量],tbl_ledger[ロットID],$B184,tbl_ledger[元状態],F$1),
_xlpm.受入+_xlpm.充当受入-_xlpm.払出))</f>
        <v/>
      </c>
      <c r="G184" s="8" t="str">
        <f>IF($B184="","",_xlfn.LET(
_xlpm.受入,SUMIFS(tbl_ledger[数量],tbl_ledger[ロットID],$B184,tbl_ledger[イベント種類],"アセンブリ開始"),
_xlpm.充当受入,SUMIFS(tbl_ledger[数量],tbl_ledger[充当先ロットID],$B184,tbl_ledger[イベント種類],"充当",tbl_ledger[元状態],G$1),
_xlpm.払出,SUMIFS(tbl_ledger[数量],tbl_ledger[ロットID],$B184,tbl_ledger[元状態],G$1),
_xlpm.受入+_xlpm.充当受入-_xlpm.払出))</f>
        <v/>
      </c>
      <c r="H184" s="8" t="str">
        <f>IF($B184="","",_xlfn.LET(
_xlpm.受入,SUMIFS(tbl_ledger[数量],tbl_ledger[ロットID],$B184,tbl_ledger[イベント種類],"アセンブリ完了"),
_xlpm.充当受入,SUMIFS(tbl_ledger[数量],tbl_ledger[充当先ロットID],$B184,tbl_ledger[イベント種類],"充当",tbl_ledger[元状態],H$1),
_xlpm.払出,SUMIFS(tbl_ledger[数量],tbl_ledger[ロットID],$B184,tbl_ledger[元状態],H$1),
_xlpm.受入+_xlpm.充当受入-_xlpm.払出))</f>
        <v/>
      </c>
      <c r="I184" s="8" t="str">
        <f>IF($B184="","",_xlfn.LET(
_xlpm.受入,SUMIFS(tbl_ledger[数量],tbl_ledger[ロットID],$B184,tbl_ledger[イベント種類],"梱包開始"),
_xlpm.充当受入,SUMIFS(tbl_ledger[数量],tbl_ledger[充当先ロットID],$B184,tbl_ledger[イベント種類],"充当",tbl_ledger[元状態],I$1),
_xlpm.払出,SUMIFS(tbl_ledger[数量],tbl_ledger[ロットID],$B184,tbl_ledger[元状態],I$1),
_xlpm.受入+_xlpm.充当受入-_xlpm.払出))</f>
        <v/>
      </c>
      <c r="J184" s="8" t="str">
        <f>IF($B184="","",_xlfn.LET(
_xlpm.受入,SUMIFS(tbl_ledger[数量],tbl_ledger[ロットID],$B184,tbl_ledger[イベント種類],"梱包完了"),
_xlpm.充当受入,SUMIFS(tbl_ledger[数量],tbl_ledger[充当先ロットID],$B184,tbl_ledger[イベント種類],"充当",tbl_ledger[元状態],J$1),
_xlpm.払出,SUMIFS(tbl_ledger[数量],tbl_ledger[ロットID],$B184,tbl_ledger[元状態],J$1),
_xlpm.受入+_xlpm.充当受入-_xlpm.払出))</f>
        <v/>
      </c>
      <c r="K184" s="8" t="str">
        <f>IF($B184="","",_xlfn.LET(
_xlpm.受入,SUMIFS(tbl_ledger[数量],tbl_ledger[ロットID],$B184,tbl_ledger[イベント種類],"発送準備開始"),
_xlpm.充当受入,SUMIFS(tbl_ledger[数量],tbl_ledger[充当先ロットID],$B184,tbl_ledger[イベント種類],"充当",tbl_ledger[元状態],K$1),
_xlpm.払出,SUMIFS(tbl_ledger[数量],tbl_ledger[ロットID],$B184,tbl_ledger[元状態],K$1),
_xlpm.受入+_xlpm.充当受入-_xlpm.払出))</f>
        <v/>
      </c>
      <c r="L184" s="8" t="str">
        <f>IF($B184="","",_xlfn.LET(
_xlpm.受入,SUMIFS(tbl_ledger[数量],tbl_ledger[ロットID],$B184,tbl_ledger[イベント種類],"発送準備完了"),
_xlpm.充当受入,SUMIFS(tbl_ledger[数量],tbl_ledger[充当先ロットID],$B184,tbl_ledger[イベント種類],"充当",tbl_ledger[元状態],L$1),
_xlpm.払出,SUMIFS(tbl_ledger[数量],tbl_ledger[ロットID],$B184,tbl_ledger[元状態],L$1),
_xlpm.受入+_xlpm.充当受入-_xlpm.払出))</f>
        <v/>
      </c>
      <c r="M184" s="8" t="str">
        <f>IF($B184="","",_xlfn.LET(
_xlpm.受入,SUMIFS(tbl_ledger[数量],tbl_ledger[ロットID],$B184,tbl_ledger[イベント種類],"不良発生"),
_xlpm.充当受入,SUMIFS(tbl_ledger[数量],tbl_ledger[充当先ロットID],$B184,tbl_ledger[イベント種類],"充当",tbl_ledger[元状態],M$1),
_xlpm.払出,SUMIFS(tbl_ledger[数量],tbl_ledger[ロットID],$B184,tbl_ledger[元状態],M$1),
_xlpm.受入+_xlpm.充当受入-_xlpm.払出))</f>
        <v/>
      </c>
      <c r="N184" s="8" t="str">
        <f t="shared" si="5"/>
        <v/>
      </c>
    </row>
    <row r="185" spans="1:14" ht="15" customHeight="1" x14ac:dyDescent="0.25">
      <c r="A185" s="4" t="str">
        <f t="shared" si="4"/>
        <v/>
      </c>
      <c r="B185" s="4" t="str">
        <f>IFERROR(IF(COUNTIF($B$1:$B184,INDEX(tbl_plan[ロットID],ROW()-1))&gt;0,"",INDEX(tbl_plan[ロットID],ROW()-1)),"")</f>
        <v/>
      </c>
      <c r="C185" s="4" t="str">
        <f>IF($B185="","",INDEX(tbl_plan[localId],ROW()-1))</f>
        <v/>
      </c>
      <c r="D185" s="8" t="str">
        <f>IF($B185="","",_xlfn.LET(
_xlpm.割当受入,SUMIF(V_充足確認!$A$2:$A$301,$B185,V_充足確認!$F$2:$F$301),
_xlpm.充当受入,SUMIFS(tbl_ledger[数量],tbl_ledger[充当先ロットID],$B185,tbl_ledger[イベント種類],"充当",tbl_ledger[元状態],D$1),
_xlpm.払出,SUMIFS(tbl_ledger[数量],tbl_ledger[ロットID],$B185,tbl_ledger[元状態],D$1),
_xlpm.割当受入+_xlpm.充当受入-_xlpm.払出))</f>
        <v/>
      </c>
      <c r="E185" s="8" t="str">
        <f>IF($B185="","",_xlfn.LET(
_xlpm.受入,SUMIFS(tbl_ledger[数量],tbl_ledger[ロットID],$B185,tbl_ledger[イベント種類],"アニール開始"),
_xlpm.充当受入,SUMIFS(tbl_ledger[数量],tbl_ledger[充当先ロットID],$B185,tbl_ledger[イベント種類],"充当",tbl_ledger[元状態],E$1),
_xlpm.払出,SUMIFS(tbl_ledger[数量],tbl_ledger[ロットID],$B185,tbl_ledger[元状態],E$1),
_xlpm.受入+_xlpm.充当受入-_xlpm.払出))</f>
        <v/>
      </c>
      <c r="F185" s="8" t="str">
        <f>IF($B185="","",_xlfn.LET(
_xlpm.受入,SUMIFS(tbl_ledger[数量],tbl_ledger[ロットID],$B185,tbl_ledger[イベント種類],"アニール完了"),
_xlpm.充当受入,SUMIFS(tbl_ledger[数量],tbl_ledger[充当先ロットID],$B185,tbl_ledger[イベント種類],"充当",tbl_ledger[元状態],F$1),
_xlpm.払出,SUMIFS(tbl_ledger[数量],tbl_ledger[ロットID],$B185,tbl_ledger[元状態],F$1),
_xlpm.受入+_xlpm.充当受入-_xlpm.払出))</f>
        <v/>
      </c>
      <c r="G185" s="8" t="str">
        <f>IF($B185="","",_xlfn.LET(
_xlpm.受入,SUMIFS(tbl_ledger[数量],tbl_ledger[ロットID],$B185,tbl_ledger[イベント種類],"アセンブリ開始"),
_xlpm.充当受入,SUMIFS(tbl_ledger[数量],tbl_ledger[充当先ロットID],$B185,tbl_ledger[イベント種類],"充当",tbl_ledger[元状態],G$1),
_xlpm.払出,SUMIFS(tbl_ledger[数量],tbl_ledger[ロットID],$B185,tbl_ledger[元状態],G$1),
_xlpm.受入+_xlpm.充当受入-_xlpm.払出))</f>
        <v/>
      </c>
      <c r="H185" s="8" t="str">
        <f>IF($B185="","",_xlfn.LET(
_xlpm.受入,SUMIFS(tbl_ledger[数量],tbl_ledger[ロットID],$B185,tbl_ledger[イベント種類],"アセンブリ完了"),
_xlpm.充当受入,SUMIFS(tbl_ledger[数量],tbl_ledger[充当先ロットID],$B185,tbl_ledger[イベント種類],"充当",tbl_ledger[元状態],H$1),
_xlpm.払出,SUMIFS(tbl_ledger[数量],tbl_ledger[ロットID],$B185,tbl_ledger[元状態],H$1),
_xlpm.受入+_xlpm.充当受入-_xlpm.払出))</f>
        <v/>
      </c>
      <c r="I185" s="8" t="str">
        <f>IF($B185="","",_xlfn.LET(
_xlpm.受入,SUMIFS(tbl_ledger[数量],tbl_ledger[ロットID],$B185,tbl_ledger[イベント種類],"梱包開始"),
_xlpm.充当受入,SUMIFS(tbl_ledger[数量],tbl_ledger[充当先ロットID],$B185,tbl_ledger[イベント種類],"充当",tbl_ledger[元状態],I$1),
_xlpm.払出,SUMIFS(tbl_ledger[数量],tbl_ledger[ロットID],$B185,tbl_ledger[元状態],I$1),
_xlpm.受入+_xlpm.充当受入-_xlpm.払出))</f>
        <v/>
      </c>
      <c r="J185" s="8" t="str">
        <f>IF($B185="","",_xlfn.LET(
_xlpm.受入,SUMIFS(tbl_ledger[数量],tbl_ledger[ロットID],$B185,tbl_ledger[イベント種類],"梱包完了"),
_xlpm.充当受入,SUMIFS(tbl_ledger[数量],tbl_ledger[充当先ロットID],$B185,tbl_ledger[イベント種類],"充当",tbl_ledger[元状態],J$1),
_xlpm.払出,SUMIFS(tbl_ledger[数量],tbl_ledger[ロットID],$B185,tbl_ledger[元状態],J$1),
_xlpm.受入+_xlpm.充当受入-_xlpm.払出))</f>
        <v/>
      </c>
      <c r="K185" s="8" t="str">
        <f>IF($B185="","",_xlfn.LET(
_xlpm.受入,SUMIFS(tbl_ledger[数量],tbl_ledger[ロットID],$B185,tbl_ledger[イベント種類],"発送準備開始"),
_xlpm.充当受入,SUMIFS(tbl_ledger[数量],tbl_ledger[充当先ロットID],$B185,tbl_ledger[イベント種類],"充当",tbl_ledger[元状態],K$1),
_xlpm.払出,SUMIFS(tbl_ledger[数量],tbl_ledger[ロットID],$B185,tbl_ledger[元状態],K$1),
_xlpm.受入+_xlpm.充当受入-_xlpm.払出))</f>
        <v/>
      </c>
      <c r="L185" s="8" t="str">
        <f>IF($B185="","",_xlfn.LET(
_xlpm.受入,SUMIFS(tbl_ledger[数量],tbl_ledger[ロットID],$B185,tbl_ledger[イベント種類],"発送準備完了"),
_xlpm.充当受入,SUMIFS(tbl_ledger[数量],tbl_ledger[充当先ロットID],$B185,tbl_ledger[イベント種類],"充当",tbl_ledger[元状態],L$1),
_xlpm.払出,SUMIFS(tbl_ledger[数量],tbl_ledger[ロットID],$B185,tbl_ledger[元状態],L$1),
_xlpm.受入+_xlpm.充当受入-_xlpm.払出))</f>
        <v/>
      </c>
      <c r="M185" s="8" t="str">
        <f>IF($B185="","",_xlfn.LET(
_xlpm.受入,SUMIFS(tbl_ledger[数量],tbl_ledger[ロットID],$B185,tbl_ledger[イベント種類],"不良発生"),
_xlpm.充当受入,SUMIFS(tbl_ledger[数量],tbl_ledger[充当先ロットID],$B185,tbl_ledger[イベント種類],"充当",tbl_ledger[元状態],M$1),
_xlpm.払出,SUMIFS(tbl_ledger[数量],tbl_ledger[ロットID],$B185,tbl_ledger[元状態],M$1),
_xlpm.受入+_xlpm.充当受入-_xlpm.払出))</f>
        <v/>
      </c>
      <c r="N185" s="8" t="str">
        <f t="shared" si="5"/>
        <v/>
      </c>
    </row>
    <row r="186" spans="1:14" ht="15" customHeight="1" x14ac:dyDescent="0.25">
      <c r="A186" s="4" t="str">
        <f t="shared" si="4"/>
        <v/>
      </c>
      <c r="B186" s="4" t="str">
        <f>IFERROR(IF(COUNTIF($B$1:$B185,INDEX(tbl_plan[ロットID],ROW()-1))&gt;0,"",INDEX(tbl_plan[ロットID],ROW()-1)),"")</f>
        <v/>
      </c>
      <c r="C186" s="4" t="str">
        <f>IF($B186="","",INDEX(tbl_plan[localId],ROW()-1))</f>
        <v/>
      </c>
      <c r="D186" s="8" t="str">
        <f>IF($B186="","",_xlfn.LET(
_xlpm.割当受入,SUMIF(V_充足確認!$A$2:$A$301,$B186,V_充足確認!$F$2:$F$301),
_xlpm.充当受入,SUMIFS(tbl_ledger[数量],tbl_ledger[充当先ロットID],$B186,tbl_ledger[イベント種類],"充当",tbl_ledger[元状態],D$1),
_xlpm.払出,SUMIFS(tbl_ledger[数量],tbl_ledger[ロットID],$B186,tbl_ledger[元状態],D$1),
_xlpm.割当受入+_xlpm.充当受入-_xlpm.払出))</f>
        <v/>
      </c>
      <c r="E186" s="8" t="str">
        <f>IF($B186="","",_xlfn.LET(
_xlpm.受入,SUMIFS(tbl_ledger[数量],tbl_ledger[ロットID],$B186,tbl_ledger[イベント種類],"アニール開始"),
_xlpm.充当受入,SUMIFS(tbl_ledger[数量],tbl_ledger[充当先ロットID],$B186,tbl_ledger[イベント種類],"充当",tbl_ledger[元状態],E$1),
_xlpm.払出,SUMIFS(tbl_ledger[数量],tbl_ledger[ロットID],$B186,tbl_ledger[元状態],E$1),
_xlpm.受入+_xlpm.充当受入-_xlpm.払出))</f>
        <v/>
      </c>
      <c r="F186" s="8" t="str">
        <f>IF($B186="","",_xlfn.LET(
_xlpm.受入,SUMIFS(tbl_ledger[数量],tbl_ledger[ロットID],$B186,tbl_ledger[イベント種類],"アニール完了"),
_xlpm.充当受入,SUMIFS(tbl_ledger[数量],tbl_ledger[充当先ロットID],$B186,tbl_ledger[イベント種類],"充当",tbl_ledger[元状態],F$1),
_xlpm.払出,SUMIFS(tbl_ledger[数量],tbl_ledger[ロットID],$B186,tbl_ledger[元状態],F$1),
_xlpm.受入+_xlpm.充当受入-_xlpm.払出))</f>
        <v/>
      </c>
      <c r="G186" s="8" t="str">
        <f>IF($B186="","",_xlfn.LET(
_xlpm.受入,SUMIFS(tbl_ledger[数量],tbl_ledger[ロットID],$B186,tbl_ledger[イベント種類],"アセンブリ開始"),
_xlpm.充当受入,SUMIFS(tbl_ledger[数量],tbl_ledger[充当先ロットID],$B186,tbl_ledger[イベント種類],"充当",tbl_ledger[元状態],G$1),
_xlpm.払出,SUMIFS(tbl_ledger[数量],tbl_ledger[ロットID],$B186,tbl_ledger[元状態],G$1),
_xlpm.受入+_xlpm.充当受入-_xlpm.払出))</f>
        <v/>
      </c>
      <c r="H186" s="8" t="str">
        <f>IF($B186="","",_xlfn.LET(
_xlpm.受入,SUMIFS(tbl_ledger[数量],tbl_ledger[ロットID],$B186,tbl_ledger[イベント種類],"アセンブリ完了"),
_xlpm.充当受入,SUMIFS(tbl_ledger[数量],tbl_ledger[充当先ロットID],$B186,tbl_ledger[イベント種類],"充当",tbl_ledger[元状態],H$1),
_xlpm.払出,SUMIFS(tbl_ledger[数量],tbl_ledger[ロットID],$B186,tbl_ledger[元状態],H$1),
_xlpm.受入+_xlpm.充当受入-_xlpm.払出))</f>
        <v/>
      </c>
      <c r="I186" s="8" t="str">
        <f>IF($B186="","",_xlfn.LET(
_xlpm.受入,SUMIFS(tbl_ledger[数量],tbl_ledger[ロットID],$B186,tbl_ledger[イベント種類],"梱包開始"),
_xlpm.充当受入,SUMIFS(tbl_ledger[数量],tbl_ledger[充当先ロットID],$B186,tbl_ledger[イベント種類],"充当",tbl_ledger[元状態],I$1),
_xlpm.払出,SUMIFS(tbl_ledger[数量],tbl_ledger[ロットID],$B186,tbl_ledger[元状態],I$1),
_xlpm.受入+_xlpm.充当受入-_xlpm.払出))</f>
        <v/>
      </c>
      <c r="J186" s="8" t="str">
        <f>IF($B186="","",_xlfn.LET(
_xlpm.受入,SUMIFS(tbl_ledger[数量],tbl_ledger[ロットID],$B186,tbl_ledger[イベント種類],"梱包完了"),
_xlpm.充当受入,SUMIFS(tbl_ledger[数量],tbl_ledger[充当先ロットID],$B186,tbl_ledger[イベント種類],"充当",tbl_ledger[元状態],J$1),
_xlpm.払出,SUMIFS(tbl_ledger[数量],tbl_ledger[ロットID],$B186,tbl_ledger[元状態],J$1),
_xlpm.受入+_xlpm.充当受入-_xlpm.払出))</f>
        <v/>
      </c>
      <c r="K186" s="8" t="str">
        <f>IF($B186="","",_xlfn.LET(
_xlpm.受入,SUMIFS(tbl_ledger[数量],tbl_ledger[ロットID],$B186,tbl_ledger[イベント種類],"発送準備開始"),
_xlpm.充当受入,SUMIFS(tbl_ledger[数量],tbl_ledger[充当先ロットID],$B186,tbl_ledger[イベント種類],"充当",tbl_ledger[元状態],K$1),
_xlpm.払出,SUMIFS(tbl_ledger[数量],tbl_ledger[ロットID],$B186,tbl_ledger[元状態],K$1),
_xlpm.受入+_xlpm.充当受入-_xlpm.払出))</f>
        <v/>
      </c>
      <c r="L186" s="8" t="str">
        <f>IF($B186="","",_xlfn.LET(
_xlpm.受入,SUMIFS(tbl_ledger[数量],tbl_ledger[ロットID],$B186,tbl_ledger[イベント種類],"発送準備完了"),
_xlpm.充当受入,SUMIFS(tbl_ledger[数量],tbl_ledger[充当先ロットID],$B186,tbl_ledger[イベント種類],"充当",tbl_ledger[元状態],L$1),
_xlpm.払出,SUMIFS(tbl_ledger[数量],tbl_ledger[ロットID],$B186,tbl_ledger[元状態],L$1),
_xlpm.受入+_xlpm.充当受入-_xlpm.払出))</f>
        <v/>
      </c>
      <c r="M186" s="8" t="str">
        <f>IF($B186="","",_xlfn.LET(
_xlpm.受入,SUMIFS(tbl_ledger[数量],tbl_ledger[ロットID],$B186,tbl_ledger[イベント種類],"不良発生"),
_xlpm.充当受入,SUMIFS(tbl_ledger[数量],tbl_ledger[充当先ロットID],$B186,tbl_ledger[イベント種類],"充当",tbl_ledger[元状態],M$1),
_xlpm.払出,SUMIFS(tbl_ledger[数量],tbl_ledger[ロットID],$B186,tbl_ledger[元状態],M$1),
_xlpm.受入+_xlpm.充当受入-_xlpm.払出))</f>
        <v/>
      </c>
      <c r="N186" s="8" t="str">
        <f t="shared" si="5"/>
        <v/>
      </c>
    </row>
    <row r="187" spans="1:14" ht="15" customHeight="1" x14ac:dyDescent="0.25">
      <c r="A187" s="4" t="str">
        <f t="shared" si="4"/>
        <v/>
      </c>
      <c r="B187" s="4" t="str">
        <f>IFERROR(IF(COUNTIF($B$1:$B186,INDEX(tbl_plan[ロットID],ROW()-1))&gt;0,"",INDEX(tbl_plan[ロットID],ROW()-1)),"")</f>
        <v/>
      </c>
      <c r="C187" s="4" t="str">
        <f>IF($B187="","",INDEX(tbl_plan[localId],ROW()-1))</f>
        <v/>
      </c>
      <c r="D187" s="8" t="str">
        <f>IF($B187="","",_xlfn.LET(
_xlpm.割当受入,SUMIF(V_充足確認!$A$2:$A$301,$B187,V_充足確認!$F$2:$F$301),
_xlpm.充当受入,SUMIFS(tbl_ledger[数量],tbl_ledger[充当先ロットID],$B187,tbl_ledger[イベント種類],"充当",tbl_ledger[元状態],D$1),
_xlpm.払出,SUMIFS(tbl_ledger[数量],tbl_ledger[ロットID],$B187,tbl_ledger[元状態],D$1),
_xlpm.割当受入+_xlpm.充当受入-_xlpm.払出))</f>
        <v/>
      </c>
      <c r="E187" s="8" t="str">
        <f>IF($B187="","",_xlfn.LET(
_xlpm.受入,SUMIFS(tbl_ledger[数量],tbl_ledger[ロットID],$B187,tbl_ledger[イベント種類],"アニール開始"),
_xlpm.充当受入,SUMIFS(tbl_ledger[数量],tbl_ledger[充当先ロットID],$B187,tbl_ledger[イベント種類],"充当",tbl_ledger[元状態],E$1),
_xlpm.払出,SUMIFS(tbl_ledger[数量],tbl_ledger[ロットID],$B187,tbl_ledger[元状態],E$1),
_xlpm.受入+_xlpm.充当受入-_xlpm.払出))</f>
        <v/>
      </c>
      <c r="F187" s="8" t="str">
        <f>IF($B187="","",_xlfn.LET(
_xlpm.受入,SUMIFS(tbl_ledger[数量],tbl_ledger[ロットID],$B187,tbl_ledger[イベント種類],"アニール完了"),
_xlpm.充当受入,SUMIFS(tbl_ledger[数量],tbl_ledger[充当先ロットID],$B187,tbl_ledger[イベント種類],"充当",tbl_ledger[元状態],F$1),
_xlpm.払出,SUMIFS(tbl_ledger[数量],tbl_ledger[ロットID],$B187,tbl_ledger[元状態],F$1),
_xlpm.受入+_xlpm.充当受入-_xlpm.払出))</f>
        <v/>
      </c>
      <c r="G187" s="8" t="str">
        <f>IF($B187="","",_xlfn.LET(
_xlpm.受入,SUMIFS(tbl_ledger[数量],tbl_ledger[ロットID],$B187,tbl_ledger[イベント種類],"アセンブリ開始"),
_xlpm.充当受入,SUMIFS(tbl_ledger[数量],tbl_ledger[充当先ロットID],$B187,tbl_ledger[イベント種類],"充当",tbl_ledger[元状態],G$1),
_xlpm.払出,SUMIFS(tbl_ledger[数量],tbl_ledger[ロットID],$B187,tbl_ledger[元状態],G$1),
_xlpm.受入+_xlpm.充当受入-_xlpm.払出))</f>
        <v/>
      </c>
      <c r="H187" s="8" t="str">
        <f>IF($B187="","",_xlfn.LET(
_xlpm.受入,SUMIFS(tbl_ledger[数量],tbl_ledger[ロットID],$B187,tbl_ledger[イベント種類],"アセンブリ完了"),
_xlpm.充当受入,SUMIFS(tbl_ledger[数量],tbl_ledger[充当先ロットID],$B187,tbl_ledger[イベント種類],"充当",tbl_ledger[元状態],H$1),
_xlpm.払出,SUMIFS(tbl_ledger[数量],tbl_ledger[ロットID],$B187,tbl_ledger[元状態],H$1),
_xlpm.受入+_xlpm.充当受入-_xlpm.払出))</f>
        <v/>
      </c>
      <c r="I187" s="8" t="str">
        <f>IF($B187="","",_xlfn.LET(
_xlpm.受入,SUMIFS(tbl_ledger[数量],tbl_ledger[ロットID],$B187,tbl_ledger[イベント種類],"梱包開始"),
_xlpm.充当受入,SUMIFS(tbl_ledger[数量],tbl_ledger[充当先ロットID],$B187,tbl_ledger[イベント種類],"充当",tbl_ledger[元状態],I$1),
_xlpm.払出,SUMIFS(tbl_ledger[数量],tbl_ledger[ロットID],$B187,tbl_ledger[元状態],I$1),
_xlpm.受入+_xlpm.充当受入-_xlpm.払出))</f>
        <v/>
      </c>
      <c r="J187" s="8" t="str">
        <f>IF($B187="","",_xlfn.LET(
_xlpm.受入,SUMIFS(tbl_ledger[数量],tbl_ledger[ロットID],$B187,tbl_ledger[イベント種類],"梱包完了"),
_xlpm.充当受入,SUMIFS(tbl_ledger[数量],tbl_ledger[充当先ロットID],$B187,tbl_ledger[イベント種類],"充当",tbl_ledger[元状態],J$1),
_xlpm.払出,SUMIFS(tbl_ledger[数量],tbl_ledger[ロットID],$B187,tbl_ledger[元状態],J$1),
_xlpm.受入+_xlpm.充当受入-_xlpm.払出))</f>
        <v/>
      </c>
      <c r="K187" s="8" t="str">
        <f>IF($B187="","",_xlfn.LET(
_xlpm.受入,SUMIFS(tbl_ledger[数量],tbl_ledger[ロットID],$B187,tbl_ledger[イベント種類],"発送準備開始"),
_xlpm.充当受入,SUMIFS(tbl_ledger[数量],tbl_ledger[充当先ロットID],$B187,tbl_ledger[イベント種類],"充当",tbl_ledger[元状態],K$1),
_xlpm.払出,SUMIFS(tbl_ledger[数量],tbl_ledger[ロットID],$B187,tbl_ledger[元状態],K$1),
_xlpm.受入+_xlpm.充当受入-_xlpm.払出))</f>
        <v/>
      </c>
      <c r="L187" s="8" t="str">
        <f>IF($B187="","",_xlfn.LET(
_xlpm.受入,SUMIFS(tbl_ledger[数量],tbl_ledger[ロットID],$B187,tbl_ledger[イベント種類],"発送準備完了"),
_xlpm.充当受入,SUMIFS(tbl_ledger[数量],tbl_ledger[充当先ロットID],$B187,tbl_ledger[イベント種類],"充当",tbl_ledger[元状態],L$1),
_xlpm.払出,SUMIFS(tbl_ledger[数量],tbl_ledger[ロットID],$B187,tbl_ledger[元状態],L$1),
_xlpm.受入+_xlpm.充当受入-_xlpm.払出))</f>
        <v/>
      </c>
      <c r="M187" s="8" t="str">
        <f>IF($B187="","",_xlfn.LET(
_xlpm.受入,SUMIFS(tbl_ledger[数量],tbl_ledger[ロットID],$B187,tbl_ledger[イベント種類],"不良発生"),
_xlpm.充当受入,SUMIFS(tbl_ledger[数量],tbl_ledger[充当先ロットID],$B187,tbl_ledger[イベント種類],"充当",tbl_ledger[元状態],M$1),
_xlpm.払出,SUMIFS(tbl_ledger[数量],tbl_ledger[ロットID],$B187,tbl_ledger[元状態],M$1),
_xlpm.受入+_xlpm.充当受入-_xlpm.払出))</f>
        <v/>
      </c>
      <c r="N187" s="8" t="str">
        <f t="shared" si="5"/>
        <v/>
      </c>
    </row>
    <row r="188" spans="1:14" ht="15" customHeight="1" x14ac:dyDescent="0.25">
      <c r="A188" s="4" t="str">
        <f t="shared" si="4"/>
        <v/>
      </c>
      <c r="B188" s="4" t="str">
        <f>IFERROR(IF(COUNTIF($B$1:$B187,INDEX(tbl_plan[ロットID],ROW()-1))&gt;0,"",INDEX(tbl_plan[ロットID],ROW()-1)),"")</f>
        <v/>
      </c>
      <c r="C188" s="4" t="str">
        <f>IF($B188="","",INDEX(tbl_plan[localId],ROW()-1))</f>
        <v/>
      </c>
      <c r="D188" s="8" t="str">
        <f>IF($B188="","",_xlfn.LET(
_xlpm.割当受入,SUMIF(V_充足確認!$A$2:$A$301,$B188,V_充足確認!$F$2:$F$301),
_xlpm.充当受入,SUMIFS(tbl_ledger[数量],tbl_ledger[充当先ロットID],$B188,tbl_ledger[イベント種類],"充当",tbl_ledger[元状態],D$1),
_xlpm.払出,SUMIFS(tbl_ledger[数量],tbl_ledger[ロットID],$B188,tbl_ledger[元状態],D$1),
_xlpm.割当受入+_xlpm.充当受入-_xlpm.払出))</f>
        <v/>
      </c>
      <c r="E188" s="8" t="str">
        <f>IF($B188="","",_xlfn.LET(
_xlpm.受入,SUMIFS(tbl_ledger[数量],tbl_ledger[ロットID],$B188,tbl_ledger[イベント種類],"アニール開始"),
_xlpm.充当受入,SUMIFS(tbl_ledger[数量],tbl_ledger[充当先ロットID],$B188,tbl_ledger[イベント種類],"充当",tbl_ledger[元状態],E$1),
_xlpm.払出,SUMIFS(tbl_ledger[数量],tbl_ledger[ロットID],$B188,tbl_ledger[元状態],E$1),
_xlpm.受入+_xlpm.充当受入-_xlpm.払出))</f>
        <v/>
      </c>
      <c r="F188" s="8" t="str">
        <f>IF($B188="","",_xlfn.LET(
_xlpm.受入,SUMIFS(tbl_ledger[数量],tbl_ledger[ロットID],$B188,tbl_ledger[イベント種類],"アニール完了"),
_xlpm.充当受入,SUMIFS(tbl_ledger[数量],tbl_ledger[充当先ロットID],$B188,tbl_ledger[イベント種類],"充当",tbl_ledger[元状態],F$1),
_xlpm.払出,SUMIFS(tbl_ledger[数量],tbl_ledger[ロットID],$B188,tbl_ledger[元状態],F$1),
_xlpm.受入+_xlpm.充当受入-_xlpm.払出))</f>
        <v/>
      </c>
      <c r="G188" s="8" t="str">
        <f>IF($B188="","",_xlfn.LET(
_xlpm.受入,SUMIFS(tbl_ledger[数量],tbl_ledger[ロットID],$B188,tbl_ledger[イベント種類],"アセンブリ開始"),
_xlpm.充当受入,SUMIFS(tbl_ledger[数量],tbl_ledger[充当先ロットID],$B188,tbl_ledger[イベント種類],"充当",tbl_ledger[元状態],G$1),
_xlpm.払出,SUMIFS(tbl_ledger[数量],tbl_ledger[ロットID],$B188,tbl_ledger[元状態],G$1),
_xlpm.受入+_xlpm.充当受入-_xlpm.払出))</f>
        <v/>
      </c>
      <c r="H188" s="8" t="str">
        <f>IF($B188="","",_xlfn.LET(
_xlpm.受入,SUMIFS(tbl_ledger[数量],tbl_ledger[ロットID],$B188,tbl_ledger[イベント種類],"アセンブリ完了"),
_xlpm.充当受入,SUMIFS(tbl_ledger[数量],tbl_ledger[充当先ロットID],$B188,tbl_ledger[イベント種類],"充当",tbl_ledger[元状態],H$1),
_xlpm.払出,SUMIFS(tbl_ledger[数量],tbl_ledger[ロットID],$B188,tbl_ledger[元状態],H$1),
_xlpm.受入+_xlpm.充当受入-_xlpm.払出))</f>
        <v/>
      </c>
      <c r="I188" s="8" t="str">
        <f>IF($B188="","",_xlfn.LET(
_xlpm.受入,SUMIFS(tbl_ledger[数量],tbl_ledger[ロットID],$B188,tbl_ledger[イベント種類],"梱包開始"),
_xlpm.充当受入,SUMIFS(tbl_ledger[数量],tbl_ledger[充当先ロットID],$B188,tbl_ledger[イベント種類],"充当",tbl_ledger[元状態],I$1),
_xlpm.払出,SUMIFS(tbl_ledger[数量],tbl_ledger[ロットID],$B188,tbl_ledger[元状態],I$1),
_xlpm.受入+_xlpm.充当受入-_xlpm.払出))</f>
        <v/>
      </c>
      <c r="J188" s="8" t="str">
        <f>IF($B188="","",_xlfn.LET(
_xlpm.受入,SUMIFS(tbl_ledger[数量],tbl_ledger[ロットID],$B188,tbl_ledger[イベント種類],"梱包完了"),
_xlpm.充当受入,SUMIFS(tbl_ledger[数量],tbl_ledger[充当先ロットID],$B188,tbl_ledger[イベント種類],"充当",tbl_ledger[元状態],J$1),
_xlpm.払出,SUMIFS(tbl_ledger[数量],tbl_ledger[ロットID],$B188,tbl_ledger[元状態],J$1),
_xlpm.受入+_xlpm.充当受入-_xlpm.払出))</f>
        <v/>
      </c>
      <c r="K188" s="8" t="str">
        <f>IF($B188="","",_xlfn.LET(
_xlpm.受入,SUMIFS(tbl_ledger[数量],tbl_ledger[ロットID],$B188,tbl_ledger[イベント種類],"発送準備開始"),
_xlpm.充当受入,SUMIFS(tbl_ledger[数量],tbl_ledger[充当先ロットID],$B188,tbl_ledger[イベント種類],"充当",tbl_ledger[元状態],K$1),
_xlpm.払出,SUMIFS(tbl_ledger[数量],tbl_ledger[ロットID],$B188,tbl_ledger[元状態],K$1),
_xlpm.受入+_xlpm.充当受入-_xlpm.払出))</f>
        <v/>
      </c>
      <c r="L188" s="8" t="str">
        <f>IF($B188="","",_xlfn.LET(
_xlpm.受入,SUMIFS(tbl_ledger[数量],tbl_ledger[ロットID],$B188,tbl_ledger[イベント種類],"発送準備完了"),
_xlpm.充当受入,SUMIFS(tbl_ledger[数量],tbl_ledger[充当先ロットID],$B188,tbl_ledger[イベント種類],"充当",tbl_ledger[元状態],L$1),
_xlpm.払出,SUMIFS(tbl_ledger[数量],tbl_ledger[ロットID],$B188,tbl_ledger[元状態],L$1),
_xlpm.受入+_xlpm.充当受入-_xlpm.払出))</f>
        <v/>
      </c>
      <c r="M188" s="8" t="str">
        <f>IF($B188="","",_xlfn.LET(
_xlpm.受入,SUMIFS(tbl_ledger[数量],tbl_ledger[ロットID],$B188,tbl_ledger[イベント種類],"不良発生"),
_xlpm.充当受入,SUMIFS(tbl_ledger[数量],tbl_ledger[充当先ロットID],$B188,tbl_ledger[イベント種類],"充当",tbl_ledger[元状態],M$1),
_xlpm.払出,SUMIFS(tbl_ledger[数量],tbl_ledger[ロットID],$B188,tbl_ledger[元状態],M$1),
_xlpm.受入+_xlpm.充当受入-_xlpm.払出))</f>
        <v/>
      </c>
      <c r="N188" s="8" t="str">
        <f t="shared" si="5"/>
        <v/>
      </c>
    </row>
    <row r="189" spans="1:14" ht="15" customHeight="1" x14ac:dyDescent="0.25">
      <c r="A189" s="4" t="str">
        <f t="shared" si="4"/>
        <v/>
      </c>
      <c r="B189" s="4" t="str">
        <f>IFERROR(IF(COUNTIF($B$1:$B188,INDEX(tbl_plan[ロットID],ROW()-1))&gt;0,"",INDEX(tbl_plan[ロットID],ROW()-1)),"")</f>
        <v/>
      </c>
      <c r="C189" s="4" t="str">
        <f>IF($B189="","",INDEX(tbl_plan[localId],ROW()-1))</f>
        <v/>
      </c>
      <c r="D189" s="8" t="str">
        <f>IF($B189="","",_xlfn.LET(
_xlpm.割当受入,SUMIF(V_充足確認!$A$2:$A$301,$B189,V_充足確認!$F$2:$F$301),
_xlpm.充当受入,SUMIFS(tbl_ledger[数量],tbl_ledger[充当先ロットID],$B189,tbl_ledger[イベント種類],"充当",tbl_ledger[元状態],D$1),
_xlpm.払出,SUMIFS(tbl_ledger[数量],tbl_ledger[ロットID],$B189,tbl_ledger[元状態],D$1),
_xlpm.割当受入+_xlpm.充当受入-_xlpm.払出))</f>
        <v/>
      </c>
      <c r="E189" s="8" t="str">
        <f>IF($B189="","",_xlfn.LET(
_xlpm.受入,SUMIFS(tbl_ledger[数量],tbl_ledger[ロットID],$B189,tbl_ledger[イベント種類],"アニール開始"),
_xlpm.充当受入,SUMIFS(tbl_ledger[数量],tbl_ledger[充当先ロットID],$B189,tbl_ledger[イベント種類],"充当",tbl_ledger[元状態],E$1),
_xlpm.払出,SUMIFS(tbl_ledger[数量],tbl_ledger[ロットID],$B189,tbl_ledger[元状態],E$1),
_xlpm.受入+_xlpm.充当受入-_xlpm.払出))</f>
        <v/>
      </c>
      <c r="F189" s="8" t="str">
        <f>IF($B189="","",_xlfn.LET(
_xlpm.受入,SUMIFS(tbl_ledger[数量],tbl_ledger[ロットID],$B189,tbl_ledger[イベント種類],"アニール完了"),
_xlpm.充当受入,SUMIFS(tbl_ledger[数量],tbl_ledger[充当先ロットID],$B189,tbl_ledger[イベント種類],"充当",tbl_ledger[元状態],F$1),
_xlpm.払出,SUMIFS(tbl_ledger[数量],tbl_ledger[ロットID],$B189,tbl_ledger[元状態],F$1),
_xlpm.受入+_xlpm.充当受入-_xlpm.払出))</f>
        <v/>
      </c>
      <c r="G189" s="8" t="str">
        <f>IF($B189="","",_xlfn.LET(
_xlpm.受入,SUMIFS(tbl_ledger[数量],tbl_ledger[ロットID],$B189,tbl_ledger[イベント種類],"アセンブリ開始"),
_xlpm.充当受入,SUMIFS(tbl_ledger[数量],tbl_ledger[充当先ロットID],$B189,tbl_ledger[イベント種類],"充当",tbl_ledger[元状態],G$1),
_xlpm.払出,SUMIFS(tbl_ledger[数量],tbl_ledger[ロットID],$B189,tbl_ledger[元状態],G$1),
_xlpm.受入+_xlpm.充当受入-_xlpm.払出))</f>
        <v/>
      </c>
      <c r="H189" s="8" t="str">
        <f>IF($B189="","",_xlfn.LET(
_xlpm.受入,SUMIFS(tbl_ledger[数量],tbl_ledger[ロットID],$B189,tbl_ledger[イベント種類],"アセンブリ完了"),
_xlpm.充当受入,SUMIFS(tbl_ledger[数量],tbl_ledger[充当先ロットID],$B189,tbl_ledger[イベント種類],"充当",tbl_ledger[元状態],H$1),
_xlpm.払出,SUMIFS(tbl_ledger[数量],tbl_ledger[ロットID],$B189,tbl_ledger[元状態],H$1),
_xlpm.受入+_xlpm.充当受入-_xlpm.払出))</f>
        <v/>
      </c>
      <c r="I189" s="8" t="str">
        <f>IF($B189="","",_xlfn.LET(
_xlpm.受入,SUMIFS(tbl_ledger[数量],tbl_ledger[ロットID],$B189,tbl_ledger[イベント種類],"梱包開始"),
_xlpm.充当受入,SUMIFS(tbl_ledger[数量],tbl_ledger[充当先ロットID],$B189,tbl_ledger[イベント種類],"充当",tbl_ledger[元状態],I$1),
_xlpm.払出,SUMIFS(tbl_ledger[数量],tbl_ledger[ロットID],$B189,tbl_ledger[元状態],I$1),
_xlpm.受入+_xlpm.充当受入-_xlpm.払出))</f>
        <v/>
      </c>
      <c r="J189" s="8" t="str">
        <f>IF($B189="","",_xlfn.LET(
_xlpm.受入,SUMIFS(tbl_ledger[数量],tbl_ledger[ロットID],$B189,tbl_ledger[イベント種類],"梱包完了"),
_xlpm.充当受入,SUMIFS(tbl_ledger[数量],tbl_ledger[充当先ロットID],$B189,tbl_ledger[イベント種類],"充当",tbl_ledger[元状態],J$1),
_xlpm.払出,SUMIFS(tbl_ledger[数量],tbl_ledger[ロットID],$B189,tbl_ledger[元状態],J$1),
_xlpm.受入+_xlpm.充当受入-_xlpm.払出))</f>
        <v/>
      </c>
      <c r="K189" s="8" t="str">
        <f>IF($B189="","",_xlfn.LET(
_xlpm.受入,SUMIFS(tbl_ledger[数量],tbl_ledger[ロットID],$B189,tbl_ledger[イベント種類],"発送準備開始"),
_xlpm.充当受入,SUMIFS(tbl_ledger[数量],tbl_ledger[充当先ロットID],$B189,tbl_ledger[イベント種類],"充当",tbl_ledger[元状態],K$1),
_xlpm.払出,SUMIFS(tbl_ledger[数量],tbl_ledger[ロットID],$B189,tbl_ledger[元状態],K$1),
_xlpm.受入+_xlpm.充当受入-_xlpm.払出))</f>
        <v/>
      </c>
      <c r="L189" s="8" t="str">
        <f>IF($B189="","",_xlfn.LET(
_xlpm.受入,SUMIFS(tbl_ledger[数量],tbl_ledger[ロットID],$B189,tbl_ledger[イベント種類],"発送準備完了"),
_xlpm.充当受入,SUMIFS(tbl_ledger[数量],tbl_ledger[充当先ロットID],$B189,tbl_ledger[イベント種類],"充当",tbl_ledger[元状態],L$1),
_xlpm.払出,SUMIFS(tbl_ledger[数量],tbl_ledger[ロットID],$B189,tbl_ledger[元状態],L$1),
_xlpm.受入+_xlpm.充当受入-_xlpm.払出))</f>
        <v/>
      </c>
      <c r="M189" s="8" t="str">
        <f>IF($B189="","",_xlfn.LET(
_xlpm.受入,SUMIFS(tbl_ledger[数量],tbl_ledger[ロットID],$B189,tbl_ledger[イベント種類],"不良発生"),
_xlpm.充当受入,SUMIFS(tbl_ledger[数量],tbl_ledger[充当先ロットID],$B189,tbl_ledger[イベント種類],"充当",tbl_ledger[元状態],M$1),
_xlpm.払出,SUMIFS(tbl_ledger[数量],tbl_ledger[ロットID],$B189,tbl_ledger[元状態],M$1),
_xlpm.受入+_xlpm.充当受入-_xlpm.払出))</f>
        <v/>
      </c>
      <c r="N189" s="8" t="str">
        <f t="shared" si="5"/>
        <v/>
      </c>
    </row>
    <row r="190" spans="1:14" ht="15" customHeight="1" x14ac:dyDescent="0.25">
      <c r="A190" s="4" t="str">
        <f t="shared" si="4"/>
        <v/>
      </c>
      <c r="B190" s="4" t="str">
        <f>IFERROR(IF(COUNTIF($B$1:$B189,INDEX(tbl_plan[ロットID],ROW()-1))&gt;0,"",INDEX(tbl_plan[ロットID],ROW()-1)),"")</f>
        <v/>
      </c>
      <c r="C190" s="4" t="str">
        <f>IF($B190="","",INDEX(tbl_plan[localId],ROW()-1))</f>
        <v/>
      </c>
      <c r="D190" s="8" t="str">
        <f>IF($B190="","",_xlfn.LET(
_xlpm.割当受入,SUMIF(V_充足確認!$A$2:$A$301,$B190,V_充足確認!$F$2:$F$301),
_xlpm.充当受入,SUMIFS(tbl_ledger[数量],tbl_ledger[充当先ロットID],$B190,tbl_ledger[イベント種類],"充当",tbl_ledger[元状態],D$1),
_xlpm.払出,SUMIFS(tbl_ledger[数量],tbl_ledger[ロットID],$B190,tbl_ledger[元状態],D$1),
_xlpm.割当受入+_xlpm.充当受入-_xlpm.払出))</f>
        <v/>
      </c>
      <c r="E190" s="8" t="str">
        <f>IF($B190="","",_xlfn.LET(
_xlpm.受入,SUMIFS(tbl_ledger[数量],tbl_ledger[ロットID],$B190,tbl_ledger[イベント種類],"アニール開始"),
_xlpm.充当受入,SUMIFS(tbl_ledger[数量],tbl_ledger[充当先ロットID],$B190,tbl_ledger[イベント種類],"充当",tbl_ledger[元状態],E$1),
_xlpm.払出,SUMIFS(tbl_ledger[数量],tbl_ledger[ロットID],$B190,tbl_ledger[元状態],E$1),
_xlpm.受入+_xlpm.充当受入-_xlpm.払出))</f>
        <v/>
      </c>
      <c r="F190" s="8" t="str">
        <f>IF($B190="","",_xlfn.LET(
_xlpm.受入,SUMIFS(tbl_ledger[数量],tbl_ledger[ロットID],$B190,tbl_ledger[イベント種類],"アニール完了"),
_xlpm.充当受入,SUMIFS(tbl_ledger[数量],tbl_ledger[充当先ロットID],$B190,tbl_ledger[イベント種類],"充当",tbl_ledger[元状態],F$1),
_xlpm.払出,SUMIFS(tbl_ledger[数量],tbl_ledger[ロットID],$B190,tbl_ledger[元状態],F$1),
_xlpm.受入+_xlpm.充当受入-_xlpm.払出))</f>
        <v/>
      </c>
      <c r="G190" s="8" t="str">
        <f>IF($B190="","",_xlfn.LET(
_xlpm.受入,SUMIFS(tbl_ledger[数量],tbl_ledger[ロットID],$B190,tbl_ledger[イベント種類],"アセンブリ開始"),
_xlpm.充当受入,SUMIFS(tbl_ledger[数量],tbl_ledger[充当先ロットID],$B190,tbl_ledger[イベント種類],"充当",tbl_ledger[元状態],G$1),
_xlpm.払出,SUMIFS(tbl_ledger[数量],tbl_ledger[ロットID],$B190,tbl_ledger[元状態],G$1),
_xlpm.受入+_xlpm.充当受入-_xlpm.払出))</f>
        <v/>
      </c>
      <c r="H190" s="8" t="str">
        <f>IF($B190="","",_xlfn.LET(
_xlpm.受入,SUMIFS(tbl_ledger[数量],tbl_ledger[ロットID],$B190,tbl_ledger[イベント種類],"アセンブリ完了"),
_xlpm.充当受入,SUMIFS(tbl_ledger[数量],tbl_ledger[充当先ロットID],$B190,tbl_ledger[イベント種類],"充当",tbl_ledger[元状態],H$1),
_xlpm.払出,SUMIFS(tbl_ledger[数量],tbl_ledger[ロットID],$B190,tbl_ledger[元状態],H$1),
_xlpm.受入+_xlpm.充当受入-_xlpm.払出))</f>
        <v/>
      </c>
      <c r="I190" s="8" t="str">
        <f>IF($B190="","",_xlfn.LET(
_xlpm.受入,SUMIFS(tbl_ledger[数量],tbl_ledger[ロットID],$B190,tbl_ledger[イベント種類],"梱包開始"),
_xlpm.充当受入,SUMIFS(tbl_ledger[数量],tbl_ledger[充当先ロットID],$B190,tbl_ledger[イベント種類],"充当",tbl_ledger[元状態],I$1),
_xlpm.払出,SUMIFS(tbl_ledger[数量],tbl_ledger[ロットID],$B190,tbl_ledger[元状態],I$1),
_xlpm.受入+_xlpm.充当受入-_xlpm.払出))</f>
        <v/>
      </c>
      <c r="J190" s="8" t="str">
        <f>IF($B190="","",_xlfn.LET(
_xlpm.受入,SUMIFS(tbl_ledger[数量],tbl_ledger[ロットID],$B190,tbl_ledger[イベント種類],"梱包完了"),
_xlpm.充当受入,SUMIFS(tbl_ledger[数量],tbl_ledger[充当先ロットID],$B190,tbl_ledger[イベント種類],"充当",tbl_ledger[元状態],J$1),
_xlpm.払出,SUMIFS(tbl_ledger[数量],tbl_ledger[ロットID],$B190,tbl_ledger[元状態],J$1),
_xlpm.受入+_xlpm.充当受入-_xlpm.払出))</f>
        <v/>
      </c>
      <c r="K190" s="8" t="str">
        <f>IF($B190="","",_xlfn.LET(
_xlpm.受入,SUMIFS(tbl_ledger[数量],tbl_ledger[ロットID],$B190,tbl_ledger[イベント種類],"発送準備開始"),
_xlpm.充当受入,SUMIFS(tbl_ledger[数量],tbl_ledger[充当先ロットID],$B190,tbl_ledger[イベント種類],"充当",tbl_ledger[元状態],K$1),
_xlpm.払出,SUMIFS(tbl_ledger[数量],tbl_ledger[ロットID],$B190,tbl_ledger[元状態],K$1),
_xlpm.受入+_xlpm.充当受入-_xlpm.払出))</f>
        <v/>
      </c>
      <c r="L190" s="8" t="str">
        <f>IF($B190="","",_xlfn.LET(
_xlpm.受入,SUMIFS(tbl_ledger[数量],tbl_ledger[ロットID],$B190,tbl_ledger[イベント種類],"発送準備完了"),
_xlpm.充当受入,SUMIFS(tbl_ledger[数量],tbl_ledger[充当先ロットID],$B190,tbl_ledger[イベント種類],"充当",tbl_ledger[元状態],L$1),
_xlpm.払出,SUMIFS(tbl_ledger[数量],tbl_ledger[ロットID],$B190,tbl_ledger[元状態],L$1),
_xlpm.受入+_xlpm.充当受入-_xlpm.払出))</f>
        <v/>
      </c>
      <c r="M190" s="8" t="str">
        <f>IF($B190="","",_xlfn.LET(
_xlpm.受入,SUMIFS(tbl_ledger[数量],tbl_ledger[ロットID],$B190,tbl_ledger[イベント種類],"不良発生"),
_xlpm.充当受入,SUMIFS(tbl_ledger[数量],tbl_ledger[充当先ロットID],$B190,tbl_ledger[イベント種類],"充当",tbl_ledger[元状態],M$1),
_xlpm.払出,SUMIFS(tbl_ledger[数量],tbl_ledger[ロットID],$B190,tbl_ledger[元状態],M$1),
_xlpm.受入+_xlpm.充当受入-_xlpm.払出))</f>
        <v/>
      </c>
      <c r="N190" s="8" t="str">
        <f t="shared" si="5"/>
        <v/>
      </c>
    </row>
    <row r="191" spans="1:14" ht="15" customHeight="1" x14ac:dyDescent="0.25">
      <c r="A191" s="4" t="str">
        <f t="shared" si="4"/>
        <v/>
      </c>
      <c r="B191" s="4" t="str">
        <f>IFERROR(IF(COUNTIF($B$1:$B190,INDEX(tbl_plan[ロットID],ROW()-1))&gt;0,"",INDEX(tbl_plan[ロットID],ROW()-1)),"")</f>
        <v/>
      </c>
      <c r="C191" s="4" t="str">
        <f>IF($B191="","",INDEX(tbl_plan[localId],ROW()-1))</f>
        <v/>
      </c>
      <c r="D191" s="8" t="str">
        <f>IF($B191="","",_xlfn.LET(
_xlpm.割当受入,SUMIF(V_充足確認!$A$2:$A$301,$B191,V_充足確認!$F$2:$F$301),
_xlpm.充当受入,SUMIFS(tbl_ledger[数量],tbl_ledger[充当先ロットID],$B191,tbl_ledger[イベント種類],"充当",tbl_ledger[元状態],D$1),
_xlpm.払出,SUMIFS(tbl_ledger[数量],tbl_ledger[ロットID],$B191,tbl_ledger[元状態],D$1),
_xlpm.割当受入+_xlpm.充当受入-_xlpm.払出))</f>
        <v/>
      </c>
      <c r="E191" s="8" t="str">
        <f>IF($B191="","",_xlfn.LET(
_xlpm.受入,SUMIFS(tbl_ledger[数量],tbl_ledger[ロットID],$B191,tbl_ledger[イベント種類],"アニール開始"),
_xlpm.充当受入,SUMIFS(tbl_ledger[数量],tbl_ledger[充当先ロットID],$B191,tbl_ledger[イベント種類],"充当",tbl_ledger[元状態],E$1),
_xlpm.払出,SUMIFS(tbl_ledger[数量],tbl_ledger[ロットID],$B191,tbl_ledger[元状態],E$1),
_xlpm.受入+_xlpm.充当受入-_xlpm.払出))</f>
        <v/>
      </c>
      <c r="F191" s="8" t="str">
        <f>IF($B191="","",_xlfn.LET(
_xlpm.受入,SUMIFS(tbl_ledger[数量],tbl_ledger[ロットID],$B191,tbl_ledger[イベント種類],"アニール完了"),
_xlpm.充当受入,SUMIFS(tbl_ledger[数量],tbl_ledger[充当先ロットID],$B191,tbl_ledger[イベント種類],"充当",tbl_ledger[元状態],F$1),
_xlpm.払出,SUMIFS(tbl_ledger[数量],tbl_ledger[ロットID],$B191,tbl_ledger[元状態],F$1),
_xlpm.受入+_xlpm.充当受入-_xlpm.払出))</f>
        <v/>
      </c>
      <c r="G191" s="8" t="str">
        <f>IF($B191="","",_xlfn.LET(
_xlpm.受入,SUMIFS(tbl_ledger[数量],tbl_ledger[ロットID],$B191,tbl_ledger[イベント種類],"アセンブリ開始"),
_xlpm.充当受入,SUMIFS(tbl_ledger[数量],tbl_ledger[充当先ロットID],$B191,tbl_ledger[イベント種類],"充当",tbl_ledger[元状態],G$1),
_xlpm.払出,SUMIFS(tbl_ledger[数量],tbl_ledger[ロットID],$B191,tbl_ledger[元状態],G$1),
_xlpm.受入+_xlpm.充当受入-_xlpm.払出))</f>
        <v/>
      </c>
      <c r="H191" s="8" t="str">
        <f>IF($B191="","",_xlfn.LET(
_xlpm.受入,SUMIFS(tbl_ledger[数量],tbl_ledger[ロットID],$B191,tbl_ledger[イベント種類],"アセンブリ完了"),
_xlpm.充当受入,SUMIFS(tbl_ledger[数量],tbl_ledger[充当先ロットID],$B191,tbl_ledger[イベント種類],"充当",tbl_ledger[元状態],H$1),
_xlpm.払出,SUMIFS(tbl_ledger[数量],tbl_ledger[ロットID],$B191,tbl_ledger[元状態],H$1),
_xlpm.受入+_xlpm.充当受入-_xlpm.払出))</f>
        <v/>
      </c>
      <c r="I191" s="8" t="str">
        <f>IF($B191="","",_xlfn.LET(
_xlpm.受入,SUMIFS(tbl_ledger[数量],tbl_ledger[ロットID],$B191,tbl_ledger[イベント種類],"梱包開始"),
_xlpm.充当受入,SUMIFS(tbl_ledger[数量],tbl_ledger[充当先ロットID],$B191,tbl_ledger[イベント種類],"充当",tbl_ledger[元状態],I$1),
_xlpm.払出,SUMIFS(tbl_ledger[数量],tbl_ledger[ロットID],$B191,tbl_ledger[元状態],I$1),
_xlpm.受入+_xlpm.充当受入-_xlpm.払出))</f>
        <v/>
      </c>
      <c r="J191" s="8" t="str">
        <f>IF($B191="","",_xlfn.LET(
_xlpm.受入,SUMIFS(tbl_ledger[数量],tbl_ledger[ロットID],$B191,tbl_ledger[イベント種類],"梱包完了"),
_xlpm.充当受入,SUMIFS(tbl_ledger[数量],tbl_ledger[充当先ロットID],$B191,tbl_ledger[イベント種類],"充当",tbl_ledger[元状態],J$1),
_xlpm.払出,SUMIFS(tbl_ledger[数量],tbl_ledger[ロットID],$B191,tbl_ledger[元状態],J$1),
_xlpm.受入+_xlpm.充当受入-_xlpm.払出))</f>
        <v/>
      </c>
      <c r="K191" s="8" t="str">
        <f>IF($B191="","",_xlfn.LET(
_xlpm.受入,SUMIFS(tbl_ledger[数量],tbl_ledger[ロットID],$B191,tbl_ledger[イベント種類],"発送準備開始"),
_xlpm.充当受入,SUMIFS(tbl_ledger[数量],tbl_ledger[充当先ロットID],$B191,tbl_ledger[イベント種類],"充当",tbl_ledger[元状態],K$1),
_xlpm.払出,SUMIFS(tbl_ledger[数量],tbl_ledger[ロットID],$B191,tbl_ledger[元状態],K$1),
_xlpm.受入+_xlpm.充当受入-_xlpm.払出))</f>
        <v/>
      </c>
      <c r="L191" s="8" t="str">
        <f>IF($B191="","",_xlfn.LET(
_xlpm.受入,SUMIFS(tbl_ledger[数量],tbl_ledger[ロットID],$B191,tbl_ledger[イベント種類],"発送準備完了"),
_xlpm.充当受入,SUMIFS(tbl_ledger[数量],tbl_ledger[充当先ロットID],$B191,tbl_ledger[イベント種類],"充当",tbl_ledger[元状態],L$1),
_xlpm.払出,SUMIFS(tbl_ledger[数量],tbl_ledger[ロットID],$B191,tbl_ledger[元状態],L$1),
_xlpm.受入+_xlpm.充当受入-_xlpm.払出))</f>
        <v/>
      </c>
      <c r="M191" s="8" t="str">
        <f>IF($B191="","",_xlfn.LET(
_xlpm.受入,SUMIFS(tbl_ledger[数量],tbl_ledger[ロットID],$B191,tbl_ledger[イベント種類],"不良発生"),
_xlpm.充当受入,SUMIFS(tbl_ledger[数量],tbl_ledger[充当先ロットID],$B191,tbl_ledger[イベント種類],"充当",tbl_ledger[元状態],M$1),
_xlpm.払出,SUMIFS(tbl_ledger[数量],tbl_ledger[ロットID],$B191,tbl_ledger[元状態],M$1),
_xlpm.受入+_xlpm.充当受入-_xlpm.払出))</f>
        <v/>
      </c>
      <c r="N191" s="8" t="str">
        <f t="shared" si="5"/>
        <v/>
      </c>
    </row>
    <row r="192" spans="1:14" ht="15" customHeight="1" x14ac:dyDescent="0.25">
      <c r="A192" s="4" t="str">
        <f t="shared" si="4"/>
        <v/>
      </c>
      <c r="B192" s="4" t="str">
        <f>IFERROR(IF(COUNTIF($B$1:$B191,INDEX(tbl_plan[ロットID],ROW()-1))&gt;0,"",INDEX(tbl_plan[ロットID],ROW()-1)),"")</f>
        <v/>
      </c>
      <c r="C192" s="4" t="str">
        <f>IF($B192="","",INDEX(tbl_plan[localId],ROW()-1))</f>
        <v/>
      </c>
      <c r="D192" s="8" t="str">
        <f>IF($B192="","",_xlfn.LET(
_xlpm.割当受入,SUMIF(V_充足確認!$A$2:$A$301,$B192,V_充足確認!$F$2:$F$301),
_xlpm.充当受入,SUMIFS(tbl_ledger[数量],tbl_ledger[充当先ロットID],$B192,tbl_ledger[イベント種類],"充当",tbl_ledger[元状態],D$1),
_xlpm.払出,SUMIFS(tbl_ledger[数量],tbl_ledger[ロットID],$B192,tbl_ledger[元状態],D$1),
_xlpm.割当受入+_xlpm.充当受入-_xlpm.払出))</f>
        <v/>
      </c>
      <c r="E192" s="8" t="str">
        <f>IF($B192="","",_xlfn.LET(
_xlpm.受入,SUMIFS(tbl_ledger[数量],tbl_ledger[ロットID],$B192,tbl_ledger[イベント種類],"アニール開始"),
_xlpm.充当受入,SUMIFS(tbl_ledger[数量],tbl_ledger[充当先ロットID],$B192,tbl_ledger[イベント種類],"充当",tbl_ledger[元状態],E$1),
_xlpm.払出,SUMIFS(tbl_ledger[数量],tbl_ledger[ロットID],$B192,tbl_ledger[元状態],E$1),
_xlpm.受入+_xlpm.充当受入-_xlpm.払出))</f>
        <v/>
      </c>
      <c r="F192" s="8" t="str">
        <f>IF($B192="","",_xlfn.LET(
_xlpm.受入,SUMIFS(tbl_ledger[数量],tbl_ledger[ロットID],$B192,tbl_ledger[イベント種類],"アニール完了"),
_xlpm.充当受入,SUMIFS(tbl_ledger[数量],tbl_ledger[充当先ロットID],$B192,tbl_ledger[イベント種類],"充当",tbl_ledger[元状態],F$1),
_xlpm.払出,SUMIFS(tbl_ledger[数量],tbl_ledger[ロットID],$B192,tbl_ledger[元状態],F$1),
_xlpm.受入+_xlpm.充当受入-_xlpm.払出))</f>
        <v/>
      </c>
      <c r="G192" s="8" t="str">
        <f>IF($B192="","",_xlfn.LET(
_xlpm.受入,SUMIFS(tbl_ledger[数量],tbl_ledger[ロットID],$B192,tbl_ledger[イベント種類],"アセンブリ開始"),
_xlpm.充当受入,SUMIFS(tbl_ledger[数量],tbl_ledger[充当先ロットID],$B192,tbl_ledger[イベント種類],"充当",tbl_ledger[元状態],G$1),
_xlpm.払出,SUMIFS(tbl_ledger[数量],tbl_ledger[ロットID],$B192,tbl_ledger[元状態],G$1),
_xlpm.受入+_xlpm.充当受入-_xlpm.払出))</f>
        <v/>
      </c>
      <c r="H192" s="8" t="str">
        <f>IF($B192="","",_xlfn.LET(
_xlpm.受入,SUMIFS(tbl_ledger[数量],tbl_ledger[ロットID],$B192,tbl_ledger[イベント種類],"アセンブリ完了"),
_xlpm.充当受入,SUMIFS(tbl_ledger[数量],tbl_ledger[充当先ロットID],$B192,tbl_ledger[イベント種類],"充当",tbl_ledger[元状態],H$1),
_xlpm.払出,SUMIFS(tbl_ledger[数量],tbl_ledger[ロットID],$B192,tbl_ledger[元状態],H$1),
_xlpm.受入+_xlpm.充当受入-_xlpm.払出))</f>
        <v/>
      </c>
      <c r="I192" s="8" t="str">
        <f>IF($B192="","",_xlfn.LET(
_xlpm.受入,SUMIFS(tbl_ledger[数量],tbl_ledger[ロットID],$B192,tbl_ledger[イベント種類],"梱包開始"),
_xlpm.充当受入,SUMIFS(tbl_ledger[数量],tbl_ledger[充当先ロットID],$B192,tbl_ledger[イベント種類],"充当",tbl_ledger[元状態],I$1),
_xlpm.払出,SUMIFS(tbl_ledger[数量],tbl_ledger[ロットID],$B192,tbl_ledger[元状態],I$1),
_xlpm.受入+_xlpm.充当受入-_xlpm.払出))</f>
        <v/>
      </c>
      <c r="J192" s="8" t="str">
        <f>IF($B192="","",_xlfn.LET(
_xlpm.受入,SUMIFS(tbl_ledger[数量],tbl_ledger[ロットID],$B192,tbl_ledger[イベント種類],"梱包完了"),
_xlpm.充当受入,SUMIFS(tbl_ledger[数量],tbl_ledger[充当先ロットID],$B192,tbl_ledger[イベント種類],"充当",tbl_ledger[元状態],J$1),
_xlpm.払出,SUMIFS(tbl_ledger[数量],tbl_ledger[ロットID],$B192,tbl_ledger[元状態],J$1),
_xlpm.受入+_xlpm.充当受入-_xlpm.払出))</f>
        <v/>
      </c>
      <c r="K192" s="8" t="str">
        <f>IF($B192="","",_xlfn.LET(
_xlpm.受入,SUMIFS(tbl_ledger[数量],tbl_ledger[ロットID],$B192,tbl_ledger[イベント種類],"発送準備開始"),
_xlpm.充当受入,SUMIFS(tbl_ledger[数量],tbl_ledger[充当先ロットID],$B192,tbl_ledger[イベント種類],"充当",tbl_ledger[元状態],K$1),
_xlpm.払出,SUMIFS(tbl_ledger[数量],tbl_ledger[ロットID],$B192,tbl_ledger[元状態],K$1),
_xlpm.受入+_xlpm.充当受入-_xlpm.払出))</f>
        <v/>
      </c>
      <c r="L192" s="8" t="str">
        <f>IF($B192="","",_xlfn.LET(
_xlpm.受入,SUMIFS(tbl_ledger[数量],tbl_ledger[ロットID],$B192,tbl_ledger[イベント種類],"発送準備完了"),
_xlpm.充当受入,SUMIFS(tbl_ledger[数量],tbl_ledger[充当先ロットID],$B192,tbl_ledger[イベント種類],"充当",tbl_ledger[元状態],L$1),
_xlpm.払出,SUMIFS(tbl_ledger[数量],tbl_ledger[ロットID],$B192,tbl_ledger[元状態],L$1),
_xlpm.受入+_xlpm.充当受入-_xlpm.払出))</f>
        <v/>
      </c>
      <c r="M192" s="8" t="str">
        <f>IF($B192="","",_xlfn.LET(
_xlpm.受入,SUMIFS(tbl_ledger[数量],tbl_ledger[ロットID],$B192,tbl_ledger[イベント種類],"不良発生"),
_xlpm.充当受入,SUMIFS(tbl_ledger[数量],tbl_ledger[充当先ロットID],$B192,tbl_ledger[イベント種類],"充当",tbl_ledger[元状態],M$1),
_xlpm.払出,SUMIFS(tbl_ledger[数量],tbl_ledger[ロットID],$B192,tbl_ledger[元状態],M$1),
_xlpm.受入+_xlpm.充当受入-_xlpm.払出))</f>
        <v/>
      </c>
      <c r="N192" s="8" t="str">
        <f t="shared" si="5"/>
        <v/>
      </c>
    </row>
    <row r="193" spans="1:14" ht="15" customHeight="1" x14ac:dyDescent="0.25">
      <c r="A193" s="4" t="str">
        <f t="shared" si="4"/>
        <v/>
      </c>
      <c r="B193" s="4" t="str">
        <f>IFERROR(IF(COUNTIF($B$1:$B192,INDEX(tbl_plan[ロットID],ROW()-1))&gt;0,"",INDEX(tbl_plan[ロットID],ROW()-1)),"")</f>
        <v/>
      </c>
      <c r="C193" s="4" t="str">
        <f>IF($B193="","",INDEX(tbl_plan[localId],ROW()-1))</f>
        <v/>
      </c>
      <c r="D193" s="8" t="str">
        <f>IF($B193="","",_xlfn.LET(
_xlpm.割当受入,SUMIF(V_充足確認!$A$2:$A$301,$B193,V_充足確認!$F$2:$F$301),
_xlpm.充当受入,SUMIFS(tbl_ledger[数量],tbl_ledger[充当先ロットID],$B193,tbl_ledger[イベント種類],"充当",tbl_ledger[元状態],D$1),
_xlpm.払出,SUMIFS(tbl_ledger[数量],tbl_ledger[ロットID],$B193,tbl_ledger[元状態],D$1),
_xlpm.割当受入+_xlpm.充当受入-_xlpm.払出))</f>
        <v/>
      </c>
      <c r="E193" s="8" t="str">
        <f>IF($B193="","",_xlfn.LET(
_xlpm.受入,SUMIFS(tbl_ledger[数量],tbl_ledger[ロットID],$B193,tbl_ledger[イベント種類],"アニール開始"),
_xlpm.充当受入,SUMIFS(tbl_ledger[数量],tbl_ledger[充当先ロットID],$B193,tbl_ledger[イベント種類],"充当",tbl_ledger[元状態],E$1),
_xlpm.払出,SUMIFS(tbl_ledger[数量],tbl_ledger[ロットID],$B193,tbl_ledger[元状態],E$1),
_xlpm.受入+_xlpm.充当受入-_xlpm.払出))</f>
        <v/>
      </c>
      <c r="F193" s="8" t="str">
        <f>IF($B193="","",_xlfn.LET(
_xlpm.受入,SUMIFS(tbl_ledger[数量],tbl_ledger[ロットID],$B193,tbl_ledger[イベント種類],"アニール完了"),
_xlpm.充当受入,SUMIFS(tbl_ledger[数量],tbl_ledger[充当先ロットID],$B193,tbl_ledger[イベント種類],"充当",tbl_ledger[元状態],F$1),
_xlpm.払出,SUMIFS(tbl_ledger[数量],tbl_ledger[ロットID],$B193,tbl_ledger[元状態],F$1),
_xlpm.受入+_xlpm.充当受入-_xlpm.払出))</f>
        <v/>
      </c>
      <c r="G193" s="8" t="str">
        <f>IF($B193="","",_xlfn.LET(
_xlpm.受入,SUMIFS(tbl_ledger[数量],tbl_ledger[ロットID],$B193,tbl_ledger[イベント種類],"アセンブリ開始"),
_xlpm.充当受入,SUMIFS(tbl_ledger[数量],tbl_ledger[充当先ロットID],$B193,tbl_ledger[イベント種類],"充当",tbl_ledger[元状態],G$1),
_xlpm.払出,SUMIFS(tbl_ledger[数量],tbl_ledger[ロットID],$B193,tbl_ledger[元状態],G$1),
_xlpm.受入+_xlpm.充当受入-_xlpm.払出))</f>
        <v/>
      </c>
      <c r="H193" s="8" t="str">
        <f>IF($B193="","",_xlfn.LET(
_xlpm.受入,SUMIFS(tbl_ledger[数量],tbl_ledger[ロットID],$B193,tbl_ledger[イベント種類],"アセンブリ完了"),
_xlpm.充当受入,SUMIFS(tbl_ledger[数量],tbl_ledger[充当先ロットID],$B193,tbl_ledger[イベント種類],"充当",tbl_ledger[元状態],H$1),
_xlpm.払出,SUMIFS(tbl_ledger[数量],tbl_ledger[ロットID],$B193,tbl_ledger[元状態],H$1),
_xlpm.受入+_xlpm.充当受入-_xlpm.払出))</f>
        <v/>
      </c>
      <c r="I193" s="8" t="str">
        <f>IF($B193="","",_xlfn.LET(
_xlpm.受入,SUMIFS(tbl_ledger[数量],tbl_ledger[ロットID],$B193,tbl_ledger[イベント種類],"梱包開始"),
_xlpm.充当受入,SUMIFS(tbl_ledger[数量],tbl_ledger[充当先ロットID],$B193,tbl_ledger[イベント種類],"充当",tbl_ledger[元状態],I$1),
_xlpm.払出,SUMIFS(tbl_ledger[数量],tbl_ledger[ロットID],$B193,tbl_ledger[元状態],I$1),
_xlpm.受入+_xlpm.充当受入-_xlpm.払出))</f>
        <v/>
      </c>
      <c r="J193" s="8" t="str">
        <f>IF($B193="","",_xlfn.LET(
_xlpm.受入,SUMIFS(tbl_ledger[数量],tbl_ledger[ロットID],$B193,tbl_ledger[イベント種類],"梱包完了"),
_xlpm.充当受入,SUMIFS(tbl_ledger[数量],tbl_ledger[充当先ロットID],$B193,tbl_ledger[イベント種類],"充当",tbl_ledger[元状態],J$1),
_xlpm.払出,SUMIFS(tbl_ledger[数量],tbl_ledger[ロットID],$B193,tbl_ledger[元状態],J$1),
_xlpm.受入+_xlpm.充当受入-_xlpm.払出))</f>
        <v/>
      </c>
      <c r="K193" s="8" t="str">
        <f>IF($B193="","",_xlfn.LET(
_xlpm.受入,SUMIFS(tbl_ledger[数量],tbl_ledger[ロットID],$B193,tbl_ledger[イベント種類],"発送準備開始"),
_xlpm.充当受入,SUMIFS(tbl_ledger[数量],tbl_ledger[充当先ロットID],$B193,tbl_ledger[イベント種類],"充当",tbl_ledger[元状態],K$1),
_xlpm.払出,SUMIFS(tbl_ledger[数量],tbl_ledger[ロットID],$B193,tbl_ledger[元状態],K$1),
_xlpm.受入+_xlpm.充当受入-_xlpm.払出))</f>
        <v/>
      </c>
      <c r="L193" s="8" t="str">
        <f>IF($B193="","",_xlfn.LET(
_xlpm.受入,SUMIFS(tbl_ledger[数量],tbl_ledger[ロットID],$B193,tbl_ledger[イベント種類],"発送準備完了"),
_xlpm.充当受入,SUMIFS(tbl_ledger[数量],tbl_ledger[充当先ロットID],$B193,tbl_ledger[イベント種類],"充当",tbl_ledger[元状態],L$1),
_xlpm.払出,SUMIFS(tbl_ledger[数量],tbl_ledger[ロットID],$B193,tbl_ledger[元状態],L$1),
_xlpm.受入+_xlpm.充当受入-_xlpm.払出))</f>
        <v/>
      </c>
      <c r="M193" s="8" t="str">
        <f>IF($B193="","",_xlfn.LET(
_xlpm.受入,SUMIFS(tbl_ledger[数量],tbl_ledger[ロットID],$B193,tbl_ledger[イベント種類],"不良発生"),
_xlpm.充当受入,SUMIFS(tbl_ledger[数量],tbl_ledger[充当先ロットID],$B193,tbl_ledger[イベント種類],"充当",tbl_ledger[元状態],M$1),
_xlpm.払出,SUMIFS(tbl_ledger[数量],tbl_ledger[ロットID],$B193,tbl_ledger[元状態],M$1),
_xlpm.受入+_xlpm.充当受入-_xlpm.払出))</f>
        <v/>
      </c>
      <c r="N193" s="8" t="str">
        <f t="shared" si="5"/>
        <v/>
      </c>
    </row>
    <row r="194" spans="1:14" ht="15" customHeight="1" x14ac:dyDescent="0.25">
      <c r="A194" s="4" t="str">
        <f t="shared" ref="A194:A257" si="6">IF($B194="","","ロット")</f>
        <v/>
      </c>
      <c r="B194" s="4" t="str">
        <f>IFERROR(IF(COUNTIF($B$1:$B193,INDEX(tbl_plan[ロットID],ROW()-1))&gt;0,"",INDEX(tbl_plan[ロットID],ROW()-1)),"")</f>
        <v/>
      </c>
      <c r="C194" s="4" t="str">
        <f>IF($B194="","",INDEX(tbl_plan[localId],ROW()-1))</f>
        <v/>
      </c>
      <c r="D194" s="8" t="str">
        <f>IF($B194="","",_xlfn.LET(
_xlpm.割当受入,SUMIF(V_充足確認!$A$2:$A$301,$B194,V_充足確認!$F$2:$F$301),
_xlpm.充当受入,SUMIFS(tbl_ledger[数量],tbl_ledger[充当先ロットID],$B194,tbl_ledger[イベント種類],"充当",tbl_ledger[元状態],D$1),
_xlpm.払出,SUMIFS(tbl_ledger[数量],tbl_ledger[ロットID],$B194,tbl_ledger[元状態],D$1),
_xlpm.割当受入+_xlpm.充当受入-_xlpm.払出))</f>
        <v/>
      </c>
      <c r="E194" s="8" t="str">
        <f>IF($B194="","",_xlfn.LET(
_xlpm.受入,SUMIFS(tbl_ledger[数量],tbl_ledger[ロットID],$B194,tbl_ledger[イベント種類],"アニール開始"),
_xlpm.充当受入,SUMIFS(tbl_ledger[数量],tbl_ledger[充当先ロットID],$B194,tbl_ledger[イベント種類],"充当",tbl_ledger[元状態],E$1),
_xlpm.払出,SUMIFS(tbl_ledger[数量],tbl_ledger[ロットID],$B194,tbl_ledger[元状態],E$1),
_xlpm.受入+_xlpm.充当受入-_xlpm.払出))</f>
        <v/>
      </c>
      <c r="F194" s="8" t="str">
        <f>IF($B194="","",_xlfn.LET(
_xlpm.受入,SUMIFS(tbl_ledger[数量],tbl_ledger[ロットID],$B194,tbl_ledger[イベント種類],"アニール完了"),
_xlpm.充当受入,SUMIFS(tbl_ledger[数量],tbl_ledger[充当先ロットID],$B194,tbl_ledger[イベント種類],"充当",tbl_ledger[元状態],F$1),
_xlpm.払出,SUMIFS(tbl_ledger[数量],tbl_ledger[ロットID],$B194,tbl_ledger[元状態],F$1),
_xlpm.受入+_xlpm.充当受入-_xlpm.払出))</f>
        <v/>
      </c>
      <c r="G194" s="8" t="str">
        <f>IF($B194="","",_xlfn.LET(
_xlpm.受入,SUMIFS(tbl_ledger[数量],tbl_ledger[ロットID],$B194,tbl_ledger[イベント種類],"アセンブリ開始"),
_xlpm.充当受入,SUMIFS(tbl_ledger[数量],tbl_ledger[充当先ロットID],$B194,tbl_ledger[イベント種類],"充当",tbl_ledger[元状態],G$1),
_xlpm.払出,SUMIFS(tbl_ledger[数量],tbl_ledger[ロットID],$B194,tbl_ledger[元状態],G$1),
_xlpm.受入+_xlpm.充当受入-_xlpm.払出))</f>
        <v/>
      </c>
      <c r="H194" s="8" t="str">
        <f>IF($B194="","",_xlfn.LET(
_xlpm.受入,SUMIFS(tbl_ledger[数量],tbl_ledger[ロットID],$B194,tbl_ledger[イベント種類],"アセンブリ完了"),
_xlpm.充当受入,SUMIFS(tbl_ledger[数量],tbl_ledger[充当先ロットID],$B194,tbl_ledger[イベント種類],"充当",tbl_ledger[元状態],H$1),
_xlpm.払出,SUMIFS(tbl_ledger[数量],tbl_ledger[ロットID],$B194,tbl_ledger[元状態],H$1),
_xlpm.受入+_xlpm.充当受入-_xlpm.払出))</f>
        <v/>
      </c>
      <c r="I194" s="8" t="str">
        <f>IF($B194="","",_xlfn.LET(
_xlpm.受入,SUMIFS(tbl_ledger[数量],tbl_ledger[ロットID],$B194,tbl_ledger[イベント種類],"梱包開始"),
_xlpm.充当受入,SUMIFS(tbl_ledger[数量],tbl_ledger[充当先ロットID],$B194,tbl_ledger[イベント種類],"充当",tbl_ledger[元状態],I$1),
_xlpm.払出,SUMIFS(tbl_ledger[数量],tbl_ledger[ロットID],$B194,tbl_ledger[元状態],I$1),
_xlpm.受入+_xlpm.充当受入-_xlpm.払出))</f>
        <v/>
      </c>
      <c r="J194" s="8" t="str">
        <f>IF($B194="","",_xlfn.LET(
_xlpm.受入,SUMIFS(tbl_ledger[数量],tbl_ledger[ロットID],$B194,tbl_ledger[イベント種類],"梱包完了"),
_xlpm.充当受入,SUMIFS(tbl_ledger[数量],tbl_ledger[充当先ロットID],$B194,tbl_ledger[イベント種類],"充当",tbl_ledger[元状態],J$1),
_xlpm.払出,SUMIFS(tbl_ledger[数量],tbl_ledger[ロットID],$B194,tbl_ledger[元状態],J$1),
_xlpm.受入+_xlpm.充当受入-_xlpm.払出))</f>
        <v/>
      </c>
      <c r="K194" s="8" t="str">
        <f>IF($B194="","",_xlfn.LET(
_xlpm.受入,SUMIFS(tbl_ledger[数量],tbl_ledger[ロットID],$B194,tbl_ledger[イベント種類],"発送準備開始"),
_xlpm.充当受入,SUMIFS(tbl_ledger[数量],tbl_ledger[充当先ロットID],$B194,tbl_ledger[イベント種類],"充当",tbl_ledger[元状態],K$1),
_xlpm.払出,SUMIFS(tbl_ledger[数量],tbl_ledger[ロットID],$B194,tbl_ledger[元状態],K$1),
_xlpm.受入+_xlpm.充当受入-_xlpm.払出))</f>
        <v/>
      </c>
      <c r="L194" s="8" t="str">
        <f>IF($B194="","",_xlfn.LET(
_xlpm.受入,SUMIFS(tbl_ledger[数量],tbl_ledger[ロットID],$B194,tbl_ledger[イベント種類],"発送準備完了"),
_xlpm.充当受入,SUMIFS(tbl_ledger[数量],tbl_ledger[充当先ロットID],$B194,tbl_ledger[イベント種類],"充当",tbl_ledger[元状態],L$1),
_xlpm.払出,SUMIFS(tbl_ledger[数量],tbl_ledger[ロットID],$B194,tbl_ledger[元状態],L$1),
_xlpm.受入+_xlpm.充当受入-_xlpm.払出))</f>
        <v/>
      </c>
      <c r="M194" s="8" t="str">
        <f>IF($B194="","",_xlfn.LET(
_xlpm.受入,SUMIFS(tbl_ledger[数量],tbl_ledger[ロットID],$B194,tbl_ledger[イベント種類],"不良発生"),
_xlpm.充当受入,SUMIFS(tbl_ledger[数量],tbl_ledger[充当先ロットID],$B194,tbl_ledger[イベント種類],"充当",tbl_ledger[元状態],M$1),
_xlpm.払出,SUMIFS(tbl_ledger[数量],tbl_ledger[ロットID],$B194,tbl_ledger[元状態],M$1),
_xlpm.受入+_xlpm.充当受入-_xlpm.払出))</f>
        <v/>
      </c>
      <c r="N194" s="8" t="str">
        <f t="shared" ref="N194:N257" si="7">IF($B194="","",SUM(D194:M194))</f>
        <v/>
      </c>
    </row>
    <row r="195" spans="1:14" ht="15" customHeight="1" x14ac:dyDescent="0.25">
      <c r="A195" s="4" t="str">
        <f t="shared" si="6"/>
        <v/>
      </c>
      <c r="B195" s="4" t="str">
        <f>IFERROR(IF(COUNTIF($B$1:$B194,INDEX(tbl_plan[ロットID],ROW()-1))&gt;0,"",INDEX(tbl_plan[ロットID],ROW()-1)),"")</f>
        <v/>
      </c>
      <c r="C195" s="4" t="str">
        <f>IF($B195="","",INDEX(tbl_plan[localId],ROW()-1))</f>
        <v/>
      </c>
      <c r="D195" s="8" t="str">
        <f>IF($B195="","",_xlfn.LET(
_xlpm.割当受入,SUMIF(V_充足確認!$A$2:$A$301,$B195,V_充足確認!$F$2:$F$301),
_xlpm.充当受入,SUMIFS(tbl_ledger[数量],tbl_ledger[充当先ロットID],$B195,tbl_ledger[イベント種類],"充当",tbl_ledger[元状態],D$1),
_xlpm.払出,SUMIFS(tbl_ledger[数量],tbl_ledger[ロットID],$B195,tbl_ledger[元状態],D$1),
_xlpm.割当受入+_xlpm.充当受入-_xlpm.払出))</f>
        <v/>
      </c>
      <c r="E195" s="8" t="str">
        <f>IF($B195="","",_xlfn.LET(
_xlpm.受入,SUMIFS(tbl_ledger[数量],tbl_ledger[ロットID],$B195,tbl_ledger[イベント種類],"アニール開始"),
_xlpm.充当受入,SUMIFS(tbl_ledger[数量],tbl_ledger[充当先ロットID],$B195,tbl_ledger[イベント種類],"充当",tbl_ledger[元状態],E$1),
_xlpm.払出,SUMIFS(tbl_ledger[数量],tbl_ledger[ロットID],$B195,tbl_ledger[元状態],E$1),
_xlpm.受入+_xlpm.充当受入-_xlpm.払出))</f>
        <v/>
      </c>
      <c r="F195" s="8" t="str">
        <f>IF($B195="","",_xlfn.LET(
_xlpm.受入,SUMIFS(tbl_ledger[数量],tbl_ledger[ロットID],$B195,tbl_ledger[イベント種類],"アニール完了"),
_xlpm.充当受入,SUMIFS(tbl_ledger[数量],tbl_ledger[充当先ロットID],$B195,tbl_ledger[イベント種類],"充当",tbl_ledger[元状態],F$1),
_xlpm.払出,SUMIFS(tbl_ledger[数量],tbl_ledger[ロットID],$B195,tbl_ledger[元状態],F$1),
_xlpm.受入+_xlpm.充当受入-_xlpm.払出))</f>
        <v/>
      </c>
      <c r="G195" s="8" t="str">
        <f>IF($B195="","",_xlfn.LET(
_xlpm.受入,SUMIFS(tbl_ledger[数量],tbl_ledger[ロットID],$B195,tbl_ledger[イベント種類],"アセンブリ開始"),
_xlpm.充当受入,SUMIFS(tbl_ledger[数量],tbl_ledger[充当先ロットID],$B195,tbl_ledger[イベント種類],"充当",tbl_ledger[元状態],G$1),
_xlpm.払出,SUMIFS(tbl_ledger[数量],tbl_ledger[ロットID],$B195,tbl_ledger[元状態],G$1),
_xlpm.受入+_xlpm.充当受入-_xlpm.払出))</f>
        <v/>
      </c>
      <c r="H195" s="8" t="str">
        <f>IF($B195="","",_xlfn.LET(
_xlpm.受入,SUMIFS(tbl_ledger[数量],tbl_ledger[ロットID],$B195,tbl_ledger[イベント種類],"アセンブリ完了"),
_xlpm.充当受入,SUMIFS(tbl_ledger[数量],tbl_ledger[充当先ロットID],$B195,tbl_ledger[イベント種類],"充当",tbl_ledger[元状態],H$1),
_xlpm.払出,SUMIFS(tbl_ledger[数量],tbl_ledger[ロットID],$B195,tbl_ledger[元状態],H$1),
_xlpm.受入+_xlpm.充当受入-_xlpm.払出))</f>
        <v/>
      </c>
      <c r="I195" s="8" t="str">
        <f>IF($B195="","",_xlfn.LET(
_xlpm.受入,SUMIFS(tbl_ledger[数量],tbl_ledger[ロットID],$B195,tbl_ledger[イベント種類],"梱包開始"),
_xlpm.充当受入,SUMIFS(tbl_ledger[数量],tbl_ledger[充当先ロットID],$B195,tbl_ledger[イベント種類],"充当",tbl_ledger[元状態],I$1),
_xlpm.払出,SUMIFS(tbl_ledger[数量],tbl_ledger[ロットID],$B195,tbl_ledger[元状態],I$1),
_xlpm.受入+_xlpm.充当受入-_xlpm.払出))</f>
        <v/>
      </c>
      <c r="J195" s="8" t="str">
        <f>IF($B195="","",_xlfn.LET(
_xlpm.受入,SUMIFS(tbl_ledger[数量],tbl_ledger[ロットID],$B195,tbl_ledger[イベント種類],"梱包完了"),
_xlpm.充当受入,SUMIFS(tbl_ledger[数量],tbl_ledger[充当先ロットID],$B195,tbl_ledger[イベント種類],"充当",tbl_ledger[元状態],J$1),
_xlpm.払出,SUMIFS(tbl_ledger[数量],tbl_ledger[ロットID],$B195,tbl_ledger[元状態],J$1),
_xlpm.受入+_xlpm.充当受入-_xlpm.払出))</f>
        <v/>
      </c>
      <c r="K195" s="8" t="str">
        <f>IF($B195="","",_xlfn.LET(
_xlpm.受入,SUMIFS(tbl_ledger[数量],tbl_ledger[ロットID],$B195,tbl_ledger[イベント種類],"発送準備開始"),
_xlpm.充当受入,SUMIFS(tbl_ledger[数量],tbl_ledger[充当先ロットID],$B195,tbl_ledger[イベント種類],"充当",tbl_ledger[元状態],K$1),
_xlpm.払出,SUMIFS(tbl_ledger[数量],tbl_ledger[ロットID],$B195,tbl_ledger[元状態],K$1),
_xlpm.受入+_xlpm.充当受入-_xlpm.払出))</f>
        <v/>
      </c>
      <c r="L195" s="8" t="str">
        <f>IF($B195="","",_xlfn.LET(
_xlpm.受入,SUMIFS(tbl_ledger[数量],tbl_ledger[ロットID],$B195,tbl_ledger[イベント種類],"発送準備完了"),
_xlpm.充当受入,SUMIFS(tbl_ledger[数量],tbl_ledger[充当先ロットID],$B195,tbl_ledger[イベント種類],"充当",tbl_ledger[元状態],L$1),
_xlpm.払出,SUMIFS(tbl_ledger[数量],tbl_ledger[ロットID],$B195,tbl_ledger[元状態],L$1),
_xlpm.受入+_xlpm.充当受入-_xlpm.払出))</f>
        <v/>
      </c>
      <c r="M195" s="8" t="str">
        <f>IF($B195="","",_xlfn.LET(
_xlpm.受入,SUMIFS(tbl_ledger[数量],tbl_ledger[ロットID],$B195,tbl_ledger[イベント種類],"不良発生"),
_xlpm.充当受入,SUMIFS(tbl_ledger[数量],tbl_ledger[充当先ロットID],$B195,tbl_ledger[イベント種類],"充当",tbl_ledger[元状態],M$1),
_xlpm.払出,SUMIFS(tbl_ledger[数量],tbl_ledger[ロットID],$B195,tbl_ledger[元状態],M$1),
_xlpm.受入+_xlpm.充当受入-_xlpm.払出))</f>
        <v/>
      </c>
      <c r="N195" s="8" t="str">
        <f t="shared" si="7"/>
        <v/>
      </c>
    </row>
    <row r="196" spans="1:14" ht="15" customHeight="1" x14ac:dyDescent="0.25">
      <c r="A196" s="4" t="str">
        <f t="shared" si="6"/>
        <v/>
      </c>
      <c r="B196" s="4" t="str">
        <f>IFERROR(IF(COUNTIF($B$1:$B195,INDEX(tbl_plan[ロットID],ROW()-1))&gt;0,"",INDEX(tbl_plan[ロットID],ROW()-1)),"")</f>
        <v/>
      </c>
      <c r="C196" s="4" t="str">
        <f>IF($B196="","",INDEX(tbl_plan[localId],ROW()-1))</f>
        <v/>
      </c>
      <c r="D196" s="8" t="str">
        <f>IF($B196="","",_xlfn.LET(
_xlpm.割当受入,SUMIF(V_充足確認!$A$2:$A$301,$B196,V_充足確認!$F$2:$F$301),
_xlpm.充当受入,SUMIFS(tbl_ledger[数量],tbl_ledger[充当先ロットID],$B196,tbl_ledger[イベント種類],"充当",tbl_ledger[元状態],D$1),
_xlpm.払出,SUMIFS(tbl_ledger[数量],tbl_ledger[ロットID],$B196,tbl_ledger[元状態],D$1),
_xlpm.割当受入+_xlpm.充当受入-_xlpm.払出))</f>
        <v/>
      </c>
      <c r="E196" s="8" t="str">
        <f>IF($B196="","",_xlfn.LET(
_xlpm.受入,SUMIFS(tbl_ledger[数量],tbl_ledger[ロットID],$B196,tbl_ledger[イベント種類],"アニール開始"),
_xlpm.充当受入,SUMIFS(tbl_ledger[数量],tbl_ledger[充当先ロットID],$B196,tbl_ledger[イベント種類],"充当",tbl_ledger[元状態],E$1),
_xlpm.払出,SUMIFS(tbl_ledger[数量],tbl_ledger[ロットID],$B196,tbl_ledger[元状態],E$1),
_xlpm.受入+_xlpm.充当受入-_xlpm.払出))</f>
        <v/>
      </c>
      <c r="F196" s="8" t="str">
        <f>IF($B196="","",_xlfn.LET(
_xlpm.受入,SUMIFS(tbl_ledger[数量],tbl_ledger[ロットID],$B196,tbl_ledger[イベント種類],"アニール完了"),
_xlpm.充当受入,SUMIFS(tbl_ledger[数量],tbl_ledger[充当先ロットID],$B196,tbl_ledger[イベント種類],"充当",tbl_ledger[元状態],F$1),
_xlpm.払出,SUMIFS(tbl_ledger[数量],tbl_ledger[ロットID],$B196,tbl_ledger[元状態],F$1),
_xlpm.受入+_xlpm.充当受入-_xlpm.払出))</f>
        <v/>
      </c>
      <c r="G196" s="8" t="str">
        <f>IF($B196="","",_xlfn.LET(
_xlpm.受入,SUMIFS(tbl_ledger[数量],tbl_ledger[ロットID],$B196,tbl_ledger[イベント種類],"アセンブリ開始"),
_xlpm.充当受入,SUMIFS(tbl_ledger[数量],tbl_ledger[充当先ロットID],$B196,tbl_ledger[イベント種類],"充当",tbl_ledger[元状態],G$1),
_xlpm.払出,SUMIFS(tbl_ledger[数量],tbl_ledger[ロットID],$B196,tbl_ledger[元状態],G$1),
_xlpm.受入+_xlpm.充当受入-_xlpm.払出))</f>
        <v/>
      </c>
      <c r="H196" s="8" t="str">
        <f>IF($B196="","",_xlfn.LET(
_xlpm.受入,SUMIFS(tbl_ledger[数量],tbl_ledger[ロットID],$B196,tbl_ledger[イベント種類],"アセンブリ完了"),
_xlpm.充当受入,SUMIFS(tbl_ledger[数量],tbl_ledger[充当先ロットID],$B196,tbl_ledger[イベント種類],"充当",tbl_ledger[元状態],H$1),
_xlpm.払出,SUMIFS(tbl_ledger[数量],tbl_ledger[ロットID],$B196,tbl_ledger[元状態],H$1),
_xlpm.受入+_xlpm.充当受入-_xlpm.払出))</f>
        <v/>
      </c>
      <c r="I196" s="8" t="str">
        <f>IF($B196="","",_xlfn.LET(
_xlpm.受入,SUMIFS(tbl_ledger[数量],tbl_ledger[ロットID],$B196,tbl_ledger[イベント種類],"梱包開始"),
_xlpm.充当受入,SUMIFS(tbl_ledger[数量],tbl_ledger[充当先ロットID],$B196,tbl_ledger[イベント種類],"充当",tbl_ledger[元状態],I$1),
_xlpm.払出,SUMIFS(tbl_ledger[数量],tbl_ledger[ロットID],$B196,tbl_ledger[元状態],I$1),
_xlpm.受入+_xlpm.充当受入-_xlpm.払出))</f>
        <v/>
      </c>
      <c r="J196" s="8" t="str">
        <f>IF($B196="","",_xlfn.LET(
_xlpm.受入,SUMIFS(tbl_ledger[数量],tbl_ledger[ロットID],$B196,tbl_ledger[イベント種類],"梱包完了"),
_xlpm.充当受入,SUMIFS(tbl_ledger[数量],tbl_ledger[充当先ロットID],$B196,tbl_ledger[イベント種類],"充当",tbl_ledger[元状態],J$1),
_xlpm.払出,SUMIFS(tbl_ledger[数量],tbl_ledger[ロットID],$B196,tbl_ledger[元状態],J$1),
_xlpm.受入+_xlpm.充当受入-_xlpm.払出))</f>
        <v/>
      </c>
      <c r="K196" s="8" t="str">
        <f>IF($B196="","",_xlfn.LET(
_xlpm.受入,SUMIFS(tbl_ledger[数量],tbl_ledger[ロットID],$B196,tbl_ledger[イベント種類],"発送準備開始"),
_xlpm.充当受入,SUMIFS(tbl_ledger[数量],tbl_ledger[充当先ロットID],$B196,tbl_ledger[イベント種類],"充当",tbl_ledger[元状態],K$1),
_xlpm.払出,SUMIFS(tbl_ledger[数量],tbl_ledger[ロットID],$B196,tbl_ledger[元状態],K$1),
_xlpm.受入+_xlpm.充当受入-_xlpm.払出))</f>
        <v/>
      </c>
      <c r="L196" s="8" t="str">
        <f>IF($B196="","",_xlfn.LET(
_xlpm.受入,SUMIFS(tbl_ledger[数量],tbl_ledger[ロットID],$B196,tbl_ledger[イベント種類],"発送準備完了"),
_xlpm.充当受入,SUMIFS(tbl_ledger[数量],tbl_ledger[充当先ロットID],$B196,tbl_ledger[イベント種類],"充当",tbl_ledger[元状態],L$1),
_xlpm.払出,SUMIFS(tbl_ledger[数量],tbl_ledger[ロットID],$B196,tbl_ledger[元状態],L$1),
_xlpm.受入+_xlpm.充当受入-_xlpm.払出))</f>
        <v/>
      </c>
      <c r="M196" s="8" t="str">
        <f>IF($B196="","",_xlfn.LET(
_xlpm.受入,SUMIFS(tbl_ledger[数量],tbl_ledger[ロットID],$B196,tbl_ledger[イベント種類],"不良発生"),
_xlpm.充当受入,SUMIFS(tbl_ledger[数量],tbl_ledger[充当先ロットID],$B196,tbl_ledger[イベント種類],"充当",tbl_ledger[元状態],M$1),
_xlpm.払出,SUMIFS(tbl_ledger[数量],tbl_ledger[ロットID],$B196,tbl_ledger[元状態],M$1),
_xlpm.受入+_xlpm.充当受入-_xlpm.払出))</f>
        <v/>
      </c>
      <c r="N196" s="8" t="str">
        <f t="shared" si="7"/>
        <v/>
      </c>
    </row>
    <row r="197" spans="1:14" ht="15" customHeight="1" x14ac:dyDescent="0.25">
      <c r="A197" s="4" t="str">
        <f t="shared" si="6"/>
        <v/>
      </c>
      <c r="B197" s="4" t="str">
        <f>IFERROR(IF(COUNTIF($B$1:$B196,INDEX(tbl_plan[ロットID],ROW()-1))&gt;0,"",INDEX(tbl_plan[ロットID],ROW()-1)),"")</f>
        <v/>
      </c>
      <c r="C197" s="4" t="str">
        <f>IF($B197="","",INDEX(tbl_plan[localId],ROW()-1))</f>
        <v/>
      </c>
      <c r="D197" s="8" t="str">
        <f>IF($B197="","",_xlfn.LET(
_xlpm.割当受入,SUMIF(V_充足確認!$A$2:$A$301,$B197,V_充足確認!$F$2:$F$301),
_xlpm.充当受入,SUMIFS(tbl_ledger[数量],tbl_ledger[充当先ロットID],$B197,tbl_ledger[イベント種類],"充当",tbl_ledger[元状態],D$1),
_xlpm.払出,SUMIFS(tbl_ledger[数量],tbl_ledger[ロットID],$B197,tbl_ledger[元状態],D$1),
_xlpm.割当受入+_xlpm.充当受入-_xlpm.払出))</f>
        <v/>
      </c>
      <c r="E197" s="8" t="str">
        <f>IF($B197="","",_xlfn.LET(
_xlpm.受入,SUMIFS(tbl_ledger[数量],tbl_ledger[ロットID],$B197,tbl_ledger[イベント種類],"アニール開始"),
_xlpm.充当受入,SUMIFS(tbl_ledger[数量],tbl_ledger[充当先ロットID],$B197,tbl_ledger[イベント種類],"充当",tbl_ledger[元状態],E$1),
_xlpm.払出,SUMIFS(tbl_ledger[数量],tbl_ledger[ロットID],$B197,tbl_ledger[元状態],E$1),
_xlpm.受入+_xlpm.充当受入-_xlpm.払出))</f>
        <v/>
      </c>
      <c r="F197" s="8" t="str">
        <f>IF($B197="","",_xlfn.LET(
_xlpm.受入,SUMIFS(tbl_ledger[数量],tbl_ledger[ロットID],$B197,tbl_ledger[イベント種類],"アニール完了"),
_xlpm.充当受入,SUMIFS(tbl_ledger[数量],tbl_ledger[充当先ロットID],$B197,tbl_ledger[イベント種類],"充当",tbl_ledger[元状態],F$1),
_xlpm.払出,SUMIFS(tbl_ledger[数量],tbl_ledger[ロットID],$B197,tbl_ledger[元状態],F$1),
_xlpm.受入+_xlpm.充当受入-_xlpm.払出))</f>
        <v/>
      </c>
      <c r="G197" s="8" t="str">
        <f>IF($B197="","",_xlfn.LET(
_xlpm.受入,SUMIFS(tbl_ledger[数量],tbl_ledger[ロットID],$B197,tbl_ledger[イベント種類],"アセンブリ開始"),
_xlpm.充当受入,SUMIFS(tbl_ledger[数量],tbl_ledger[充当先ロットID],$B197,tbl_ledger[イベント種類],"充当",tbl_ledger[元状態],G$1),
_xlpm.払出,SUMIFS(tbl_ledger[数量],tbl_ledger[ロットID],$B197,tbl_ledger[元状態],G$1),
_xlpm.受入+_xlpm.充当受入-_xlpm.払出))</f>
        <v/>
      </c>
      <c r="H197" s="8" t="str">
        <f>IF($B197="","",_xlfn.LET(
_xlpm.受入,SUMIFS(tbl_ledger[数量],tbl_ledger[ロットID],$B197,tbl_ledger[イベント種類],"アセンブリ完了"),
_xlpm.充当受入,SUMIFS(tbl_ledger[数量],tbl_ledger[充当先ロットID],$B197,tbl_ledger[イベント種類],"充当",tbl_ledger[元状態],H$1),
_xlpm.払出,SUMIFS(tbl_ledger[数量],tbl_ledger[ロットID],$B197,tbl_ledger[元状態],H$1),
_xlpm.受入+_xlpm.充当受入-_xlpm.払出))</f>
        <v/>
      </c>
      <c r="I197" s="8" t="str">
        <f>IF($B197="","",_xlfn.LET(
_xlpm.受入,SUMIFS(tbl_ledger[数量],tbl_ledger[ロットID],$B197,tbl_ledger[イベント種類],"梱包開始"),
_xlpm.充当受入,SUMIFS(tbl_ledger[数量],tbl_ledger[充当先ロットID],$B197,tbl_ledger[イベント種類],"充当",tbl_ledger[元状態],I$1),
_xlpm.払出,SUMIFS(tbl_ledger[数量],tbl_ledger[ロットID],$B197,tbl_ledger[元状態],I$1),
_xlpm.受入+_xlpm.充当受入-_xlpm.払出))</f>
        <v/>
      </c>
      <c r="J197" s="8" t="str">
        <f>IF($B197="","",_xlfn.LET(
_xlpm.受入,SUMIFS(tbl_ledger[数量],tbl_ledger[ロットID],$B197,tbl_ledger[イベント種類],"梱包完了"),
_xlpm.充当受入,SUMIFS(tbl_ledger[数量],tbl_ledger[充当先ロットID],$B197,tbl_ledger[イベント種類],"充当",tbl_ledger[元状態],J$1),
_xlpm.払出,SUMIFS(tbl_ledger[数量],tbl_ledger[ロットID],$B197,tbl_ledger[元状態],J$1),
_xlpm.受入+_xlpm.充当受入-_xlpm.払出))</f>
        <v/>
      </c>
      <c r="K197" s="8" t="str">
        <f>IF($B197="","",_xlfn.LET(
_xlpm.受入,SUMIFS(tbl_ledger[数量],tbl_ledger[ロットID],$B197,tbl_ledger[イベント種類],"発送準備開始"),
_xlpm.充当受入,SUMIFS(tbl_ledger[数量],tbl_ledger[充当先ロットID],$B197,tbl_ledger[イベント種類],"充当",tbl_ledger[元状態],K$1),
_xlpm.払出,SUMIFS(tbl_ledger[数量],tbl_ledger[ロットID],$B197,tbl_ledger[元状態],K$1),
_xlpm.受入+_xlpm.充当受入-_xlpm.払出))</f>
        <v/>
      </c>
      <c r="L197" s="8" t="str">
        <f>IF($B197="","",_xlfn.LET(
_xlpm.受入,SUMIFS(tbl_ledger[数量],tbl_ledger[ロットID],$B197,tbl_ledger[イベント種類],"発送準備完了"),
_xlpm.充当受入,SUMIFS(tbl_ledger[数量],tbl_ledger[充当先ロットID],$B197,tbl_ledger[イベント種類],"充当",tbl_ledger[元状態],L$1),
_xlpm.払出,SUMIFS(tbl_ledger[数量],tbl_ledger[ロットID],$B197,tbl_ledger[元状態],L$1),
_xlpm.受入+_xlpm.充当受入-_xlpm.払出))</f>
        <v/>
      </c>
      <c r="M197" s="8" t="str">
        <f>IF($B197="","",_xlfn.LET(
_xlpm.受入,SUMIFS(tbl_ledger[数量],tbl_ledger[ロットID],$B197,tbl_ledger[イベント種類],"不良発生"),
_xlpm.充当受入,SUMIFS(tbl_ledger[数量],tbl_ledger[充当先ロットID],$B197,tbl_ledger[イベント種類],"充当",tbl_ledger[元状態],M$1),
_xlpm.払出,SUMIFS(tbl_ledger[数量],tbl_ledger[ロットID],$B197,tbl_ledger[元状態],M$1),
_xlpm.受入+_xlpm.充当受入-_xlpm.払出))</f>
        <v/>
      </c>
      <c r="N197" s="8" t="str">
        <f t="shared" si="7"/>
        <v/>
      </c>
    </row>
    <row r="198" spans="1:14" ht="15" customHeight="1" x14ac:dyDescent="0.25">
      <c r="A198" s="4" t="str">
        <f t="shared" si="6"/>
        <v/>
      </c>
      <c r="B198" s="4" t="str">
        <f>IFERROR(IF(COUNTIF($B$1:$B197,INDEX(tbl_plan[ロットID],ROW()-1))&gt;0,"",INDEX(tbl_plan[ロットID],ROW()-1)),"")</f>
        <v/>
      </c>
      <c r="C198" s="4" t="str">
        <f>IF($B198="","",INDEX(tbl_plan[localId],ROW()-1))</f>
        <v/>
      </c>
      <c r="D198" s="8" t="str">
        <f>IF($B198="","",_xlfn.LET(
_xlpm.割当受入,SUMIF(V_充足確認!$A$2:$A$301,$B198,V_充足確認!$F$2:$F$301),
_xlpm.充当受入,SUMIFS(tbl_ledger[数量],tbl_ledger[充当先ロットID],$B198,tbl_ledger[イベント種類],"充当",tbl_ledger[元状態],D$1),
_xlpm.払出,SUMIFS(tbl_ledger[数量],tbl_ledger[ロットID],$B198,tbl_ledger[元状態],D$1),
_xlpm.割当受入+_xlpm.充当受入-_xlpm.払出))</f>
        <v/>
      </c>
      <c r="E198" s="8" t="str">
        <f>IF($B198="","",_xlfn.LET(
_xlpm.受入,SUMIFS(tbl_ledger[数量],tbl_ledger[ロットID],$B198,tbl_ledger[イベント種類],"アニール開始"),
_xlpm.充当受入,SUMIFS(tbl_ledger[数量],tbl_ledger[充当先ロットID],$B198,tbl_ledger[イベント種類],"充当",tbl_ledger[元状態],E$1),
_xlpm.払出,SUMIFS(tbl_ledger[数量],tbl_ledger[ロットID],$B198,tbl_ledger[元状態],E$1),
_xlpm.受入+_xlpm.充当受入-_xlpm.払出))</f>
        <v/>
      </c>
      <c r="F198" s="8" t="str">
        <f>IF($B198="","",_xlfn.LET(
_xlpm.受入,SUMIFS(tbl_ledger[数量],tbl_ledger[ロットID],$B198,tbl_ledger[イベント種類],"アニール完了"),
_xlpm.充当受入,SUMIFS(tbl_ledger[数量],tbl_ledger[充当先ロットID],$B198,tbl_ledger[イベント種類],"充当",tbl_ledger[元状態],F$1),
_xlpm.払出,SUMIFS(tbl_ledger[数量],tbl_ledger[ロットID],$B198,tbl_ledger[元状態],F$1),
_xlpm.受入+_xlpm.充当受入-_xlpm.払出))</f>
        <v/>
      </c>
      <c r="G198" s="8" t="str">
        <f>IF($B198="","",_xlfn.LET(
_xlpm.受入,SUMIFS(tbl_ledger[数量],tbl_ledger[ロットID],$B198,tbl_ledger[イベント種類],"アセンブリ開始"),
_xlpm.充当受入,SUMIFS(tbl_ledger[数量],tbl_ledger[充当先ロットID],$B198,tbl_ledger[イベント種類],"充当",tbl_ledger[元状態],G$1),
_xlpm.払出,SUMIFS(tbl_ledger[数量],tbl_ledger[ロットID],$B198,tbl_ledger[元状態],G$1),
_xlpm.受入+_xlpm.充当受入-_xlpm.払出))</f>
        <v/>
      </c>
      <c r="H198" s="8" t="str">
        <f>IF($B198="","",_xlfn.LET(
_xlpm.受入,SUMIFS(tbl_ledger[数量],tbl_ledger[ロットID],$B198,tbl_ledger[イベント種類],"アセンブリ完了"),
_xlpm.充当受入,SUMIFS(tbl_ledger[数量],tbl_ledger[充当先ロットID],$B198,tbl_ledger[イベント種類],"充当",tbl_ledger[元状態],H$1),
_xlpm.払出,SUMIFS(tbl_ledger[数量],tbl_ledger[ロットID],$B198,tbl_ledger[元状態],H$1),
_xlpm.受入+_xlpm.充当受入-_xlpm.払出))</f>
        <v/>
      </c>
      <c r="I198" s="8" t="str">
        <f>IF($B198="","",_xlfn.LET(
_xlpm.受入,SUMIFS(tbl_ledger[数量],tbl_ledger[ロットID],$B198,tbl_ledger[イベント種類],"梱包開始"),
_xlpm.充当受入,SUMIFS(tbl_ledger[数量],tbl_ledger[充当先ロットID],$B198,tbl_ledger[イベント種類],"充当",tbl_ledger[元状態],I$1),
_xlpm.払出,SUMIFS(tbl_ledger[数量],tbl_ledger[ロットID],$B198,tbl_ledger[元状態],I$1),
_xlpm.受入+_xlpm.充当受入-_xlpm.払出))</f>
        <v/>
      </c>
      <c r="J198" s="8" t="str">
        <f>IF($B198="","",_xlfn.LET(
_xlpm.受入,SUMIFS(tbl_ledger[数量],tbl_ledger[ロットID],$B198,tbl_ledger[イベント種類],"梱包完了"),
_xlpm.充当受入,SUMIFS(tbl_ledger[数量],tbl_ledger[充当先ロットID],$B198,tbl_ledger[イベント種類],"充当",tbl_ledger[元状態],J$1),
_xlpm.払出,SUMIFS(tbl_ledger[数量],tbl_ledger[ロットID],$B198,tbl_ledger[元状態],J$1),
_xlpm.受入+_xlpm.充当受入-_xlpm.払出))</f>
        <v/>
      </c>
      <c r="K198" s="8" t="str">
        <f>IF($B198="","",_xlfn.LET(
_xlpm.受入,SUMIFS(tbl_ledger[数量],tbl_ledger[ロットID],$B198,tbl_ledger[イベント種類],"発送準備開始"),
_xlpm.充当受入,SUMIFS(tbl_ledger[数量],tbl_ledger[充当先ロットID],$B198,tbl_ledger[イベント種類],"充当",tbl_ledger[元状態],K$1),
_xlpm.払出,SUMIFS(tbl_ledger[数量],tbl_ledger[ロットID],$B198,tbl_ledger[元状態],K$1),
_xlpm.受入+_xlpm.充当受入-_xlpm.払出))</f>
        <v/>
      </c>
      <c r="L198" s="8" t="str">
        <f>IF($B198="","",_xlfn.LET(
_xlpm.受入,SUMIFS(tbl_ledger[数量],tbl_ledger[ロットID],$B198,tbl_ledger[イベント種類],"発送準備完了"),
_xlpm.充当受入,SUMIFS(tbl_ledger[数量],tbl_ledger[充当先ロットID],$B198,tbl_ledger[イベント種類],"充当",tbl_ledger[元状態],L$1),
_xlpm.払出,SUMIFS(tbl_ledger[数量],tbl_ledger[ロットID],$B198,tbl_ledger[元状態],L$1),
_xlpm.受入+_xlpm.充当受入-_xlpm.払出))</f>
        <v/>
      </c>
      <c r="M198" s="8" t="str">
        <f>IF($B198="","",_xlfn.LET(
_xlpm.受入,SUMIFS(tbl_ledger[数量],tbl_ledger[ロットID],$B198,tbl_ledger[イベント種類],"不良発生"),
_xlpm.充当受入,SUMIFS(tbl_ledger[数量],tbl_ledger[充当先ロットID],$B198,tbl_ledger[イベント種類],"充当",tbl_ledger[元状態],M$1),
_xlpm.払出,SUMIFS(tbl_ledger[数量],tbl_ledger[ロットID],$B198,tbl_ledger[元状態],M$1),
_xlpm.受入+_xlpm.充当受入-_xlpm.払出))</f>
        <v/>
      </c>
      <c r="N198" s="8" t="str">
        <f t="shared" si="7"/>
        <v/>
      </c>
    </row>
    <row r="199" spans="1:14" ht="15" customHeight="1" x14ac:dyDescent="0.25">
      <c r="A199" s="4" t="str">
        <f t="shared" si="6"/>
        <v/>
      </c>
      <c r="B199" s="4" t="str">
        <f>IFERROR(IF(COUNTIF($B$1:$B198,INDEX(tbl_plan[ロットID],ROW()-1))&gt;0,"",INDEX(tbl_plan[ロットID],ROW()-1)),"")</f>
        <v/>
      </c>
      <c r="C199" s="4" t="str">
        <f>IF($B199="","",INDEX(tbl_plan[localId],ROW()-1))</f>
        <v/>
      </c>
      <c r="D199" s="8" t="str">
        <f>IF($B199="","",_xlfn.LET(
_xlpm.割当受入,SUMIF(V_充足確認!$A$2:$A$301,$B199,V_充足確認!$F$2:$F$301),
_xlpm.充当受入,SUMIFS(tbl_ledger[数量],tbl_ledger[充当先ロットID],$B199,tbl_ledger[イベント種類],"充当",tbl_ledger[元状態],D$1),
_xlpm.払出,SUMIFS(tbl_ledger[数量],tbl_ledger[ロットID],$B199,tbl_ledger[元状態],D$1),
_xlpm.割当受入+_xlpm.充当受入-_xlpm.払出))</f>
        <v/>
      </c>
      <c r="E199" s="8" t="str">
        <f>IF($B199="","",_xlfn.LET(
_xlpm.受入,SUMIFS(tbl_ledger[数量],tbl_ledger[ロットID],$B199,tbl_ledger[イベント種類],"アニール開始"),
_xlpm.充当受入,SUMIFS(tbl_ledger[数量],tbl_ledger[充当先ロットID],$B199,tbl_ledger[イベント種類],"充当",tbl_ledger[元状態],E$1),
_xlpm.払出,SUMIFS(tbl_ledger[数量],tbl_ledger[ロットID],$B199,tbl_ledger[元状態],E$1),
_xlpm.受入+_xlpm.充当受入-_xlpm.払出))</f>
        <v/>
      </c>
      <c r="F199" s="8" t="str">
        <f>IF($B199="","",_xlfn.LET(
_xlpm.受入,SUMIFS(tbl_ledger[数量],tbl_ledger[ロットID],$B199,tbl_ledger[イベント種類],"アニール完了"),
_xlpm.充当受入,SUMIFS(tbl_ledger[数量],tbl_ledger[充当先ロットID],$B199,tbl_ledger[イベント種類],"充当",tbl_ledger[元状態],F$1),
_xlpm.払出,SUMIFS(tbl_ledger[数量],tbl_ledger[ロットID],$B199,tbl_ledger[元状態],F$1),
_xlpm.受入+_xlpm.充当受入-_xlpm.払出))</f>
        <v/>
      </c>
      <c r="G199" s="8" t="str">
        <f>IF($B199="","",_xlfn.LET(
_xlpm.受入,SUMIFS(tbl_ledger[数量],tbl_ledger[ロットID],$B199,tbl_ledger[イベント種類],"アセンブリ開始"),
_xlpm.充当受入,SUMIFS(tbl_ledger[数量],tbl_ledger[充当先ロットID],$B199,tbl_ledger[イベント種類],"充当",tbl_ledger[元状態],G$1),
_xlpm.払出,SUMIFS(tbl_ledger[数量],tbl_ledger[ロットID],$B199,tbl_ledger[元状態],G$1),
_xlpm.受入+_xlpm.充当受入-_xlpm.払出))</f>
        <v/>
      </c>
      <c r="H199" s="8" t="str">
        <f>IF($B199="","",_xlfn.LET(
_xlpm.受入,SUMIFS(tbl_ledger[数量],tbl_ledger[ロットID],$B199,tbl_ledger[イベント種類],"アセンブリ完了"),
_xlpm.充当受入,SUMIFS(tbl_ledger[数量],tbl_ledger[充当先ロットID],$B199,tbl_ledger[イベント種類],"充当",tbl_ledger[元状態],H$1),
_xlpm.払出,SUMIFS(tbl_ledger[数量],tbl_ledger[ロットID],$B199,tbl_ledger[元状態],H$1),
_xlpm.受入+_xlpm.充当受入-_xlpm.払出))</f>
        <v/>
      </c>
      <c r="I199" s="8" t="str">
        <f>IF($B199="","",_xlfn.LET(
_xlpm.受入,SUMIFS(tbl_ledger[数量],tbl_ledger[ロットID],$B199,tbl_ledger[イベント種類],"梱包開始"),
_xlpm.充当受入,SUMIFS(tbl_ledger[数量],tbl_ledger[充当先ロットID],$B199,tbl_ledger[イベント種類],"充当",tbl_ledger[元状態],I$1),
_xlpm.払出,SUMIFS(tbl_ledger[数量],tbl_ledger[ロットID],$B199,tbl_ledger[元状態],I$1),
_xlpm.受入+_xlpm.充当受入-_xlpm.払出))</f>
        <v/>
      </c>
      <c r="J199" s="8" t="str">
        <f>IF($B199="","",_xlfn.LET(
_xlpm.受入,SUMIFS(tbl_ledger[数量],tbl_ledger[ロットID],$B199,tbl_ledger[イベント種類],"梱包完了"),
_xlpm.充当受入,SUMIFS(tbl_ledger[数量],tbl_ledger[充当先ロットID],$B199,tbl_ledger[イベント種類],"充当",tbl_ledger[元状態],J$1),
_xlpm.払出,SUMIFS(tbl_ledger[数量],tbl_ledger[ロットID],$B199,tbl_ledger[元状態],J$1),
_xlpm.受入+_xlpm.充当受入-_xlpm.払出))</f>
        <v/>
      </c>
      <c r="K199" s="8" t="str">
        <f>IF($B199="","",_xlfn.LET(
_xlpm.受入,SUMIFS(tbl_ledger[数量],tbl_ledger[ロットID],$B199,tbl_ledger[イベント種類],"発送準備開始"),
_xlpm.充当受入,SUMIFS(tbl_ledger[数量],tbl_ledger[充当先ロットID],$B199,tbl_ledger[イベント種類],"充当",tbl_ledger[元状態],K$1),
_xlpm.払出,SUMIFS(tbl_ledger[数量],tbl_ledger[ロットID],$B199,tbl_ledger[元状態],K$1),
_xlpm.受入+_xlpm.充当受入-_xlpm.払出))</f>
        <v/>
      </c>
      <c r="L199" s="8" t="str">
        <f>IF($B199="","",_xlfn.LET(
_xlpm.受入,SUMIFS(tbl_ledger[数量],tbl_ledger[ロットID],$B199,tbl_ledger[イベント種類],"発送準備完了"),
_xlpm.充当受入,SUMIFS(tbl_ledger[数量],tbl_ledger[充当先ロットID],$B199,tbl_ledger[イベント種類],"充当",tbl_ledger[元状態],L$1),
_xlpm.払出,SUMIFS(tbl_ledger[数量],tbl_ledger[ロットID],$B199,tbl_ledger[元状態],L$1),
_xlpm.受入+_xlpm.充当受入-_xlpm.払出))</f>
        <v/>
      </c>
      <c r="M199" s="8" t="str">
        <f>IF($B199="","",_xlfn.LET(
_xlpm.受入,SUMIFS(tbl_ledger[数量],tbl_ledger[ロットID],$B199,tbl_ledger[イベント種類],"不良発生"),
_xlpm.充当受入,SUMIFS(tbl_ledger[数量],tbl_ledger[充当先ロットID],$B199,tbl_ledger[イベント種類],"充当",tbl_ledger[元状態],M$1),
_xlpm.払出,SUMIFS(tbl_ledger[数量],tbl_ledger[ロットID],$B199,tbl_ledger[元状態],M$1),
_xlpm.受入+_xlpm.充当受入-_xlpm.払出))</f>
        <v/>
      </c>
      <c r="N199" s="8" t="str">
        <f t="shared" si="7"/>
        <v/>
      </c>
    </row>
    <row r="200" spans="1:14" ht="15" customHeight="1" x14ac:dyDescent="0.25">
      <c r="A200" s="4" t="str">
        <f t="shared" si="6"/>
        <v/>
      </c>
      <c r="B200" s="4" t="str">
        <f>IFERROR(IF(COUNTIF($B$1:$B199,INDEX(tbl_plan[ロットID],ROW()-1))&gt;0,"",INDEX(tbl_plan[ロットID],ROW()-1)),"")</f>
        <v/>
      </c>
      <c r="C200" s="4" t="str">
        <f>IF($B200="","",INDEX(tbl_plan[localId],ROW()-1))</f>
        <v/>
      </c>
      <c r="D200" s="8" t="str">
        <f>IF($B200="","",_xlfn.LET(
_xlpm.割当受入,SUMIF(V_充足確認!$A$2:$A$301,$B200,V_充足確認!$F$2:$F$301),
_xlpm.充当受入,SUMIFS(tbl_ledger[数量],tbl_ledger[充当先ロットID],$B200,tbl_ledger[イベント種類],"充当",tbl_ledger[元状態],D$1),
_xlpm.払出,SUMIFS(tbl_ledger[数量],tbl_ledger[ロットID],$B200,tbl_ledger[元状態],D$1),
_xlpm.割当受入+_xlpm.充当受入-_xlpm.払出))</f>
        <v/>
      </c>
      <c r="E200" s="8" t="str">
        <f>IF($B200="","",_xlfn.LET(
_xlpm.受入,SUMIFS(tbl_ledger[数量],tbl_ledger[ロットID],$B200,tbl_ledger[イベント種類],"アニール開始"),
_xlpm.充当受入,SUMIFS(tbl_ledger[数量],tbl_ledger[充当先ロットID],$B200,tbl_ledger[イベント種類],"充当",tbl_ledger[元状態],E$1),
_xlpm.払出,SUMIFS(tbl_ledger[数量],tbl_ledger[ロットID],$B200,tbl_ledger[元状態],E$1),
_xlpm.受入+_xlpm.充当受入-_xlpm.払出))</f>
        <v/>
      </c>
      <c r="F200" s="8" t="str">
        <f>IF($B200="","",_xlfn.LET(
_xlpm.受入,SUMIFS(tbl_ledger[数量],tbl_ledger[ロットID],$B200,tbl_ledger[イベント種類],"アニール完了"),
_xlpm.充当受入,SUMIFS(tbl_ledger[数量],tbl_ledger[充当先ロットID],$B200,tbl_ledger[イベント種類],"充当",tbl_ledger[元状態],F$1),
_xlpm.払出,SUMIFS(tbl_ledger[数量],tbl_ledger[ロットID],$B200,tbl_ledger[元状態],F$1),
_xlpm.受入+_xlpm.充当受入-_xlpm.払出))</f>
        <v/>
      </c>
      <c r="G200" s="8" t="str">
        <f>IF($B200="","",_xlfn.LET(
_xlpm.受入,SUMIFS(tbl_ledger[数量],tbl_ledger[ロットID],$B200,tbl_ledger[イベント種類],"アセンブリ開始"),
_xlpm.充当受入,SUMIFS(tbl_ledger[数量],tbl_ledger[充当先ロットID],$B200,tbl_ledger[イベント種類],"充当",tbl_ledger[元状態],G$1),
_xlpm.払出,SUMIFS(tbl_ledger[数量],tbl_ledger[ロットID],$B200,tbl_ledger[元状態],G$1),
_xlpm.受入+_xlpm.充当受入-_xlpm.払出))</f>
        <v/>
      </c>
      <c r="H200" s="8" t="str">
        <f>IF($B200="","",_xlfn.LET(
_xlpm.受入,SUMIFS(tbl_ledger[数量],tbl_ledger[ロットID],$B200,tbl_ledger[イベント種類],"アセンブリ完了"),
_xlpm.充当受入,SUMIFS(tbl_ledger[数量],tbl_ledger[充当先ロットID],$B200,tbl_ledger[イベント種類],"充当",tbl_ledger[元状態],H$1),
_xlpm.払出,SUMIFS(tbl_ledger[数量],tbl_ledger[ロットID],$B200,tbl_ledger[元状態],H$1),
_xlpm.受入+_xlpm.充当受入-_xlpm.払出))</f>
        <v/>
      </c>
      <c r="I200" s="8" t="str">
        <f>IF($B200="","",_xlfn.LET(
_xlpm.受入,SUMIFS(tbl_ledger[数量],tbl_ledger[ロットID],$B200,tbl_ledger[イベント種類],"梱包開始"),
_xlpm.充当受入,SUMIFS(tbl_ledger[数量],tbl_ledger[充当先ロットID],$B200,tbl_ledger[イベント種類],"充当",tbl_ledger[元状態],I$1),
_xlpm.払出,SUMIFS(tbl_ledger[数量],tbl_ledger[ロットID],$B200,tbl_ledger[元状態],I$1),
_xlpm.受入+_xlpm.充当受入-_xlpm.払出))</f>
        <v/>
      </c>
      <c r="J200" s="8" t="str">
        <f>IF($B200="","",_xlfn.LET(
_xlpm.受入,SUMIFS(tbl_ledger[数量],tbl_ledger[ロットID],$B200,tbl_ledger[イベント種類],"梱包完了"),
_xlpm.充当受入,SUMIFS(tbl_ledger[数量],tbl_ledger[充当先ロットID],$B200,tbl_ledger[イベント種類],"充当",tbl_ledger[元状態],J$1),
_xlpm.払出,SUMIFS(tbl_ledger[数量],tbl_ledger[ロットID],$B200,tbl_ledger[元状態],J$1),
_xlpm.受入+_xlpm.充当受入-_xlpm.払出))</f>
        <v/>
      </c>
      <c r="K200" s="8" t="str">
        <f>IF($B200="","",_xlfn.LET(
_xlpm.受入,SUMIFS(tbl_ledger[数量],tbl_ledger[ロットID],$B200,tbl_ledger[イベント種類],"発送準備開始"),
_xlpm.充当受入,SUMIFS(tbl_ledger[数量],tbl_ledger[充当先ロットID],$B200,tbl_ledger[イベント種類],"充当",tbl_ledger[元状態],K$1),
_xlpm.払出,SUMIFS(tbl_ledger[数量],tbl_ledger[ロットID],$B200,tbl_ledger[元状態],K$1),
_xlpm.受入+_xlpm.充当受入-_xlpm.払出))</f>
        <v/>
      </c>
      <c r="L200" s="8" t="str">
        <f>IF($B200="","",_xlfn.LET(
_xlpm.受入,SUMIFS(tbl_ledger[数量],tbl_ledger[ロットID],$B200,tbl_ledger[イベント種類],"発送準備完了"),
_xlpm.充当受入,SUMIFS(tbl_ledger[数量],tbl_ledger[充当先ロットID],$B200,tbl_ledger[イベント種類],"充当",tbl_ledger[元状態],L$1),
_xlpm.払出,SUMIFS(tbl_ledger[数量],tbl_ledger[ロットID],$B200,tbl_ledger[元状態],L$1),
_xlpm.受入+_xlpm.充当受入-_xlpm.払出))</f>
        <v/>
      </c>
      <c r="M200" s="8" t="str">
        <f>IF($B200="","",_xlfn.LET(
_xlpm.受入,SUMIFS(tbl_ledger[数量],tbl_ledger[ロットID],$B200,tbl_ledger[イベント種類],"不良発生"),
_xlpm.充当受入,SUMIFS(tbl_ledger[数量],tbl_ledger[充当先ロットID],$B200,tbl_ledger[イベント種類],"充当",tbl_ledger[元状態],M$1),
_xlpm.払出,SUMIFS(tbl_ledger[数量],tbl_ledger[ロットID],$B200,tbl_ledger[元状態],M$1),
_xlpm.受入+_xlpm.充当受入-_xlpm.払出))</f>
        <v/>
      </c>
      <c r="N200" s="8" t="str">
        <f t="shared" si="7"/>
        <v/>
      </c>
    </row>
    <row r="201" spans="1:14" ht="15" customHeight="1" x14ac:dyDescent="0.25">
      <c r="A201" s="4" t="str">
        <f t="shared" si="6"/>
        <v/>
      </c>
      <c r="B201" s="4" t="str">
        <f>IFERROR(IF(COUNTIF($B$1:$B200,INDEX(tbl_plan[ロットID],ROW()-1))&gt;0,"",INDEX(tbl_plan[ロットID],ROW()-1)),"")</f>
        <v/>
      </c>
      <c r="C201" s="4" t="str">
        <f>IF($B201="","",INDEX(tbl_plan[localId],ROW()-1))</f>
        <v/>
      </c>
      <c r="D201" s="8" t="str">
        <f>IF($B201="","",_xlfn.LET(
_xlpm.割当受入,SUMIF(V_充足確認!$A$2:$A$301,$B201,V_充足確認!$F$2:$F$301),
_xlpm.充当受入,SUMIFS(tbl_ledger[数量],tbl_ledger[充当先ロットID],$B201,tbl_ledger[イベント種類],"充当",tbl_ledger[元状態],D$1),
_xlpm.払出,SUMIFS(tbl_ledger[数量],tbl_ledger[ロットID],$B201,tbl_ledger[元状態],D$1),
_xlpm.割当受入+_xlpm.充当受入-_xlpm.払出))</f>
        <v/>
      </c>
      <c r="E201" s="8" t="str">
        <f>IF($B201="","",_xlfn.LET(
_xlpm.受入,SUMIFS(tbl_ledger[数量],tbl_ledger[ロットID],$B201,tbl_ledger[イベント種類],"アニール開始"),
_xlpm.充当受入,SUMIFS(tbl_ledger[数量],tbl_ledger[充当先ロットID],$B201,tbl_ledger[イベント種類],"充当",tbl_ledger[元状態],E$1),
_xlpm.払出,SUMIFS(tbl_ledger[数量],tbl_ledger[ロットID],$B201,tbl_ledger[元状態],E$1),
_xlpm.受入+_xlpm.充当受入-_xlpm.払出))</f>
        <v/>
      </c>
      <c r="F201" s="8" t="str">
        <f>IF($B201="","",_xlfn.LET(
_xlpm.受入,SUMIFS(tbl_ledger[数量],tbl_ledger[ロットID],$B201,tbl_ledger[イベント種類],"アニール完了"),
_xlpm.充当受入,SUMIFS(tbl_ledger[数量],tbl_ledger[充当先ロットID],$B201,tbl_ledger[イベント種類],"充当",tbl_ledger[元状態],F$1),
_xlpm.払出,SUMIFS(tbl_ledger[数量],tbl_ledger[ロットID],$B201,tbl_ledger[元状態],F$1),
_xlpm.受入+_xlpm.充当受入-_xlpm.払出))</f>
        <v/>
      </c>
      <c r="G201" s="8" t="str">
        <f>IF($B201="","",_xlfn.LET(
_xlpm.受入,SUMIFS(tbl_ledger[数量],tbl_ledger[ロットID],$B201,tbl_ledger[イベント種類],"アセンブリ開始"),
_xlpm.充当受入,SUMIFS(tbl_ledger[数量],tbl_ledger[充当先ロットID],$B201,tbl_ledger[イベント種類],"充当",tbl_ledger[元状態],G$1),
_xlpm.払出,SUMIFS(tbl_ledger[数量],tbl_ledger[ロットID],$B201,tbl_ledger[元状態],G$1),
_xlpm.受入+_xlpm.充当受入-_xlpm.払出))</f>
        <v/>
      </c>
      <c r="H201" s="8" t="str">
        <f>IF($B201="","",_xlfn.LET(
_xlpm.受入,SUMIFS(tbl_ledger[数量],tbl_ledger[ロットID],$B201,tbl_ledger[イベント種類],"アセンブリ完了"),
_xlpm.充当受入,SUMIFS(tbl_ledger[数量],tbl_ledger[充当先ロットID],$B201,tbl_ledger[イベント種類],"充当",tbl_ledger[元状態],H$1),
_xlpm.払出,SUMIFS(tbl_ledger[数量],tbl_ledger[ロットID],$B201,tbl_ledger[元状態],H$1),
_xlpm.受入+_xlpm.充当受入-_xlpm.払出))</f>
        <v/>
      </c>
      <c r="I201" s="8" t="str">
        <f>IF($B201="","",_xlfn.LET(
_xlpm.受入,SUMIFS(tbl_ledger[数量],tbl_ledger[ロットID],$B201,tbl_ledger[イベント種類],"梱包開始"),
_xlpm.充当受入,SUMIFS(tbl_ledger[数量],tbl_ledger[充当先ロットID],$B201,tbl_ledger[イベント種類],"充当",tbl_ledger[元状態],I$1),
_xlpm.払出,SUMIFS(tbl_ledger[数量],tbl_ledger[ロットID],$B201,tbl_ledger[元状態],I$1),
_xlpm.受入+_xlpm.充当受入-_xlpm.払出))</f>
        <v/>
      </c>
      <c r="J201" s="8" t="str">
        <f>IF($B201="","",_xlfn.LET(
_xlpm.受入,SUMIFS(tbl_ledger[数量],tbl_ledger[ロットID],$B201,tbl_ledger[イベント種類],"梱包完了"),
_xlpm.充当受入,SUMIFS(tbl_ledger[数量],tbl_ledger[充当先ロットID],$B201,tbl_ledger[イベント種類],"充当",tbl_ledger[元状態],J$1),
_xlpm.払出,SUMIFS(tbl_ledger[数量],tbl_ledger[ロットID],$B201,tbl_ledger[元状態],J$1),
_xlpm.受入+_xlpm.充当受入-_xlpm.払出))</f>
        <v/>
      </c>
      <c r="K201" s="8" t="str">
        <f>IF($B201="","",_xlfn.LET(
_xlpm.受入,SUMIFS(tbl_ledger[数量],tbl_ledger[ロットID],$B201,tbl_ledger[イベント種類],"発送準備開始"),
_xlpm.充当受入,SUMIFS(tbl_ledger[数量],tbl_ledger[充当先ロットID],$B201,tbl_ledger[イベント種類],"充当",tbl_ledger[元状態],K$1),
_xlpm.払出,SUMIFS(tbl_ledger[数量],tbl_ledger[ロットID],$B201,tbl_ledger[元状態],K$1),
_xlpm.受入+_xlpm.充当受入-_xlpm.払出))</f>
        <v/>
      </c>
      <c r="L201" s="8" t="str">
        <f>IF($B201="","",_xlfn.LET(
_xlpm.受入,SUMIFS(tbl_ledger[数量],tbl_ledger[ロットID],$B201,tbl_ledger[イベント種類],"発送準備完了"),
_xlpm.充当受入,SUMIFS(tbl_ledger[数量],tbl_ledger[充当先ロットID],$B201,tbl_ledger[イベント種類],"充当",tbl_ledger[元状態],L$1),
_xlpm.払出,SUMIFS(tbl_ledger[数量],tbl_ledger[ロットID],$B201,tbl_ledger[元状態],L$1),
_xlpm.受入+_xlpm.充当受入-_xlpm.払出))</f>
        <v/>
      </c>
      <c r="M201" s="8" t="str">
        <f>IF($B201="","",_xlfn.LET(
_xlpm.受入,SUMIFS(tbl_ledger[数量],tbl_ledger[ロットID],$B201,tbl_ledger[イベント種類],"不良発生"),
_xlpm.充当受入,SUMIFS(tbl_ledger[数量],tbl_ledger[充当先ロットID],$B201,tbl_ledger[イベント種類],"充当",tbl_ledger[元状態],M$1),
_xlpm.払出,SUMIFS(tbl_ledger[数量],tbl_ledger[ロットID],$B201,tbl_ledger[元状態],M$1),
_xlpm.受入+_xlpm.充当受入-_xlpm.払出))</f>
        <v/>
      </c>
      <c r="N201" s="8" t="str">
        <f t="shared" si="7"/>
        <v/>
      </c>
    </row>
    <row r="202" spans="1:14" ht="15" customHeight="1" x14ac:dyDescent="0.25">
      <c r="A202" s="4" t="str">
        <f t="shared" si="6"/>
        <v/>
      </c>
      <c r="B202" s="4" t="str">
        <f>IFERROR(IF(COUNTIF($B$1:$B201,INDEX(tbl_plan[ロットID],ROW()-1))&gt;0,"",INDEX(tbl_plan[ロットID],ROW()-1)),"")</f>
        <v/>
      </c>
      <c r="C202" s="4" t="str">
        <f>IF($B202="","",INDEX(tbl_plan[localId],ROW()-1))</f>
        <v/>
      </c>
      <c r="D202" s="8" t="str">
        <f>IF($B202="","",_xlfn.LET(
_xlpm.割当受入,SUMIF(V_充足確認!$A$2:$A$301,$B202,V_充足確認!$F$2:$F$301),
_xlpm.充当受入,SUMIFS(tbl_ledger[数量],tbl_ledger[充当先ロットID],$B202,tbl_ledger[イベント種類],"充当",tbl_ledger[元状態],D$1),
_xlpm.払出,SUMIFS(tbl_ledger[数量],tbl_ledger[ロットID],$B202,tbl_ledger[元状態],D$1),
_xlpm.割当受入+_xlpm.充当受入-_xlpm.払出))</f>
        <v/>
      </c>
      <c r="E202" s="8" t="str">
        <f>IF($B202="","",_xlfn.LET(
_xlpm.受入,SUMIFS(tbl_ledger[数量],tbl_ledger[ロットID],$B202,tbl_ledger[イベント種類],"アニール開始"),
_xlpm.充当受入,SUMIFS(tbl_ledger[数量],tbl_ledger[充当先ロットID],$B202,tbl_ledger[イベント種類],"充当",tbl_ledger[元状態],E$1),
_xlpm.払出,SUMIFS(tbl_ledger[数量],tbl_ledger[ロットID],$B202,tbl_ledger[元状態],E$1),
_xlpm.受入+_xlpm.充当受入-_xlpm.払出))</f>
        <v/>
      </c>
      <c r="F202" s="8" t="str">
        <f>IF($B202="","",_xlfn.LET(
_xlpm.受入,SUMIFS(tbl_ledger[数量],tbl_ledger[ロットID],$B202,tbl_ledger[イベント種類],"アニール完了"),
_xlpm.充当受入,SUMIFS(tbl_ledger[数量],tbl_ledger[充当先ロットID],$B202,tbl_ledger[イベント種類],"充当",tbl_ledger[元状態],F$1),
_xlpm.払出,SUMIFS(tbl_ledger[数量],tbl_ledger[ロットID],$B202,tbl_ledger[元状態],F$1),
_xlpm.受入+_xlpm.充当受入-_xlpm.払出))</f>
        <v/>
      </c>
      <c r="G202" s="8" t="str">
        <f>IF($B202="","",_xlfn.LET(
_xlpm.受入,SUMIFS(tbl_ledger[数量],tbl_ledger[ロットID],$B202,tbl_ledger[イベント種類],"アセンブリ開始"),
_xlpm.充当受入,SUMIFS(tbl_ledger[数量],tbl_ledger[充当先ロットID],$B202,tbl_ledger[イベント種類],"充当",tbl_ledger[元状態],G$1),
_xlpm.払出,SUMIFS(tbl_ledger[数量],tbl_ledger[ロットID],$B202,tbl_ledger[元状態],G$1),
_xlpm.受入+_xlpm.充当受入-_xlpm.払出))</f>
        <v/>
      </c>
      <c r="H202" s="8" t="str">
        <f>IF($B202="","",_xlfn.LET(
_xlpm.受入,SUMIFS(tbl_ledger[数量],tbl_ledger[ロットID],$B202,tbl_ledger[イベント種類],"アセンブリ完了"),
_xlpm.充当受入,SUMIFS(tbl_ledger[数量],tbl_ledger[充当先ロットID],$B202,tbl_ledger[イベント種類],"充当",tbl_ledger[元状態],H$1),
_xlpm.払出,SUMIFS(tbl_ledger[数量],tbl_ledger[ロットID],$B202,tbl_ledger[元状態],H$1),
_xlpm.受入+_xlpm.充当受入-_xlpm.払出))</f>
        <v/>
      </c>
      <c r="I202" s="8" t="str">
        <f>IF($B202="","",_xlfn.LET(
_xlpm.受入,SUMIFS(tbl_ledger[数量],tbl_ledger[ロットID],$B202,tbl_ledger[イベント種類],"梱包開始"),
_xlpm.充当受入,SUMIFS(tbl_ledger[数量],tbl_ledger[充当先ロットID],$B202,tbl_ledger[イベント種類],"充当",tbl_ledger[元状態],I$1),
_xlpm.払出,SUMIFS(tbl_ledger[数量],tbl_ledger[ロットID],$B202,tbl_ledger[元状態],I$1),
_xlpm.受入+_xlpm.充当受入-_xlpm.払出))</f>
        <v/>
      </c>
      <c r="J202" s="8" t="str">
        <f>IF($B202="","",_xlfn.LET(
_xlpm.受入,SUMIFS(tbl_ledger[数量],tbl_ledger[ロットID],$B202,tbl_ledger[イベント種類],"梱包完了"),
_xlpm.充当受入,SUMIFS(tbl_ledger[数量],tbl_ledger[充当先ロットID],$B202,tbl_ledger[イベント種類],"充当",tbl_ledger[元状態],J$1),
_xlpm.払出,SUMIFS(tbl_ledger[数量],tbl_ledger[ロットID],$B202,tbl_ledger[元状態],J$1),
_xlpm.受入+_xlpm.充当受入-_xlpm.払出))</f>
        <v/>
      </c>
      <c r="K202" s="8" t="str">
        <f>IF($B202="","",_xlfn.LET(
_xlpm.受入,SUMIFS(tbl_ledger[数量],tbl_ledger[ロットID],$B202,tbl_ledger[イベント種類],"発送準備開始"),
_xlpm.充当受入,SUMIFS(tbl_ledger[数量],tbl_ledger[充当先ロットID],$B202,tbl_ledger[イベント種類],"充当",tbl_ledger[元状態],K$1),
_xlpm.払出,SUMIFS(tbl_ledger[数量],tbl_ledger[ロットID],$B202,tbl_ledger[元状態],K$1),
_xlpm.受入+_xlpm.充当受入-_xlpm.払出))</f>
        <v/>
      </c>
      <c r="L202" s="8" t="str">
        <f>IF($B202="","",_xlfn.LET(
_xlpm.受入,SUMIFS(tbl_ledger[数量],tbl_ledger[ロットID],$B202,tbl_ledger[イベント種類],"発送準備完了"),
_xlpm.充当受入,SUMIFS(tbl_ledger[数量],tbl_ledger[充当先ロットID],$B202,tbl_ledger[イベント種類],"充当",tbl_ledger[元状態],L$1),
_xlpm.払出,SUMIFS(tbl_ledger[数量],tbl_ledger[ロットID],$B202,tbl_ledger[元状態],L$1),
_xlpm.受入+_xlpm.充当受入-_xlpm.払出))</f>
        <v/>
      </c>
      <c r="M202" s="8" t="str">
        <f>IF($B202="","",_xlfn.LET(
_xlpm.受入,SUMIFS(tbl_ledger[数量],tbl_ledger[ロットID],$B202,tbl_ledger[イベント種類],"不良発生"),
_xlpm.充当受入,SUMIFS(tbl_ledger[数量],tbl_ledger[充当先ロットID],$B202,tbl_ledger[イベント種類],"充当",tbl_ledger[元状態],M$1),
_xlpm.払出,SUMIFS(tbl_ledger[数量],tbl_ledger[ロットID],$B202,tbl_ledger[元状態],M$1),
_xlpm.受入+_xlpm.充当受入-_xlpm.払出))</f>
        <v/>
      </c>
      <c r="N202" s="8" t="str">
        <f t="shared" si="7"/>
        <v/>
      </c>
    </row>
    <row r="203" spans="1:14" ht="15" customHeight="1" x14ac:dyDescent="0.25">
      <c r="A203" s="4" t="str">
        <f t="shared" si="6"/>
        <v/>
      </c>
      <c r="B203" s="4" t="str">
        <f>IFERROR(IF(COUNTIF($B$1:$B202,INDEX(tbl_plan[ロットID],ROW()-1))&gt;0,"",INDEX(tbl_plan[ロットID],ROW()-1)),"")</f>
        <v/>
      </c>
      <c r="C203" s="4" t="str">
        <f>IF($B203="","",INDEX(tbl_plan[localId],ROW()-1))</f>
        <v/>
      </c>
      <c r="D203" s="8" t="str">
        <f>IF($B203="","",_xlfn.LET(
_xlpm.割当受入,SUMIF(V_充足確認!$A$2:$A$301,$B203,V_充足確認!$F$2:$F$301),
_xlpm.充当受入,SUMIFS(tbl_ledger[数量],tbl_ledger[充当先ロットID],$B203,tbl_ledger[イベント種類],"充当",tbl_ledger[元状態],D$1),
_xlpm.払出,SUMIFS(tbl_ledger[数量],tbl_ledger[ロットID],$B203,tbl_ledger[元状態],D$1),
_xlpm.割当受入+_xlpm.充当受入-_xlpm.払出))</f>
        <v/>
      </c>
      <c r="E203" s="8" t="str">
        <f>IF($B203="","",_xlfn.LET(
_xlpm.受入,SUMIFS(tbl_ledger[数量],tbl_ledger[ロットID],$B203,tbl_ledger[イベント種類],"アニール開始"),
_xlpm.充当受入,SUMIFS(tbl_ledger[数量],tbl_ledger[充当先ロットID],$B203,tbl_ledger[イベント種類],"充当",tbl_ledger[元状態],E$1),
_xlpm.払出,SUMIFS(tbl_ledger[数量],tbl_ledger[ロットID],$B203,tbl_ledger[元状態],E$1),
_xlpm.受入+_xlpm.充当受入-_xlpm.払出))</f>
        <v/>
      </c>
      <c r="F203" s="8" t="str">
        <f>IF($B203="","",_xlfn.LET(
_xlpm.受入,SUMIFS(tbl_ledger[数量],tbl_ledger[ロットID],$B203,tbl_ledger[イベント種類],"アニール完了"),
_xlpm.充当受入,SUMIFS(tbl_ledger[数量],tbl_ledger[充当先ロットID],$B203,tbl_ledger[イベント種類],"充当",tbl_ledger[元状態],F$1),
_xlpm.払出,SUMIFS(tbl_ledger[数量],tbl_ledger[ロットID],$B203,tbl_ledger[元状態],F$1),
_xlpm.受入+_xlpm.充当受入-_xlpm.払出))</f>
        <v/>
      </c>
      <c r="G203" s="8" t="str">
        <f>IF($B203="","",_xlfn.LET(
_xlpm.受入,SUMIFS(tbl_ledger[数量],tbl_ledger[ロットID],$B203,tbl_ledger[イベント種類],"アセンブリ開始"),
_xlpm.充当受入,SUMIFS(tbl_ledger[数量],tbl_ledger[充当先ロットID],$B203,tbl_ledger[イベント種類],"充当",tbl_ledger[元状態],G$1),
_xlpm.払出,SUMIFS(tbl_ledger[数量],tbl_ledger[ロットID],$B203,tbl_ledger[元状態],G$1),
_xlpm.受入+_xlpm.充当受入-_xlpm.払出))</f>
        <v/>
      </c>
      <c r="H203" s="8" t="str">
        <f>IF($B203="","",_xlfn.LET(
_xlpm.受入,SUMIFS(tbl_ledger[数量],tbl_ledger[ロットID],$B203,tbl_ledger[イベント種類],"アセンブリ完了"),
_xlpm.充当受入,SUMIFS(tbl_ledger[数量],tbl_ledger[充当先ロットID],$B203,tbl_ledger[イベント種類],"充当",tbl_ledger[元状態],H$1),
_xlpm.払出,SUMIFS(tbl_ledger[数量],tbl_ledger[ロットID],$B203,tbl_ledger[元状態],H$1),
_xlpm.受入+_xlpm.充当受入-_xlpm.払出))</f>
        <v/>
      </c>
      <c r="I203" s="8" t="str">
        <f>IF($B203="","",_xlfn.LET(
_xlpm.受入,SUMIFS(tbl_ledger[数量],tbl_ledger[ロットID],$B203,tbl_ledger[イベント種類],"梱包開始"),
_xlpm.充当受入,SUMIFS(tbl_ledger[数量],tbl_ledger[充当先ロットID],$B203,tbl_ledger[イベント種類],"充当",tbl_ledger[元状態],I$1),
_xlpm.払出,SUMIFS(tbl_ledger[数量],tbl_ledger[ロットID],$B203,tbl_ledger[元状態],I$1),
_xlpm.受入+_xlpm.充当受入-_xlpm.払出))</f>
        <v/>
      </c>
      <c r="J203" s="8" t="str">
        <f>IF($B203="","",_xlfn.LET(
_xlpm.受入,SUMIFS(tbl_ledger[数量],tbl_ledger[ロットID],$B203,tbl_ledger[イベント種類],"梱包完了"),
_xlpm.充当受入,SUMIFS(tbl_ledger[数量],tbl_ledger[充当先ロットID],$B203,tbl_ledger[イベント種類],"充当",tbl_ledger[元状態],J$1),
_xlpm.払出,SUMIFS(tbl_ledger[数量],tbl_ledger[ロットID],$B203,tbl_ledger[元状態],J$1),
_xlpm.受入+_xlpm.充当受入-_xlpm.払出))</f>
        <v/>
      </c>
      <c r="K203" s="8" t="str">
        <f>IF($B203="","",_xlfn.LET(
_xlpm.受入,SUMIFS(tbl_ledger[数量],tbl_ledger[ロットID],$B203,tbl_ledger[イベント種類],"発送準備開始"),
_xlpm.充当受入,SUMIFS(tbl_ledger[数量],tbl_ledger[充当先ロットID],$B203,tbl_ledger[イベント種類],"充当",tbl_ledger[元状態],K$1),
_xlpm.払出,SUMIFS(tbl_ledger[数量],tbl_ledger[ロットID],$B203,tbl_ledger[元状態],K$1),
_xlpm.受入+_xlpm.充当受入-_xlpm.払出))</f>
        <v/>
      </c>
      <c r="L203" s="8" t="str">
        <f>IF($B203="","",_xlfn.LET(
_xlpm.受入,SUMIFS(tbl_ledger[数量],tbl_ledger[ロットID],$B203,tbl_ledger[イベント種類],"発送準備完了"),
_xlpm.充当受入,SUMIFS(tbl_ledger[数量],tbl_ledger[充当先ロットID],$B203,tbl_ledger[イベント種類],"充当",tbl_ledger[元状態],L$1),
_xlpm.払出,SUMIFS(tbl_ledger[数量],tbl_ledger[ロットID],$B203,tbl_ledger[元状態],L$1),
_xlpm.受入+_xlpm.充当受入-_xlpm.払出))</f>
        <v/>
      </c>
      <c r="M203" s="8" t="str">
        <f>IF($B203="","",_xlfn.LET(
_xlpm.受入,SUMIFS(tbl_ledger[数量],tbl_ledger[ロットID],$B203,tbl_ledger[イベント種類],"不良発生"),
_xlpm.充当受入,SUMIFS(tbl_ledger[数量],tbl_ledger[充当先ロットID],$B203,tbl_ledger[イベント種類],"充当",tbl_ledger[元状態],M$1),
_xlpm.払出,SUMIFS(tbl_ledger[数量],tbl_ledger[ロットID],$B203,tbl_ledger[元状態],M$1),
_xlpm.受入+_xlpm.充当受入-_xlpm.払出))</f>
        <v/>
      </c>
      <c r="N203" s="8" t="str">
        <f t="shared" si="7"/>
        <v/>
      </c>
    </row>
    <row r="204" spans="1:14" ht="15" customHeight="1" x14ac:dyDescent="0.25">
      <c r="A204" s="4" t="str">
        <f t="shared" si="6"/>
        <v/>
      </c>
      <c r="B204" s="4" t="str">
        <f>IFERROR(IF(COUNTIF($B$1:$B203,INDEX(tbl_plan[ロットID],ROW()-1))&gt;0,"",INDEX(tbl_plan[ロットID],ROW()-1)),"")</f>
        <v/>
      </c>
      <c r="C204" s="4" t="str">
        <f>IF($B204="","",INDEX(tbl_plan[localId],ROW()-1))</f>
        <v/>
      </c>
      <c r="D204" s="8" t="str">
        <f>IF($B204="","",_xlfn.LET(
_xlpm.割当受入,SUMIF(V_充足確認!$A$2:$A$301,$B204,V_充足確認!$F$2:$F$301),
_xlpm.充当受入,SUMIFS(tbl_ledger[数量],tbl_ledger[充当先ロットID],$B204,tbl_ledger[イベント種類],"充当",tbl_ledger[元状態],D$1),
_xlpm.払出,SUMIFS(tbl_ledger[数量],tbl_ledger[ロットID],$B204,tbl_ledger[元状態],D$1),
_xlpm.割当受入+_xlpm.充当受入-_xlpm.払出))</f>
        <v/>
      </c>
      <c r="E204" s="8" t="str">
        <f>IF($B204="","",_xlfn.LET(
_xlpm.受入,SUMIFS(tbl_ledger[数量],tbl_ledger[ロットID],$B204,tbl_ledger[イベント種類],"アニール開始"),
_xlpm.充当受入,SUMIFS(tbl_ledger[数量],tbl_ledger[充当先ロットID],$B204,tbl_ledger[イベント種類],"充当",tbl_ledger[元状態],E$1),
_xlpm.払出,SUMIFS(tbl_ledger[数量],tbl_ledger[ロットID],$B204,tbl_ledger[元状態],E$1),
_xlpm.受入+_xlpm.充当受入-_xlpm.払出))</f>
        <v/>
      </c>
      <c r="F204" s="8" t="str">
        <f>IF($B204="","",_xlfn.LET(
_xlpm.受入,SUMIFS(tbl_ledger[数量],tbl_ledger[ロットID],$B204,tbl_ledger[イベント種類],"アニール完了"),
_xlpm.充当受入,SUMIFS(tbl_ledger[数量],tbl_ledger[充当先ロットID],$B204,tbl_ledger[イベント種類],"充当",tbl_ledger[元状態],F$1),
_xlpm.払出,SUMIFS(tbl_ledger[数量],tbl_ledger[ロットID],$B204,tbl_ledger[元状態],F$1),
_xlpm.受入+_xlpm.充当受入-_xlpm.払出))</f>
        <v/>
      </c>
      <c r="G204" s="8" t="str">
        <f>IF($B204="","",_xlfn.LET(
_xlpm.受入,SUMIFS(tbl_ledger[数量],tbl_ledger[ロットID],$B204,tbl_ledger[イベント種類],"アセンブリ開始"),
_xlpm.充当受入,SUMIFS(tbl_ledger[数量],tbl_ledger[充当先ロットID],$B204,tbl_ledger[イベント種類],"充当",tbl_ledger[元状態],G$1),
_xlpm.払出,SUMIFS(tbl_ledger[数量],tbl_ledger[ロットID],$B204,tbl_ledger[元状態],G$1),
_xlpm.受入+_xlpm.充当受入-_xlpm.払出))</f>
        <v/>
      </c>
      <c r="H204" s="8" t="str">
        <f>IF($B204="","",_xlfn.LET(
_xlpm.受入,SUMIFS(tbl_ledger[数量],tbl_ledger[ロットID],$B204,tbl_ledger[イベント種類],"アセンブリ完了"),
_xlpm.充当受入,SUMIFS(tbl_ledger[数量],tbl_ledger[充当先ロットID],$B204,tbl_ledger[イベント種類],"充当",tbl_ledger[元状態],H$1),
_xlpm.払出,SUMIFS(tbl_ledger[数量],tbl_ledger[ロットID],$B204,tbl_ledger[元状態],H$1),
_xlpm.受入+_xlpm.充当受入-_xlpm.払出))</f>
        <v/>
      </c>
      <c r="I204" s="8" t="str">
        <f>IF($B204="","",_xlfn.LET(
_xlpm.受入,SUMIFS(tbl_ledger[数量],tbl_ledger[ロットID],$B204,tbl_ledger[イベント種類],"梱包開始"),
_xlpm.充当受入,SUMIFS(tbl_ledger[数量],tbl_ledger[充当先ロットID],$B204,tbl_ledger[イベント種類],"充当",tbl_ledger[元状態],I$1),
_xlpm.払出,SUMIFS(tbl_ledger[数量],tbl_ledger[ロットID],$B204,tbl_ledger[元状態],I$1),
_xlpm.受入+_xlpm.充当受入-_xlpm.払出))</f>
        <v/>
      </c>
      <c r="J204" s="8" t="str">
        <f>IF($B204="","",_xlfn.LET(
_xlpm.受入,SUMIFS(tbl_ledger[数量],tbl_ledger[ロットID],$B204,tbl_ledger[イベント種類],"梱包完了"),
_xlpm.充当受入,SUMIFS(tbl_ledger[数量],tbl_ledger[充当先ロットID],$B204,tbl_ledger[イベント種類],"充当",tbl_ledger[元状態],J$1),
_xlpm.払出,SUMIFS(tbl_ledger[数量],tbl_ledger[ロットID],$B204,tbl_ledger[元状態],J$1),
_xlpm.受入+_xlpm.充当受入-_xlpm.払出))</f>
        <v/>
      </c>
      <c r="K204" s="8" t="str">
        <f>IF($B204="","",_xlfn.LET(
_xlpm.受入,SUMIFS(tbl_ledger[数量],tbl_ledger[ロットID],$B204,tbl_ledger[イベント種類],"発送準備開始"),
_xlpm.充当受入,SUMIFS(tbl_ledger[数量],tbl_ledger[充当先ロットID],$B204,tbl_ledger[イベント種類],"充当",tbl_ledger[元状態],K$1),
_xlpm.払出,SUMIFS(tbl_ledger[数量],tbl_ledger[ロットID],$B204,tbl_ledger[元状態],K$1),
_xlpm.受入+_xlpm.充当受入-_xlpm.払出))</f>
        <v/>
      </c>
      <c r="L204" s="8" t="str">
        <f>IF($B204="","",_xlfn.LET(
_xlpm.受入,SUMIFS(tbl_ledger[数量],tbl_ledger[ロットID],$B204,tbl_ledger[イベント種類],"発送準備完了"),
_xlpm.充当受入,SUMIFS(tbl_ledger[数量],tbl_ledger[充当先ロットID],$B204,tbl_ledger[イベント種類],"充当",tbl_ledger[元状態],L$1),
_xlpm.払出,SUMIFS(tbl_ledger[数量],tbl_ledger[ロットID],$B204,tbl_ledger[元状態],L$1),
_xlpm.受入+_xlpm.充当受入-_xlpm.払出))</f>
        <v/>
      </c>
      <c r="M204" s="8" t="str">
        <f>IF($B204="","",_xlfn.LET(
_xlpm.受入,SUMIFS(tbl_ledger[数量],tbl_ledger[ロットID],$B204,tbl_ledger[イベント種類],"不良発生"),
_xlpm.充当受入,SUMIFS(tbl_ledger[数量],tbl_ledger[充当先ロットID],$B204,tbl_ledger[イベント種類],"充当",tbl_ledger[元状態],M$1),
_xlpm.払出,SUMIFS(tbl_ledger[数量],tbl_ledger[ロットID],$B204,tbl_ledger[元状態],M$1),
_xlpm.受入+_xlpm.充当受入-_xlpm.払出))</f>
        <v/>
      </c>
      <c r="N204" s="8" t="str">
        <f t="shared" si="7"/>
        <v/>
      </c>
    </row>
    <row r="205" spans="1:14" ht="15" customHeight="1" x14ac:dyDescent="0.25">
      <c r="A205" s="4" t="str">
        <f t="shared" si="6"/>
        <v/>
      </c>
      <c r="B205" s="4" t="str">
        <f>IFERROR(IF(COUNTIF($B$1:$B204,INDEX(tbl_plan[ロットID],ROW()-1))&gt;0,"",INDEX(tbl_plan[ロットID],ROW()-1)),"")</f>
        <v/>
      </c>
      <c r="C205" s="4" t="str">
        <f>IF($B205="","",INDEX(tbl_plan[localId],ROW()-1))</f>
        <v/>
      </c>
      <c r="D205" s="8" t="str">
        <f>IF($B205="","",_xlfn.LET(
_xlpm.割当受入,SUMIF(V_充足確認!$A$2:$A$301,$B205,V_充足確認!$F$2:$F$301),
_xlpm.充当受入,SUMIFS(tbl_ledger[数量],tbl_ledger[充当先ロットID],$B205,tbl_ledger[イベント種類],"充当",tbl_ledger[元状態],D$1),
_xlpm.払出,SUMIFS(tbl_ledger[数量],tbl_ledger[ロットID],$B205,tbl_ledger[元状態],D$1),
_xlpm.割当受入+_xlpm.充当受入-_xlpm.払出))</f>
        <v/>
      </c>
      <c r="E205" s="8" t="str">
        <f>IF($B205="","",_xlfn.LET(
_xlpm.受入,SUMIFS(tbl_ledger[数量],tbl_ledger[ロットID],$B205,tbl_ledger[イベント種類],"アニール開始"),
_xlpm.充当受入,SUMIFS(tbl_ledger[数量],tbl_ledger[充当先ロットID],$B205,tbl_ledger[イベント種類],"充当",tbl_ledger[元状態],E$1),
_xlpm.払出,SUMIFS(tbl_ledger[数量],tbl_ledger[ロットID],$B205,tbl_ledger[元状態],E$1),
_xlpm.受入+_xlpm.充当受入-_xlpm.払出))</f>
        <v/>
      </c>
      <c r="F205" s="8" t="str">
        <f>IF($B205="","",_xlfn.LET(
_xlpm.受入,SUMIFS(tbl_ledger[数量],tbl_ledger[ロットID],$B205,tbl_ledger[イベント種類],"アニール完了"),
_xlpm.充当受入,SUMIFS(tbl_ledger[数量],tbl_ledger[充当先ロットID],$B205,tbl_ledger[イベント種類],"充当",tbl_ledger[元状態],F$1),
_xlpm.払出,SUMIFS(tbl_ledger[数量],tbl_ledger[ロットID],$B205,tbl_ledger[元状態],F$1),
_xlpm.受入+_xlpm.充当受入-_xlpm.払出))</f>
        <v/>
      </c>
      <c r="G205" s="8" t="str">
        <f>IF($B205="","",_xlfn.LET(
_xlpm.受入,SUMIFS(tbl_ledger[数量],tbl_ledger[ロットID],$B205,tbl_ledger[イベント種類],"アセンブリ開始"),
_xlpm.充当受入,SUMIFS(tbl_ledger[数量],tbl_ledger[充当先ロットID],$B205,tbl_ledger[イベント種類],"充当",tbl_ledger[元状態],G$1),
_xlpm.払出,SUMIFS(tbl_ledger[数量],tbl_ledger[ロットID],$B205,tbl_ledger[元状態],G$1),
_xlpm.受入+_xlpm.充当受入-_xlpm.払出))</f>
        <v/>
      </c>
      <c r="H205" s="8" t="str">
        <f>IF($B205="","",_xlfn.LET(
_xlpm.受入,SUMIFS(tbl_ledger[数量],tbl_ledger[ロットID],$B205,tbl_ledger[イベント種類],"アセンブリ完了"),
_xlpm.充当受入,SUMIFS(tbl_ledger[数量],tbl_ledger[充当先ロットID],$B205,tbl_ledger[イベント種類],"充当",tbl_ledger[元状態],H$1),
_xlpm.払出,SUMIFS(tbl_ledger[数量],tbl_ledger[ロットID],$B205,tbl_ledger[元状態],H$1),
_xlpm.受入+_xlpm.充当受入-_xlpm.払出))</f>
        <v/>
      </c>
      <c r="I205" s="8" t="str">
        <f>IF($B205="","",_xlfn.LET(
_xlpm.受入,SUMIFS(tbl_ledger[数量],tbl_ledger[ロットID],$B205,tbl_ledger[イベント種類],"梱包開始"),
_xlpm.充当受入,SUMIFS(tbl_ledger[数量],tbl_ledger[充当先ロットID],$B205,tbl_ledger[イベント種類],"充当",tbl_ledger[元状態],I$1),
_xlpm.払出,SUMIFS(tbl_ledger[数量],tbl_ledger[ロットID],$B205,tbl_ledger[元状態],I$1),
_xlpm.受入+_xlpm.充当受入-_xlpm.払出))</f>
        <v/>
      </c>
      <c r="J205" s="8" t="str">
        <f>IF($B205="","",_xlfn.LET(
_xlpm.受入,SUMIFS(tbl_ledger[数量],tbl_ledger[ロットID],$B205,tbl_ledger[イベント種類],"梱包完了"),
_xlpm.充当受入,SUMIFS(tbl_ledger[数量],tbl_ledger[充当先ロットID],$B205,tbl_ledger[イベント種類],"充当",tbl_ledger[元状態],J$1),
_xlpm.払出,SUMIFS(tbl_ledger[数量],tbl_ledger[ロットID],$B205,tbl_ledger[元状態],J$1),
_xlpm.受入+_xlpm.充当受入-_xlpm.払出))</f>
        <v/>
      </c>
      <c r="K205" s="8" t="str">
        <f>IF($B205="","",_xlfn.LET(
_xlpm.受入,SUMIFS(tbl_ledger[数量],tbl_ledger[ロットID],$B205,tbl_ledger[イベント種類],"発送準備開始"),
_xlpm.充当受入,SUMIFS(tbl_ledger[数量],tbl_ledger[充当先ロットID],$B205,tbl_ledger[イベント種類],"充当",tbl_ledger[元状態],K$1),
_xlpm.払出,SUMIFS(tbl_ledger[数量],tbl_ledger[ロットID],$B205,tbl_ledger[元状態],K$1),
_xlpm.受入+_xlpm.充当受入-_xlpm.払出))</f>
        <v/>
      </c>
      <c r="L205" s="8" t="str">
        <f>IF($B205="","",_xlfn.LET(
_xlpm.受入,SUMIFS(tbl_ledger[数量],tbl_ledger[ロットID],$B205,tbl_ledger[イベント種類],"発送準備完了"),
_xlpm.充当受入,SUMIFS(tbl_ledger[数量],tbl_ledger[充当先ロットID],$B205,tbl_ledger[イベント種類],"充当",tbl_ledger[元状態],L$1),
_xlpm.払出,SUMIFS(tbl_ledger[数量],tbl_ledger[ロットID],$B205,tbl_ledger[元状態],L$1),
_xlpm.受入+_xlpm.充当受入-_xlpm.払出))</f>
        <v/>
      </c>
      <c r="M205" s="8" t="str">
        <f>IF($B205="","",_xlfn.LET(
_xlpm.受入,SUMIFS(tbl_ledger[数量],tbl_ledger[ロットID],$B205,tbl_ledger[イベント種類],"不良発生"),
_xlpm.充当受入,SUMIFS(tbl_ledger[数量],tbl_ledger[充当先ロットID],$B205,tbl_ledger[イベント種類],"充当",tbl_ledger[元状態],M$1),
_xlpm.払出,SUMIFS(tbl_ledger[数量],tbl_ledger[ロットID],$B205,tbl_ledger[元状態],M$1),
_xlpm.受入+_xlpm.充当受入-_xlpm.払出))</f>
        <v/>
      </c>
      <c r="N205" s="8" t="str">
        <f t="shared" si="7"/>
        <v/>
      </c>
    </row>
    <row r="206" spans="1:14" ht="15" customHeight="1" x14ac:dyDescent="0.25">
      <c r="A206" s="4" t="str">
        <f t="shared" si="6"/>
        <v/>
      </c>
      <c r="B206" s="4" t="str">
        <f>IFERROR(IF(COUNTIF($B$1:$B205,INDEX(tbl_plan[ロットID],ROW()-1))&gt;0,"",INDEX(tbl_plan[ロットID],ROW()-1)),"")</f>
        <v/>
      </c>
      <c r="C206" s="4" t="str">
        <f>IF($B206="","",INDEX(tbl_plan[localId],ROW()-1))</f>
        <v/>
      </c>
      <c r="D206" s="8" t="str">
        <f>IF($B206="","",_xlfn.LET(
_xlpm.割当受入,SUMIF(V_充足確認!$A$2:$A$301,$B206,V_充足確認!$F$2:$F$301),
_xlpm.充当受入,SUMIFS(tbl_ledger[数量],tbl_ledger[充当先ロットID],$B206,tbl_ledger[イベント種類],"充当",tbl_ledger[元状態],D$1),
_xlpm.払出,SUMIFS(tbl_ledger[数量],tbl_ledger[ロットID],$B206,tbl_ledger[元状態],D$1),
_xlpm.割当受入+_xlpm.充当受入-_xlpm.払出))</f>
        <v/>
      </c>
      <c r="E206" s="8" t="str">
        <f>IF($B206="","",_xlfn.LET(
_xlpm.受入,SUMIFS(tbl_ledger[数量],tbl_ledger[ロットID],$B206,tbl_ledger[イベント種類],"アニール開始"),
_xlpm.充当受入,SUMIFS(tbl_ledger[数量],tbl_ledger[充当先ロットID],$B206,tbl_ledger[イベント種類],"充当",tbl_ledger[元状態],E$1),
_xlpm.払出,SUMIFS(tbl_ledger[数量],tbl_ledger[ロットID],$B206,tbl_ledger[元状態],E$1),
_xlpm.受入+_xlpm.充当受入-_xlpm.払出))</f>
        <v/>
      </c>
      <c r="F206" s="8" t="str">
        <f>IF($B206="","",_xlfn.LET(
_xlpm.受入,SUMIFS(tbl_ledger[数量],tbl_ledger[ロットID],$B206,tbl_ledger[イベント種類],"アニール完了"),
_xlpm.充当受入,SUMIFS(tbl_ledger[数量],tbl_ledger[充当先ロットID],$B206,tbl_ledger[イベント種類],"充当",tbl_ledger[元状態],F$1),
_xlpm.払出,SUMIFS(tbl_ledger[数量],tbl_ledger[ロットID],$B206,tbl_ledger[元状態],F$1),
_xlpm.受入+_xlpm.充当受入-_xlpm.払出))</f>
        <v/>
      </c>
      <c r="G206" s="8" t="str">
        <f>IF($B206="","",_xlfn.LET(
_xlpm.受入,SUMIFS(tbl_ledger[数量],tbl_ledger[ロットID],$B206,tbl_ledger[イベント種類],"アセンブリ開始"),
_xlpm.充当受入,SUMIFS(tbl_ledger[数量],tbl_ledger[充当先ロットID],$B206,tbl_ledger[イベント種類],"充当",tbl_ledger[元状態],G$1),
_xlpm.払出,SUMIFS(tbl_ledger[数量],tbl_ledger[ロットID],$B206,tbl_ledger[元状態],G$1),
_xlpm.受入+_xlpm.充当受入-_xlpm.払出))</f>
        <v/>
      </c>
      <c r="H206" s="8" t="str">
        <f>IF($B206="","",_xlfn.LET(
_xlpm.受入,SUMIFS(tbl_ledger[数量],tbl_ledger[ロットID],$B206,tbl_ledger[イベント種類],"アセンブリ完了"),
_xlpm.充当受入,SUMIFS(tbl_ledger[数量],tbl_ledger[充当先ロットID],$B206,tbl_ledger[イベント種類],"充当",tbl_ledger[元状態],H$1),
_xlpm.払出,SUMIFS(tbl_ledger[数量],tbl_ledger[ロットID],$B206,tbl_ledger[元状態],H$1),
_xlpm.受入+_xlpm.充当受入-_xlpm.払出))</f>
        <v/>
      </c>
      <c r="I206" s="8" t="str">
        <f>IF($B206="","",_xlfn.LET(
_xlpm.受入,SUMIFS(tbl_ledger[数量],tbl_ledger[ロットID],$B206,tbl_ledger[イベント種類],"梱包開始"),
_xlpm.充当受入,SUMIFS(tbl_ledger[数量],tbl_ledger[充当先ロットID],$B206,tbl_ledger[イベント種類],"充当",tbl_ledger[元状態],I$1),
_xlpm.払出,SUMIFS(tbl_ledger[数量],tbl_ledger[ロットID],$B206,tbl_ledger[元状態],I$1),
_xlpm.受入+_xlpm.充当受入-_xlpm.払出))</f>
        <v/>
      </c>
      <c r="J206" s="8" t="str">
        <f>IF($B206="","",_xlfn.LET(
_xlpm.受入,SUMIFS(tbl_ledger[数量],tbl_ledger[ロットID],$B206,tbl_ledger[イベント種類],"梱包完了"),
_xlpm.充当受入,SUMIFS(tbl_ledger[数量],tbl_ledger[充当先ロットID],$B206,tbl_ledger[イベント種類],"充当",tbl_ledger[元状態],J$1),
_xlpm.払出,SUMIFS(tbl_ledger[数量],tbl_ledger[ロットID],$B206,tbl_ledger[元状態],J$1),
_xlpm.受入+_xlpm.充当受入-_xlpm.払出))</f>
        <v/>
      </c>
      <c r="K206" s="8" t="str">
        <f>IF($B206="","",_xlfn.LET(
_xlpm.受入,SUMIFS(tbl_ledger[数量],tbl_ledger[ロットID],$B206,tbl_ledger[イベント種類],"発送準備開始"),
_xlpm.充当受入,SUMIFS(tbl_ledger[数量],tbl_ledger[充当先ロットID],$B206,tbl_ledger[イベント種類],"充当",tbl_ledger[元状態],K$1),
_xlpm.払出,SUMIFS(tbl_ledger[数量],tbl_ledger[ロットID],$B206,tbl_ledger[元状態],K$1),
_xlpm.受入+_xlpm.充当受入-_xlpm.払出))</f>
        <v/>
      </c>
      <c r="L206" s="8" t="str">
        <f>IF($B206="","",_xlfn.LET(
_xlpm.受入,SUMIFS(tbl_ledger[数量],tbl_ledger[ロットID],$B206,tbl_ledger[イベント種類],"発送準備完了"),
_xlpm.充当受入,SUMIFS(tbl_ledger[数量],tbl_ledger[充当先ロットID],$B206,tbl_ledger[イベント種類],"充当",tbl_ledger[元状態],L$1),
_xlpm.払出,SUMIFS(tbl_ledger[数量],tbl_ledger[ロットID],$B206,tbl_ledger[元状態],L$1),
_xlpm.受入+_xlpm.充当受入-_xlpm.払出))</f>
        <v/>
      </c>
      <c r="M206" s="8" t="str">
        <f>IF($B206="","",_xlfn.LET(
_xlpm.受入,SUMIFS(tbl_ledger[数量],tbl_ledger[ロットID],$B206,tbl_ledger[イベント種類],"不良発生"),
_xlpm.充当受入,SUMIFS(tbl_ledger[数量],tbl_ledger[充当先ロットID],$B206,tbl_ledger[イベント種類],"充当",tbl_ledger[元状態],M$1),
_xlpm.払出,SUMIFS(tbl_ledger[数量],tbl_ledger[ロットID],$B206,tbl_ledger[元状態],M$1),
_xlpm.受入+_xlpm.充当受入-_xlpm.払出))</f>
        <v/>
      </c>
      <c r="N206" s="8" t="str">
        <f t="shared" si="7"/>
        <v/>
      </c>
    </row>
    <row r="207" spans="1:14" ht="15" customHeight="1" x14ac:dyDescent="0.25">
      <c r="A207" s="4" t="str">
        <f t="shared" si="6"/>
        <v/>
      </c>
      <c r="B207" s="4" t="str">
        <f>IFERROR(IF(COUNTIF($B$1:$B206,INDEX(tbl_plan[ロットID],ROW()-1))&gt;0,"",INDEX(tbl_plan[ロットID],ROW()-1)),"")</f>
        <v/>
      </c>
      <c r="C207" s="4" t="str">
        <f>IF($B207="","",INDEX(tbl_plan[localId],ROW()-1))</f>
        <v/>
      </c>
      <c r="D207" s="8" t="str">
        <f>IF($B207="","",_xlfn.LET(
_xlpm.割当受入,SUMIF(V_充足確認!$A$2:$A$301,$B207,V_充足確認!$F$2:$F$301),
_xlpm.充当受入,SUMIFS(tbl_ledger[数量],tbl_ledger[充当先ロットID],$B207,tbl_ledger[イベント種類],"充当",tbl_ledger[元状態],D$1),
_xlpm.払出,SUMIFS(tbl_ledger[数量],tbl_ledger[ロットID],$B207,tbl_ledger[元状態],D$1),
_xlpm.割当受入+_xlpm.充当受入-_xlpm.払出))</f>
        <v/>
      </c>
      <c r="E207" s="8" t="str">
        <f>IF($B207="","",_xlfn.LET(
_xlpm.受入,SUMIFS(tbl_ledger[数量],tbl_ledger[ロットID],$B207,tbl_ledger[イベント種類],"アニール開始"),
_xlpm.充当受入,SUMIFS(tbl_ledger[数量],tbl_ledger[充当先ロットID],$B207,tbl_ledger[イベント種類],"充当",tbl_ledger[元状態],E$1),
_xlpm.払出,SUMIFS(tbl_ledger[数量],tbl_ledger[ロットID],$B207,tbl_ledger[元状態],E$1),
_xlpm.受入+_xlpm.充当受入-_xlpm.払出))</f>
        <v/>
      </c>
      <c r="F207" s="8" t="str">
        <f>IF($B207="","",_xlfn.LET(
_xlpm.受入,SUMIFS(tbl_ledger[数量],tbl_ledger[ロットID],$B207,tbl_ledger[イベント種類],"アニール完了"),
_xlpm.充当受入,SUMIFS(tbl_ledger[数量],tbl_ledger[充当先ロットID],$B207,tbl_ledger[イベント種類],"充当",tbl_ledger[元状態],F$1),
_xlpm.払出,SUMIFS(tbl_ledger[数量],tbl_ledger[ロットID],$B207,tbl_ledger[元状態],F$1),
_xlpm.受入+_xlpm.充当受入-_xlpm.払出))</f>
        <v/>
      </c>
      <c r="G207" s="8" t="str">
        <f>IF($B207="","",_xlfn.LET(
_xlpm.受入,SUMIFS(tbl_ledger[数量],tbl_ledger[ロットID],$B207,tbl_ledger[イベント種類],"アセンブリ開始"),
_xlpm.充当受入,SUMIFS(tbl_ledger[数量],tbl_ledger[充当先ロットID],$B207,tbl_ledger[イベント種類],"充当",tbl_ledger[元状態],G$1),
_xlpm.払出,SUMIFS(tbl_ledger[数量],tbl_ledger[ロットID],$B207,tbl_ledger[元状態],G$1),
_xlpm.受入+_xlpm.充当受入-_xlpm.払出))</f>
        <v/>
      </c>
      <c r="H207" s="8" t="str">
        <f>IF($B207="","",_xlfn.LET(
_xlpm.受入,SUMIFS(tbl_ledger[数量],tbl_ledger[ロットID],$B207,tbl_ledger[イベント種類],"アセンブリ完了"),
_xlpm.充当受入,SUMIFS(tbl_ledger[数量],tbl_ledger[充当先ロットID],$B207,tbl_ledger[イベント種類],"充当",tbl_ledger[元状態],H$1),
_xlpm.払出,SUMIFS(tbl_ledger[数量],tbl_ledger[ロットID],$B207,tbl_ledger[元状態],H$1),
_xlpm.受入+_xlpm.充当受入-_xlpm.払出))</f>
        <v/>
      </c>
      <c r="I207" s="8" t="str">
        <f>IF($B207="","",_xlfn.LET(
_xlpm.受入,SUMIFS(tbl_ledger[数量],tbl_ledger[ロットID],$B207,tbl_ledger[イベント種類],"梱包開始"),
_xlpm.充当受入,SUMIFS(tbl_ledger[数量],tbl_ledger[充当先ロットID],$B207,tbl_ledger[イベント種類],"充当",tbl_ledger[元状態],I$1),
_xlpm.払出,SUMIFS(tbl_ledger[数量],tbl_ledger[ロットID],$B207,tbl_ledger[元状態],I$1),
_xlpm.受入+_xlpm.充当受入-_xlpm.払出))</f>
        <v/>
      </c>
      <c r="J207" s="8" t="str">
        <f>IF($B207="","",_xlfn.LET(
_xlpm.受入,SUMIFS(tbl_ledger[数量],tbl_ledger[ロットID],$B207,tbl_ledger[イベント種類],"梱包完了"),
_xlpm.充当受入,SUMIFS(tbl_ledger[数量],tbl_ledger[充当先ロットID],$B207,tbl_ledger[イベント種類],"充当",tbl_ledger[元状態],J$1),
_xlpm.払出,SUMIFS(tbl_ledger[数量],tbl_ledger[ロットID],$B207,tbl_ledger[元状態],J$1),
_xlpm.受入+_xlpm.充当受入-_xlpm.払出))</f>
        <v/>
      </c>
      <c r="K207" s="8" t="str">
        <f>IF($B207="","",_xlfn.LET(
_xlpm.受入,SUMIFS(tbl_ledger[数量],tbl_ledger[ロットID],$B207,tbl_ledger[イベント種類],"発送準備開始"),
_xlpm.充当受入,SUMIFS(tbl_ledger[数量],tbl_ledger[充当先ロットID],$B207,tbl_ledger[イベント種類],"充当",tbl_ledger[元状態],K$1),
_xlpm.払出,SUMIFS(tbl_ledger[数量],tbl_ledger[ロットID],$B207,tbl_ledger[元状態],K$1),
_xlpm.受入+_xlpm.充当受入-_xlpm.払出))</f>
        <v/>
      </c>
      <c r="L207" s="8" t="str">
        <f>IF($B207="","",_xlfn.LET(
_xlpm.受入,SUMIFS(tbl_ledger[数量],tbl_ledger[ロットID],$B207,tbl_ledger[イベント種類],"発送準備完了"),
_xlpm.充当受入,SUMIFS(tbl_ledger[数量],tbl_ledger[充当先ロットID],$B207,tbl_ledger[イベント種類],"充当",tbl_ledger[元状態],L$1),
_xlpm.払出,SUMIFS(tbl_ledger[数量],tbl_ledger[ロットID],$B207,tbl_ledger[元状態],L$1),
_xlpm.受入+_xlpm.充当受入-_xlpm.払出))</f>
        <v/>
      </c>
      <c r="M207" s="8" t="str">
        <f>IF($B207="","",_xlfn.LET(
_xlpm.受入,SUMIFS(tbl_ledger[数量],tbl_ledger[ロットID],$B207,tbl_ledger[イベント種類],"不良発生"),
_xlpm.充当受入,SUMIFS(tbl_ledger[数量],tbl_ledger[充当先ロットID],$B207,tbl_ledger[イベント種類],"充当",tbl_ledger[元状態],M$1),
_xlpm.払出,SUMIFS(tbl_ledger[数量],tbl_ledger[ロットID],$B207,tbl_ledger[元状態],M$1),
_xlpm.受入+_xlpm.充当受入-_xlpm.払出))</f>
        <v/>
      </c>
      <c r="N207" s="8" t="str">
        <f t="shared" si="7"/>
        <v/>
      </c>
    </row>
    <row r="208" spans="1:14" ht="15" customHeight="1" x14ac:dyDescent="0.25">
      <c r="A208" s="4" t="str">
        <f t="shared" si="6"/>
        <v/>
      </c>
      <c r="B208" s="4" t="str">
        <f>IFERROR(IF(COUNTIF($B$1:$B207,INDEX(tbl_plan[ロットID],ROW()-1))&gt;0,"",INDEX(tbl_plan[ロットID],ROW()-1)),"")</f>
        <v/>
      </c>
      <c r="C208" s="4" t="str">
        <f>IF($B208="","",INDEX(tbl_plan[localId],ROW()-1))</f>
        <v/>
      </c>
      <c r="D208" s="8" t="str">
        <f>IF($B208="","",_xlfn.LET(
_xlpm.割当受入,SUMIF(V_充足確認!$A$2:$A$301,$B208,V_充足確認!$F$2:$F$301),
_xlpm.充当受入,SUMIFS(tbl_ledger[数量],tbl_ledger[充当先ロットID],$B208,tbl_ledger[イベント種類],"充当",tbl_ledger[元状態],D$1),
_xlpm.払出,SUMIFS(tbl_ledger[数量],tbl_ledger[ロットID],$B208,tbl_ledger[元状態],D$1),
_xlpm.割当受入+_xlpm.充当受入-_xlpm.払出))</f>
        <v/>
      </c>
      <c r="E208" s="8" t="str">
        <f>IF($B208="","",_xlfn.LET(
_xlpm.受入,SUMIFS(tbl_ledger[数量],tbl_ledger[ロットID],$B208,tbl_ledger[イベント種類],"アニール開始"),
_xlpm.充当受入,SUMIFS(tbl_ledger[数量],tbl_ledger[充当先ロットID],$B208,tbl_ledger[イベント種類],"充当",tbl_ledger[元状態],E$1),
_xlpm.払出,SUMIFS(tbl_ledger[数量],tbl_ledger[ロットID],$B208,tbl_ledger[元状態],E$1),
_xlpm.受入+_xlpm.充当受入-_xlpm.払出))</f>
        <v/>
      </c>
      <c r="F208" s="8" t="str">
        <f>IF($B208="","",_xlfn.LET(
_xlpm.受入,SUMIFS(tbl_ledger[数量],tbl_ledger[ロットID],$B208,tbl_ledger[イベント種類],"アニール完了"),
_xlpm.充当受入,SUMIFS(tbl_ledger[数量],tbl_ledger[充当先ロットID],$B208,tbl_ledger[イベント種類],"充当",tbl_ledger[元状態],F$1),
_xlpm.払出,SUMIFS(tbl_ledger[数量],tbl_ledger[ロットID],$B208,tbl_ledger[元状態],F$1),
_xlpm.受入+_xlpm.充当受入-_xlpm.払出))</f>
        <v/>
      </c>
      <c r="G208" s="8" t="str">
        <f>IF($B208="","",_xlfn.LET(
_xlpm.受入,SUMIFS(tbl_ledger[数量],tbl_ledger[ロットID],$B208,tbl_ledger[イベント種類],"アセンブリ開始"),
_xlpm.充当受入,SUMIFS(tbl_ledger[数量],tbl_ledger[充当先ロットID],$B208,tbl_ledger[イベント種類],"充当",tbl_ledger[元状態],G$1),
_xlpm.払出,SUMIFS(tbl_ledger[数量],tbl_ledger[ロットID],$B208,tbl_ledger[元状態],G$1),
_xlpm.受入+_xlpm.充当受入-_xlpm.払出))</f>
        <v/>
      </c>
      <c r="H208" s="8" t="str">
        <f>IF($B208="","",_xlfn.LET(
_xlpm.受入,SUMIFS(tbl_ledger[数量],tbl_ledger[ロットID],$B208,tbl_ledger[イベント種類],"アセンブリ完了"),
_xlpm.充当受入,SUMIFS(tbl_ledger[数量],tbl_ledger[充当先ロットID],$B208,tbl_ledger[イベント種類],"充当",tbl_ledger[元状態],H$1),
_xlpm.払出,SUMIFS(tbl_ledger[数量],tbl_ledger[ロットID],$B208,tbl_ledger[元状態],H$1),
_xlpm.受入+_xlpm.充当受入-_xlpm.払出))</f>
        <v/>
      </c>
      <c r="I208" s="8" t="str">
        <f>IF($B208="","",_xlfn.LET(
_xlpm.受入,SUMIFS(tbl_ledger[数量],tbl_ledger[ロットID],$B208,tbl_ledger[イベント種類],"梱包開始"),
_xlpm.充当受入,SUMIFS(tbl_ledger[数量],tbl_ledger[充当先ロットID],$B208,tbl_ledger[イベント種類],"充当",tbl_ledger[元状態],I$1),
_xlpm.払出,SUMIFS(tbl_ledger[数量],tbl_ledger[ロットID],$B208,tbl_ledger[元状態],I$1),
_xlpm.受入+_xlpm.充当受入-_xlpm.払出))</f>
        <v/>
      </c>
      <c r="J208" s="8" t="str">
        <f>IF($B208="","",_xlfn.LET(
_xlpm.受入,SUMIFS(tbl_ledger[数量],tbl_ledger[ロットID],$B208,tbl_ledger[イベント種類],"梱包完了"),
_xlpm.充当受入,SUMIFS(tbl_ledger[数量],tbl_ledger[充当先ロットID],$B208,tbl_ledger[イベント種類],"充当",tbl_ledger[元状態],J$1),
_xlpm.払出,SUMIFS(tbl_ledger[数量],tbl_ledger[ロットID],$B208,tbl_ledger[元状態],J$1),
_xlpm.受入+_xlpm.充当受入-_xlpm.払出))</f>
        <v/>
      </c>
      <c r="K208" s="8" t="str">
        <f>IF($B208="","",_xlfn.LET(
_xlpm.受入,SUMIFS(tbl_ledger[数量],tbl_ledger[ロットID],$B208,tbl_ledger[イベント種類],"発送準備開始"),
_xlpm.充当受入,SUMIFS(tbl_ledger[数量],tbl_ledger[充当先ロットID],$B208,tbl_ledger[イベント種類],"充当",tbl_ledger[元状態],K$1),
_xlpm.払出,SUMIFS(tbl_ledger[数量],tbl_ledger[ロットID],$B208,tbl_ledger[元状態],K$1),
_xlpm.受入+_xlpm.充当受入-_xlpm.払出))</f>
        <v/>
      </c>
      <c r="L208" s="8" t="str">
        <f>IF($B208="","",_xlfn.LET(
_xlpm.受入,SUMIFS(tbl_ledger[数量],tbl_ledger[ロットID],$B208,tbl_ledger[イベント種類],"発送準備完了"),
_xlpm.充当受入,SUMIFS(tbl_ledger[数量],tbl_ledger[充当先ロットID],$B208,tbl_ledger[イベント種類],"充当",tbl_ledger[元状態],L$1),
_xlpm.払出,SUMIFS(tbl_ledger[数量],tbl_ledger[ロットID],$B208,tbl_ledger[元状態],L$1),
_xlpm.受入+_xlpm.充当受入-_xlpm.払出))</f>
        <v/>
      </c>
      <c r="M208" s="8" t="str">
        <f>IF($B208="","",_xlfn.LET(
_xlpm.受入,SUMIFS(tbl_ledger[数量],tbl_ledger[ロットID],$B208,tbl_ledger[イベント種類],"不良発生"),
_xlpm.充当受入,SUMIFS(tbl_ledger[数量],tbl_ledger[充当先ロットID],$B208,tbl_ledger[イベント種類],"充当",tbl_ledger[元状態],M$1),
_xlpm.払出,SUMIFS(tbl_ledger[数量],tbl_ledger[ロットID],$B208,tbl_ledger[元状態],M$1),
_xlpm.受入+_xlpm.充当受入-_xlpm.払出))</f>
        <v/>
      </c>
      <c r="N208" s="8" t="str">
        <f t="shared" si="7"/>
        <v/>
      </c>
    </row>
    <row r="209" spans="1:14" ht="15" customHeight="1" x14ac:dyDescent="0.25">
      <c r="A209" s="4" t="str">
        <f t="shared" si="6"/>
        <v/>
      </c>
      <c r="B209" s="4" t="str">
        <f>IFERROR(IF(COUNTIF($B$1:$B208,INDEX(tbl_plan[ロットID],ROW()-1))&gt;0,"",INDEX(tbl_plan[ロットID],ROW()-1)),"")</f>
        <v/>
      </c>
      <c r="C209" s="4" t="str">
        <f>IF($B209="","",INDEX(tbl_plan[localId],ROW()-1))</f>
        <v/>
      </c>
      <c r="D209" s="8" t="str">
        <f>IF($B209="","",_xlfn.LET(
_xlpm.割当受入,SUMIF(V_充足確認!$A$2:$A$301,$B209,V_充足確認!$F$2:$F$301),
_xlpm.充当受入,SUMIFS(tbl_ledger[数量],tbl_ledger[充当先ロットID],$B209,tbl_ledger[イベント種類],"充当",tbl_ledger[元状態],D$1),
_xlpm.払出,SUMIFS(tbl_ledger[数量],tbl_ledger[ロットID],$B209,tbl_ledger[元状態],D$1),
_xlpm.割当受入+_xlpm.充当受入-_xlpm.払出))</f>
        <v/>
      </c>
      <c r="E209" s="8" t="str">
        <f>IF($B209="","",_xlfn.LET(
_xlpm.受入,SUMIFS(tbl_ledger[数量],tbl_ledger[ロットID],$B209,tbl_ledger[イベント種類],"アニール開始"),
_xlpm.充当受入,SUMIFS(tbl_ledger[数量],tbl_ledger[充当先ロットID],$B209,tbl_ledger[イベント種類],"充当",tbl_ledger[元状態],E$1),
_xlpm.払出,SUMIFS(tbl_ledger[数量],tbl_ledger[ロットID],$B209,tbl_ledger[元状態],E$1),
_xlpm.受入+_xlpm.充当受入-_xlpm.払出))</f>
        <v/>
      </c>
      <c r="F209" s="8" t="str">
        <f>IF($B209="","",_xlfn.LET(
_xlpm.受入,SUMIFS(tbl_ledger[数量],tbl_ledger[ロットID],$B209,tbl_ledger[イベント種類],"アニール完了"),
_xlpm.充当受入,SUMIFS(tbl_ledger[数量],tbl_ledger[充当先ロットID],$B209,tbl_ledger[イベント種類],"充当",tbl_ledger[元状態],F$1),
_xlpm.払出,SUMIFS(tbl_ledger[数量],tbl_ledger[ロットID],$B209,tbl_ledger[元状態],F$1),
_xlpm.受入+_xlpm.充当受入-_xlpm.払出))</f>
        <v/>
      </c>
      <c r="G209" s="8" t="str">
        <f>IF($B209="","",_xlfn.LET(
_xlpm.受入,SUMIFS(tbl_ledger[数量],tbl_ledger[ロットID],$B209,tbl_ledger[イベント種類],"アセンブリ開始"),
_xlpm.充当受入,SUMIFS(tbl_ledger[数量],tbl_ledger[充当先ロットID],$B209,tbl_ledger[イベント種類],"充当",tbl_ledger[元状態],G$1),
_xlpm.払出,SUMIFS(tbl_ledger[数量],tbl_ledger[ロットID],$B209,tbl_ledger[元状態],G$1),
_xlpm.受入+_xlpm.充当受入-_xlpm.払出))</f>
        <v/>
      </c>
      <c r="H209" s="8" t="str">
        <f>IF($B209="","",_xlfn.LET(
_xlpm.受入,SUMIFS(tbl_ledger[数量],tbl_ledger[ロットID],$B209,tbl_ledger[イベント種類],"アセンブリ完了"),
_xlpm.充当受入,SUMIFS(tbl_ledger[数量],tbl_ledger[充当先ロットID],$B209,tbl_ledger[イベント種類],"充当",tbl_ledger[元状態],H$1),
_xlpm.払出,SUMIFS(tbl_ledger[数量],tbl_ledger[ロットID],$B209,tbl_ledger[元状態],H$1),
_xlpm.受入+_xlpm.充当受入-_xlpm.払出))</f>
        <v/>
      </c>
      <c r="I209" s="8" t="str">
        <f>IF($B209="","",_xlfn.LET(
_xlpm.受入,SUMIFS(tbl_ledger[数量],tbl_ledger[ロットID],$B209,tbl_ledger[イベント種類],"梱包開始"),
_xlpm.充当受入,SUMIFS(tbl_ledger[数量],tbl_ledger[充当先ロットID],$B209,tbl_ledger[イベント種類],"充当",tbl_ledger[元状態],I$1),
_xlpm.払出,SUMIFS(tbl_ledger[数量],tbl_ledger[ロットID],$B209,tbl_ledger[元状態],I$1),
_xlpm.受入+_xlpm.充当受入-_xlpm.払出))</f>
        <v/>
      </c>
      <c r="J209" s="8" t="str">
        <f>IF($B209="","",_xlfn.LET(
_xlpm.受入,SUMIFS(tbl_ledger[数量],tbl_ledger[ロットID],$B209,tbl_ledger[イベント種類],"梱包完了"),
_xlpm.充当受入,SUMIFS(tbl_ledger[数量],tbl_ledger[充当先ロットID],$B209,tbl_ledger[イベント種類],"充当",tbl_ledger[元状態],J$1),
_xlpm.払出,SUMIFS(tbl_ledger[数量],tbl_ledger[ロットID],$B209,tbl_ledger[元状態],J$1),
_xlpm.受入+_xlpm.充当受入-_xlpm.払出))</f>
        <v/>
      </c>
      <c r="K209" s="8" t="str">
        <f>IF($B209="","",_xlfn.LET(
_xlpm.受入,SUMIFS(tbl_ledger[数量],tbl_ledger[ロットID],$B209,tbl_ledger[イベント種類],"発送準備開始"),
_xlpm.充当受入,SUMIFS(tbl_ledger[数量],tbl_ledger[充当先ロットID],$B209,tbl_ledger[イベント種類],"充当",tbl_ledger[元状態],K$1),
_xlpm.払出,SUMIFS(tbl_ledger[数量],tbl_ledger[ロットID],$B209,tbl_ledger[元状態],K$1),
_xlpm.受入+_xlpm.充当受入-_xlpm.払出))</f>
        <v/>
      </c>
      <c r="L209" s="8" t="str">
        <f>IF($B209="","",_xlfn.LET(
_xlpm.受入,SUMIFS(tbl_ledger[数量],tbl_ledger[ロットID],$B209,tbl_ledger[イベント種類],"発送準備完了"),
_xlpm.充当受入,SUMIFS(tbl_ledger[数量],tbl_ledger[充当先ロットID],$B209,tbl_ledger[イベント種類],"充当",tbl_ledger[元状態],L$1),
_xlpm.払出,SUMIFS(tbl_ledger[数量],tbl_ledger[ロットID],$B209,tbl_ledger[元状態],L$1),
_xlpm.受入+_xlpm.充当受入-_xlpm.払出))</f>
        <v/>
      </c>
      <c r="M209" s="8" t="str">
        <f>IF($B209="","",_xlfn.LET(
_xlpm.受入,SUMIFS(tbl_ledger[数量],tbl_ledger[ロットID],$B209,tbl_ledger[イベント種類],"不良発生"),
_xlpm.充当受入,SUMIFS(tbl_ledger[数量],tbl_ledger[充当先ロットID],$B209,tbl_ledger[イベント種類],"充当",tbl_ledger[元状態],M$1),
_xlpm.払出,SUMIFS(tbl_ledger[数量],tbl_ledger[ロットID],$B209,tbl_ledger[元状態],M$1),
_xlpm.受入+_xlpm.充当受入-_xlpm.払出))</f>
        <v/>
      </c>
      <c r="N209" s="8" t="str">
        <f t="shared" si="7"/>
        <v/>
      </c>
    </row>
    <row r="210" spans="1:14" ht="15" customHeight="1" x14ac:dyDescent="0.25">
      <c r="A210" s="4" t="str">
        <f t="shared" si="6"/>
        <v/>
      </c>
      <c r="B210" s="4" t="str">
        <f>IFERROR(IF(COUNTIF($B$1:$B209,INDEX(tbl_plan[ロットID],ROW()-1))&gt;0,"",INDEX(tbl_plan[ロットID],ROW()-1)),"")</f>
        <v/>
      </c>
      <c r="C210" s="4" t="str">
        <f>IF($B210="","",INDEX(tbl_plan[localId],ROW()-1))</f>
        <v/>
      </c>
      <c r="D210" s="8" t="str">
        <f>IF($B210="","",_xlfn.LET(
_xlpm.割当受入,SUMIF(V_充足確認!$A$2:$A$301,$B210,V_充足確認!$F$2:$F$301),
_xlpm.充当受入,SUMIFS(tbl_ledger[数量],tbl_ledger[充当先ロットID],$B210,tbl_ledger[イベント種類],"充当",tbl_ledger[元状態],D$1),
_xlpm.払出,SUMIFS(tbl_ledger[数量],tbl_ledger[ロットID],$B210,tbl_ledger[元状態],D$1),
_xlpm.割当受入+_xlpm.充当受入-_xlpm.払出))</f>
        <v/>
      </c>
      <c r="E210" s="8" t="str">
        <f>IF($B210="","",_xlfn.LET(
_xlpm.受入,SUMIFS(tbl_ledger[数量],tbl_ledger[ロットID],$B210,tbl_ledger[イベント種類],"アニール開始"),
_xlpm.充当受入,SUMIFS(tbl_ledger[数量],tbl_ledger[充当先ロットID],$B210,tbl_ledger[イベント種類],"充当",tbl_ledger[元状態],E$1),
_xlpm.払出,SUMIFS(tbl_ledger[数量],tbl_ledger[ロットID],$B210,tbl_ledger[元状態],E$1),
_xlpm.受入+_xlpm.充当受入-_xlpm.払出))</f>
        <v/>
      </c>
      <c r="F210" s="8" t="str">
        <f>IF($B210="","",_xlfn.LET(
_xlpm.受入,SUMIFS(tbl_ledger[数量],tbl_ledger[ロットID],$B210,tbl_ledger[イベント種類],"アニール完了"),
_xlpm.充当受入,SUMIFS(tbl_ledger[数量],tbl_ledger[充当先ロットID],$B210,tbl_ledger[イベント種類],"充当",tbl_ledger[元状態],F$1),
_xlpm.払出,SUMIFS(tbl_ledger[数量],tbl_ledger[ロットID],$B210,tbl_ledger[元状態],F$1),
_xlpm.受入+_xlpm.充当受入-_xlpm.払出))</f>
        <v/>
      </c>
      <c r="G210" s="8" t="str">
        <f>IF($B210="","",_xlfn.LET(
_xlpm.受入,SUMIFS(tbl_ledger[数量],tbl_ledger[ロットID],$B210,tbl_ledger[イベント種類],"アセンブリ開始"),
_xlpm.充当受入,SUMIFS(tbl_ledger[数量],tbl_ledger[充当先ロットID],$B210,tbl_ledger[イベント種類],"充当",tbl_ledger[元状態],G$1),
_xlpm.払出,SUMIFS(tbl_ledger[数量],tbl_ledger[ロットID],$B210,tbl_ledger[元状態],G$1),
_xlpm.受入+_xlpm.充当受入-_xlpm.払出))</f>
        <v/>
      </c>
      <c r="H210" s="8" t="str">
        <f>IF($B210="","",_xlfn.LET(
_xlpm.受入,SUMIFS(tbl_ledger[数量],tbl_ledger[ロットID],$B210,tbl_ledger[イベント種類],"アセンブリ完了"),
_xlpm.充当受入,SUMIFS(tbl_ledger[数量],tbl_ledger[充当先ロットID],$B210,tbl_ledger[イベント種類],"充当",tbl_ledger[元状態],H$1),
_xlpm.払出,SUMIFS(tbl_ledger[数量],tbl_ledger[ロットID],$B210,tbl_ledger[元状態],H$1),
_xlpm.受入+_xlpm.充当受入-_xlpm.払出))</f>
        <v/>
      </c>
      <c r="I210" s="8" t="str">
        <f>IF($B210="","",_xlfn.LET(
_xlpm.受入,SUMIFS(tbl_ledger[数量],tbl_ledger[ロットID],$B210,tbl_ledger[イベント種類],"梱包開始"),
_xlpm.充当受入,SUMIFS(tbl_ledger[数量],tbl_ledger[充当先ロットID],$B210,tbl_ledger[イベント種類],"充当",tbl_ledger[元状態],I$1),
_xlpm.払出,SUMIFS(tbl_ledger[数量],tbl_ledger[ロットID],$B210,tbl_ledger[元状態],I$1),
_xlpm.受入+_xlpm.充当受入-_xlpm.払出))</f>
        <v/>
      </c>
      <c r="J210" s="8" t="str">
        <f>IF($B210="","",_xlfn.LET(
_xlpm.受入,SUMIFS(tbl_ledger[数量],tbl_ledger[ロットID],$B210,tbl_ledger[イベント種類],"梱包完了"),
_xlpm.充当受入,SUMIFS(tbl_ledger[数量],tbl_ledger[充当先ロットID],$B210,tbl_ledger[イベント種類],"充当",tbl_ledger[元状態],J$1),
_xlpm.払出,SUMIFS(tbl_ledger[数量],tbl_ledger[ロットID],$B210,tbl_ledger[元状態],J$1),
_xlpm.受入+_xlpm.充当受入-_xlpm.払出))</f>
        <v/>
      </c>
      <c r="K210" s="8" t="str">
        <f>IF($B210="","",_xlfn.LET(
_xlpm.受入,SUMIFS(tbl_ledger[数量],tbl_ledger[ロットID],$B210,tbl_ledger[イベント種類],"発送準備開始"),
_xlpm.充当受入,SUMIFS(tbl_ledger[数量],tbl_ledger[充当先ロットID],$B210,tbl_ledger[イベント種類],"充当",tbl_ledger[元状態],K$1),
_xlpm.払出,SUMIFS(tbl_ledger[数量],tbl_ledger[ロットID],$B210,tbl_ledger[元状態],K$1),
_xlpm.受入+_xlpm.充当受入-_xlpm.払出))</f>
        <v/>
      </c>
      <c r="L210" s="8" t="str">
        <f>IF($B210="","",_xlfn.LET(
_xlpm.受入,SUMIFS(tbl_ledger[数量],tbl_ledger[ロットID],$B210,tbl_ledger[イベント種類],"発送準備完了"),
_xlpm.充当受入,SUMIFS(tbl_ledger[数量],tbl_ledger[充当先ロットID],$B210,tbl_ledger[イベント種類],"充当",tbl_ledger[元状態],L$1),
_xlpm.払出,SUMIFS(tbl_ledger[数量],tbl_ledger[ロットID],$B210,tbl_ledger[元状態],L$1),
_xlpm.受入+_xlpm.充当受入-_xlpm.払出))</f>
        <v/>
      </c>
      <c r="M210" s="8" t="str">
        <f>IF($B210="","",_xlfn.LET(
_xlpm.受入,SUMIFS(tbl_ledger[数量],tbl_ledger[ロットID],$B210,tbl_ledger[イベント種類],"不良発生"),
_xlpm.充当受入,SUMIFS(tbl_ledger[数量],tbl_ledger[充当先ロットID],$B210,tbl_ledger[イベント種類],"充当",tbl_ledger[元状態],M$1),
_xlpm.払出,SUMIFS(tbl_ledger[数量],tbl_ledger[ロットID],$B210,tbl_ledger[元状態],M$1),
_xlpm.受入+_xlpm.充当受入-_xlpm.払出))</f>
        <v/>
      </c>
      <c r="N210" s="8" t="str">
        <f t="shared" si="7"/>
        <v/>
      </c>
    </row>
    <row r="211" spans="1:14" ht="15" customHeight="1" x14ac:dyDescent="0.25">
      <c r="A211" s="4" t="str">
        <f t="shared" si="6"/>
        <v/>
      </c>
      <c r="B211" s="4" t="str">
        <f>IFERROR(IF(COUNTIF($B$1:$B210,INDEX(tbl_plan[ロットID],ROW()-1))&gt;0,"",INDEX(tbl_plan[ロットID],ROW()-1)),"")</f>
        <v/>
      </c>
      <c r="C211" s="4" t="str">
        <f>IF($B211="","",INDEX(tbl_plan[localId],ROW()-1))</f>
        <v/>
      </c>
      <c r="D211" s="8" t="str">
        <f>IF($B211="","",_xlfn.LET(
_xlpm.割当受入,SUMIF(V_充足確認!$A$2:$A$301,$B211,V_充足確認!$F$2:$F$301),
_xlpm.充当受入,SUMIFS(tbl_ledger[数量],tbl_ledger[充当先ロットID],$B211,tbl_ledger[イベント種類],"充当",tbl_ledger[元状態],D$1),
_xlpm.払出,SUMIFS(tbl_ledger[数量],tbl_ledger[ロットID],$B211,tbl_ledger[元状態],D$1),
_xlpm.割当受入+_xlpm.充当受入-_xlpm.払出))</f>
        <v/>
      </c>
      <c r="E211" s="8" t="str">
        <f>IF($B211="","",_xlfn.LET(
_xlpm.受入,SUMIFS(tbl_ledger[数量],tbl_ledger[ロットID],$B211,tbl_ledger[イベント種類],"アニール開始"),
_xlpm.充当受入,SUMIFS(tbl_ledger[数量],tbl_ledger[充当先ロットID],$B211,tbl_ledger[イベント種類],"充当",tbl_ledger[元状態],E$1),
_xlpm.払出,SUMIFS(tbl_ledger[数量],tbl_ledger[ロットID],$B211,tbl_ledger[元状態],E$1),
_xlpm.受入+_xlpm.充当受入-_xlpm.払出))</f>
        <v/>
      </c>
      <c r="F211" s="8" t="str">
        <f>IF($B211="","",_xlfn.LET(
_xlpm.受入,SUMIFS(tbl_ledger[数量],tbl_ledger[ロットID],$B211,tbl_ledger[イベント種類],"アニール完了"),
_xlpm.充当受入,SUMIFS(tbl_ledger[数量],tbl_ledger[充当先ロットID],$B211,tbl_ledger[イベント種類],"充当",tbl_ledger[元状態],F$1),
_xlpm.払出,SUMIFS(tbl_ledger[数量],tbl_ledger[ロットID],$B211,tbl_ledger[元状態],F$1),
_xlpm.受入+_xlpm.充当受入-_xlpm.払出))</f>
        <v/>
      </c>
      <c r="G211" s="8" t="str">
        <f>IF($B211="","",_xlfn.LET(
_xlpm.受入,SUMIFS(tbl_ledger[数量],tbl_ledger[ロットID],$B211,tbl_ledger[イベント種類],"アセンブリ開始"),
_xlpm.充当受入,SUMIFS(tbl_ledger[数量],tbl_ledger[充当先ロットID],$B211,tbl_ledger[イベント種類],"充当",tbl_ledger[元状態],G$1),
_xlpm.払出,SUMIFS(tbl_ledger[数量],tbl_ledger[ロットID],$B211,tbl_ledger[元状態],G$1),
_xlpm.受入+_xlpm.充当受入-_xlpm.払出))</f>
        <v/>
      </c>
      <c r="H211" s="8" t="str">
        <f>IF($B211="","",_xlfn.LET(
_xlpm.受入,SUMIFS(tbl_ledger[数量],tbl_ledger[ロットID],$B211,tbl_ledger[イベント種類],"アセンブリ完了"),
_xlpm.充当受入,SUMIFS(tbl_ledger[数量],tbl_ledger[充当先ロットID],$B211,tbl_ledger[イベント種類],"充当",tbl_ledger[元状態],H$1),
_xlpm.払出,SUMIFS(tbl_ledger[数量],tbl_ledger[ロットID],$B211,tbl_ledger[元状態],H$1),
_xlpm.受入+_xlpm.充当受入-_xlpm.払出))</f>
        <v/>
      </c>
      <c r="I211" s="8" t="str">
        <f>IF($B211="","",_xlfn.LET(
_xlpm.受入,SUMIFS(tbl_ledger[数量],tbl_ledger[ロットID],$B211,tbl_ledger[イベント種類],"梱包開始"),
_xlpm.充当受入,SUMIFS(tbl_ledger[数量],tbl_ledger[充当先ロットID],$B211,tbl_ledger[イベント種類],"充当",tbl_ledger[元状態],I$1),
_xlpm.払出,SUMIFS(tbl_ledger[数量],tbl_ledger[ロットID],$B211,tbl_ledger[元状態],I$1),
_xlpm.受入+_xlpm.充当受入-_xlpm.払出))</f>
        <v/>
      </c>
      <c r="J211" s="8" t="str">
        <f>IF($B211="","",_xlfn.LET(
_xlpm.受入,SUMIFS(tbl_ledger[数量],tbl_ledger[ロットID],$B211,tbl_ledger[イベント種類],"梱包完了"),
_xlpm.充当受入,SUMIFS(tbl_ledger[数量],tbl_ledger[充当先ロットID],$B211,tbl_ledger[イベント種類],"充当",tbl_ledger[元状態],J$1),
_xlpm.払出,SUMIFS(tbl_ledger[数量],tbl_ledger[ロットID],$B211,tbl_ledger[元状態],J$1),
_xlpm.受入+_xlpm.充当受入-_xlpm.払出))</f>
        <v/>
      </c>
      <c r="K211" s="8" t="str">
        <f>IF($B211="","",_xlfn.LET(
_xlpm.受入,SUMIFS(tbl_ledger[数量],tbl_ledger[ロットID],$B211,tbl_ledger[イベント種類],"発送準備開始"),
_xlpm.充当受入,SUMIFS(tbl_ledger[数量],tbl_ledger[充当先ロットID],$B211,tbl_ledger[イベント種類],"充当",tbl_ledger[元状態],K$1),
_xlpm.払出,SUMIFS(tbl_ledger[数量],tbl_ledger[ロットID],$B211,tbl_ledger[元状態],K$1),
_xlpm.受入+_xlpm.充当受入-_xlpm.払出))</f>
        <v/>
      </c>
      <c r="L211" s="8" t="str">
        <f>IF($B211="","",_xlfn.LET(
_xlpm.受入,SUMIFS(tbl_ledger[数量],tbl_ledger[ロットID],$B211,tbl_ledger[イベント種類],"発送準備完了"),
_xlpm.充当受入,SUMIFS(tbl_ledger[数量],tbl_ledger[充当先ロットID],$B211,tbl_ledger[イベント種類],"充当",tbl_ledger[元状態],L$1),
_xlpm.払出,SUMIFS(tbl_ledger[数量],tbl_ledger[ロットID],$B211,tbl_ledger[元状態],L$1),
_xlpm.受入+_xlpm.充当受入-_xlpm.払出))</f>
        <v/>
      </c>
      <c r="M211" s="8" t="str">
        <f>IF($B211="","",_xlfn.LET(
_xlpm.受入,SUMIFS(tbl_ledger[数量],tbl_ledger[ロットID],$B211,tbl_ledger[イベント種類],"不良発生"),
_xlpm.充当受入,SUMIFS(tbl_ledger[数量],tbl_ledger[充当先ロットID],$B211,tbl_ledger[イベント種類],"充当",tbl_ledger[元状態],M$1),
_xlpm.払出,SUMIFS(tbl_ledger[数量],tbl_ledger[ロットID],$B211,tbl_ledger[元状態],M$1),
_xlpm.受入+_xlpm.充当受入-_xlpm.払出))</f>
        <v/>
      </c>
      <c r="N211" s="8" t="str">
        <f t="shared" si="7"/>
        <v/>
      </c>
    </row>
    <row r="212" spans="1:14" ht="15" customHeight="1" x14ac:dyDescent="0.25">
      <c r="A212" s="4" t="str">
        <f t="shared" si="6"/>
        <v/>
      </c>
      <c r="B212" s="4" t="str">
        <f>IFERROR(IF(COUNTIF($B$1:$B211,INDEX(tbl_plan[ロットID],ROW()-1))&gt;0,"",INDEX(tbl_plan[ロットID],ROW()-1)),"")</f>
        <v/>
      </c>
      <c r="C212" s="4" t="str">
        <f>IF($B212="","",INDEX(tbl_plan[localId],ROW()-1))</f>
        <v/>
      </c>
      <c r="D212" s="8" t="str">
        <f>IF($B212="","",_xlfn.LET(
_xlpm.割当受入,SUMIF(V_充足確認!$A$2:$A$301,$B212,V_充足確認!$F$2:$F$301),
_xlpm.充当受入,SUMIFS(tbl_ledger[数量],tbl_ledger[充当先ロットID],$B212,tbl_ledger[イベント種類],"充当",tbl_ledger[元状態],D$1),
_xlpm.払出,SUMIFS(tbl_ledger[数量],tbl_ledger[ロットID],$B212,tbl_ledger[元状態],D$1),
_xlpm.割当受入+_xlpm.充当受入-_xlpm.払出))</f>
        <v/>
      </c>
      <c r="E212" s="8" t="str">
        <f>IF($B212="","",_xlfn.LET(
_xlpm.受入,SUMIFS(tbl_ledger[数量],tbl_ledger[ロットID],$B212,tbl_ledger[イベント種類],"アニール開始"),
_xlpm.充当受入,SUMIFS(tbl_ledger[数量],tbl_ledger[充当先ロットID],$B212,tbl_ledger[イベント種類],"充当",tbl_ledger[元状態],E$1),
_xlpm.払出,SUMIFS(tbl_ledger[数量],tbl_ledger[ロットID],$B212,tbl_ledger[元状態],E$1),
_xlpm.受入+_xlpm.充当受入-_xlpm.払出))</f>
        <v/>
      </c>
      <c r="F212" s="8" t="str">
        <f>IF($B212="","",_xlfn.LET(
_xlpm.受入,SUMIFS(tbl_ledger[数量],tbl_ledger[ロットID],$B212,tbl_ledger[イベント種類],"アニール完了"),
_xlpm.充当受入,SUMIFS(tbl_ledger[数量],tbl_ledger[充当先ロットID],$B212,tbl_ledger[イベント種類],"充当",tbl_ledger[元状態],F$1),
_xlpm.払出,SUMIFS(tbl_ledger[数量],tbl_ledger[ロットID],$B212,tbl_ledger[元状態],F$1),
_xlpm.受入+_xlpm.充当受入-_xlpm.払出))</f>
        <v/>
      </c>
      <c r="G212" s="8" t="str">
        <f>IF($B212="","",_xlfn.LET(
_xlpm.受入,SUMIFS(tbl_ledger[数量],tbl_ledger[ロットID],$B212,tbl_ledger[イベント種類],"アセンブリ開始"),
_xlpm.充当受入,SUMIFS(tbl_ledger[数量],tbl_ledger[充当先ロットID],$B212,tbl_ledger[イベント種類],"充当",tbl_ledger[元状態],G$1),
_xlpm.払出,SUMIFS(tbl_ledger[数量],tbl_ledger[ロットID],$B212,tbl_ledger[元状態],G$1),
_xlpm.受入+_xlpm.充当受入-_xlpm.払出))</f>
        <v/>
      </c>
      <c r="H212" s="8" t="str">
        <f>IF($B212="","",_xlfn.LET(
_xlpm.受入,SUMIFS(tbl_ledger[数量],tbl_ledger[ロットID],$B212,tbl_ledger[イベント種類],"アセンブリ完了"),
_xlpm.充当受入,SUMIFS(tbl_ledger[数量],tbl_ledger[充当先ロットID],$B212,tbl_ledger[イベント種類],"充当",tbl_ledger[元状態],H$1),
_xlpm.払出,SUMIFS(tbl_ledger[数量],tbl_ledger[ロットID],$B212,tbl_ledger[元状態],H$1),
_xlpm.受入+_xlpm.充当受入-_xlpm.払出))</f>
        <v/>
      </c>
      <c r="I212" s="8" t="str">
        <f>IF($B212="","",_xlfn.LET(
_xlpm.受入,SUMIFS(tbl_ledger[数量],tbl_ledger[ロットID],$B212,tbl_ledger[イベント種類],"梱包開始"),
_xlpm.充当受入,SUMIFS(tbl_ledger[数量],tbl_ledger[充当先ロットID],$B212,tbl_ledger[イベント種類],"充当",tbl_ledger[元状態],I$1),
_xlpm.払出,SUMIFS(tbl_ledger[数量],tbl_ledger[ロットID],$B212,tbl_ledger[元状態],I$1),
_xlpm.受入+_xlpm.充当受入-_xlpm.払出))</f>
        <v/>
      </c>
      <c r="J212" s="8" t="str">
        <f>IF($B212="","",_xlfn.LET(
_xlpm.受入,SUMIFS(tbl_ledger[数量],tbl_ledger[ロットID],$B212,tbl_ledger[イベント種類],"梱包完了"),
_xlpm.充当受入,SUMIFS(tbl_ledger[数量],tbl_ledger[充当先ロットID],$B212,tbl_ledger[イベント種類],"充当",tbl_ledger[元状態],J$1),
_xlpm.払出,SUMIFS(tbl_ledger[数量],tbl_ledger[ロットID],$B212,tbl_ledger[元状態],J$1),
_xlpm.受入+_xlpm.充当受入-_xlpm.払出))</f>
        <v/>
      </c>
      <c r="K212" s="8" t="str">
        <f>IF($B212="","",_xlfn.LET(
_xlpm.受入,SUMIFS(tbl_ledger[数量],tbl_ledger[ロットID],$B212,tbl_ledger[イベント種類],"発送準備開始"),
_xlpm.充当受入,SUMIFS(tbl_ledger[数量],tbl_ledger[充当先ロットID],$B212,tbl_ledger[イベント種類],"充当",tbl_ledger[元状態],K$1),
_xlpm.払出,SUMIFS(tbl_ledger[数量],tbl_ledger[ロットID],$B212,tbl_ledger[元状態],K$1),
_xlpm.受入+_xlpm.充当受入-_xlpm.払出))</f>
        <v/>
      </c>
      <c r="L212" s="8" t="str">
        <f>IF($B212="","",_xlfn.LET(
_xlpm.受入,SUMIFS(tbl_ledger[数量],tbl_ledger[ロットID],$B212,tbl_ledger[イベント種類],"発送準備完了"),
_xlpm.充当受入,SUMIFS(tbl_ledger[数量],tbl_ledger[充当先ロットID],$B212,tbl_ledger[イベント種類],"充当",tbl_ledger[元状態],L$1),
_xlpm.払出,SUMIFS(tbl_ledger[数量],tbl_ledger[ロットID],$B212,tbl_ledger[元状態],L$1),
_xlpm.受入+_xlpm.充当受入-_xlpm.払出))</f>
        <v/>
      </c>
      <c r="M212" s="8" t="str">
        <f>IF($B212="","",_xlfn.LET(
_xlpm.受入,SUMIFS(tbl_ledger[数量],tbl_ledger[ロットID],$B212,tbl_ledger[イベント種類],"不良発生"),
_xlpm.充当受入,SUMIFS(tbl_ledger[数量],tbl_ledger[充当先ロットID],$B212,tbl_ledger[イベント種類],"充当",tbl_ledger[元状態],M$1),
_xlpm.払出,SUMIFS(tbl_ledger[数量],tbl_ledger[ロットID],$B212,tbl_ledger[元状態],M$1),
_xlpm.受入+_xlpm.充当受入-_xlpm.払出))</f>
        <v/>
      </c>
      <c r="N212" s="8" t="str">
        <f t="shared" si="7"/>
        <v/>
      </c>
    </row>
    <row r="213" spans="1:14" ht="15" customHeight="1" x14ac:dyDescent="0.25">
      <c r="A213" s="4" t="str">
        <f t="shared" si="6"/>
        <v/>
      </c>
      <c r="B213" s="4" t="str">
        <f>IFERROR(IF(COUNTIF($B$1:$B212,INDEX(tbl_plan[ロットID],ROW()-1))&gt;0,"",INDEX(tbl_plan[ロットID],ROW()-1)),"")</f>
        <v/>
      </c>
      <c r="C213" s="4" t="str">
        <f>IF($B213="","",INDEX(tbl_plan[localId],ROW()-1))</f>
        <v/>
      </c>
      <c r="D213" s="8" t="str">
        <f>IF($B213="","",_xlfn.LET(
_xlpm.割当受入,SUMIF(V_充足確認!$A$2:$A$301,$B213,V_充足確認!$F$2:$F$301),
_xlpm.充当受入,SUMIFS(tbl_ledger[数量],tbl_ledger[充当先ロットID],$B213,tbl_ledger[イベント種類],"充当",tbl_ledger[元状態],D$1),
_xlpm.払出,SUMIFS(tbl_ledger[数量],tbl_ledger[ロットID],$B213,tbl_ledger[元状態],D$1),
_xlpm.割当受入+_xlpm.充当受入-_xlpm.払出))</f>
        <v/>
      </c>
      <c r="E213" s="8" t="str">
        <f>IF($B213="","",_xlfn.LET(
_xlpm.受入,SUMIFS(tbl_ledger[数量],tbl_ledger[ロットID],$B213,tbl_ledger[イベント種類],"アニール開始"),
_xlpm.充当受入,SUMIFS(tbl_ledger[数量],tbl_ledger[充当先ロットID],$B213,tbl_ledger[イベント種類],"充当",tbl_ledger[元状態],E$1),
_xlpm.払出,SUMIFS(tbl_ledger[数量],tbl_ledger[ロットID],$B213,tbl_ledger[元状態],E$1),
_xlpm.受入+_xlpm.充当受入-_xlpm.払出))</f>
        <v/>
      </c>
      <c r="F213" s="8" t="str">
        <f>IF($B213="","",_xlfn.LET(
_xlpm.受入,SUMIFS(tbl_ledger[数量],tbl_ledger[ロットID],$B213,tbl_ledger[イベント種類],"アニール完了"),
_xlpm.充当受入,SUMIFS(tbl_ledger[数量],tbl_ledger[充当先ロットID],$B213,tbl_ledger[イベント種類],"充当",tbl_ledger[元状態],F$1),
_xlpm.払出,SUMIFS(tbl_ledger[数量],tbl_ledger[ロットID],$B213,tbl_ledger[元状態],F$1),
_xlpm.受入+_xlpm.充当受入-_xlpm.払出))</f>
        <v/>
      </c>
      <c r="G213" s="8" t="str">
        <f>IF($B213="","",_xlfn.LET(
_xlpm.受入,SUMIFS(tbl_ledger[数量],tbl_ledger[ロットID],$B213,tbl_ledger[イベント種類],"アセンブリ開始"),
_xlpm.充当受入,SUMIFS(tbl_ledger[数量],tbl_ledger[充当先ロットID],$B213,tbl_ledger[イベント種類],"充当",tbl_ledger[元状態],G$1),
_xlpm.払出,SUMIFS(tbl_ledger[数量],tbl_ledger[ロットID],$B213,tbl_ledger[元状態],G$1),
_xlpm.受入+_xlpm.充当受入-_xlpm.払出))</f>
        <v/>
      </c>
      <c r="H213" s="8" t="str">
        <f>IF($B213="","",_xlfn.LET(
_xlpm.受入,SUMIFS(tbl_ledger[数量],tbl_ledger[ロットID],$B213,tbl_ledger[イベント種類],"アセンブリ完了"),
_xlpm.充当受入,SUMIFS(tbl_ledger[数量],tbl_ledger[充当先ロットID],$B213,tbl_ledger[イベント種類],"充当",tbl_ledger[元状態],H$1),
_xlpm.払出,SUMIFS(tbl_ledger[数量],tbl_ledger[ロットID],$B213,tbl_ledger[元状態],H$1),
_xlpm.受入+_xlpm.充当受入-_xlpm.払出))</f>
        <v/>
      </c>
      <c r="I213" s="8" t="str">
        <f>IF($B213="","",_xlfn.LET(
_xlpm.受入,SUMIFS(tbl_ledger[数量],tbl_ledger[ロットID],$B213,tbl_ledger[イベント種類],"梱包開始"),
_xlpm.充当受入,SUMIFS(tbl_ledger[数量],tbl_ledger[充当先ロットID],$B213,tbl_ledger[イベント種類],"充当",tbl_ledger[元状態],I$1),
_xlpm.払出,SUMIFS(tbl_ledger[数量],tbl_ledger[ロットID],$B213,tbl_ledger[元状態],I$1),
_xlpm.受入+_xlpm.充当受入-_xlpm.払出))</f>
        <v/>
      </c>
      <c r="J213" s="8" t="str">
        <f>IF($B213="","",_xlfn.LET(
_xlpm.受入,SUMIFS(tbl_ledger[数量],tbl_ledger[ロットID],$B213,tbl_ledger[イベント種類],"梱包完了"),
_xlpm.充当受入,SUMIFS(tbl_ledger[数量],tbl_ledger[充当先ロットID],$B213,tbl_ledger[イベント種類],"充当",tbl_ledger[元状態],J$1),
_xlpm.払出,SUMIFS(tbl_ledger[数量],tbl_ledger[ロットID],$B213,tbl_ledger[元状態],J$1),
_xlpm.受入+_xlpm.充当受入-_xlpm.払出))</f>
        <v/>
      </c>
      <c r="K213" s="8" t="str">
        <f>IF($B213="","",_xlfn.LET(
_xlpm.受入,SUMIFS(tbl_ledger[数量],tbl_ledger[ロットID],$B213,tbl_ledger[イベント種類],"発送準備開始"),
_xlpm.充当受入,SUMIFS(tbl_ledger[数量],tbl_ledger[充当先ロットID],$B213,tbl_ledger[イベント種類],"充当",tbl_ledger[元状態],K$1),
_xlpm.払出,SUMIFS(tbl_ledger[数量],tbl_ledger[ロットID],$B213,tbl_ledger[元状態],K$1),
_xlpm.受入+_xlpm.充当受入-_xlpm.払出))</f>
        <v/>
      </c>
      <c r="L213" s="8" t="str">
        <f>IF($B213="","",_xlfn.LET(
_xlpm.受入,SUMIFS(tbl_ledger[数量],tbl_ledger[ロットID],$B213,tbl_ledger[イベント種類],"発送準備完了"),
_xlpm.充当受入,SUMIFS(tbl_ledger[数量],tbl_ledger[充当先ロットID],$B213,tbl_ledger[イベント種類],"充当",tbl_ledger[元状態],L$1),
_xlpm.払出,SUMIFS(tbl_ledger[数量],tbl_ledger[ロットID],$B213,tbl_ledger[元状態],L$1),
_xlpm.受入+_xlpm.充当受入-_xlpm.払出))</f>
        <v/>
      </c>
      <c r="M213" s="8" t="str">
        <f>IF($B213="","",_xlfn.LET(
_xlpm.受入,SUMIFS(tbl_ledger[数量],tbl_ledger[ロットID],$B213,tbl_ledger[イベント種類],"不良発生"),
_xlpm.充当受入,SUMIFS(tbl_ledger[数量],tbl_ledger[充当先ロットID],$B213,tbl_ledger[イベント種類],"充当",tbl_ledger[元状態],M$1),
_xlpm.払出,SUMIFS(tbl_ledger[数量],tbl_ledger[ロットID],$B213,tbl_ledger[元状態],M$1),
_xlpm.受入+_xlpm.充当受入-_xlpm.払出))</f>
        <v/>
      </c>
      <c r="N213" s="8" t="str">
        <f t="shared" si="7"/>
        <v/>
      </c>
    </row>
    <row r="214" spans="1:14" ht="15" customHeight="1" x14ac:dyDescent="0.25">
      <c r="A214" s="4" t="str">
        <f t="shared" si="6"/>
        <v/>
      </c>
      <c r="B214" s="4" t="str">
        <f>IFERROR(IF(COUNTIF($B$1:$B213,INDEX(tbl_plan[ロットID],ROW()-1))&gt;0,"",INDEX(tbl_plan[ロットID],ROW()-1)),"")</f>
        <v/>
      </c>
      <c r="C214" s="4" t="str">
        <f>IF($B214="","",INDEX(tbl_plan[localId],ROW()-1))</f>
        <v/>
      </c>
      <c r="D214" s="8" t="str">
        <f>IF($B214="","",_xlfn.LET(
_xlpm.割当受入,SUMIF(V_充足確認!$A$2:$A$301,$B214,V_充足確認!$F$2:$F$301),
_xlpm.充当受入,SUMIFS(tbl_ledger[数量],tbl_ledger[充当先ロットID],$B214,tbl_ledger[イベント種類],"充当",tbl_ledger[元状態],D$1),
_xlpm.払出,SUMIFS(tbl_ledger[数量],tbl_ledger[ロットID],$B214,tbl_ledger[元状態],D$1),
_xlpm.割当受入+_xlpm.充当受入-_xlpm.払出))</f>
        <v/>
      </c>
      <c r="E214" s="8" t="str">
        <f>IF($B214="","",_xlfn.LET(
_xlpm.受入,SUMIFS(tbl_ledger[数量],tbl_ledger[ロットID],$B214,tbl_ledger[イベント種類],"アニール開始"),
_xlpm.充当受入,SUMIFS(tbl_ledger[数量],tbl_ledger[充当先ロットID],$B214,tbl_ledger[イベント種類],"充当",tbl_ledger[元状態],E$1),
_xlpm.払出,SUMIFS(tbl_ledger[数量],tbl_ledger[ロットID],$B214,tbl_ledger[元状態],E$1),
_xlpm.受入+_xlpm.充当受入-_xlpm.払出))</f>
        <v/>
      </c>
      <c r="F214" s="8" t="str">
        <f>IF($B214="","",_xlfn.LET(
_xlpm.受入,SUMIFS(tbl_ledger[数量],tbl_ledger[ロットID],$B214,tbl_ledger[イベント種類],"アニール完了"),
_xlpm.充当受入,SUMIFS(tbl_ledger[数量],tbl_ledger[充当先ロットID],$B214,tbl_ledger[イベント種類],"充当",tbl_ledger[元状態],F$1),
_xlpm.払出,SUMIFS(tbl_ledger[数量],tbl_ledger[ロットID],$B214,tbl_ledger[元状態],F$1),
_xlpm.受入+_xlpm.充当受入-_xlpm.払出))</f>
        <v/>
      </c>
      <c r="G214" s="8" t="str">
        <f>IF($B214="","",_xlfn.LET(
_xlpm.受入,SUMIFS(tbl_ledger[数量],tbl_ledger[ロットID],$B214,tbl_ledger[イベント種類],"アセンブリ開始"),
_xlpm.充当受入,SUMIFS(tbl_ledger[数量],tbl_ledger[充当先ロットID],$B214,tbl_ledger[イベント種類],"充当",tbl_ledger[元状態],G$1),
_xlpm.払出,SUMIFS(tbl_ledger[数量],tbl_ledger[ロットID],$B214,tbl_ledger[元状態],G$1),
_xlpm.受入+_xlpm.充当受入-_xlpm.払出))</f>
        <v/>
      </c>
      <c r="H214" s="8" t="str">
        <f>IF($B214="","",_xlfn.LET(
_xlpm.受入,SUMIFS(tbl_ledger[数量],tbl_ledger[ロットID],$B214,tbl_ledger[イベント種類],"アセンブリ完了"),
_xlpm.充当受入,SUMIFS(tbl_ledger[数量],tbl_ledger[充当先ロットID],$B214,tbl_ledger[イベント種類],"充当",tbl_ledger[元状態],H$1),
_xlpm.払出,SUMIFS(tbl_ledger[数量],tbl_ledger[ロットID],$B214,tbl_ledger[元状態],H$1),
_xlpm.受入+_xlpm.充当受入-_xlpm.払出))</f>
        <v/>
      </c>
      <c r="I214" s="8" t="str">
        <f>IF($B214="","",_xlfn.LET(
_xlpm.受入,SUMIFS(tbl_ledger[数量],tbl_ledger[ロットID],$B214,tbl_ledger[イベント種類],"梱包開始"),
_xlpm.充当受入,SUMIFS(tbl_ledger[数量],tbl_ledger[充当先ロットID],$B214,tbl_ledger[イベント種類],"充当",tbl_ledger[元状態],I$1),
_xlpm.払出,SUMIFS(tbl_ledger[数量],tbl_ledger[ロットID],$B214,tbl_ledger[元状態],I$1),
_xlpm.受入+_xlpm.充当受入-_xlpm.払出))</f>
        <v/>
      </c>
      <c r="J214" s="8" t="str">
        <f>IF($B214="","",_xlfn.LET(
_xlpm.受入,SUMIFS(tbl_ledger[数量],tbl_ledger[ロットID],$B214,tbl_ledger[イベント種類],"梱包完了"),
_xlpm.充当受入,SUMIFS(tbl_ledger[数量],tbl_ledger[充当先ロットID],$B214,tbl_ledger[イベント種類],"充当",tbl_ledger[元状態],J$1),
_xlpm.払出,SUMIFS(tbl_ledger[数量],tbl_ledger[ロットID],$B214,tbl_ledger[元状態],J$1),
_xlpm.受入+_xlpm.充当受入-_xlpm.払出))</f>
        <v/>
      </c>
      <c r="K214" s="8" t="str">
        <f>IF($B214="","",_xlfn.LET(
_xlpm.受入,SUMIFS(tbl_ledger[数量],tbl_ledger[ロットID],$B214,tbl_ledger[イベント種類],"発送準備開始"),
_xlpm.充当受入,SUMIFS(tbl_ledger[数量],tbl_ledger[充当先ロットID],$B214,tbl_ledger[イベント種類],"充当",tbl_ledger[元状態],K$1),
_xlpm.払出,SUMIFS(tbl_ledger[数量],tbl_ledger[ロットID],$B214,tbl_ledger[元状態],K$1),
_xlpm.受入+_xlpm.充当受入-_xlpm.払出))</f>
        <v/>
      </c>
      <c r="L214" s="8" t="str">
        <f>IF($B214="","",_xlfn.LET(
_xlpm.受入,SUMIFS(tbl_ledger[数量],tbl_ledger[ロットID],$B214,tbl_ledger[イベント種類],"発送準備完了"),
_xlpm.充当受入,SUMIFS(tbl_ledger[数量],tbl_ledger[充当先ロットID],$B214,tbl_ledger[イベント種類],"充当",tbl_ledger[元状態],L$1),
_xlpm.払出,SUMIFS(tbl_ledger[数量],tbl_ledger[ロットID],$B214,tbl_ledger[元状態],L$1),
_xlpm.受入+_xlpm.充当受入-_xlpm.払出))</f>
        <v/>
      </c>
      <c r="M214" s="8" t="str">
        <f>IF($B214="","",_xlfn.LET(
_xlpm.受入,SUMIFS(tbl_ledger[数量],tbl_ledger[ロットID],$B214,tbl_ledger[イベント種類],"不良発生"),
_xlpm.充当受入,SUMIFS(tbl_ledger[数量],tbl_ledger[充当先ロットID],$B214,tbl_ledger[イベント種類],"充当",tbl_ledger[元状態],M$1),
_xlpm.払出,SUMIFS(tbl_ledger[数量],tbl_ledger[ロットID],$B214,tbl_ledger[元状態],M$1),
_xlpm.受入+_xlpm.充当受入-_xlpm.払出))</f>
        <v/>
      </c>
      <c r="N214" s="8" t="str">
        <f t="shared" si="7"/>
        <v/>
      </c>
    </row>
    <row r="215" spans="1:14" ht="15" customHeight="1" x14ac:dyDescent="0.25">
      <c r="A215" s="4" t="str">
        <f t="shared" si="6"/>
        <v/>
      </c>
      <c r="B215" s="4" t="str">
        <f>IFERROR(IF(COUNTIF($B$1:$B214,INDEX(tbl_plan[ロットID],ROW()-1))&gt;0,"",INDEX(tbl_plan[ロットID],ROW()-1)),"")</f>
        <v/>
      </c>
      <c r="C215" s="4" t="str">
        <f>IF($B215="","",INDEX(tbl_plan[localId],ROW()-1))</f>
        <v/>
      </c>
      <c r="D215" s="8" t="str">
        <f>IF($B215="","",_xlfn.LET(
_xlpm.割当受入,SUMIF(V_充足確認!$A$2:$A$301,$B215,V_充足確認!$F$2:$F$301),
_xlpm.充当受入,SUMIFS(tbl_ledger[数量],tbl_ledger[充当先ロットID],$B215,tbl_ledger[イベント種類],"充当",tbl_ledger[元状態],D$1),
_xlpm.払出,SUMIFS(tbl_ledger[数量],tbl_ledger[ロットID],$B215,tbl_ledger[元状態],D$1),
_xlpm.割当受入+_xlpm.充当受入-_xlpm.払出))</f>
        <v/>
      </c>
      <c r="E215" s="8" t="str">
        <f>IF($B215="","",_xlfn.LET(
_xlpm.受入,SUMIFS(tbl_ledger[数量],tbl_ledger[ロットID],$B215,tbl_ledger[イベント種類],"アニール開始"),
_xlpm.充当受入,SUMIFS(tbl_ledger[数量],tbl_ledger[充当先ロットID],$B215,tbl_ledger[イベント種類],"充当",tbl_ledger[元状態],E$1),
_xlpm.払出,SUMIFS(tbl_ledger[数量],tbl_ledger[ロットID],$B215,tbl_ledger[元状態],E$1),
_xlpm.受入+_xlpm.充当受入-_xlpm.払出))</f>
        <v/>
      </c>
      <c r="F215" s="8" t="str">
        <f>IF($B215="","",_xlfn.LET(
_xlpm.受入,SUMIFS(tbl_ledger[数量],tbl_ledger[ロットID],$B215,tbl_ledger[イベント種類],"アニール完了"),
_xlpm.充当受入,SUMIFS(tbl_ledger[数量],tbl_ledger[充当先ロットID],$B215,tbl_ledger[イベント種類],"充当",tbl_ledger[元状態],F$1),
_xlpm.払出,SUMIFS(tbl_ledger[数量],tbl_ledger[ロットID],$B215,tbl_ledger[元状態],F$1),
_xlpm.受入+_xlpm.充当受入-_xlpm.払出))</f>
        <v/>
      </c>
      <c r="G215" s="8" t="str">
        <f>IF($B215="","",_xlfn.LET(
_xlpm.受入,SUMIFS(tbl_ledger[数量],tbl_ledger[ロットID],$B215,tbl_ledger[イベント種類],"アセンブリ開始"),
_xlpm.充当受入,SUMIFS(tbl_ledger[数量],tbl_ledger[充当先ロットID],$B215,tbl_ledger[イベント種類],"充当",tbl_ledger[元状態],G$1),
_xlpm.払出,SUMIFS(tbl_ledger[数量],tbl_ledger[ロットID],$B215,tbl_ledger[元状態],G$1),
_xlpm.受入+_xlpm.充当受入-_xlpm.払出))</f>
        <v/>
      </c>
      <c r="H215" s="8" t="str">
        <f>IF($B215="","",_xlfn.LET(
_xlpm.受入,SUMIFS(tbl_ledger[数量],tbl_ledger[ロットID],$B215,tbl_ledger[イベント種類],"アセンブリ完了"),
_xlpm.充当受入,SUMIFS(tbl_ledger[数量],tbl_ledger[充当先ロットID],$B215,tbl_ledger[イベント種類],"充当",tbl_ledger[元状態],H$1),
_xlpm.払出,SUMIFS(tbl_ledger[数量],tbl_ledger[ロットID],$B215,tbl_ledger[元状態],H$1),
_xlpm.受入+_xlpm.充当受入-_xlpm.払出))</f>
        <v/>
      </c>
      <c r="I215" s="8" t="str">
        <f>IF($B215="","",_xlfn.LET(
_xlpm.受入,SUMIFS(tbl_ledger[数量],tbl_ledger[ロットID],$B215,tbl_ledger[イベント種類],"梱包開始"),
_xlpm.充当受入,SUMIFS(tbl_ledger[数量],tbl_ledger[充当先ロットID],$B215,tbl_ledger[イベント種類],"充当",tbl_ledger[元状態],I$1),
_xlpm.払出,SUMIFS(tbl_ledger[数量],tbl_ledger[ロットID],$B215,tbl_ledger[元状態],I$1),
_xlpm.受入+_xlpm.充当受入-_xlpm.払出))</f>
        <v/>
      </c>
      <c r="J215" s="8" t="str">
        <f>IF($B215="","",_xlfn.LET(
_xlpm.受入,SUMIFS(tbl_ledger[数量],tbl_ledger[ロットID],$B215,tbl_ledger[イベント種類],"梱包完了"),
_xlpm.充当受入,SUMIFS(tbl_ledger[数量],tbl_ledger[充当先ロットID],$B215,tbl_ledger[イベント種類],"充当",tbl_ledger[元状態],J$1),
_xlpm.払出,SUMIFS(tbl_ledger[数量],tbl_ledger[ロットID],$B215,tbl_ledger[元状態],J$1),
_xlpm.受入+_xlpm.充当受入-_xlpm.払出))</f>
        <v/>
      </c>
      <c r="K215" s="8" t="str">
        <f>IF($B215="","",_xlfn.LET(
_xlpm.受入,SUMIFS(tbl_ledger[数量],tbl_ledger[ロットID],$B215,tbl_ledger[イベント種類],"発送準備開始"),
_xlpm.充当受入,SUMIFS(tbl_ledger[数量],tbl_ledger[充当先ロットID],$B215,tbl_ledger[イベント種類],"充当",tbl_ledger[元状態],K$1),
_xlpm.払出,SUMIFS(tbl_ledger[数量],tbl_ledger[ロットID],$B215,tbl_ledger[元状態],K$1),
_xlpm.受入+_xlpm.充当受入-_xlpm.払出))</f>
        <v/>
      </c>
      <c r="L215" s="8" t="str">
        <f>IF($B215="","",_xlfn.LET(
_xlpm.受入,SUMIFS(tbl_ledger[数量],tbl_ledger[ロットID],$B215,tbl_ledger[イベント種類],"発送準備完了"),
_xlpm.充当受入,SUMIFS(tbl_ledger[数量],tbl_ledger[充当先ロットID],$B215,tbl_ledger[イベント種類],"充当",tbl_ledger[元状態],L$1),
_xlpm.払出,SUMIFS(tbl_ledger[数量],tbl_ledger[ロットID],$B215,tbl_ledger[元状態],L$1),
_xlpm.受入+_xlpm.充当受入-_xlpm.払出))</f>
        <v/>
      </c>
      <c r="M215" s="8" t="str">
        <f>IF($B215="","",_xlfn.LET(
_xlpm.受入,SUMIFS(tbl_ledger[数量],tbl_ledger[ロットID],$B215,tbl_ledger[イベント種類],"不良発生"),
_xlpm.充当受入,SUMIFS(tbl_ledger[数量],tbl_ledger[充当先ロットID],$B215,tbl_ledger[イベント種類],"充当",tbl_ledger[元状態],M$1),
_xlpm.払出,SUMIFS(tbl_ledger[数量],tbl_ledger[ロットID],$B215,tbl_ledger[元状態],M$1),
_xlpm.受入+_xlpm.充当受入-_xlpm.払出))</f>
        <v/>
      </c>
      <c r="N215" s="8" t="str">
        <f t="shared" si="7"/>
        <v/>
      </c>
    </row>
    <row r="216" spans="1:14" ht="15" customHeight="1" x14ac:dyDescent="0.25">
      <c r="A216" s="4" t="str">
        <f t="shared" si="6"/>
        <v/>
      </c>
      <c r="B216" s="4" t="str">
        <f>IFERROR(IF(COUNTIF($B$1:$B215,INDEX(tbl_plan[ロットID],ROW()-1))&gt;0,"",INDEX(tbl_plan[ロットID],ROW()-1)),"")</f>
        <v/>
      </c>
      <c r="C216" s="4" t="str">
        <f>IF($B216="","",INDEX(tbl_plan[localId],ROW()-1))</f>
        <v/>
      </c>
      <c r="D216" s="8" t="str">
        <f>IF($B216="","",_xlfn.LET(
_xlpm.割当受入,SUMIF(V_充足確認!$A$2:$A$301,$B216,V_充足確認!$F$2:$F$301),
_xlpm.充当受入,SUMIFS(tbl_ledger[数量],tbl_ledger[充当先ロットID],$B216,tbl_ledger[イベント種類],"充当",tbl_ledger[元状態],D$1),
_xlpm.払出,SUMIFS(tbl_ledger[数量],tbl_ledger[ロットID],$B216,tbl_ledger[元状態],D$1),
_xlpm.割当受入+_xlpm.充当受入-_xlpm.払出))</f>
        <v/>
      </c>
      <c r="E216" s="8" t="str">
        <f>IF($B216="","",_xlfn.LET(
_xlpm.受入,SUMIFS(tbl_ledger[数量],tbl_ledger[ロットID],$B216,tbl_ledger[イベント種類],"アニール開始"),
_xlpm.充当受入,SUMIFS(tbl_ledger[数量],tbl_ledger[充当先ロットID],$B216,tbl_ledger[イベント種類],"充当",tbl_ledger[元状態],E$1),
_xlpm.払出,SUMIFS(tbl_ledger[数量],tbl_ledger[ロットID],$B216,tbl_ledger[元状態],E$1),
_xlpm.受入+_xlpm.充当受入-_xlpm.払出))</f>
        <v/>
      </c>
      <c r="F216" s="8" t="str">
        <f>IF($B216="","",_xlfn.LET(
_xlpm.受入,SUMIFS(tbl_ledger[数量],tbl_ledger[ロットID],$B216,tbl_ledger[イベント種類],"アニール完了"),
_xlpm.充当受入,SUMIFS(tbl_ledger[数量],tbl_ledger[充当先ロットID],$B216,tbl_ledger[イベント種類],"充当",tbl_ledger[元状態],F$1),
_xlpm.払出,SUMIFS(tbl_ledger[数量],tbl_ledger[ロットID],$B216,tbl_ledger[元状態],F$1),
_xlpm.受入+_xlpm.充当受入-_xlpm.払出))</f>
        <v/>
      </c>
      <c r="G216" s="8" t="str">
        <f>IF($B216="","",_xlfn.LET(
_xlpm.受入,SUMIFS(tbl_ledger[数量],tbl_ledger[ロットID],$B216,tbl_ledger[イベント種類],"アセンブリ開始"),
_xlpm.充当受入,SUMIFS(tbl_ledger[数量],tbl_ledger[充当先ロットID],$B216,tbl_ledger[イベント種類],"充当",tbl_ledger[元状態],G$1),
_xlpm.払出,SUMIFS(tbl_ledger[数量],tbl_ledger[ロットID],$B216,tbl_ledger[元状態],G$1),
_xlpm.受入+_xlpm.充当受入-_xlpm.払出))</f>
        <v/>
      </c>
      <c r="H216" s="8" t="str">
        <f>IF($B216="","",_xlfn.LET(
_xlpm.受入,SUMIFS(tbl_ledger[数量],tbl_ledger[ロットID],$B216,tbl_ledger[イベント種類],"アセンブリ完了"),
_xlpm.充当受入,SUMIFS(tbl_ledger[数量],tbl_ledger[充当先ロットID],$B216,tbl_ledger[イベント種類],"充当",tbl_ledger[元状態],H$1),
_xlpm.払出,SUMIFS(tbl_ledger[数量],tbl_ledger[ロットID],$B216,tbl_ledger[元状態],H$1),
_xlpm.受入+_xlpm.充当受入-_xlpm.払出))</f>
        <v/>
      </c>
      <c r="I216" s="8" t="str">
        <f>IF($B216="","",_xlfn.LET(
_xlpm.受入,SUMIFS(tbl_ledger[数量],tbl_ledger[ロットID],$B216,tbl_ledger[イベント種類],"梱包開始"),
_xlpm.充当受入,SUMIFS(tbl_ledger[数量],tbl_ledger[充当先ロットID],$B216,tbl_ledger[イベント種類],"充当",tbl_ledger[元状態],I$1),
_xlpm.払出,SUMIFS(tbl_ledger[数量],tbl_ledger[ロットID],$B216,tbl_ledger[元状態],I$1),
_xlpm.受入+_xlpm.充当受入-_xlpm.払出))</f>
        <v/>
      </c>
      <c r="J216" s="8" t="str">
        <f>IF($B216="","",_xlfn.LET(
_xlpm.受入,SUMIFS(tbl_ledger[数量],tbl_ledger[ロットID],$B216,tbl_ledger[イベント種類],"梱包完了"),
_xlpm.充当受入,SUMIFS(tbl_ledger[数量],tbl_ledger[充当先ロットID],$B216,tbl_ledger[イベント種類],"充当",tbl_ledger[元状態],J$1),
_xlpm.払出,SUMIFS(tbl_ledger[数量],tbl_ledger[ロットID],$B216,tbl_ledger[元状態],J$1),
_xlpm.受入+_xlpm.充当受入-_xlpm.払出))</f>
        <v/>
      </c>
      <c r="K216" s="8" t="str">
        <f>IF($B216="","",_xlfn.LET(
_xlpm.受入,SUMIFS(tbl_ledger[数量],tbl_ledger[ロットID],$B216,tbl_ledger[イベント種類],"発送準備開始"),
_xlpm.充当受入,SUMIFS(tbl_ledger[数量],tbl_ledger[充当先ロットID],$B216,tbl_ledger[イベント種類],"充当",tbl_ledger[元状態],K$1),
_xlpm.払出,SUMIFS(tbl_ledger[数量],tbl_ledger[ロットID],$B216,tbl_ledger[元状態],K$1),
_xlpm.受入+_xlpm.充当受入-_xlpm.払出))</f>
        <v/>
      </c>
      <c r="L216" s="8" t="str">
        <f>IF($B216="","",_xlfn.LET(
_xlpm.受入,SUMIFS(tbl_ledger[数量],tbl_ledger[ロットID],$B216,tbl_ledger[イベント種類],"発送準備完了"),
_xlpm.充当受入,SUMIFS(tbl_ledger[数量],tbl_ledger[充当先ロットID],$B216,tbl_ledger[イベント種類],"充当",tbl_ledger[元状態],L$1),
_xlpm.払出,SUMIFS(tbl_ledger[数量],tbl_ledger[ロットID],$B216,tbl_ledger[元状態],L$1),
_xlpm.受入+_xlpm.充当受入-_xlpm.払出))</f>
        <v/>
      </c>
      <c r="M216" s="8" t="str">
        <f>IF($B216="","",_xlfn.LET(
_xlpm.受入,SUMIFS(tbl_ledger[数量],tbl_ledger[ロットID],$B216,tbl_ledger[イベント種類],"不良発生"),
_xlpm.充当受入,SUMIFS(tbl_ledger[数量],tbl_ledger[充当先ロットID],$B216,tbl_ledger[イベント種類],"充当",tbl_ledger[元状態],M$1),
_xlpm.払出,SUMIFS(tbl_ledger[数量],tbl_ledger[ロットID],$B216,tbl_ledger[元状態],M$1),
_xlpm.受入+_xlpm.充当受入-_xlpm.払出))</f>
        <v/>
      </c>
      <c r="N216" s="8" t="str">
        <f t="shared" si="7"/>
        <v/>
      </c>
    </row>
    <row r="217" spans="1:14" ht="15" customHeight="1" x14ac:dyDescent="0.25">
      <c r="A217" s="4" t="str">
        <f t="shared" si="6"/>
        <v/>
      </c>
      <c r="B217" s="4" t="str">
        <f>IFERROR(IF(COUNTIF($B$1:$B216,INDEX(tbl_plan[ロットID],ROW()-1))&gt;0,"",INDEX(tbl_plan[ロットID],ROW()-1)),"")</f>
        <v/>
      </c>
      <c r="C217" s="4" t="str">
        <f>IF($B217="","",INDEX(tbl_plan[localId],ROW()-1))</f>
        <v/>
      </c>
      <c r="D217" s="8" t="str">
        <f>IF($B217="","",_xlfn.LET(
_xlpm.割当受入,SUMIF(V_充足確認!$A$2:$A$301,$B217,V_充足確認!$F$2:$F$301),
_xlpm.充当受入,SUMIFS(tbl_ledger[数量],tbl_ledger[充当先ロットID],$B217,tbl_ledger[イベント種類],"充当",tbl_ledger[元状態],D$1),
_xlpm.払出,SUMIFS(tbl_ledger[数量],tbl_ledger[ロットID],$B217,tbl_ledger[元状態],D$1),
_xlpm.割当受入+_xlpm.充当受入-_xlpm.払出))</f>
        <v/>
      </c>
      <c r="E217" s="8" t="str">
        <f>IF($B217="","",_xlfn.LET(
_xlpm.受入,SUMIFS(tbl_ledger[数量],tbl_ledger[ロットID],$B217,tbl_ledger[イベント種類],"アニール開始"),
_xlpm.充当受入,SUMIFS(tbl_ledger[数量],tbl_ledger[充当先ロットID],$B217,tbl_ledger[イベント種類],"充当",tbl_ledger[元状態],E$1),
_xlpm.払出,SUMIFS(tbl_ledger[数量],tbl_ledger[ロットID],$B217,tbl_ledger[元状態],E$1),
_xlpm.受入+_xlpm.充当受入-_xlpm.払出))</f>
        <v/>
      </c>
      <c r="F217" s="8" t="str">
        <f>IF($B217="","",_xlfn.LET(
_xlpm.受入,SUMIFS(tbl_ledger[数量],tbl_ledger[ロットID],$B217,tbl_ledger[イベント種類],"アニール完了"),
_xlpm.充当受入,SUMIFS(tbl_ledger[数量],tbl_ledger[充当先ロットID],$B217,tbl_ledger[イベント種類],"充当",tbl_ledger[元状態],F$1),
_xlpm.払出,SUMIFS(tbl_ledger[数量],tbl_ledger[ロットID],$B217,tbl_ledger[元状態],F$1),
_xlpm.受入+_xlpm.充当受入-_xlpm.払出))</f>
        <v/>
      </c>
      <c r="G217" s="8" t="str">
        <f>IF($B217="","",_xlfn.LET(
_xlpm.受入,SUMIFS(tbl_ledger[数量],tbl_ledger[ロットID],$B217,tbl_ledger[イベント種類],"アセンブリ開始"),
_xlpm.充当受入,SUMIFS(tbl_ledger[数量],tbl_ledger[充当先ロットID],$B217,tbl_ledger[イベント種類],"充当",tbl_ledger[元状態],G$1),
_xlpm.払出,SUMIFS(tbl_ledger[数量],tbl_ledger[ロットID],$B217,tbl_ledger[元状態],G$1),
_xlpm.受入+_xlpm.充当受入-_xlpm.払出))</f>
        <v/>
      </c>
      <c r="H217" s="8" t="str">
        <f>IF($B217="","",_xlfn.LET(
_xlpm.受入,SUMIFS(tbl_ledger[数量],tbl_ledger[ロットID],$B217,tbl_ledger[イベント種類],"アセンブリ完了"),
_xlpm.充当受入,SUMIFS(tbl_ledger[数量],tbl_ledger[充当先ロットID],$B217,tbl_ledger[イベント種類],"充当",tbl_ledger[元状態],H$1),
_xlpm.払出,SUMIFS(tbl_ledger[数量],tbl_ledger[ロットID],$B217,tbl_ledger[元状態],H$1),
_xlpm.受入+_xlpm.充当受入-_xlpm.払出))</f>
        <v/>
      </c>
      <c r="I217" s="8" t="str">
        <f>IF($B217="","",_xlfn.LET(
_xlpm.受入,SUMIFS(tbl_ledger[数量],tbl_ledger[ロットID],$B217,tbl_ledger[イベント種類],"梱包開始"),
_xlpm.充当受入,SUMIFS(tbl_ledger[数量],tbl_ledger[充当先ロットID],$B217,tbl_ledger[イベント種類],"充当",tbl_ledger[元状態],I$1),
_xlpm.払出,SUMIFS(tbl_ledger[数量],tbl_ledger[ロットID],$B217,tbl_ledger[元状態],I$1),
_xlpm.受入+_xlpm.充当受入-_xlpm.払出))</f>
        <v/>
      </c>
      <c r="J217" s="8" t="str">
        <f>IF($B217="","",_xlfn.LET(
_xlpm.受入,SUMIFS(tbl_ledger[数量],tbl_ledger[ロットID],$B217,tbl_ledger[イベント種類],"梱包完了"),
_xlpm.充当受入,SUMIFS(tbl_ledger[数量],tbl_ledger[充当先ロットID],$B217,tbl_ledger[イベント種類],"充当",tbl_ledger[元状態],J$1),
_xlpm.払出,SUMIFS(tbl_ledger[数量],tbl_ledger[ロットID],$B217,tbl_ledger[元状態],J$1),
_xlpm.受入+_xlpm.充当受入-_xlpm.払出))</f>
        <v/>
      </c>
      <c r="K217" s="8" t="str">
        <f>IF($B217="","",_xlfn.LET(
_xlpm.受入,SUMIFS(tbl_ledger[数量],tbl_ledger[ロットID],$B217,tbl_ledger[イベント種類],"発送準備開始"),
_xlpm.充当受入,SUMIFS(tbl_ledger[数量],tbl_ledger[充当先ロットID],$B217,tbl_ledger[イベント種類],"充当",tbl_ledger[元状態],K$1),
_xlpm.払出,SUMIFS(tbl_ledger[数量],tbl_ledger[ロットID],$B217,tbl_ledger[元状態],K$1),
_xlpm.受入+_xlpm.充当受入-_xlpm.払出))</f>
        <v/>
      </c>
      <c r="L217" s="8" t="str">
        <f>IF($B217="","",_xlfn.LET(
_xlpm.受入,SUMIFS(tbl_ledger[数量],tbl_ledger[ロットID],$B217,tbl_ledger[イベント種類],"発送準備完了"),
_xlpm.充当受入,SUMIFS(tbl_ledger[数量],tbl_ledger[充当先ロットID],$B217,tbl_ledger[イベント種類],"充当",tbl_ledger[元状態],L$1),
_xlpm.払出,SUMIFS(tbl_ledger[数量],tbl_ledger[ロットID],$B217,tbl_ledger[元状態],L$1),
_xlpm.受入+_xlpm.充当受入-_xlpm.払出))</f>
        <v/>
      </c>
      <c r="M217" s="8" t="str">
        <f>IF($B217="","",_xlfn.LET(
_xlpm.受入,SUMIFS(tbl_ledger[数量],tbl_ledger[ロットID],$B217,tbl_ledger[イベント種類],"不良発生"),
_xlpm.充当受入,SUMIFS(tbl_ledger[数量],tbl_ledger[充当先ロットID],$B217,tbl_ledger[イベント種類],"充当",tbl_ledger[元状態],M$1),
_xlpm.払出,SUMIFS(tbl_ledger[数量],tbl_ledger[ロットID],$B217,tbl_ledger[元状態],M$1),
_xlpm.受入+_xlpm.充当受入-_xlpm.払出))</f>
        <v/>
      </c>
      <c r="N217" s="8" t="str">
        <f t="shared" si="7"/>
        <v/>
      </c>
    </row>
    <row r="218" spans="1:14" ht="15" customHeight="1" x14ac:dyDescent="0.25">
      <c r="A218" s="4" t="str">
        <f t="shared" si="6"/>
        <v/>
      </c>
      <c r="B218" s="4" t="str">
        <f>IFERROR(IF(COUNTIF($B$1:$B217,INDEX(tbl_plan[ロットID],ROW()-1))&gt;0,"",INDEX(tbl_plan[ロットID],ROW()-1)),"")</f>
        <v/>
      </c>
      <c r="C218" s="4" t="str">
        <f>IF($B218="","",INDEX(tbl_plan[localId],ROW()-1))</f>
        <v/>
      </c>
      <c r="D218" s="8" t="str">
        <f>IF($B218="","",_xlfn.LET(
_xlpm.割当受入,SUMIF(V_充足確認!$A$2:$A$301,$B218,V_充足確認!$F$2:$F$301),
_xlpm.充当受入,SUMIFS(tbl_ledger[数量],tbl_ledger[充当先ロットID],$B218,tbl_ledger[イベント種類],"充当",tbl_ledger[元状態],D$1),
_xlpm.払出,SUMIFS(tbl_ledger[数量],tbl_ledger[ロットID],$B218,tbl_ledger[元状態],D$1),
_xlpm.割当受入+_xlpm.充当受入-_xlpm.払出))</f>
        <v/>
      </c>
      <c r="E218" s="8" t="str">
        <f>IF($B218="","",_xlfn.LET(
_xlpm.受入,SUMIFS(tbl_ledger[数量],tbl_ledger[ロットID],$B218,tbl_ledger[イベント種類],"アニール開始"),
_xlpm.充当受入,SUMIFS(tbl_ledger[数量],tbl_ledger[充当先ロットID],$B218,tbl_ledger[イベント種類],"充当",tbl_ledger[元状態],E$1),
_xlpm.払出,SUMIFS(tbl_ledger[数量],tbl_ledger[ロットID],$B218,tbl_ledger[元状態],E$1),
_xlpm.受入+_xlpm.充当受入-_xlpm.払出))</f>
        <v/>
      </c>
      <c r="F218" s="8" t="str">
        <f>IF($B218="","",_xlfn.LET(
_xlpm.受入,SUMIFS(tbl_ledger[数量],tbl_ledger[ロットID],$B218,tbl_ledger[イベント種類],"アニール完了"),
_xlpm.充当受入,SUMIFS(tbl_ledger[数量],tbl_ledger[充当先ロットID],$B218,tbl_ledger[イベント種類],"充当",tbl_ledger[元状態],F$1),
_xlpm.払出,SUMIFS(tbl_ledger[数量],tbl_ledger[ロットID],$B218,tbl_ledger[元状態],F$1),
_xlpm.受入+_xlpm.充当受入-_xlpm.払出))</f>
        <v/>
      </c>
      <c r="G218" s="8" t="str">
        <f>IF($B218="","",_xlfn.LET(
_xlpm.受入,SUMIFS(tbl_ledger[数量],tbl_ledger[ロットID],$B218,tbl_ledger[イベント種類],"アセンブリ開始"),
_xlpm.充当受入,SUMIFS(tbl_ledger[数量],tbl_ledger[充当先ロットID],$B218,tbl_ledger[イベント種類],"充当",tbl_ledger[元状態],G$1),
_xlpm.払出,SUMIFS(tbl_ledger[数量],tbl_ledger[ロットID],$B218,tbl_ledger[元状態],G$1),
_xlpm.受入+_xlpm.充当受入-_xlpm.払出))</f>
        <v/>
      </c>
      <c r="H218" s="8" t="str">
        <f>IF($B218="","",_xlfn.LET(
_xlpm.受入,SUMIFS(tbl_ledger[数量],tbl_ledger[ロットID],$B218,tbl_ledger[イベント種類],"アセンブリ完了"),
_xlpm.充当受入,SUMIFS(tbl_ledger[数量],tbl_ledger[充当先ロットID],$B218,tbl_ledger[イベント種類],"充当",tbl_ledger[元状態],H$1),
_xlpm.払出,SUMIFS(tbl_ledger[数量],tbl_ledger[ロットID],$B218,tbl_ledger[元状態],H$1),
_xlpm.受入+_xlpm.充当受入-_xlpm.払出))</f>
        <v/>
      </c>
      <c r="I218" s="8" t="str">
        <f>IF($B218="","",_xlfn.LET(
_xlpm.受入,SUMIFS(tbl_ledger[数量],tbl_ledger[ロットID],$B218,tbl_ledger[イベント種類],"梱包開始"),
_xlpm.充当受入,SUMIFS(tbl_ledger[数量],tbl_ledger[充当先ロットID],$B218,tbl_ledger[イベント種類],"充当",tbl_ledger[元状態],I$1),
_xlpm.払出,SUMIFS(tbl_ledger[数量],tbl_ledger[ロットID],$B218,tbl_ledger[元状態],I$1),
_xlpm.受入+_xlpm.充当受入-_xlpm.払出))</f>
        <v/>
      </c>
      <c r="J218" s="8" t="str">
        <f>IF($B218="","",_xlfn.LET(
_xlpm.受入,SUMIFS(tbl_ledger[数量],tbl_ledger[ロットID],$B218,tbl_ledger[イベント種類],"梱包完了"),
_xlpm.充当受入,SUMIFS(tbl_ledger[数量],tbl_ledger[充当先ロットID],$B218,tbl_ledger[イベント種類],"充当",tbl_ledger[元状態],J$1),
_xlpm.払出,SUMIFS(tbl_ledger[数量],tbl_ledger[ロットID],$B218,tbl_ledger[元状態],J$1),
_xlpm.受入+_xlpm.充当受入-_xlpm.払出))</f>
        <v/>
      </c>
      <c r="K218" s="8" t="str">
        <f>IF($B218="","",_xlfn.LET(
_xlpm.受入,SUMIFS(tbl_ledger[数量],tbl_ledger[ロットID],$B218,tbl_ledger[イベント種類],"発送準備開始"),
_xlpm.充当受入,SUMIFS(tbl_ledger[数量],tbl_ledger[充当先ロットID],$B218,tbl_ledger[イベント種類],"充当",tbl_ledger[元状態],K$1),
_xlpm.払出,SUMIFS(tbl_ledger[数量],tbl_ledger[ロットID],$B218,tbl_ledger[元状態],K$1),
_xlpm.受入+_xlpm.充当受入-_xlpm.払出))</f>
        <v/>
      </c>
      <c r="L218" s="8" t="str">
        <f>IF($B218="","",_xlfn.LET(
_xlpm.受入,SUMIFS(tbl_ledger[数量],tbl_ledger[ロットID],$B218,tbl_ledger[イベント種類],"発送準備完了"),
_xlpm.充当受入,SUMIFS(tbl_ledger[数量],tbl_ledger[充当先ロットID],$B218,tbl_ledger[イベント種類],"充当",tbl_ledger[元状態],L$1),
_xlpm.払出,SUMIFS(tbl_ledger[数量],tbl_ledger[ロットID],$B218,tbl_ledger[元状態],L$1),
_xlpm.受入+_xlpm.充当受入-_xlpm.払出))</f>
        <v/>
      </c>
      <c r="M218" s="8" t="str">
        <f>IF($B218="","",_xlfn.LET(
_xlpm.受入,SUMIFS(tbl_ledger[数量],tbl_ledger[ロットID],$B218,tbl_ledger[イベント種類],"不良発生"),
_xlpm.充当受入,SUMIFS(tbl_ledger[数量],tbl_ledger[充当先ロットID],$B218,tbl_ledger[イベント種類],"充当",tbl_ledger[元状態],M$1),
_xlpm.払出,SUMIFS(tbl_ledger[数量],tbl_ledger[ロットID],$B218,tbl_ledger[元状態],M$1),
_xlpm.受入+_xlpm.充当受入-_xlpm.払出))</f>
        <v/>
      </c>
      <c r="N218" s="8" t="str">
        <f t="shared" si="7"/>
        <v/>
      </c>
    </row>
    <row r="219" spans="1:14" ht="15" customHeight="1" x14ac:dyDescent="0.25">
      <c r="A219" s="4" t="str">
        <f t="shared" si="6"/>
        <v/>
      </c>
      <c r="B219" s="4" t="str">
        <f>IFERROR(IF(COUNTIF($B$1:$B218,INDEX(tbl_plan[ロットID],ROW()-1))&gt;0,"",INDEX(tbl_plan[ロットID],ROW()-1)),"")</f>
        <v/>
      </c>
      <c r="C219" s="4" t="str">
        <f>IF($B219="","",INDEX(tbl_plan[localId],ROW()-1))</f>
        <v/>
      </c>
      <c r="D219" s="8" t="str">
        <f>IF($B219="","",_xlfn.LET(
_xlpm.割当受入,SUMIF(V_充足確認!$A$2:$A$301,$B219,V_充足確認!$F$2:$F$301),
_xlpm.充当受入,SUMIFS(tbl_ledger[数量],tbl_ledger[充当先ロットID],$B219,tbl_ledger[イベント種類],"充当",tbl_ledger[元状態],D$1),
_xlpm.払出,SUMIFS(tbl_ledger[数量],tbl_ledger[ロットID],$B219,tbl_ledger[元状態],D$1),
_xlpm.割当受入+_xlpm.充当受入-_xlpm.払出))</f>
        <v/>
      </c>
      <c r="E219" s="8" t="str">
        <f>IF($B219="","",_xlfn.LET(
_xlpm.受入,SUMIFS(tbl_ledger[数量],tbl_ledger[ロットID],$B219,tbl_ledger[イベント種類],"アニール開始"),
_xlpm.充当受入,SUMIFS(tbl_ledger[数量],tbl_ledger[充当先ロットID],$B219,tbl_ledger[イベント種類],"充当",tbl_ledger[元状態],E$1),
_xlpm.払出,SUMIFS(tbl_ledger[数量],tbl_ledger[ロットID],$B219,tbl_ledger[元状態],E$1),
_xlpm.受入+_xlpm.充当受入-_xlpm.払出))</f>
        <v/>
      </c>
      <c r="F219" s="8" t="str">
        <f>IF($B219="","",_xlfn.LET(
_xlpm.受入,SUMIFS(tbl_ledger[数量],tbl_ledger[ロットID],$B219,tbl_ledger[イベント種類],"アニール完了"),
_xlpm.充当受入,SUMIFS(tbl_ledger[数量],tbl_ledger[充当先ロットID],$B219,tbl_ledger[イベント種類],"充当",tbl_ledger[元状態],F$1),
_xlpm.払出,SUMIFS(tbl_ledger[数量],tbl_ledger[ロットID],$B219,tbl_ledger[元状態],F$1),
_xlpm.受入+_xlpm.充当受入-_xlpm.払出))</f>
        <v/>
      </c>
      <c r="G219" s="8" t="str">
        <f>IF($B219="","",_xlfn.LET(
_xlpm.受入,SUMIFS(tbl_ledger[数量],tbl_ledger[ロットID],$B219,tbl_ledger[イベント種類],"アセンブリ開始"),
_xlpm.充当受入,SUMIFS(tbl_ledger[数量],tbl_ledger[充当先ロットID],$B219,tbl_ledger[イベント種類],"充当",tbl_ledger[元状態],G$1),
_xlpm.払出,SUMIFS(tbl_ledger[数量],tbl_ledger[ロットID],$B219,tbl_ledger[元状態],G$1),
_xlpm.受入+_xlpm.充当受入-_xlpm.払出))</f>
        <v/>
      </c>
      <c r="H219" s="8" t="str">
        <f>IF($B219="","",_xlfn.LET(
_xlpm.受入,SUMIFS(tbl_ledger[数量],tbl_ledger[ロットID],$B219,tbl_ledger[イベント種類],"アセンブリ完了"),
_xlpm.充当受入,SUMIFS(tbl_ledger[数量],tbl_ledger[充当先ロットID],$B219,tbl_ledger[イベント種類],"充当",tbl_ledger[元状態],H$1),
_xlpm.払出,SUMIFS(tbl_ledger[数量],tbl_ledger[ロットID],$B219,tbl_ledger[元状態],H$1),
_xlpm.受入+_xlpm.充当受入-_xlpm.払出))</f>
        <v/>
      </c>
      <c r="I219" s="8" t="str">
        <f>IF($B219="","",_xlfn.LET(
_xlpm.受入,SUMIFS(tbl_ledger[数量],tbl_ledger[ロットID],$B219,tbl_ledger[イベント種類],"梱包開始"),
_xlpm.充当受入,SUMIFS(tbl_ledger[数量],tbl_ledger[充当先ロットID],$B219,tbl_ledger[イベント種類],"充当",tbl_ledger[元状態],I$1),
_xlpm.払出,SUMIFS(tbl_ledger[数量],tbl_ledger[ロットID],$B219,tbl_ledger[元状態],I$1),
_xlpm.受入+_xlpm.充当受入-_xlpm.払出))</f>
        <v/>
      </c>
      <c r="J219" s="8" t="str">
        <f>IF($B219="","",_xlfn.LET(
_xlpm.受入,SUMIFS(tbl_ledger[数量],tbl_ledger[ロットID],$B219,tbl_ledger[イベント種類],"梱包完了"),
_xlpm.充当受入,SUMIFS(tbl_ledger[数量],tbl_ledger[充当先ロットID],$B219,tbl_ledger[イベント種類],"充当",tbl_ledger[元状態],J$1),
_xlpm.払出,SUMIFS(tbl_ledger[数量],tbl_ledger[ロットID],$B219,tbl_ledger[元状態],J$1),
_xlpm.受入+_xlpm.充当受入-_xlpm.払出))</f>
        <v/>
      </c>
      <c r="K219" s="8" t="str">
        <f>IF($B219="","",_xlfn.LET(
_xlpm.受入,SUMIFS(tbl_ledger[数量],tbl_ledger[ロットID],$B219,tbl_ledger[イベント種類],"発送準備開始"),
_xlpm.充当受入,SUMIFS(tbl_ledger[数量],tbl_ledger[充当先ロットID],$B219,tbl_ledger[イベント種類],"充当",tbl_ledger[元状態],K$1),
_xlpm.払出,SUMIFS(tbl_ledger[数量],tbl_ledger[ロットID],$B219,tbl_ledger[元状態],K$1),
_xlpm.受入+_xlpm.充当受入-_xlpm.払出))</f>
        <v/>
      </c>
      <c r="L219" s="8" t="str">
        <f>IF($B219="","",_xlfn.LET(
_xlpm.受入,SUMIFS(tbl_ledger[数量],tbl_ledger[ロットID],$B219,tbl_ledger[イベント種類],"発送準備完了"),
_xlpm.充当受入,SUMIFS(tbl_ledger[数量],tbl_ledger[充当先ロットID],$B219,tbl_ledger[イベント種類],"充当",tbl_ledger[元状態],L$1),
_xlpm.払出,SUMIFS(tbl_ledger[数量],tbl_ledger[ロットID],$B219,tbl_ledger[元状態],L$1),
_xlpm.受入+_xlpm.充当受入-_xlpm.払出))</f>
        <v/>
      </c>
      <c r="M219" s="8" t="str">
        <f>IF($B219="","",_xlfn.LET(
_xlpm.受入,SUMIFS(tbl_ledger[数量],tbl_ledger[ロットID],$B219,tbl_ledger[イベント種類],"不良発生"),
_xlpm.充当受入,SUMIFS(tbl_ledger[数量],tbl_ledger[充当先ロットID],$B219,tbl_ledger[イベント種類],"充当",tbl_ledger[元状態],M$1),
_xlpm.払出,SUMIFS(tbl_ledger[数量],tbl_ledger[ロットID],$B219,tbl_ledger[元状態],M$1),
_xlpm.受入+_xlpm.充当受入-_xlpm.払出))</f>
        <v/>
      </c>
      <c r="N219" s="8" t="str">
        <f t="shared" si="7"/>
        <v/>
      </c>
    </row>
    <row r="220" spans="1:14" ht="15" customHeight="1" x14ac:dyDescent="0.25">
      <c r="A220" s="4" t="str">
        <f t="shared" si="6"/>
        <v/>
      </c>
      <c r="B220" s="4" t="str">
        <f>IFERROR(IF(COUNTIF($B$1:$B219,INDEX(tbl_plan[ロットID],ROW()-1))&gt;0,"",INDEX(tbl_plan[ロットID],ROW()-1)),"")</f>
        <v/>
      </c>
      <c r="C220" s="4" t="str">
        <f>IF($B220="","",INDEX(tbl_plan[localId],ROW()-1))</f>
        <v/>
      </c>
      <c r="D220" s="8" t="str">
        <f>IF($B220="","",_xlfn.LET(
_xlpm.割当受入,SUMIF(V_充足確認!$A$2:$A$301,$B220,V_充足確認!$F$2:$F$301),
_xlpm.充当受入,SUMIFS(tbl_ledger[数量],tbl_ledger[充当先ロットID],$B220,tbl_ledger[イベント種類],"充当",tbl_ledger[元状態],D$1),
_xlpm.払出,SUMIFS(tbl_ledger[数量],tbl_ledger[ロットID],$B220,tbl_ledger[元状態],D$1),
_xlpm.割当受入+_xlpm.充当受入-_xlpm.払出))</f>
        <v/>
      </c>
      <c r="E220" s="8" t="str">
        <f>IF($B220="","",_xlfn.LET(
_xlpm.受入,SUMIFS(tbl_ledger[数量],tbl_ledger[ロットID],$B220,tbl_ledger[イベント種類],"アニール開始"),
_xlpm.充当受入,SUMIFS(tbl_ledger[数量],tbl_ledger[充当先ロットID],$B220,tbl_ledger[イベント種類],"充当",tbl_ledger[元状態],E$1),
_xlpm.払出,SUMIFS(tbl_ledger[数量],tbl_ledger[ロットID],$B220,tbl_ledger[元状態],E$1),
_xlpm.受入+_xlpm.充当受入-_xlpm.払出))</f>
        <v/>
      </c>
      <c r="F220" s="8" t="str">
        <f>IF($B220="","",_xlfn.LET(
_xlpm.受入,SUMIFS(tbl_ledger[数量],tbl_ledger[ロットID],$B220,tbl_ledger[イベント種類],"アニール完了"),
_xlpm.充当受入,SUMIFS(tbl_ledger[数量],tbl_ledger[充当先ロットID],$B220,tbl_ledger[イベント種類],"充当",tbl_ledger[元状態],F$1),
_xlpm.払出,SUMIFS(tbl_ledger[数量],tbl_ledger[ロットID],$B220,tbl_ledger[元状態],F$1),
_xlpm.受入+_xlpm.充当受入-_xlpm.払出))</f>
        <v/>
      </c>
      <c r="G220" s="8" t="str">
        <f>IF($B220="","",_xlfn.LET(
_xlpm.受入,SUMIFS(tbl_ledger[数量],tbl_ledger[ロットID],$B220,tbl_ledger[イベント種類],"アセンブリ開始"),
_xlpm.充当受入,SUMIFS(tbl_ledger[数量],tbl_ledger[充当先ロットID],$B220,tbl_ledger[イベント種類],"充当",tbl_ledger[元状態],G$1),
_xlpm.払出,SUMIFS(tbl_ledger[数量],tbl_ledger[ロットID],$B220,tbl_ledger[元状態],G$1),
_xlpm.受入+_xlpm.充当受入-_xlpm.払出))</f>
        <v/>
      </c>
      <c r="H220" s="8" t="str">
        <f>IF($B220="","",_xlfn.LET(
_xlpm.受入,SUMIFS(tbl_ledger[数量],tbl_ledger[ロットID],$B220,tbl_ledger[イベント種類],"アセンブリ完了"),
_xlpm.充当受入,SUMIFS(tbl_ledger[数量],tbl_ledger[充当先ロットID],$B220,tbl_ledger[イベント種類],"充当",tbl_ledger[元状態],H$1),
_xlpm.払出,SUMIFS(tbl_ledger[数量],tbl_ledger[ロットID],$B220,tbl_ledger[元状態],H$1),
_xlpm.受入+_xlpm.充当受入-_xlpm.払出))</f>
        <v/>
      </c>
      <c r="I220" s="8" t="str">
        <f>IF($B220="","",_xlfn.LET(
_xlpm.受入,SUMIFS(tbl_ledger[数量],tbl_ledger[ロットID],$B220,tbl_ledger[イベント種類],"梱包開始"),
_xlpm.充当受入,SUMIFS(tbl_ledger[数量],tbl_ledger[充当先ロットID],$B220,tbl_ledger[イベント種類],"充当",tbl_ledger[元状態],I$1),
_xlpm.払出,SUMIFS(tbl_ledger[数量],tbl_ledger[ロットID],$B220,tbl_ledger[元状態],I$1),
_xlpm.受入+_xlpm.充当受入-_xlpm.払出))</f>
        <v/>
      </c>
      <c r="J220" s="8" t="str">
        <f>IF($B220="","",_xlfn.LET(
_xlpm.受入,SUMIFS(tbl_ledger[数量],tbl_ledger[ロットID],$B220,tbl_ledger[イベント種類],"梱包完了"),
_xlpm.充当受入,SUMIFS(tbl_ledger[数量],tbl_ledger[充当先ロットID],$B220,tbl_ledger[イベント種類],"充当",tbl_ledger[元状態],J$1),
_xlpm.払出,SUMIFS(tbl_ledger[数量],tbl_ledger[ロットID],$B220,tbl_ledger[元状態],J$1),
_xlpm.受入+_xlpm.充当受入-_xlpm.払出))</f>
        <v/>
      </c>
      <c r="K220" s="8" t="str">
        <f>IF($B220="","",_xlfn.LET(
_xlpm.受入,SUMIFS(tbl_ledger[数量],tbl_ledger[ロットID],$B220,tbl_ledger[イベント種類],"発送準備開始"),
_xlpm.充当受入,SUMIFS(tbl_ledger[数量],tbl_ledger[充当先ロットID],$B220,tbl_ledger[イベント種類],"充当",tbl_ledger[元状態],K$1),
_xlpm.払出,SUMIFS(tbl_ledger[数量],tbl_ledger[ロットID],$B220,tbl_ledger[元状態],K$1),
_xlpm.受入+_xlpm.充当受入-_xlpm.払出))</f>
        <v/>
      </c>
      <c r="L220" s="8" t="str">
        <f>IF($B220="","",_xlfn.LET(
_xlpm.受入,SUMIFS(tbl_ledger[数量],tbl_ledger[ロットID],$B220,tbl_ledger[イベント種類],"発送準備完了"),
_xlpm.充当受入,SUMIFS(tbl_ledger[数量],tbl_ledger[充当先ロットID],$B220,tbl_ledger[イベント種類],"充当",tbl_ledger[元状態],L$1),
_xlpm.払出,SUMIFS(tbl_ledger[数量],tbl_ledger[ロットID],$B220,tbl_ledger[元状態],L$1),
_xlpm.受入+_xlpm.充当受入-_xlpm.払出))</f>
        <v/>
      </c>
      <c r="M220" s="8" t="str">
        <f>IF($B220="","",_xlfn.LET(
_xlpm.受入,SUMIFS(tbl_ledger[数量],tbl_ledger[ロットID],$B220,tbl_ledger[イベント種類],"不良発生"),
_xlpm.充当受入,SUMIFS(tbl_ledger[数量],tbl_ledger[充当先ロットID],$B220,tbl_ledger[イベント種類],"充当",tbl_ledger[元状態],M$1),
_xlpm.払出,SUMIFS(tbl_ledger[数量],tbl_ledger[ロットID],$B220,tbl_ledger[元状態],M$1),
_xlpm.受入+_xlpm.充当受入-_xlpm.払出))</f>
        <v/>
      </c>
      <c r="N220" s="8" t="str">
        <f t="shared" si="7"/>
        <v/>
      </c>
    </row>
    <row r="221" spans="1:14" ht="15" customHeight="1" x14ac:dyDescent="0.25">
      <c r="A221" s="4" t="str">
        <f t="shared" si="6"/>
        <v/>
      </c>
      <c r="B221" s="4" t="str">
        <f>IFERROR(IF(COUNTIF($B$1:$B220,INDEX(tbl_plan[ロットID],ROW()-1))&gt;0,"",INDEX(tbl_plan[ロットID],ROW()-1)),"")</f>
        <v/>
      </c>
      <c r="C221" s="4" t="str">
        <f>IF($B221="","",INDEX(tbl_plan[localId],ROW()-1))</f>
        <v/>
      </c>
      <c r="D221" s="8" t="str">
        <f>IF($B221="","",_xlfn.LET(
_xlpm.割当受入,SUMIF(V_充足確認!$A$2:$A$301,$B221,V_充足確認!$F$2:$F$301),
_xlpm.充当受入,SUMIFS(tbl_ledger[数量],tbl_ledger[充当先ロットID],$B221,tbl_ledger[イベント種類],"充当",tbl_ledger[元状態],D$1),
_xlpm.払出,SUMIFS(tbl_ledger[数量],tbl_ledger[ロットID],$B221,tbl_ledger[元状態],D$1),
_xlpm.割当受入+_xlpm.充当受入-_xlpm.払出))</f>
        <v/>
      </c>
      <c r="E221" s="8" t="str">
        <f>IF($B221="","",_xlfn.LET(
_xlpm.受入,SUMIFS(tbl_ledger[数量],tbl_ledger[ロットID],$B221,tbl_ledger[イベント種類],"アニール開始"),
_xlpm.充当受入,SUMIFS(tbl_ledger[数量],tbl_ledger[充当先ロットID],$B221,tbl_ledger[イベント種類],"充当",tbl_ledger[元状態],E$1),
_xlpm.払出,SUMIFS(tbl_ledger[数量],tbl_ledger[ロットID],$B221,tbl_ledger[元状態],E$1),
_xlpm.受入+_xlpm.充当受入-_xlpm.払出))</f>
        <v/>
      </c>
      <c r="F221" s="8" t="str">
        <f>IF($B221="","",_xlfn.LET(
_xlpm.受入,SUMIFS(tbl_ledger[数量],tbl_ledger[ロットID],$B221,tbl_ledger[イベント種類],"アニール完了"),
_xlpm.充当受入,SUMIFS(tbl_ledger[数量],tbl_ledger[充当先ロットID],$B221,tbl_ledger[イベント種類],"充当",tbl_ledger[元状態],F$1),
_xlpm.払出,SUMIFS(tbl_ledger[数量],tbl_ledger[ロットID],$B221,tbl_ledger[元状態],F$1),
_xlpm.受入+_xlpm.充当受入-_xlpm.払出))</f>
        <v/>
      </c>
      <c r="G221" s="8" t="str">
        <f>IF($B221="","",_xlfn.LET(
_xlpm.受入,SUMIFS(tbl_ledger[数量],tbl_ledger[ロットID],$B221,tbl_ledger[イベント種類],"アセンブリ開始"),
_xlpm.充当受入,SUMIFS(tbl_ledger[数量],tbl_ledger[充当先ロットID],$B221,tbl_ledger[イベント種類],"充当",tbl_ledger[元状態],G$1),
_xlpm.払出,SUMIFS(tbl_ledger[数量],tbl_ledger[ロットID],$B221,tbl_ledger[元状態],G$1),
_xlpm.受入+_xlpm.充当受入-_xlpm.払出))</f>
        <v/>
      </c>
      <c r="H221" s="8" t="str">
        <f>IF($B221="","",_xlfn.LET(
_xlpm.受入,SUMIFS(tbl_ledger[数量],tbl_ledger[ロットID],$B221,tbl_ledger[イベント種類],"アセンブリ完了"),
_xlpm.充当受入,SUMIFS(tbl_ledger[数量],tbl_ledger[充当先ロットID],$B221,tbl_ledger[イベント種類],"充当",tbl_ledger[元状態],H$1),
_xlpm.払出,SUMIFS(tbl_ledger[数量],tbl_ledger[ロットID],$B221,tbl_ledger[元状態],H$1),
_xlpm.受入+_xlpm.充当受入-_xlpm.払出))</f>
        <v/>
      </c>
      <c r="I221" s="8" t="str">
        <f>IF($B221="","",_xlfn.LET(
_xlpm.受入,SUMIFS(tbl_ledger[数量],tbl_ledger[ロットID],$B221,tbl_ledger[イベント種類],"梱包開始"),
_xlpm.充当受入,SUMIFS(tbl_ledger[数量],tbl_ledger[充当先ロットID],$B221,tbl_ledger[イベント種類],"充当",tbl_ledger[元状態],I$1),
_xlpm.払出,SUMIFS(tbl_ledger[数量],tbl_ledger[ロットID],$B221,tbl_ledger[元状態],I$1),
_xlpm.受入+_xlpm.充当受入-_xlpm.払出))</f>
        <v/>
      </c>
      <c r="J221" s="8" t="str">
        <f>IF($B221="","",_xlfn.LET(
_xlpm.受入,SUMIFS(tbl_ledger[数量],tbl_ledger[ロットID],$B221,tbl_ledger[イベント種類],"梱包完了"),
_xlpm.充当受入,SUMIFS(tbl_ledger[数量],tbl_ledger[充当先ロットID],$B221,tbl_ledger[イベント種類],"充当",tbl_ledger[元状態],J$1),
_xlpm.払出,SUMIFS(tbl_ledger[数量],tbl_ledger[ロットID],$B221,tbl_ledger[元状態],J$1),
_xlpm.受入+_xlpm.充当受入-_xlpm.払出))</f>
        <v/>
      </c>
      <c r="K221" s="8" t="str">
        <f>IF($B221="","",_xlfn.LET(
_xlpm.受入,SUMIFS(tbl_ledger[数量],tbl_ledger[ロットID],$B221,tbl_ledger[イベント種類],"発送準備開始"),
_xlpm.充当受入,SUMIFS(tbl_ledger[数量],tbl_ledger[充当先ロットID],$B221,tbl_ledger[イベント種類],"充当",tbl_ledger[元状態],K$1),
_xlpm.払出,SUMIFS(tbl_ledger[数量],tbl_ledger[ロットID],$B221,tbl_ledger[元状態],K$1),
_xlpm.受入+_xlpm.充当受入-_xlpm.払出))</f>
        <v/>
      </c>
      <c r="L221" s="8" t="str">
        <f>IF($B221="","",_xlfn.LET(
_xlpm.受入,SUMIFS(tbl_ledger[数量],tbl_ledger[ロットID],$B221,tbl_ledger[イベント種類],"発送準備完了"),
_xlpm.充当受入,SUMIFS(tbl_ledger[数量],tbl_ledger[充当先ロットID],$B221,tbl_ledger[イベント種類],"充当",tbl_ledger[元状態],L$1),
_xlpm.払出,SUMIFS(tbl_ledger[数量],tbl_ledger[ロットID],$B221,tbl_ledger[元状態],L$1),
_xlpm.受入+_xlpm.充当受入-_xlpm.払出))</f>
        <v/>
      </c>
      <c r="M221" s="8" t="str">
        <f>IF($B221="","",_xlfn.LET(
_xlpm.受入,SUMIFS(tbl_ledger[数量],tbl_ledger[ロットID],$B221,tbl_ledger[イベント種類],"不良発生"),
_xlpm.充当受入,SUMIFS(tbl_ledger[数量],tbl_ledger[充当先ロットID],$B221,tbl_ledger[イベント種類],"充当",tbl_ledger[元状態],M$1),
_xlpm.払出,SUMIFS(tbl_ledger[数量],tbl_ledger[ロットID],$B221,tbl_ledger[元状態],M$1),
_xlpm.受入+_xlpm.充当受入-_xlpm.払出))</f>
        <v/>
      </c>
      <c r="N221" s="8" t="str">
        <f t="shared" si="7"/>
        <v/>
      </c>
    </row>
    <row r="222" spans="1:14" ht="15" customHeight="1" x14ac:dyDescent="0.25">
      <c r="A222" s="4" t="str">
        <f t="shared" si="6"/>
        <v/>
      </c>
      <c r="B222" s="4" t="str">
        <f>IFERROR(IF(COUNTIF($B$1:$B221,INDEX(tbl_plan[ロットID],ROW()-1))&gt;0,"",INDEX(tbl_plan[ロットID],ROW()-1)),"")</f>
        <v/>
      </c>
      <c r="C222" s="4" t="str">
        <f>IF($B222="","",INDEX(tbl_plan[localId],ROW()-1))</f>
        <v/>
      </c>
      <c r="D222" s="8" t="str">
        <f>IF($B222="","",_xlfn.LET(
_xlpm.割当受入,SUMIF(V_充足確認!$A$2:$A$301,$B222,V_充足確認!$F$2:$F$301),
_xlpm.充当受入,SUMIFS(tbl_ledger[数量],tbl_ledger[充当先ロットID],$B222,tbl_ledger[イベント種類],"充当",tbl_ledger[元状態],D$1),
_xlpm.払出,SUMIFS(tbl_ledger[数量],tbl_ledger[ロットID],$B222,tbl_ledger[元状態],D$1),
_xlpm.割当受入+_xlpm.充当受入-_xlpm.払出))</f>
        <v/>
      </c>
      <c r="E222" s="8" t="str">
        <f>IF($B222="","",_xlfn.LET(
_xlpm.受入,SUMIFS(tbl_ledger[数量],tbl_ledger[ロットID],$B222,tbl_ledger[イベント種類],"アニール開始"),
_xlpm.充当受入,SUMIFS(tbl_ledger[数量],tbl_ledger[充当先ロットID],$B222,tbl_ledger[イベント種類],"充当",tbl_ledger[元状態],E$1),
_xlpm.払出,SUMIFS(tbl_ledger[数量],tbl_ledger[ロットID],$B222,tbl_ledger[元状態],E$1),
_xlpm.受入+_xlpm.充当受入-_xlpm.払出))</f>
        <v/>
      </c>
      <c r="F222" s="8" t="str">
        <f>IF($B222="","",_xlfn.LET(
_xlpm.受入,SUMIFS(tbl_ledger[数量],tbl_ledger[ロットID],$B222,tbl_ledger[イベント種類],"アニール完了"),
_xlpm.充当受入,SUMIFS(tbl_ledger[数量],tbl_ledger[充当先ロットID],$B222,tbl_ledger[イベント種類],"充当",tbl_ledger[元状態],F$1),
_xlpm.払出,SUMIFS(tbl_ledger[数量],tbl_ledger[ロットID],$B222,tbl_ledger[元状態],F$1),
_xlpm.受入+_xlpm.充当受入-_xlpm.払出))</f>
        <v/>
      </c>
      <c r="G222" s="8" t="str">
        <f>IF($B222="","",_xlfn.LET(
_xlpm.受入,SUMIFS(tbl_ledger[数量],tbl_ledger[ロットID],$B222,tbl_ledger[イベント種類],"アセンブリ開始"),
_xlpm.充当受入,SUMIFS(tbl_ledger[数量],tbl_ledger[充当先ロットID],$B222,tbl_ledger[イベント種類],"充当",tbl_ledger[元状態],G$1),
_xlpm.払出,SUMIFS(tbl_ledger[数量],tbl_ledger[ロットID],$B222,tbl_ledger[元状態],G$1),
_xlpm.受入+_xlpm.充当受入-_xlpm.払出))</f>
        <v/>
      </c>
      <c r="H222" s="8" t="str">
        <f>IF($B222="","",_xlfn.LET(
_xlpm.受入,SUMIFS(tbl_ledger[数量],tbl_ledger[ロットID],$B222,tbl_ledger[イベント種類],"アセンブリ完了"),
_xlpm.充当受入,SUMIFS(tbl_ledger[数量],tbl_ledger[充当先ロットID],$B222,tbl_ledger[イベント種類],"充当",tbl_ledger[元状態],H$1),
_xlpm.払出,SUMIFS(tbl_ledger[数量],tbl_ledger[ロットID],$B222,tbl_ledger[元状態],H$1),
_xlpm.受入+_xlpm.充当受入-_xlpm.払出))</f>
        <v/>
      </c>
      <c r="I222" s="8" t="str">
        <f>IF($B222="","",_xlfn.LET(
_xlpm.受入,SUMIFS(tbl_ledger[数量],tbl_ledger[ロットID],$B222,tbl_ledger[イベント種類],"梱包開始"),
_xlpm.充当受入,SUMIFS(tbl_ledger[数量],tbl_ledger[充当先ロットID],$B222,tbl_ledger[イベント種類],"充当",tbl_ledger[元状態],I$1),
_xlpm.払出,SUMIFS(tbl_ledger[数量],tbl_ledger[ロットID],$B222,tbl_ledger[元状態],I$1),
_xlpm.受入+_xlpm.充当受入-_xlpm.払出))</f>
        <v/>
      </c>
      <c r="J222" s="8" t="str">
        <f>IF($B222="","",_xlfn.LET(
_xlpm.受入,SUMIFS(tbl_ledger[数量],tbl_ledger[ロットID],$B222,tbl_ledger[イベント種類],"梱包完了"),
_xlpm.充当受入,SUMIFS(tbl_ledger[数量],tbl_ledger[充当先ロットID],$B222,tbl_ledger[イベント種類],"充当",tbl_ledger[元状態],J$1),
_xlpm.払出,SUMIFS(tbl_ledger[数量],tbl_ledger[ロットID],$B222,tbl_ledger[元状態],J$1),
_xlpm.受入+_xlpm.充当受入-_xlpm.払出))</f>
        <v/>
      </c>
      <c r="K222" s="8" t="str">
        <f>IF($B222="","",_xlfn.LET(
_xlpm.受入,SUMIFS(tbl_ledger[数量],tbl_ledger[ロットID],$B222,tbl_ledger[イベント種類],"発送準備開始"),
_xlpm.充当受入,SUMIFS(tbl_ledger[数量],tbl_ledger[充当先ロットID],$B222,tbl_ledger[イベント種類],"充当",tbl_ledger[元状態],K$1),
_xlpm.払出,SUMIFS(tbl_ledger[数量],tbl_ledger[ロットID],$B222,tbl_ledger[元状態],K$1),
_xlpm.受入+_xlpm.充当受入-_xlpm.払出))</f>
        <v/>
      </c>
      <c r="L222" s="8" t="str">
        <f>IF($B222="","",_xlfn.LET(
_xlpm.受入,SUMIFS(tbl_ledger[数量],tbl_ledger[ロットID],$B222,tbl_ledger[イベント種類],"発送準備完了"),
_xlpm.充当受入,SUMIFS(tbl_ledger[数量],tbl_ledger[充当先ロットID],$B222,tbl_ledger[イベント種類],"充当",tbl_ledger[元状態],L$1),
_xlpm.払出,SUMIFS(tbl_ledger[数量],tbl_ledger[ロットID],$B222,tbl_ledger[元状態],L$1),
_xlpm.受入+_xlpm.充当受入-_xlpm.払出))</f>
        <v/>
      </c>
      <c r="M222" s="8" t="str">
        <f>IF($B222="","",_xlfn.LET(
_xlpm.受入,SUMIFS(tbl_ledger[数量],tbl_ledger[ロットID],$B222,tbl_ledger[イベント種類],"不良発生"),
_xlpm.充当受入,SUMIFS(tbl_ledger[数量],tbl_ledger[充当先ロットID],$B222,tbl_ledger[イベント種類],"充当",tbl_ledger[元状態],M$1),
_xlpm.払出,SUMIFS(tbl_ledger[数量],tbl_ledger[ロットID],$B222,tbl_ledger[元状態],M$1),
_xlpm.受入+_xlpm.充当受入-_xlpm.払出))</f>
        <v/>
      </c>
      <c r="N222" s="8" t="str">
        <f t="shared" si="7"/>
        <v/>
      </c>
    </row>
    <row r="223" spans="1:14" ht="15" customHeight="1" x14ac:dyDescent="0.25">
      <c r="A223" s="4" t="str">
        <f t="shared" si="6"/>
        <v/>
      </c>
      <c r="B223" s="4" t="str">
        <f>IFERROR(IF(COUNTIF($B$1:$B222,INDEX(tbl_plan[ロットID],ROW()-1))&gt;0,"",INDEX(tbl_plan[ロットID],ROW()-1)),"")</f>
        <v/>
      </c>
      <c r="C223" s="4" t="str">
        <f>IF($B223="","",INDEX(tbl_plan[localId],ROW()-1))</f>
        <v/>
      </c>
      <c r="D223" s="8" t="str">
        <f>IF($B223="","",_xlfn.LET(
_xlpm.割当受入,SUMIF(V_充足確認!$A$2:$A$301,$B223,V_充足確認!$F$2:$F$301),
_xlpm.充当受入,SUMIFS(tbl_ledger[数量],tbl_ledger[充当先ロットID],$B223,tbl_ledger[イベント種類],"充当",tbl_ledger[元状態],D$1),
_xlpm.払出,SUMIFS(tbl_ledger[数量],tbl_ledger[ロットID],$B223,tbl_ledger[元状態],D$1),
_xlpm.割当受入+_xlpm.充当受入-_xlpm.払出))</f>
        <v/>
      </c>
      <c r="E223" s="8" t="str">
        <f>IF($B223="","",_xlfn.LET(
_xlpm.受入,SUMIFS(tbl_ledger[数量],tbl_ledger[ロットID],$B223,tbl_ledger[イベント種類],"アニール開始"),
_xlpm.充当受入,SUMIFS(tbl_ledger[数量],tbl_ledger[充当先ロットID],$B223,tbl_ledger[イベント種類],"充当",tbl_ledger[元状態],E$1),
_xlpm.払出,SUMIFS(tbl_ledger[数量],tbl_ledger[ロットID],$B223,tbl_ledger[元状態],E$1),
_xlpm.受入+_xlpm.充当受入-_xlpm.払出))</f>
        <v/>
      </c>
      <c r="F223" s="8" t="str">
        <f>IF($B223="","",_xlfn.LET(
_xlpm.受入,SUMIFS(tbl_ledger[数量],tbl_ledger[ロットID],$B223,tbl_ledger[イベント種類],"アニール完了"),
_xlpm.充当受入,SUMIFS(tbl_ledger[数量],tbl_ledger[充当先ロットID],$B223,tbl_ledger[イベント種類],"充当",tbl_ledger[元状態],F$1),
_xlpm.払出,SUMIFS(tbl_ledger[数量],tbl_ledger[ロットID],$B223,tbl_ledger[元状態],F$1),
_xlpm.受入+_xlpm.充当受入-_xlpm.払出))</f>
        <v/>
      </c>
      <c r="G223" s="8" t="str">
        <f>IF($B223="","",_xlfn.LET(
_xlpm.受入,SUMIFS(tbl_ledger[数量],tbl_ledger[ロットID],$B223,tbl_ledger[イベント種類],"アセンブリ開始"),
_xlpm.充当受入,SUMIFS(tbl_ledger[数量],tbl_ledger[充当先ロットID],$B223,tbl_ledger[イベント種類],"充当",tbl_ledger[元状態],G$1),
_xlpm.払出,SUMIFS(tbl_ledger[数量],tbl_ledger[ロットID],$B223,tbl_ledger[元状態],G$1),
_xlpm.受入+_xlpm.充当受入-_xlpm.払出))</f>
        <v/>
      </c>
      <c r="H223" s="8" t="str">
        <f>IF($B223="","",_xlfn.LET(
_xlpm.受入,SUMIFS(tbl_ledger[数量],tbl_ledger[ロットID],$B223,tbl_ledger[イベント種類],"アセンブリ完了"),
_xlpm.充当受入,SUMIFS(tbl_ledger[数量],tbl_ledger[充当先ロットID],$B223,tbl_ledger[イベント種類],"充当",tbl_ledger[元状態],H$1),
_xlpm.払出,SUMIFS(tbl_ledger[数量],tbl_ledger[ロットID],$B223,tbl_ledger[元状態],H$1),
_xlpm.受入+_xlpm.充当受入-_xlpm.払出))</f>
        <v/>
      </c>
      <c r="I223" s="8" t="str">
        <f>IF($B223="","",_xlfn.LET(
_xlpm.受入,SUMIFS(tbl_ledger[数量],tbl_ledger[ロットID],$B223,tbl_ledger[イベント種類],"梱包開始"),
_xlpm.充当受入,SUMIFS(tbl_ledger[数量],tbl_ledger[充当先ロットID],$B223,tbl_ledger[イベント種類],"充当",tbl_ledger[元状態],I$1),
_xlpm.払出,SUMIFS(tbl_ledger[数量],tbl_ledger[ロットID],$B223,tbl_ledger[元状態],I$1),
_xlpm.受入+_xlpm.充当受入-_xlpm.払出))</f>
        <v/>
      </c>
      <c r="J223" s="8" t="str">
        <f>IF($B223="","",_xlfn.LET(
_xlpm.受入,SUMIFS(tbl_ledger[数量],tbl_ledger[ロットID],$B223,tbl_ledger[イベント種類],"梱包完了"),
_xlpm.充当受入,SUMIFS(tbl_ledger[数量],tbl_ledger[充当先ロットID],$B223,tbl_ledger[イベント種類],"充当",tbl_ledger[元状態],J$1),
_xlpm.払出,SUMIFS(tbl_ledger[数量],tbl_ledger[ロットID],$B223,tbl_ledger[元状態],J$1),
_xlpm.受入+_xlpm.充当受入-_xlpm.払出))</f>
        <v/>
      </c>
      <c r="K223" s="8" t="str">
        <f>IF($B223="","",_xlfn.LET(
_xlpm.受入,SUMIFS(tbl_ledger[数量],tbl_ledger[ロットID],$B223,tbl_ledger[イベント種類],"発送準備開始"),
_xlpm.充当受入,SUMIFS(tbl_ledger[数量],tbl_ledger[充当先ロットID],$B223,tbl_ledger[イベント種類],"充当",tbl_ledger[元状態],K$1),
_xlpm.払出,SUMIFS(tbl_ledger[数量],tbl_ledger[ロットID],$B223,tbl_ledger[元状態],K$1),
_xlpm.受入+_xlpm.充当受入-_xlpm.払出))</f>
        <v/>
      </c>
      <c r="L223" s="8" t="str">
        <f>IF($B223="","",_xlfn.LET(
_xlpm.受入,SUMIFS(tbl_ledger[数量],tbl_ledger[ロットID],$B223,tbl_ledger[イベント種類],"発送準備完了"),
_xlpm.充当受入,SUMIFS(tbl_ledger[数量],tbl_ledger[充当先ロットID],$B223,tbl_ledger[イベント種類],"充当",tbl_ledger[元状態],L$1),
_xlpm.払出,SUMIFS(tbl_ledger[数量],tbl_ledger[ロットID],$B223,tbl_ledger[元状態],L$1),
_xlpm.受入+_xlpm.充当受入-_xlpm.払出))</f>
        <v/>
      </c>
      <c r="M223" s="8" t="str">
        <f>IF($B223="","",_xlfn.LET(
_xlpm.受入,SUMIFS(tbl_ledger[数量],tbl_ledger[ロットID],$B223,tbl_ledger[イベント種類],"不良発生"),
_xlpm.充当受入,SUMIFS(tbl_ledger[数量],tbl_ledger[充当先ロットID],$B223,tbl_ledger[イベント種類],"充当",tbl_ledger[元状態],M$1),
_xlpm.払出,SUMIFS(tbl_ledger[数量],tbl_ledger[ロットID],$B223,tbl_ledger[元状態],M$1),
_xlpm.受入+_xlpm.充当受入-_xlpm.払出))</f>
        <v/>
      </c>
      <c r="N223" s="8" t="str">
        <f t="shared" si="7"/>
        <v/>
      </c>
    </row>
    <row r="224" spans="1:14" ht="15" customHeight="1" x14ac:dyDescent="0.25">
      <c r="A224" s="4" t="str">
        <f t="shared" si="6"/>
        <v/>
      </c>
      <c r="B224" s="4" t="str">
        <f>IFERROR(IF(COUNTIF($B$1:$B223,INDEX(tbl_plan[ロットID],ROW()-1))&gt;0,"",INDEX(tbl_plan[ロットID],ROW()-1)),"")</f>
        <v/>
      </c>
      <c r="C224" s="4" t="str">
        <f>IF($B224="","",INDEX(tbl_plan[localId],ROW()-1))</f>
        <v/>
      </c>
      <c r="D224" s="8" t="str">
        <f>IF($B224="","",_xlfn.LET(
_xlpm.割当受入,SUMIF(V_充足確認!$A$2:$A$301,$B224,V_充足確認!$F$2:$F$301),
_xlpm.充当受入,SUMIFS(tbl_ledger[数量],tbl_ledger[充当先ロットID],$B224,tbl_ledger[イベント種類],"充当",tbl_ledger[元状態],D$1),
_xlpm.払出,SUMIFS(tbl_ledger[数量],tbl_ledger[ロットID],$B224,tbl_ledger[元状態],D$1),
_xlpm.割当受入+_xlpm.充当受入-_xlpm.払出))</f>
        <v/>
      </c>
      <c r="E224" s="8" t="str">
        <f>IF($B224="","",_xlfn.LET(
_xlpm.受入,SUMIFS(tbl_ledger[数量],tbl_ledger[ロットID],$B224,tbl_ledger[イベント種類],"アニール開始"),
_xlpm.充当受入,SUMIFS(tbl_ledger[数量],tbl_ledger[充当先ロットID],$B224,tbl_ledger[イベント種類],"充当",tbl_ledger[元状態],E$1),
_xlpm.払出,SUMIFS(tbl_ledger[数量],tbl_ledger[ロットID],$B224,tbl_ledger[元状態],E$1),
_xlpm.受入+_xlpm.充当受入-_xlpm.払出))</f>
        <v/>
      </c>
      <c r="F224" s="8" t="str">
        <f>IF($B224="","",_xlfn.LET(
_xlpm.受入,SUMIFS(tbl_ledger[数量],tbl_ledger[ロットID],$B224,tbl_ledger[イベント種類],"アニール完了"),
_xlpm.充当受入,SUMIFS(tbl_ledger[数量],tbl_ledger[充当先ロットID],$B224,tbl_ledger[イベント種類],"充当",tbl_ledger[元状態],F$1),
_xlpm.払出,SUMIFS(tbl_ledger[数量],tbl_ledger[ロットID],$B224,tbl_ledger[元状態],F$1),
_xlpm.受入+_xlpm.充当受入-_xlpm.払出))</f>
        <v/>
      </c>
      <c r="G224" s="8" t="str">
        <f>IF($B224="","",_xlfn.LET(
_xlpm.受入,SUMIFS(tbl_ledger[数量],tbl_ledger[ロットID],$B224,tbl_ledger[イベント種類],"アセンブリ開始"),
_xlpm.充当受入,SUMIFS(tbl_ledger[数量],tbl_ledger[充当先ロットID],$B224,tbl_ledger[イベント種類],"充当",tbl_ledger[元状態],G$1),
_xlpm.払出,SUMIFS(tbl_ledger[数量],tbl_ledger[ロットID],$B224,tbl_ledger[元状態],G$1),
_xlpm.受入+_xlpm.充当受入-_xlpm.払出))</f>
        <v/>
      </c>
      <c r="H224" s="8" t="str">
        <f>IF($B224="","",_xlfn.LET(
_xlpm.受入,SUMIFS(tbl_ledger[数量],tbl_ledger[ロットID],$B224,tbl_ledger[イベント種類],"アセンブリ完了"),
_xlpm.充当受入,SUMIFS(tbl_ledger[数量],tbl_ledger[充当先ロットID],$B224,tbl_ledger[イベント種類],"充当",tbl_ledger[元状態],H$1),
_xlpm.払出,SUMIFS(tbl_ledger[数量],tbl_ledger[ロットID],$B224,tbl_ledger[元状態],H$1),
_xlpm.受入+_xlpm.充当受入-_xlpm.払出))</f>
        <v/>
      </c>
      <c r="I224" s="8" t="str">
        <f>IF($B224="","",_xlfn.LET(
_xlpm.受入,SUMIFS(tbl_ledger[数量],tbl_ledger[ロットID],$B224,tbl_ledger[イベント種類],"梱包開始"),
_xlpm.充当受入,SUMIFS(tbl_ledger[数量],tbl_ledger[充当先ロットID],$B224,tbl_ledger[イベント種類],"充当",tbl_ledger[元状態],I$1),
_xlpm.払出,SUMIFS(tbl_ledger[数量],tbl_ledger[ロットID],$B224,tbl_ledger[元状態],I$1),
_xlpm.受入+_xlpm.充当受入-_xlpm.払出))</f>
        <v/>
      </c>
      <c r="J224" s="8" t="str">
        <f>IF($B224="","",_xlfn.LET(
_xlpm.受入,SUMIFS(tbl_ledger[数量],tbl_ledger[ロットID],$B224,tbl_ledger[イベント種類],"梱包完了"),
_xlpm.充当受入,SUMIFS(tbl_ledger[数量],tbl_ledger[充当先ロットID],$B224,tbl_ledger[イベント種類],"充当",tbl_ledger[元状態],J$1),
_xlpm.払出,SUMIFS(tbl_ledger[数量],tbl_ledger[ロットID],$B224,tbl_ledger[元状態],J$1),
_xlpm.受入+_xlpm.充当受入-_xlpm.払出))</f>
        <v/>
      </c>
      <c r="K224" s="8" t="str">
        <f>IF($B224="","",_xlfn.LET(
_xlpm.受入,SUMIFS(tbl_ledger[数量],tbl_ledger[ロットID],$B224,tbl_ledger[イベント種類],"発送準備開始"),
_xlpm.充当受入,SUMIFS(tbl_ledger[数量],tbl_ledger[充当先ロットID],$B224,tbl_ledger[イベント種類],"充当",tbl_ledger[元状態],K$1),
_xlpm.払出,SUMIFS(tbl_ledger[数量],tbl_ledger[ロットID],$B224,tbl_ledger[元状態],K$1),
_xlpm.受入+_xlpm.充当受入-_xlpm.払出))</f>
        <v/>
      </c>
      <c r="L224" s="8" t="str">
        <f>IF($B224="","",_xlfn.LET(
_xlpm.受入,SUMIFS(tbl_ledger[数量],tbl_ledger[ロットID],$B224,tbl_ledger[イベント種類],"発送準備完了"),
_xlpm.充当受入,SUMIFS(tbl_ledger[数量],tbl_ledger[充当先ロットID],$B224,tbl_ledger[イベント種類],"充当",tbl_ledger[元状態],L$1),
_xlpm.払出,SUMIFS(tbl_ledger[数量],tbl_ledger[ロットID],$B224,tbl_ledger[元状態],L$1),
_xlpm.受入+_xlpm.充当受入-_xlpm.払出))</f>
        <v/>
      </c>
      <c r="M224" s="8" t="str">
        <f>IF($B224="","",_xlfn.LET(
_xlpm.受入,SUMIFS(tbl_ledger[数量],tbl_ledger[ロットID],$B224,tbl_ledger[イベント種類],"不良発生"),
_xlpm.充当受入,SUMIFS(tbl_ledger[数量],tbl_ledger[充当先ロットID],$B224,tbl_ledger[イベント種類],"充当",tbl_ledger[元状態],M$1),
_xlpm.払出,SUMIFS(tbl_ledger[数量],tbl_ledger[ロットID],$B224,tbl_ledger[元状態],M$1),
_xlpm.受入+_xlpm.充当受入-_xlpm.払出))</f>
        <v/>
      </c>
      <c r="N224" s="8" t="str">
        <f t="shared" si="7"/>
        <v/>
      </c>
    </row>
    <row r="225" spans="1:14" ht="15" customHeight="1" x14ac:dyDescent="0.25">
      <c r="A225" s="4" t="str">
        <f t="shared" si="6"/>
        <v/>
      </c>
      <c r="B225" s="4" t="str">
        <f>IFERROR(IF(COUNTIF($B$1:$B224,INDEX(tbl_plan[ロットID],ROW()-1))&gt;0,"",INDEX(tbl_plan[ロットID],ROW()-1)),"")</f>
        <v/>
      </c>
      <c r="C225" s="4" t="str">
        <f>IF($B225="","",INDEX(tbl_plan[localId],ROW()-1))</f>
        <v/>
      </c>
      <c r="D225" s="8" t="str">
        <f>IF($B225="","",_xlfn.LET(
_xlpm.割当受入,SUMIF(V_充足確認!$A$2:$A$301,$B225,V_充足確認!$F$2:$F$301),
_xlpm.充当受入,SUMIFS(tbl_ledger[数量],tbl_ledger[充当先ロットID],$B225,tbl_ledger[イベント種類],"充当",tbl_ledger[元状態],D$1),
_xlpm.払出,SUMIFS(tbl_ledger[数量],tbl_ledger[ロットID],$B225,tbl_ledger[元状態],D$1),
_xlpm.割当受入+_xlpm.充当受入-_xlpm.払出))</f>
        <v/>
      </c>
      <c r="E225" s="8" t="str">
        <f>IF($B225="","",_xlfn.LET(
_xlpm.受入,SUMIFS(tbl_ledger[数量],tbl_ledger[ロットID],$B225,tbl_ledger[イベント種類],"アニール開始"),
_xlpm.充当受入,SUMIFS(tbl_ledger[数量],tbl_ledger[充当先ロットID],$B225,tbl_ledger[イベント種類],"充当",tbl_ledger[元状態],E$1),
_xlpm.払出,SUMIFS(tbl_ledger[数量],tbl_ledger[ロットID],$B225,tbl_ledger[元状態],E$1),
_xlpm.受入+_xlpm.充当受入-_xlpm.払出))</f>
        <v/>
      </c>
      <c r="F225" s="8" t="str">
        <f>IF($B225="","",_xlfn.LET(
_xlpm.受入,SUMIFS(tbl_ledger[数量],tbl_ledger[ロットID],$B225,tbl_ledger[イベント種類],"アニール完了"),
_xlpm.充当受入,SUMIFS(tbl_ledger[数量],tbl_ledger[充当先ロットID],$B225,tbl_ledger[イベント種類],"充当",tbl_ledger[元状態],F$1),
_xlpm.払出,SUMIFS(tbl_ledger[数量],tbl_ledger[ロットID],$B225,tbl_ledger[元状態],F$1),
_xlpm.受入+_xlpm.充当受入-_xlpm.払出))</f>
        <v/>
      </c>
      <c r="G225" s="8" t="str">
        <f>IF($B225="","",_xlfn.LET(
_xlpm.受入,SUMIFS(tbl_ledger[数量],tbl_ledger[ロットID],$B225,tbl_ledger[イベント種類],"アセンブリ開始"),
_xlpm.充当受入,SUMIFS(tbl_ledger[数量],tbl_ledger[充当先ロットID],$B225,tbl_ledger[イベント種類],"充当",tbl_ledger[元状態],G$1),
_xlpm.払出,SUMIFS(tbl_ledger[数量],tbl_ledger[ロットID],$B225,tbl_ledger[元状態],G$1),
_xlpm.受入+_xlpm.充当受入-_xlpm.払出))</f>
        <v/>
      </c>
      <c r="H225" s="8" t="str">
        <f>IF($B225="","",_xlfn.LET(
_xlpm.受入,SUMIFS(tbl_ledger[数量],tbl_ledger[ロットID],$B225,tbl_ledger[イベント種類],"アセンブリ完了"),
_xlpm.充当受入,SUMIFS(tbl_ledger[数量],tbl_ledger[充当先ロットID],$B225,tbl_ledger[イベント種類],"充当",tbl_ledger[元状態],H$1),
_xlpm.払出,SUMIFS(tbl_ledger[数量],tbl_ledger[ロットID],$B225,tbl_ledger[元状態],H$1),
_xlpm.受入+_xlpm.充当受入-_xlpm.払出))</f>
        <v/>
      </c>
      <c r="I225" s="8" t="str">
        <f>IF($B225="","",_xlfn.LET(
_xlpm.受入,SUMIFS(tbl_ledger[数量],tbl_ledger[ロットID],$B225,tbl_ledger[イベント種類],"梱包開始"),
_xlpm.充当受入,SUMIFS(tbl_ledger[数量],tbl_ledger[充当先ロットID],$B225,tbl_ledger[イベント種類],"充当",tbl_ledger[元状態],I$1),
_xlpm.払出,SUMIFS(tbl_ledger[数量],tbl_ledger[ロットID],$B225,tbl_ledger[元状態],I$1),
_xlpm.受入+_xlpm.充当受入-_xlpm.払出))</f>
        <v/>
      </c>
      <c r="J225" s="8" t="str">
        <f>IF($B225="","",_xlfn.LET(
_xlpm.受入,SUMIFS(tbl_ledger[数量],tbl_ledger[ロットID],$B225,tbl_ledger[イベント種類],"梱包完了"),
_xlpm.充当受入,SUMIFS(tbl_ledger[数量],tbl_ledger[充当先ロットID],$B225,tbl_ledger[イベント種類],"充当",tbl_ledger[元状態],J$1),
_xlpm.払出,SUMIFS(tbl_ledger[数量],tbl_ledger[ロットID],$B225,tbl_ledger[元状態],J$1),
_xlpm.受入+_xlpm.充当受入-_xlpm.払出))</f>
        <v/>
      </c>
      <c r="K225" s="8" t="str">
        <f>IF($B225="","",_xlfn.LET(
_xlpm.受入,SUMIFS(tbl_ledger[数量],tbl_ledger[ロットID],$B225,tbl_ledger[イベント種類],"発送準備開始"),
_xlpm.充当受入,SUMIFS(tbl_ledger[数量],tbl_ledger[充当先ロットID],$B225,tbl_ledger[イベント種類],"充当",tbl_ledger[元状態],K$1),
_xlpm.払出,SUMIFS(tbl_ledger[数量],tbl_ledger[ロットID],$B225,tbl_ledger[元状態],K$1),
_xlpm.受入+_xlpm.充当受入-_xlpm.払出))</f>
        <v/>
      </c>
      <c r="L225" s="8" t="str">
        <f>IF($B225="","",_xlfn.LET(
_xlpm.受入,SUMIFS(tbl_ledger[数量],tbl_ledger[ロットID],$B225,tbl_ledger[イベント種類],"発送準備完了"),
_xlpm.充当受入,SUMIFS(tbl_ledger[数量],tbl_ledger[充当先ロットID],$B225,tbl_ledger[イベント種類],"充当",tbl_ledger[元状態],L$1),
_xlpm.払出,SUMIFS(tbl_ledger[数量],tbl_ledger[ロットID],$B225,tbl_ledger[元状態],L$1),
_xlpm.受入+_xlpm.充当受入-_xlpm.払出))</f>
        <v/>
      </c>
      <c r="M225" s="8" t="str">
        <f>IF($B225="","",_xlfn.LET(
_xlpm.受入,SUMIFS(tbl_ledger[数量],tbl_ledger[ロットID],$B225,tbl_ledger[イベント種類],"不良発生"),
_xlpm.充当受入,SUMIFS(tbl_ledger[数量],tbl_ledger[充当先ロットID],$B225,tbl_ledger[イベント種類],"充当",tbl_ledger[元状態],M$1),
_xlpm.払出,SUMIFS(tbl_ledger[数量],tbl_ledger[ロットID],$B225,tbl_ledger[元状態],M$1),
_xlpm.受入+_xlpm.充当受入-_xlpm.払出))</f>
        <v/>
      </c>
      <c r="N225" s="8" t="str">
        <f t="shared" si="7"/>
        <v/>
      </c>
    </row>
    <row r="226" spans="1:14" ht="15" customHeight="1" x14ac:dyDescent="0.25">
      <c r="A226" s="4" t="str">
        <f t="shared" si="6"/>
        <v/>
      </c>
      <c r="B226" s="4" t="str">
        <f>IFERROR(IF(COUNTIF($B$1:$B225,INDEX(tbl_plan[ロットID],ROW()-1))&gt;0,"",INDEX(tbl_plan[ロットID],ROW()-1)),"")</f>
        <v/>
      </c>
      <c r="C226" s="4" t="str">
        <f>IF($B226="","",INDEX(tbl_plan[localId],ROW()-1))</f>
        <v/>
      </c>
      <c r="D226" s="8" t="str">
        <f>IF($B226="","",_xlfn.LET(
_xlpm.割当受入,SUMIF(V_充足確認!$A$2:$A$301,$B226,V_充足確認!$F$2:$F$301),
_xlpm.充当受入,SUMIFS(tbl_ledger[数量],tbl_ledger[充当先ロットID],$B226,tbl_ledger[イベント種類],"充当",tbl_ledger[元状態],D$1),
_xlpm.払出,SUMIFS(tbl_ledger[数量],tbl_ledger[ロットID],$B226,tbl_ledger[元状態],D$1),
_xlpm.割当受入+_xlpm.充当受入-_xlpm.払出))</f>
        <v/>
      </c>
      <c r="E226" s="8" t="str">
        <f>IF($B226="","",_xlfn.LET(
_xlpm.受入,SUMIFS(tbl_ledger[数量],tbl_ledger[ロットID],$B226,tbl_ledger[イベント種類],"アニール開始"),
_xlpm.充当受入,SUMIFS(tbl_ledger[数量],tbl_ledger[充当先ロットID],$B226,tbl_ledger[イベント種類],"充当",tbl_ledger[元状態],E$1),
_xlpm.払出,SUMIFS(tbl_ledger[数量],tbl_ledger[ロットID],$B226,tbl_ledger[元状態],E$1),
_xlpm.受入+_xlpm.充当受入-_xlpm.払出))</f>
        <v/>
      </c>
      <c r="F226" s="8" t="str">
        <f>IF($B226="","",_xlfn.LET(
_xlpm.受入,SUMIFS(tbl_ledger[数量],tbl_ledger[ロットID],$B226,tbl_ledger[イベント種類],"アニール完了"),
_xlpm.充当受入,SUMIFS(tbl_ledger[数量],tbl_ledger[充当先ロットID],$B226,tbl_ledger[イベント種類],"充当",tbl_ledger[元状態],F$1),
_xlpm.払出,SUMIFS(tbl_ledger[数量],tbl_ledger[ロットID],$B226,tbl_ledger[元状態],F$1),
_xlpm.受入+_xlpm.充当受入-_xlpm.払出))</f>
        <v/>
      </c>
      <c r="G226" s="8" t="str">
        <f>IF($B226="","",_xlfn.LET(
_xlpm.受入,SUMIFS(tbl_ledger[数量],tbl_ledger[ロットID],$B226,tbl_ledger[イベント種類],"アセンブリ開始"),
_xlpm.充当受入,SUMIFS(tbl_ledger[数量],tbl_ledger[充当先ロットID],$B226,tbl_ledger[イベント種類],"充当",tbl_ledger[元状態],G$1),
_xlpm.払出,SUMIFS(tbl_ledger[数量],tbl_ledger[ロットID],$B226,tbl_ledger[元状態],G$1),
_xlpm.受入+_xlpm.充当受入-_xlpm.払出))</f>
        <v/>
      </c>
      <c r="H226" s="8" t="str">
        <f>IF($B226="","",_xlfn.LET(
_xlpm.受入,SUMIFS(tbl_ledger[数量],tbl_ledger[ロットID],$B226,tbl_ledger[イベント種類],"アセンブリ完了"),
_xlpm.充当受入,SUMIFS(tbl_ledger[数量],tbl_ledger[充当先ロットID],$B226,tbl_ledger[イベント種類],"充当",tbl_ledger[元状態],H$1),
_xlpm.払出,SUMIFS(tbl_ledger[数量],tbl_ledger[ロットID],$B226,tbl_ledger[元状態],H$1),
_xlpm.受入+_xlpm.充当受入-_xlpm.払出))</f>
        <v/>
      </c>
      <c r="I226" s="8" t="str">
        <f>IF($B226="","",_xlfn.LET(
_xlpm.受入,SUMIFS(tbl_ledger[数量],tbl_ledger[ロットID],$B226,tbl_ledger[イベント種類],"梱包開始"),
_xlpm.充当受入,SUMIFS(tbl_ledger[数量],tbl_ledger[充当先ロットID],$B226,tbl_ledger[イベント種類],"充当",tbl_ledger[元状態],I$1),
_xlpm.払出,SUMIFS(tbl_ledger[数量],tbl_ledger[ロットID],$B226,tbl_ledger[元状態],I$1),
_xlpm.受入+_xlpm.充当受入-_xlpm.払出))</f>
        <v/>
      </c>
      <c r="J226" s="8" t="str">
        <f>IF($B226="","",_xlfn.LET(
_xlpm.受入,SUMIFS(tbl_ledger[数量],tbl_ledger[ロットID],$B226,tbl_ledger[イベント種類],"梱包完了"),
_xlpm.充当受入,SUMIFS(tbl_ledger[数量],tbl_ledger[充当先ロットID],$B226,tbl_ledger[イベント種類],"充当",tbl_ledger[元状態],J$1),
_xlpm.払出,SUMIFS(tbl_ledger[数量],tbl_ledger[ロットID],$B226,tbl_ledger[元状態],J$1),
_xlpm.受入+_xlpm.充当受入-_xlpm.払出))</f>
        <v/>
      </c>
      <c r="K226" s="8" t="str">
        <f>IF($B226="","",_xlfn.LET(
_xlpm.受入,SUMIFS(tbl_ledger[数量],tbl_ledger[ロットID],$B226,tbl_ledger[イベント種類],"発送準備開始"),
_xlpm.充当受入,SUMIFS(tbl_ledger[数量],tbl_ledger[充当先ロットID],$B226,tbl_ledger[イベント種類],"充当",tbl_ledger[元状態],K$1),
_xlpm.払出,SUMIFS(tbl_ledger[数量],tbl_ledger[ロットID],$B226,tbl_ledger[元状態],K$1),
_xlpm.受入+_xlpm.充当受入-_xlpm.払出))</f>
        <v/>
      </c>
      <c r="L226" s="8" t="str">
        <f>IF($B226="","",_xlfn.LET(
_xlpm.受入,SUMIFS(tbl_ledger[数量],tbl_ledger[ロットID],$B226,tbl_ledger[イベント種類],"発送準備完了"),
_xlpm.充当受入,SUMIFS(tbl_ledger[数量],tbl_ledger[充当先ロットID],$B226,tbl_ledger[イベント種類],"充当",tbl_ledger[元状態],L$1),
_xlpm.払出,SUMIFS(tbl_ledger[数量],tbl_ledger[ロットID],$B226,tbl_ledger[元状態],L$1),
_xlpm.受入+_xlpm.充当受入-_xlpm.払出))</f>
        <v/>
      </c>
      <c r="M226" s="8" t="str">
        <f>IF($B226="","",_xlfn.LET(
_xlpm.受入,SUMIFS(tbl_ledger[数量],tbl_ledger[ロットID],$B226,tbl_ledger[イベント種類],"不良発生"),
_xlpm.充当受入,SUMIFS(tbl_ledger[数量],tbl_ledger[充当先ロットID],$B226,tbl_ledger[イベント種類],"充当",tbl_ledger[元状態],M$1),
_xlpm.払出,SUMIFS(tbl_ledger[数量],tbl_ledger[ロットID],$B226,tbl_ledger[元状態],M$1),
_xlpm.受入+_xlpm.充当受入-_xlpm.払出))</f>
        <v/>
      </c>
      <c r="N226" s="8" t="str">
        <f t="shared" si="7"/>
        <v/>
      </c>
    </row>
    <row r="227" spans="1:14" ht="15" customHeight="1" x14ac:dyDescent="0.25">
      <c r="A227" s="4" t="str">
        <f t="shared" si="6"/>
        <v/>
      </c>
      <c r="B227" s="4" t="str">
        <f>IFERROR(IF(COUNTIF($B$1:$B226,INDEX(tbl_plan[ロットID],ROW()-1))&gt;0,"",INDEX(tbl_plan[ロットID],ROW()-1)),"")</f>
        <v/>
      </c>
      <c r="C227" s="4" t="str">
        <f>IF($B227="","",INDEX(tbl_plan[localId],ROW()-1))</f>
        <v/>
      </c>
      <c r="D227" s="8" t="str">
        <f>IF($B227="","",_xlfn.LET(
_xlpm.割当受入,SUMIF(V_充足確認!$A$2:$A$301,$B227,V_充足確認!$F$2:$F$301),
_xlpm.充当受入,SUMIFS(tbl_ledger[数量],tbl_ledger[充当先ロットID],$B227,tbl_ledger[イベント種類],"充当",tbl_ledger[元状態],D$1),
_xlpm.払出,SUMIFS(tbl_ledger[数量],tbl_ledger[ロットID],$B227,tbl_ledger[元状態],D$1),
_xlpm.割当受入+_xlpm.充当受入-_xlpm.払出))</f>
        <v/>
      </c>
      <c r="E227" s="8" t="str">
        <f>IF($B227="","",_xlfn.LET(
_xlpm.受入,SUMIFS(tbl_ledger[数量],tbl_ledger[ロットID],$B227,tbl_ledger[イベント種類],"アニール開始"),
_xlpm.充当受入,SUMIFS(tbl_ledger[数量],tbl_ledger[充当先ロットID],$B227,tbl_ledger[イベント種類],"充当",tbl_ledger[元状態],E$1),
_xlpm.払出,SUMIFS(tbl_ledger[数量],tbl_ledger[ロットID],$B227,tbl_ledger[元状態],E$1),
_xlpm.受入+_xlpm.充当受入-_xlpm.払出))</f>
        <v/>
      </c>
      <c r="F227" s="8" t="str">
        <f>IF($B227="","",_xlfn.LET(
_xlpm.受入,SUMIFS(tbl_ledger[数量],tbl_ledger[ロットID],$B227,tbl_ledger[イベント種類],"アニール完了"),
_xlpm.充当受入,SUMIFS(tbl_ledger[数量],tbl_ledger[充当先ロットID],$B227,tbl_ledger[イベント種類],"充当",tbl_ledger[元状態],F$1),
_xlpm.払出,SUMIFS(tbl_ledger[数量],tbl_ledger[ロットID],$B227,tbl_ledger[元状態],F$1),
_xlpm.受入+_xlpm.充当受入-_xlpm.払出))</f>
        <v/>
      </c>
      <c r="G227" s="8" t="str">
        <f>IF($B227="","",_xlfn.LET(
_xlpm.受入,SUMIFS(tbl_ledger[数量],tbl_ledger[ロットID],$B227,tbl_ledger[イベント種類],"アセンブリ開始"),
_xlpm.充当受入,SUMIFS(tbl_ledger[数量],tbl_ledger[充当先ロットID],$B227,tbl_ledger[イベント種類],"充当",tbl_ledger[元状態],G$1),
_xlpm.払出,SUMIFS(tbl_ledger[数量],tbl_ledger[ロットID],$B227,tbl_ledger[元状態],G$1),
_xlpm.受入+_xlpm.充当受入-_xlpm.払出))</f>
        <v/>
      </c>
      <c r="H227" s="8" t="str">
        <f>IF($B227="","",_xlfn.LET(
_xlpm.受入,SUMIFS(tbl_ledger[数量],tbl_ledger[ロットID],$B227,tbl_ledger[イベント種類],"アセンブリ完了"),
_xlpm.充当受入,SUMIFS(tbl_ledger[数量],tbl_ledger[充当先ロットID],$B227,tbl_ledger[イベント種類],"充当",tbl_ledger[元状態],H$1),
_xlpm.払出,SUMIFS(tbl_ledger[数量],tbl_ledger[ロットID],$B227,tbl_ledger[元状態],H$1),
_xlpm.受入+_xlpm.充当受入-_xlpm.払出))</f>
        <v/>
      </c>
      <c r="I227" s="8" t="str">
        <f>IF($B227="","",_xlfn.LET(
_xlpm.受入,SUMIFS(tbl_ledger[数量],tbl_ledger[ロットID],$B227,tbl_ledger[イベント種類],"梱包開始"),
_xlpm.充当受入,SUMIFS(tbl_ledger[数量],tbl_ledger[充当先ロットID],$B227,tbl_ledger[イベント種類],"充当",tbl_ledger[元状態],I$1),
_xlpm.払出,SUMIFS(tbl_ledger[数量],tbl_ledger[ロットID],$B227,tbl_ledger[元状態],I$1),
_xlpm.受入+_xlpm.充当受入-_xlpm.払出))</f>
        <v/>
      </c>
      <c r="J227" s="8" t="str">
        <f>IF($B227="","",_xlfn.LET(
_xlpm.受入,SUMIFS(tbl_ledger[数量],tbl_ledger[ロットID],$B227,tbl_ledger[イベント種類],"梱包完了"),
_xlpm.充当受入,SUMIFS(tbl_ledger[数量],tbl_ledger[充当先ロットID],$B227,tbl_ledger[イベント種類],"充当",tbl_ledger[元状態],J$1),
_xlpm.払出,SUMIFS(tbl_ledger[数量],tbl_ledger[ロットID],$B227,tbl_ledger[元状態],J$1),
_xlpm.受入+_xlpm.充当受入-_xlpm.払出))</f>
        <v/>
      </c>
      <c r="K227" s="8" t="str">
        <f>IF($B227="","",_xlfn.LET(
_xlpm.受入,SUMIFS(tbl_ledger[数量],tbl_ledger[ロットID],$B227,tbl_ledger[イベント種類],"発送準備開始"),
_xlpm.充当受入,SUMIFS(tbl_ledger[数量],tbl_ledger[充当先ロットID],$B227,tbl_ledger[イベント種類],"充当",tbl_ledger[元状態],K$1),
_xlpm.払出,SUMIFS(tbl_ledger[数量],tbl_ledger[ロットID],$B227,tbl_ledger[元状態],K$1),
_xlpm.受入+_xlpm.充当受入-_xlpm.払出))</f>
        <v/>
      </c>
      <c r="L227" s="8" t="str">
        <f>IF($B227="","",_xlfn.LET(
_xlpm.受入,SUMIFS(tbl_ledger[数量],tbl_ledger[ロットID],$B227,tbl_ledger[イベント種類],"発送準備完了"),
_xlpm.充当受入,SUMIFS(tbl_ledger[数量],tbl_ledger[充当先ロットID],$B227,tbl_ledger[イベント種類],"充当",tbl_ledger[元状態],L$1),
_xlpm.払出,SUMIFS(tbl_ledger[数量],tbl_ledger[ロットID],$B227,tbl_ledger[元状態],L$1),
_xlpm.受入+_xlpm.充当受入-_xlpm.払出))</f>
        <v/>
      </c>
      <c r="M227" s="8" t="str">
        <f>IF($B227="","",_xlfn.LET(
_xlpm.受入,SUMIFS(tbl_ledger[数量],tbl_ledger[ロットID],$B227,tbl_ledger[イベント種類],"不良発生"),
_xlpm.充当受入,SUMIFS(tbl_ledger[数量],tbl_ledger[充当先ロットID],$B227,tbl_ledger[イベント種類],"充当",tbl_ledger[元状態],M$1),
_xlpm.払出,SUMIFS(tbl_ledger[数量],tbl_ledger[ロットID],$B227,tbl_ledger[元状態],M$1),
_xlpm.受入+_xlpm.充当受入-_xlpm.払出))</f>
        <v/>
      </c>
      <c r="N227" s="8" t="str">
        <f t="shared" si="7"/>
        <v/>
      </c>
    </row>
    <row r="228" spans="1:14" ht="15" customHeight="1" x14ac:dyDescent="0.25">
      <c r="A228" s="4" t="str">
        <f t="shared" si="6"/>
        <v/>
      </c>
      <c r="B228" s="4" t="str">
        <f>IFERROR(IF(COUNTIF($B$1:$B227,INDEX(tbl_plan[ロットID],ROW()-1))&gt;0,"",INDEX(tbl_plan[ロットID],ROW()-1)),"")</f>
        <v/>
      </c>
      <c r="C228" s="4" t="str">
        <f>IF($B228="","",INDEX(tbl_plan[localId],ROW()-1))</f>
        <v/>
      </c>
      <c r="D228" s="8" t="str">
        <f>IF($B228="","",_xlfn.LET(
_xlpm.割当受入,SUMIF(V_充足確認!$A$2:$A$301,$B228,V_充足確認!$F$2:$F$301),
_xlpm.充当受入,SUMIFS(tbl_ledger[数量],tbl_ledger[充当先ロットID],$B228,tbl_ledger[イベント種類],"充当",tbl_ledger[元状態],D$1),
_xlpm.払出,SUMIFS(tbl_ledger[数量],tbl_ledger[ロットID],$B228,tbl_ledger[元状態],D$1),
_xlpm.割当受入+_xlpm.充当受入-_xlpm.払出))</f>
        <v/>
      </c>
      <c r="E228" s="8" t="str">
        <f>IF($B228="","",_xlfn.LET(
_xlpm.受入,SUMIFS(tbl_ledger[数量],tbl_ledger[ロットID],$B228,tbl_ledger[イベント種類],"アニール開始"),
_xlpm.充当受入,SUMIFS(tbl_ledger[数量],tbl_ledger[充当先ロットID],$B228,tbl_ledger[イベント種類],"充当",tbl_ledger[元状態],E$1),
_xlpm.払出,SUMIFS(tbl_ledger[数量],tbl_ledger[ロットID],$B228,tbl_ledger[元状態],E$1),
_xlpm.受入+_xlpm.充当受入-_xlpm.払出))</f>
        <v/>
      </c>
      <c r="F228" s="8" t="str">
        <f>IF($B228="","",_xlfn.LET(
_xlpm.受入,SUMIFS(tbl_ledger[数量],tbl_ledger[ロットID],$B228,tbl_ledger[イベント種類],"アニール完了"),
_xlpm.充当受入,SUMIFS(tbl_ledger[数量],tbl_ledger[充当先ロットID],$B228,tbl_ledger[イベント種類],"充当",tbl_ledger[元状態],F$1),
_xlpm.払出,SUMIFS(tbl_ledger[数量],tbl_ledger[ロットID],$B228,tbl_ledger[元状態],F$1),
_xlpm.受入+_xlpm.充当受入-_xlpm.払出))</f>
        <v/>
      </c>
      <c r="G228" s="8" t="str">
        <f>IF($B228="","",_xlfn.LET(
_xlpm.受入,SUMIFS(tbl_ledger[数量],tbl_ledger[ロットID],$B228,tbl_ledger[イベント種類],"アセンブリ開始"),
_xlpm.充当受入,SUMIFS(tbl_ledger[数量],tbl_ledger[充当先ロットID],$B228,tbl_ledger[イベント種類],"充当",tbl_ledger[元状態],G$1),
_xlpm.払出,SUMIFS(tbl_ledger[数量],tbl_ledger[ロットID],$B228,tbl_ledger[元状態],G$1),
_xlpm.受入+_xlpm.充当受入-_xlpm.払出))</f>
        <v/>
      </c>
      <c r="H228" s="8" t="str">
        <f>IF($B228="","",_xlfn.LET(
_xlpm.受入,SUMIFS(tbl_ledger[数量],tbl_ledger[ロットID],$B228,tbl_ledger[イベント種類],"アセンブリ完了"),
_xlpm.充当受入,SUMIFS(tbl_ledger[数量],tbl_ledger[充当先ロットID],$B228,tbl_ledger[イベント種類],"充当",tbl_ledger[元状態],H$1),
_xlpm.払出,SUMIFS(tbl_ledger[数量],tbl_ledger[ロットID],$B228,tbl_ledger[元状態],H$1),
_xlpm.受入+_xlpm.充当受入-_xlpm.払出))</f>
        <v/>
      </c>
      <c r="I228" s="8" t="str">
        <f>IF($B228="","",_xlfn.LET(
_xlpm.受入,SUMIFS(tbl_ledger[数量],tbl_ledger[ロットID],$B228,tbl_ledger[イベント種類],"梱包開始"),
_xlpm.充当受入,SUMIFS(tbl_ledger[数量],tbl_ledger[充当先ロットID],$B228,tbl_ledger[イベント種類],"充当",tbl_ledger[元状態],I$1),
_xlpm.払出,SUMIFS(tbl_ledger[数量],tbl_ledger[ロットID],$B228,tbl_ledger[元状態],I$1),
_xlpm.受入+_xlpm.充当受入-_xlpm.払出))</f>
        <v/>
      </c>
      <c r="J228" s="8" t="str">
        <f>IF($B228="","",_xlfn.LET(
_xlpm.受入,SUMIFS(tbl_ledger[数量],tbl_ledger[ロットID],$B228,tbl_ledger[イベント種類],"梱包完了"),
_xlpm.充当受入,SUMIFS(tbl_ledger[数量],tbl_ledger[充当先ロットID],$B228,tbl_ledger[イベント種類],"充当",tbl_ledger[元状態],J$1),
_xlpm.払出,SUMIFS(tbl_ledger[数量],tbl_ledger[ロットID],$B228,tbl_ledger[元状態],J$1),
_xlpm.受入+_xlpm.充当受入-_xlpm.払出))</f>
        <v/>
      </c>
      <c r="K228" s="8" t="str">
        <f>IF($B228="","",_xlfn.LET(
_xlpm.受入,SUMIFS(tbl_ledger[数量],tbl_ledger[ロットID],$B228,tbl_ledger[イベント種類],"発送準備開始"),
_xlpm.充当受入,SUMIFS(tbl_ledger[数量],tbl_ledger[充当先ロットID],$B228,tbl_ledger[イベント種類],"充当",tbl_ledger[元状態],K$1),
_xlpm.払出,SUMIFS(tbl_ledger[数量],tbl_ledger[ロットID],$B228,tbl_ledger[元状態],K$1),
_xlpm.受入+_xlpm.充当受入-_xlpm.払出))</f>
        <v/>
      </c>
      <c r="L228" s="8" t="str">
        <f>IF($B228="","",_xlfn.LET(
_xlpm.受入,SUMIFS(tbl_ledger[数量],tbl_ledger[ロットID],$B228,tbl_ledger[イベント種類],"発送準備完了"),
_xlpm.充当受入,SUMIFS(tbl_ledger[数量],tbl_ledger[充当先ロットID],$B228,tbl_ledger[イベント種類],"充当",tbl_ledger[元状態],L$1),
_xlpm.払出,SUMIFS(tbl_ledger[数量],tbl_ledger[ロットID],$B228,tbl_ledger[元状態],L$1),
_xlpm.受入+_xlpm.充当受入-_xlpm.払出))</f>
        <v/>
      </c>
      <c r="M228" s="8" t="str">
        <f>IF($B228="","",_xlfn.LET(
_xlpm.受入,SUMIFS(tbl_ledger[数量],tbl_ledger[ロットID],$B228,tbl_ledger[イベント種類],"不良発生"),
_xlpm.充当受入,SUMIFS(tbl_ledger[数量],tbl_ledger[充当先ロットID],$B228,tbl_ledger[イベント種類],"充当",tbl_ledger[元状態],M$1),
_xlpm.払出,SUMIFS(tbl_ledger[数量],tbl_ledger[ロットID],$B228,tbl_ledger[元状態],M$1),
_xlpm.受入+_xlpm.充当受入-_xlpm.払出))</f>
        <v/>
      </c>
      <c r="N228" s="8" t="str">
        <f t="shared" si="7"/>
        <v/>
      </c>
    </row>
    <row r="229" spans="1:14" ht="15" customHeight="1" x14ac:dyDescent="0.25">
      <c r="A229" s="4" t="str">
        <f t="shared" si="6"/>
        <v/>
      </c>
      <c r="B229" s="4" t="str">
        <f>IFERROR(IF(COUNTIF($B$1:$B228,INDEX(tbl_plan[ロットID],ROW()-1))&gt;0,"",INDEX(tbl_plan[ロットID],ROW()-1)),"")</f>
        <v/>
      </c>
      <c r="C229" s="4" t="str">
        <f>IF($B229="","",INDEX(tbl_plan[localId],ROW()-1))</f>
        <v/>
      </c>
      <c r="D229" s="8" t="str">
        <f>IF($B229="","",_xlfn.LET(
_xlpm.割当受入,SUMIF(V_充足確認!$A$2:$A$301,$B229,V_充足確認!$F$2:$F$301),
_xlpm.充当受入,SUMIFS(tbl_ledger[数量],tbl_ledger[充当先ロットID],$B229,tbl_ledger[イベント種類],"充当",tbl_ledger[元状態],D$1),
_xlpm.払出,SUMIFS(tbl_ledger[数量],tbl_ledger[ロットID],$B229,tbl_ledger[元状態],D$1),
_xlpm.割当受入+_xlpm.充当受入-_xlpm.払出))</f>
        <v/>
      </c>
      <c r="E229" s="8" t="str">
        <f>IF($B229="","",_xlfn.LET(
_xlpm.受入,SUMIFS(tbl_ledger[数量],tbl_ledger[ロットID],$B229,tbl_ledger[イベント種類],"アニール開始"),
_xlpm.充当受入,SUMIFS(tbl_ledger[数量],tbl_ledger[充当先ロットID],$B229,tbl_ledger[イベント種類],"充当",tbl_ledger[元状態],E$1),
_xlpm.払出,SUMIFS(tbl_ledger[数量],tbl_ledger[ロットID],$B229,tbl_ledger[元状態],E$1),
_xlpm.受入+_xlpm.充当受入-_xlpm.払出))</f>
        <v/>
      </c>
      <c r="F229" s="8" t="str">
        <f>IF($B229="","",_xlfn.LET(
_xlpm.受入,SUMIFS(tbl_ledger[数量],tbl_ledger[ロットID],$B229,tbl_ledger[イベント種類],"アニール完了"),
_xlpm.充当受入,SUMIFS(tbl_ledger[数量],tbl_ledger[充当先ロットID],$B229,tbl_ledger[イベント種類],"充当",tbl_ledger[元状態],F$1),
_xlpm.払出,SUMIFS(tbl_ledger[数量],tbl_ledger[ロットID],$B229,tbl_ledger[元状態],F$1),
_xlpm.受入+_xlpm.充当受入-_xlpm.払出))</f>
        <v/>
      </c>
      <c r="G229" s="8" t="str">
        <f>IF($B229="","",_xlfn.LET(
_xlpm.受入,SUMIFS(tbl_ledger[数量],tbl_ledger[ロットID],$B229,tbl_ledger[イベント種類],"アセンブリ開始"),
_xlpm.充当受入,SUMIFS(tbl_ledger[数量],tbl_ledger[充当先ロットID],$B229,tbl_ledger[イベント種類],"充当",tbl_ledger[元状態],G$1),
_xlpm.払出,SUMIFS(tbl_ledger[数量],tbl_ledger[ロットID],$B229,tbl_ledger[元状態],G$1),
_xlpm.受入+_xlpm.充当受入-_xlpm.払出))</f>
        <v/>
      </c>
      <c r="H229" s="8" t="str">
        <f>IF($B229="","",_xlfn.LET(
_xlpm.受入,SUMIFS(tbl_ledger[数量],tbl_ledger[ロットID],$B229,tbl_ledger[イベント種類],"アセンブリ完了"),
_xlpm.充当受入,SUMIFS(tbl_ledger[数量],tbl_ledger[充当先ロットID],$B229,tbl_ledger[イベント種類],"充当",tbl_ledger[元状態],H$1),
_xlpm.払出,SUMIFS(tbl_ledger[数量],tbl_ledger[ロットID],$B229,tbl_ledger[元状態],H$1),
_xlpm.受入+_xlpm.充当受入-_xlpm.払出))</f>
        <v/>
      </c>
      <c r="I229" s="8" t="str">
        <f>IF($B229="","",_xlfn.LET(
_xlpm.受入,SUMIFS(tbl_ledger[数量],tbl_ledger[ロットID],$B229,tbl_ledger[イベント種類],"梱包開始"),
_xlpm.充当受入,SUMIFS(tbl_ledger[数量],tbl_ledger[充当先ロットID],$B229,tbl_ledger[イベント種類],"充当",tbl_ledger[元状態],I$1),
_xlpm.払出,SUMIFS(tbl_ledger[数量],tbl_ledger[ロットID],$B229,tbl_ledger[元状態],I$1),
_xlpm.受入+_xlpm.充当受入-_xlpm.払出))</f>
        <v/>
      </c>
      <c r="J229" s="8" t="str">
        <f>IF($B229="","",_xlfn.LET(
_xlpm.受入,SUMIFS(tbl_ledger[数量],tbl_ledger[ロットID],$B229,tbl_ledger[イベント種類],"梱包完了"),
_xlpm.充当受入,SUMIFS(tbl_ledger[数量],tbl_ledger[充当先ロットID],$B229,tbl_ledger[イベント種類],"充当",tbl_ledger[元状態],J$1),
_xlpm.払出,SUMIFS(tbl_ledger[数量],tbl_ledger[ロットID],$B229,tbl_ledger[元状態],J$1),
_xlpm.受入+_xlpm.充当受入-_xlpm.払出))</f>
        <v/>
      </c>
      <c r="K229" s="8" t="str">
        <f>IF($B229="","",_xlfn.LET(
_xlpm.受入,SUMIFS(tbl_ledger[数量],tbl_ledger[ロットID],$B229,tbl_ledger[イベント種類],"発送準備開始"),
_xlpm.充当受入,SUMIFS(tbl_ledger[数量],tbl_ledger[充当先ロットID],$B229,tbl_ledger[イベント種類],"充当",tbl_ledger[元状態],K$1),
_xlpm.払出,SUMIFS(tbl_ledger[数量],tbl_ledger[ロットID],$B229,tbl_ledger[元状態],K$1),
_xlpm.受入+_xlpm.充当受入-_xlpm.払出))</f>
        <v/>
      </c>
      <c r="L229" s="8" t="str">
        <f>IF($B229="","",_xlfn.LET(
_xlpm.受入,SUMIFS(tbl_ledger[数量],tbl_ledger[ロットID],$B229,tbl_ledger[イベント種類],"発送準備完了"),
_xlpm.充当受入,SUMIFS(tbl_ledger[数量],tbl_ledger[充当先ロットID],$B229,tbl_ledger[イベント種類],"充当",tbl_ledger[元状態],L$1),
_xlpm.払出,SUMIFS(tbl_ledger[数量],tbl_ledger[ロットID],$B229,tbl_ledger[元状態],L$1),
_xlpm.受入+_xlpm.充当受入-_xlpm.払出))</f>
        <v/>
      </c>
      <c r="M229" s="8" t="str">
        <f>IF($B229="","",_xlfn.LET(
_xlpm.受入,SUMIFS(tbl_ledger[数量],tbl_ledger[ロットID],$B229,tbl_ledger[イベント種類],"不良発生"),
_xlpm.充当受入,SUMIFS(tbl_ledger[数量],tbl_ledger[充当先ロットID],$B229,tbl_ledger[イベント種類],"充当",tbl_ledger[元状態],M$1),
_xlpm.払出,SUMIFS(tbl_ledger[数量],tbl_ledger[ロットID],$B229,tbl_ledger[元状態],M$1),
_xlpm.受入+_xlpm.充当受入-_xlpm.払出))</f>
        <v/>
      </c>
      <c r="N229" s="8" t="str">
        <f t="shared" si="7"/>
        <v/>
      </c>
    </row>
    <row r="230" spans="1:14" ht="15" customHeight="1" x14ac:dyDescent="0.25">
      <c r="A230" s="4" t="str">
        <f t="shared" si="6"/>
        <v/>
      </c>
      <c r="B230" s="4" t="str">
        <f>IFERROR(IF(COUNTIF($B$1:$B229,INDEX(tbl_plan[ロットID],ROW()-1))&gt;0,"",INDEX(tbl_plan[ロットID],ROW()-1)),"")</f>
        <v/>
      </c>
      <c r="C230" s="4" t="str">
        <f>IF($B230="","",INDEX(tbl_plan[localId],ROW()-1))</f>
        <v/>
      </c>
      <c r="D230" s="8" t="str">
        <f>IF($B230="","",_xlfn.LET(
_xlpm.割当受入,SUMIF(V_充足確認!$A$2:$A$301,$B230,V_充足確認!$F$2:$F$301),
_xlpm.充当受入,SUMIFS(tbl_ledger[数量],tbl_ledger[充当先ロットID],$B230,tbl_ledger[イベント種類],"充当",tbl_ledger[元状態],D$1),
_xlpm.払出,SUMIFS(tbl_ledger[数量],tbl_ledger[ロットID],$B230,tbl_ledger[元状態],D$1),
_xlpm.割当受入+_xlpm.充当受入-_xlpm.払出))</f>
        <v/>
      </c>
      <c r="E230" s="8" t="str">
        <f>IF($B230="","",_xlfn.LET(
_xlpm.受入,SUMIFS(tbl_ledger[数量],tbl_ledger[ロットID],$B230,tbl_ledger[イベント種類],"アニール開始"),
_xlpm.充当受入,SUMIFS(tbl_ledger[数量],tbl_ledger[充当先ロットID],$B230,tbl_ledger[イベント種類],"充当",tbl_ledger[元状態],E$1),
_xlpm.払出,SUMIFS(tbl_ledger[数量],tbl_ledger[ロットID],$B230,tbl_ledger[元状態],E$1),
_xlpm.受入+_xlpm.充当受入-_xlpm.払出))</f>
        <v/>
      </c>
      <c r="F230" s="8" t="str">
        <f>IF($B230="","",_xlfn.LET(
_xlpm.受入,SUMIFS(tbl_ledger[数量],tbl_ledger[ロットID],$B230,tbl_ledger[イベント種類],"アニール完了"),
_xlpm.充当受入,SUMIFS(tbl_ledger[数量],tbl_ledger[充当先ロットID],$B230,tbl_ledger[イベント種類],"充当",tbl_ledger[元状態],F$1),
_xlpm.払出,SUMIFS(tbl_ledger[数量],tbl_ledger[ロットID],$B230,tbl_ledger[元状態],F$1),
_xlpm.受入+_xlpm.充当受入-_xlpm.払出))</f>
        <v/>
      </c>
      <c r="G230" s="8" t="str">
        <f>IF($B230="","",_xlfn.LET(
_xlpm.受入,SUMIFS(tbl_ledger[数量],tbl_ledger[ロットID],$B230,tbl_ledger[イベント種類],"アセンブリ開始"),
_xlpm.充当受入,SUMIFS(tbl_ledger[数量],tbl_ledger[充当先ロットID],$B230,tbl_ledger[イベント種類],"充当",tbl_ledger[元状態],G$1),
_xlpm.払出,SUMIFS(tbl_ledger[数量],tbl_ledger[ロットID],$B230,tbl_ledger[元状態],G$1),
_xlpm.受入+_xlpm.充当受入-_xlpm.払出))</f>
        <v/>
      </c>
      <c r="H230" s="8" t="str">
        <f>IF($B230="","",_xlfn.LET(
_xlpm.受入,SUMIFS(tbl_ledger[数量],tbl_ledger[ロットID],$B230,tbl_ledger[イベント種類],"アセンブリ完了"),
_xlpm.充当受入,SUMIFS(tbl_ledger[数量],tbl_ledger[充当先ロットID],$B230,tbl_ledger[イベント種類],"充当",tbl_ledger[元状態],H$1),
_xlpm.払出,SUMIFS(tbl_ledger[数量],tbl_ledger[ロットID],$B230,tbl_ledger[元状態],H$1),
_xlpm.受入+_xlpm.充当受入-_xlpm.払出))</f>
        <v/>
      </c>
      <c r="I230" s="8" t="str">
        <f>IF($B230="","",_xlfn.LET(
_xlpm.受入,SUMIFS(tbl_ledger[数量],tbl_ledger[ロットID],$B230,tbl_ledger[イベント種類],"梱包開始"),
_xlpm.充当受入,SUMIFS(tbl_ledger[数量],tbl_ledger[充当先ロットID],$B230,tbl_ledger[イベント種類],"充当",tbl_ledger[元状態],I$1),
_xlpm.払出,SUMIFS(tbl_ledger[数量],tbl_ledger[ロットID],$B230,tbl_ledger[元状態],I$1),
_xlpm.受入+_xlpm.充当受入-_xlpm.払出))</f>
        <v/>
      </c>
      <c r="J230" s="8" t="str">
        <f>IF($B230="","",_xlfn.LET(
_xlpm.受入,SUMIFS(tbl_ledger[数量],tbl_ledger[ロットID],$B230,tbl_ledger[イベント種類],"梱包完了"),
_xlpm.充当受入,SUMIFS(tbl_ledger[数量],tbl_ledger[充当先ロットID],$B230,tbl_ledger[イベント種類],"充当",tbl_ledger[元状態],J$1),
_xlpm.払出,SUMIFS(tbl_ledger[数量],tbl_ledger[ロットID],$B230,tbl_ledger[元状態],J$1),
_xlpm.受入+_xlpm.充当受入-_xlpm.払出))</f>
        <v/>
      </c>
      <c r="K230" s="8" t="str">
        <f>IF($B230="","",_xlfn.LET(
_xlpm.受入,SUMIFS(tbl_ledger[数量],tbl_ledger[ロットID],$B230,tbl_ledger[イベント種類],"発送準備開始"),
_xlpm.充当受入,SUMIFS(tbl_ledger[数量],tbl_ledger[充当先ロットID],$B230,tbl_ledger[イベント種類],"充当",tbl_ledger[元状態],K$1),
_xlpm.払出,SUMIFS(tbl_ledger[数量],tbl_ledger[ロットID],$B230,tbl_ledger[元状態],K$1),
_xlpm.受入+_xlpm.充当受入-_xlpm.払出))</f>
        <v/>
      </c>
      <c r="L230" s="8" t="str">
        <f>IF($B230="","",_xlfn.LET(
_xlpm.受入,SUMIFS(tbl_ledger[数量],tbl_ledger[ロットID],$B230,tbl_ledger[イベント種類],"発送準備完了"),
_xlpm.充当受入,SUMIFS(tbl_ledger[数量],tbl_ledger[充当先ロットID],$B230,tbl_ledger[イベント種類],"充当",tbl_ledger[元状態],L$1),
_xlpm.払出,SUMIFS(tbl_ledger[数量],tbl_ledger[ロットID],$B230,tbl_ledger[元状態],L$1),
_xlpm.受入+_xlpm.充当受入-_xlpm.払出))</f>
        <v/>
      </c>
      <c r="M230" s="8" t="str">
        <f>IF($B230="","",_xlfn.LET(
_xlpm.受入,SUMIFS(tbl_ledger[数量],tbl_ledger[ロットID],$B230,tbl_ledger[イベント種類],"不良発生"),
_xlpm.充当受入,SUMIFS(tbl_ledger[数量],tbl_ledger[充当先ロットID],$B230,tbl_ledger[イベント種類],"充当",tbl_ledger[元状態],M$1),
_xlpm.払出,SUMIFS(tbl_ledger[数量],tbl_ledger[ロットID],$B230,tbl_ledger[元状態],M$1),
_xlpm.受入+_xlpm.充当受入-_xlpm.払出))</f>
        <v/>
      </c>
      <c r="N230" s="8" t="str">
        <f t="shared" si="7"/>
        <v/>
      </c>
    </row>
    <row r="231" spans="1:14" ht="15" customHeight="1" x14ac:dyDescent="0.25">
      <c r="A231" s="4" t="str">
        <f t="shared" si="6"/>
        <v/>
      </c>
      <c r="B231" s="4" t="str">
        <f>IFERROR(IF(COUNTIF($B$1:$B230,INDEX(tbl_plan[ロットID],ROW()-1))&gt;0,"",INDEX(tbl_plan[ロットID],ROW()-1)),"")</f>
        <v/>
      </c>
      <c r="C231" s="4" t="str">
        <f>IF($B231="","",INDEX(tbl_plan[localId],ROW()-1))</f>
        <v/>
      </c>
      <c r="D231" s="8" t="str">
        <f>IF($B231="","",_xlfn.LET(
_xlpm.割当受入,SUMIF(V_充足確認!$A$2:$A$301,$B231,V_充足確認!$F$2:$F$301),
_xlpm.充当受入,SUMIFS(tbl_ledger[数量],tbl_ledger[充当先ロットID],$B231,tbl_ledger[イベント種類],"充当",tbl_ledger[元状態],D$1),
_xlpm.払出,SUMIFS(tbl_ledger[数量],tbl_ledger[ロットID],$B231,tbl_ledger[元状態],D$1),
_xlpm.割当受入+_xlpm.充当受入-_xlpm.払出))</f>
        <v/>
      </c>
      <c r="E231" s="8" t="str">
        <f>IF($B231="","",_xlfn.LET(
_xlpm.受入,SUMIFS(tbl_ledger[数量],tbl_ledger[ロットID],$B231,tbl_ledger[イベント種類],"アニール開始"),
_xlpm.充当受入,SUMIFS(tbl_ledger[数量],tbl_ledger[充当先ロットID],$B231,tbl_ledger[イベント種類],"充当",tbl_ledger[元状態],E$1),
_xlpm.払出,SUMIFS(tbl_ledger[数量],tbl_ledger[ロットID],$B231,tbl_ledger[元状態],E$1),
_xlpm.受入+_xlpm.充当受入-_xlpm.払出))</f>
        <v/>
      </c>
      <c r="F231" s="8" t="str">
        <f>IF($B231="","",_xlfn.LET(
_xlpm.受入,SUMIFS(tbl_ledger[数量],tbl_ledger[ロットID],$B231,tbl_ledger[イベント種類],"アニール完了"),
_xlpm.充当受入,SUMIFS(tbl_ledger[数量],tbl_ledger[充当先ロットID],$B231,tbl_ledger[イベント種類],"充当",tbl_ledger[元状態],F$1),
_xlpm.払出,SUMIFS(tbl_ledger[数量],tbl_ledger[ロットID],$B231,tbl_ledger[元状態],F$1),
_xlpm.受入+_xlpm.充当受入-_xlpm.払出))</f>
        <v/>
      </c>
      <c r="G231" s="8" t="str">
        <f>IF($B231="","",_xlfn.LET(
_xlpm.受入,SUMIFS(tbl_ledger[数量],tbl_ledger[ロットID],$B231,tbl_ledger[イベント種類],"アセンブリ開始"),
_xlpm.充当受入,SUMIFS(tbl_ledger[数量],tbl_ledger[充当先ロットID],$B231,tbl_ledger[イベント種類],"充当",tbl_ledger[元状態],G$1),
_xlpm.払出,SUMIFS(tbl_ledger[数量],tbl_ledger[ロットID],$B231,tbl_ledger[元状態],G$1),
_xlpm.受入+_xlpm.充当受入-_xlpm.払出))</f>
        <v/>
      </c>
      <c r="H231" s="8" t="str">
        <f>IF($B231="","",_xlfn.LET(
_xlpm.受入,SUMIFS(tbl_ledger[数量],tbl_ledger[ロットID],$B231,tbl_ledger[イベント種類],"アセンブリ完了"),
_xlpm.充当受入,SUMIFS(tbl_ledger[数量],tbl_ledger[充当先ロットID],$B231,tbl_ledger[イベント種類],"充当",tbl_ledger[元状態],H$1),
_xlpm.払出,SUMIFS(tbl_ledger[数量],tbl_ledger[ロットID],$B231,tbl_ledger[元状態],H$1),
_xlpm.受入+_xlpm.充当受入-_xlpm.払出))</f>
        <v/>
      </c>
      <c r="I231" s="8" t="str">
        <f>IF($B231="","",_xlfn.LET(
_xlpm.受入,SUMIFS(tbl_ledger[数量],tbl_ledger[ロットID],$B231,tbl_ledger[イベント種類],"梱包開始"),
_xlpm.充当受入,SUMIFS(tbl_ledger[数量],tbl_ledger[充当先ロットID],$B231,tbl_ledger[イベント種類],"充当",tbl_ledger[元状態],I$1),
_xlpm.払出,SUMIFS(tbl_ledger[数量],tbl_ledger[ロットID],$B231,tbl_ledger[元状態],I$1),
_xlpm.受入+_xlpm.充当受入-_xlpm.払出))</f>
        <v/>
      </c>
      <c r="J231" s="8" t="str">
        <f>IF($B231="","",_xlfn.LET(
_xlpm.受入,SUMIFS(tbl_ledger[数量],tbl_ledger[ロットID],$B231,tbl_ledger[イベント種類],"梱包完了"),
_xlpm.充当受入,SUMIFS(tbl_ledger[数量],tbl_ledger[充当先ロットID],$B231,tbl_ledger[イベント種類],"充当",tbl_ledger[元状態],J$1),
_xlpm.払出,SUMIFS(tbl_ledger[数量],tbl_ledger[ロットID],$B231,tbl_ledger[元状態],J$1),
_xlpm.受入+_xlpm.充当受入-_xlpm.払出))</f>
        <v/>
      </c>
      <c r="K231" s="8" t="str">
        <f>IF($B231="","",_xlfn.LET(
_xlpm.受入,SUMIFS(tbl_ledger[数量],tbl_ledger[ロットID],$B231,tbl_ledger[イベント種類],"発送準備開始"),
_xlpm.充当受入,SUMIFS(tbl_ledger[数量],tbl_ledger[充当先ロットID],$B231,tbl_ledger[イベント種類],"充当",tbl_ledger[元状態],K$1),
_xlpm.払出,SUMIFS(tbl_ledger[数量],tbl_ledger[ロットID],$B231,tbl_ledger[元状態],K$1),
_xlpm.受入+_xlpm.充当受入-_xlpm.払出))</f>
        <v/>
      </c>
      <c r="L231" s="8" t="str">
        <f>IF($B231="","",_xlfn.LET(
_xlpm.受入,SUMIFS(tbl_ledger[数量],tbl_ledger[ロットID],$B231,tbl_ledger[イベント種類],"発送準備完了"),
_xlpm.充当受入,SUMIFS(tbl_ledger[数量],tbl_ledger[充当先ロットID],$B231,tbl_ledger[イベント種類],"充当",tbl_ledger[元状態],L$1),
_xlpm.払出,SUMIFS(tbl_ledger[数量],tbl_ledger[ロットID],$B231,tbl_ledger[元状態],L$1),
_xlpm.受入+_xlpm.充当受入-_xlpm.払出))</f>
        <v/>
      </c>
      <c r="M231" s="8" t="str">
        <f>IF($B231="","",_xlfn.LET(
_xlpm.受入,SUMIFS(tbl_ledger[数量],tbl_ledger[ロットID],$B231,tbl_ledger[イベント種類],"不良発生"),
_xlpm.充当受入,SUMIFS(tbl_ledger[数量],tbl_ledger[充当先ロットID],$B231,tbl_ledger[イベント種類],"充当",tbl_ledger[元状態],M$1),
_xlpm.払出,SUMIFS(tbl_ledger[数量],tbl_ledger[ロットID],$B231,tbl_ledger[元状態],M$1),
_xlpm.受入+_xlpm.充当受入-_xlpm.払出))</f>
        <v/>
      </c>
      <c r="N231" s="8" t="str">
        <f t="shared" si="7"/>
        <v/>
      </c>
    </row>
    <row r="232" spans="1:14" ht="15" customHeight="1" x14ac:dyDescent="0.25">
      <c r="A232" s="4" t="str">
        <f t="shared" si="6"/>
        <v/>
      </c>
      <c r="B232" s="4" t="str">
        <f>IFERROR(IF(COUNTIF($B$1:$B231,INDEX(tbl_plan[ロットID],ROW()-1))&gt;0,"",INDEX(tbl_plan[ロットID],ROW()-1)),"")</f>
        <v/>
      </c>
      <c r="C232" s="4" t="str">
        <f>IF($B232="","",INDEX(tbl_plan[localId],ROW()-1))</f>
        <v/>
      </c>
      <c r="D232" s="8" t="str">
        <f>IF($B232="","",_xlfn.LET(
_xlpm.割当受入,SUMIF(V_充足確認!$A$2:$A$301,$B232,V_充足確認!$F$2:$F$301),
_xlpm.充当受入,SUMIFS(tbl_ledger[数量],tbl_ledger[充当先ロットID],$B232,tbl_ledger[イベント種類],"充当",tbl_ledger[元状態],D$1),
_xlpm.払出,SUMIFS(tbl_ledger[数量],tbl_ledger[ロットID],$B232,tbl_ledger[元状態],D$1),
_xlpm.割当受入+_xlpm.充当受入-_xlpm.払出))</f>
        <v/>
      </c>
      <c r="E232" s="8" t="str">
        <f>IF($B232="","",_xlfn.LET(
_xlpm.受入,SUMIFS(tbl_ledger[数量],tbl_ledger[ロットID],$B232,tbl_ledger[イベント種類],"アニール開始"),
_xlpm.充当受入,SUMIFS(tbl_ledger[数量],tbl_ledger[充当先ロットID],$B232,tbl_ledger[イベント種類],"充当",tbl_ledger[元状態],E$1),
_xlpm.払出,SUMIFS(tbl_ledger[数量],tbl_ledger[ロットID],$B232,tbl_ledger[元状態],E$1),
_xlpm.受入+_xlpm.充当受入-_xlpm.払出))</f>
        <v/>
      </c>
      <c r="F232" s="8" t="str">
        <f>IF($B232="","",_xlfn.LET(
_xlpm.受入,SUMIFS(tbl_ledger[数量],tbl_ledger[ロットID],$B232,tbl_ledger[イベント種類],"アニール完了"),
_xlpm.充当受入,SUMIFS(tbl_ledger[数量],tbl_ledger[充当先ロットID],$B232,tbl_ledger[イベント種類],"充当",tbl_ledger[元状態],F$1),
_xlpm.払出,SUMIFS(tbl_ledger[数量],tbl_ledger[ロットID],$B232,tbl_ledger[元状態],F$1),
_xlpm.受入+_xlpm.充当受入-_xlpm.払出))</f>
        <v/>
      </c>
      <c r="G232" s="8" t="str">
        <f>IF($B232="","",_xlfn.LET(
_xlpm.受入,SUMIFS(tbl_ledger[数量],tbl_ledger[ロットID],$B232,tbl_ledger[イベント種類],"アセンブリ開始"),
_xlpm.充当受入,SUMIFS(tbl_ledger[数量],tbl_ledger[充当先ロットID],$B232,tbl_ledger[イベント種類],"充当",tbl_ledger[元状態],G$1),
_xlpm.払出,SUMIFS(tbl_ledger[数量],tbl_ledger[ロットID],$B232,tbl_ledger[元状態],G$1),
_xlpm.受入+_xlpm.充当受入-_xlpm.払出))</f>
        <v/>
      </c>
      <c r="H232" s="8" t="str">
        <f>IF($B232="","",_xlfn.LET(
_xlpm.受入,SUMIFS(tbl_ledger[数量],tbl_ledger[ロットID],$B232,tbl_ledger[イベント種類],"アセンブリ完了"),
_xlpm.充当受入,SUMIFS(tbl_ledger[数量],tbl_ledger[充当先ロットID],$B232,tbl_ledger[イベント種類],"充当",tbl_ledger[元状態],H$1),
_xlpm.払出,SUMIFS(tbl_ledger[数量],tbl_ledger[ロットID],$B232,tbl_ledger[元状態],H$1),
_xlpm.受入+_xlpm.充当受入-_xlpm.払出))</f>
        <v/>
      </c>
      <c r="I232" s="8" t="str">
        <f>IF($B232="","",_xlfn.LET(
_xlpm.受入,SUMIFS(tbl_ledger[数量],tbl_ledger[ロットID],$B232,tbl_ledger[イベント種類],"梱包開始"),
_xlpm.充当受入,SUMIFS(tbl_ledger[数量],tbl_ledger[充当先ロットID],$B232,tbl_ledger[イベント種類],"充当",tbl_ledger[元状態],I$1),
_xlpm.払出,SUMIFS(tbl_ledger[数量],tbl_ledger[ロットID],$B232,tbl_ledger[元状態],I$1),
_xlpm.受入+_xlpm.充当受入-_xlpm.払出))</f>
        <v/>
      </c>
      <c r="J232" s="8" t="str">
        <f>IF($B232="","",_xlfn.LET(
_xlpm.受入,SUMIFS(tbl_ledger[数量],tbl_ledger[ロットID],$B232,tbl_ledger[イベント種類],"梱包完了"),
_xlpm.充当受入,SUMIFS(tbl_ledger[数量],tbl_ledger[充当先ロットID],$B232,tbl_ledger[イベント種類],"充当",tbl_ledger[元状態],J$1),
_xlpm.払出,SUMIFS(tbl_ledger[数量],tbl_ledger[ロットID],$B232,tbl_ledger[元状態],J$1),
_xlpm.受入+_xlpm.充当受入-_xlpm.払出))</f>
        <v/>
      </c>
      <c r="K232" s="8" t="str">
        <f>IF($B232="","",_xlfn.LET(
_xlpm.受入,SUMIFS(tbl_ledger[数量],tbl_ledger[ロットID],$B232,tbl_ledger[イベント種類],"発送準備開始"),
_xlpm.充当受入,SUMIFS(tbl_ledger[数量],tbl_ledger[充当先ロットID],$B232,tbl_ledger[イベント種類],"充当",tbl_ledger[元状態],K$1),
_xlpm.払出,SUMIFS(tbl_ledger[数量],tbl_ledger[ロットID],$B232,tbl_ledger[元状態],K$1),
_xlpm.受入+_xlpm.充当受入-_xlpm.払出))</f>
        <v/>
      </c>
      <c r="L232" s="8" t="str">
        <f>IF($B232="","",_xlfn.LET(
_xlpm.受入,SUMIFS(tbl_ledger[数量],tbl_ledger[ロットID],$B232,tbl_ledger[イベント種類],"発送準備完了"),
_xlpm.充当受入,SUMIFS(tbl_ledger[数量],tbl_ledger[充当先ロットID],$B232,tbl_ledger[イベント種類],"充当",tbl_ledger[元状態],L$1),
_xlpm.払出,SUMIFS(tbl_ledger[数量],tbl_ledger[ロットID],$B232,tbl_ledger[元状態],L$1),
_xlpm.受入+_xlpm.充当受入-_xlpm.払出))</f>
        <v/>
      </c>
      <c r="M232" s="8" t="str">
        <f>IF($B232="","",_xlfn.LET(
_xlpm.受入,SUMIFS(tbl_ledger[数量],tbl_ledger[ロットID],$B232,tbl_ledger[イベント種類],"不良発生"),
_xlpm.充当受入,SUMIFS(tbl_ledger[数量],tbl_ledger[充当先ロットID],$B232,tbl_ledger[イベント種類],"充当",tbl_ledger[元状態],M$1),
_xlpm.払出,SUMIFS(tbl_ledger[数量],tbl_ledger[ロットID],$B232,tbl_ledger[元状態],M$1),
_xlpm.受入+_xlpm.充当受入-_xlpm.払出))</f>
        <v/>
      </c>
      <c r="N232" s="8" t="str">
        <f t="shared" si="7"/>
        <v/>
      </c>
    </row>
    <row r="233" spans="1:14" ht="15" customHeight="1" x14ac:dyDescent="0.25">
      <c r="A233" s="4" t="str">
        <f t="shared" si="6"/>
        <v/>
      </c>
      <c r="B233" s="4" t="str">
        <f>IFERROR(IF(COUNTIF($B$1:$B232,INDEX(tbl_plan[ロットID],ROW()-1))&gt;0,"",INDEX(tbl_plan[ロットID],ROW()-1)),"")</f>
        <v/>
      </c>
      <c r="C233" s="4" t="str">
        <f>IF($B233="","",INDEX(tbl_plan[localId],ROW()-1))</f>
        <v/>
      </c>
      <c r="D233" s="8" t="str">
        <f>IF($B233="","",_xlfn.LET(
_xlpm.割当受入,SUMIF(V_充足確認!$A$2:$A$301,$B233,V_充足確認!$F$2:$F$301),
_xlpm.充当受入,SUMIFS(tbl_ledger[数量],tbl_ledger[充当先ロットID],$B233,tbl_ledger[イベント種類],"充当",tbl_ledger[元状態],D$1),
_xlpm.払出,SUMIFS(tbl_ledger[数量],tbl_ledger[ロットID],$B233,tbl_ledger[元状態],D$1),
_xlpm.割当受入+_xlpm.充当受入-_xlpm.払出))</f>
        <v/>
      </c>
      <c r="E233" s="8" t="str">
        <f>IF($B233="","",_xlfn.LET(
_xlpm.受入,SUMIFS(tbl_ledger[数量],tbl_ledger[ロットID],$B233,tbl_ledger[イベント種類],"アニール開始"),
_xlpm.充当受入,SUMIFS(tbl_ledger[数量],tbl_ledger[充当先ロットID],$B233,tbl_ledger[イベント種類],"充当",tbl_ledger[元状態],E$1),
_xlpm.払出,SUMIFS(tbl_ledger[数量],tbl_ledger[ロットID],$B233,tbl_ledger[元状態],E$1),
_xlpm.受入+_xlpm.充当受入-_xlpm.払出))</f>
        <v/>
      </c>
      <c r="F233" s="8" t="str">
        <f>IF($B233="","",_xlfn.LET(
_xlpm.受入,SUMIFS(tbl_ledger[数量],tbl_ledger[ロットID],$B233,tbl_ledger[イベント種類],"アニール完了"),
_xlpm.充当受入,SUMIFS(tbl_ledger[数量],tbl_ledger[充当先ロットID],$B233,tbl_ledger[イベント種類],"充当",tbl_ledger[元状態],F$1),
_xlpm.払出,SUMIFS(tbl_ledger[数量],tbl_ledger[ロットID],$B233,tbl_ledger[元状態],F$1),
_xlpm.受入+_xlpm.充当受入-_xlpm.払出))</f>
        <v/>
      </c>
      <c r="G233" s="8" t="str">
        <f>IF($B233="","",_xlfn.LET(
_xlpm.受入,SUMIFS(tbl_ledger[数量],tbl_ledger[ロットID],$B233,tbl_ledger[イベント種類],"アセンブリ開始"),
_xlpm.充当受入,SUMIFS(tbl_ledger[数量],tbl_ledger[充当先ロットID],$B233,tbl_ledger[イベント種類],"充当",tbl_ledger[元状態],G$1),
_xlpm.払出,SUMIFS(tbl_ledger[数量],tbl_ledger[ロットID],$B233,tbl_ledger[元状態],G$1),
_xlpm.受入+_xlpm.充当受入-_xlpm.払出))</f>
        <v/>
      </c>
      <c r="H233" s="8" t="str">
        <f>IF($B233="","",_xlfn.LET(
_xlpm.受入,SUMIFS(tbl_ledger[数量],tbl_ledger[ロットID],$B233,tbl_ledger[イベント種類],"アセンブリ完了"),
_xlpm.充当受入,SUMIFS(tbl_ledger[数量],tbl_ledger[充当先ロットID],$B233,tbl_ledger[イベント種類],"充当",tbl_ledger[元状態],H$1),
_xlpm.払出,SUMIFS(tbl_ledger[数量],tbl_ledger[ロットID],$B233,tbl_ledger[元状態],H$1),
_xlpm.受入+_xlpm.充当受入-_xlpm.払出))</f>
        <v/>
      </c>
      <c r="I233" s="8" t="str">
        <f>IF($B233="","",_xlfn.LET(
_xlpm.受入,SUMIFS(tbl_ledger[数量],tbl_ledger[ロットID],$B233,tbl_ledger[イベント種類],"梱包開始"),
_xlpm.充当受入,SUMIFS(tbl_ledger[数量],tbl_ledger[充当先ロットID],$B233,tbl_ledger[イベント種類],"充当",tbl_ledger[元状態],I$1),
_xlpm.払出,SUMIFS(tbl_ledger[数量],tbl_ledger[ロットID],$B233,tbl_ledger[元状態],I$1),
_xlpm.受入+_xlpm.充当受入-_xlpm.払出))</f>
        <v/>
      </c>
      <c r="J233" s="8" t="str">
        <f>IF($B233="","",_xlfn.LET(
_xlpm.受入,SUMIFS(tbl_ledger[数量],tbl_ledger[ロットID],$B233,tbl_ledger[イベント種類],"梱包完了"),
_xlpm.充当受入,SUMIFS(tbl_ledger[数量],tbl_ledger[充当先ロットID],$B233,tbl_ledger[イベント種類],"充当",tbl_ledger[元状態],J$1),
_xlpm.払出,SUMIFS(tbl_ledger[数量],tbl_ledger[ロットID],$B233,tbl_ledger[元状態],J$1),
_xlpm.受入+_xlpm.充当受入-_xlpm.払出))</f>
        <v/>
      </c>
      <c r="K233" s="8" t="str">
        <f>IF($B233="","",_xlfn.LET(
_xlpm.受入,SUMIFS(tbl_ledger[数量],tbl_ledger[ロットID],$B233,tbl_ledger[イベント種類],"発送準備開始"),
_xlpm.充当受入,SUMIFS(tbl_ledger[数量],tbl_ledger[充当先ロットID],$B233,tbl_ledger[イベント種類],"充当",tbl_ledger[元状態],K$1),
_xlpm.払出,SUMIFS(tbl_ledger[数量],tbl_ledger[ロットID],$B233,tbl_ledger[元状態],K$1),
_xlpm.受入+_xlpm.充当受入-_xlpm.払出))</f>
        <v/>
      </c>
      <c r="L233" s="8" t="str">
        <f>IF($B233="","",_xlfn.LET(
_xlpm.受入,SUMIFS(tbl_ledger[数量],tbl_ledger[ロットID],$B233,tbl_ledger[イベント種類],"発送準備完了"),
_xlpm.充当受入,SUMIFS(tbl_ledger[数量],tbl_ledger[充当先ロットID],$B233,tbl_ledger[イベント種類],"充当",tbl_ledger[元状態],L$1),
_xlpm.払出,SUMIFS(tbl_ledger[数量],tbl_ledger[ロットID],$B233,tbl_ledger[元状態],L$1),
_xlpm.受入+_xlpm.充当受入-_xlpm.払出))</f>
        <v/>
      </c>
      <c r="M233" s="8" t="str">
        <f>IF($B233="","",_xlfn.LET(
_xlpm.受入,SUMIFS(tbl_ledger[数量],tbl_ledger[ロットID],$B233,tbl_ledger[イベント種類],"不良発生"),
_xlpm.充当受入,SUMIFS(tbl_ledger[数量],tbl_ledger[充当先ロットID],$B233,tbl_ledger[イベント種類],"充当",tbl_ledger[元状態],M$1),
_xlpm.払出,SUMIFS(tbl_ledger[数量],tbl_ledger[ロットID],$B233,tbl_ledger[元状態],M$1),
_xlpm.受入+_xlpm.充当受入-_xlpm.払出))</f>
        <v/>
      </c>
      <c r="N233" s="8" t="str">
        <f t="shared" si="7"/>
        <v/>
      </c>
    </row>
    <row r="234" spans="1:14" ht="15" customHeight="1" x14ac:dyDescent="0.25">
      <c r="A234" s="4" t="str">
        <f t="shared" si="6"/>
        <v/>
      </c>
      <c r="B234" s="4" t="str">
        <f>IFERROR(IF(COUNTIF($B$1:$B233,INDEX(tbl_plan[ロットID],ROW()-1))&gt;0,"",INDEX(tbl_plan[ロットID],ROW()-1)),"")</f>
        <v/>
      </c>
      <c r="C234" s="4" t="str">
        <f>IF($B234="","",INDEX(tbl_plan[localId],ROW()-1))</f>
        <v/>
      </c>
      <c r="D234" s="8" t="str">
        <f>IF($B234="","",_xlfn.LET(
_xlpm.割当受入,SUMIF(V_充足確認!$A$2:$A$301,$B234,V_充足確認!$F$2:$F$301),
_xlpm.充当受入,SUMIFS(tbl_ledger[数量],tbl_ledger[充当先ロットID],$B234,tbl_ledger[イベント種類],"充当",tbl_ledger[元状態],D$1),
_xlpm.払出,SUMIFS(tbl_ledger[数量],tbl_ledger[ロットID],$B234,tbl_ledger[元状態],D$1),
_xlpm.割当受入+_xlpm.充当受入-_xlpm.払出))</f>
        <v/>
      </c>
      <c r="E234" s="8" t="str">
        <f>IF($B234="","",_xlfn.LET(
_xlpm.受入,SUMIFS(tbl_ledger[数量],tbl_ledger[ロットID],$B234,tbl_ledger[イベント種類],"アニール開始"),
_xlpm.充当受入,SUMIFS(tbl_ledger[数量],tbl_ledger[充当先ロットID],$B234,tbl_ledger[イベント種類],"充当",tbl_ledger[元状態],E$1),
_xlpm.払出,SUMIFS(tbl_ledger[数量],tbl_ledger[ロットID],$B234,tbl_ledger[元状態],E$1),
_xlpm.受入+_xlpm.充当受入-_xlpm.払出))</f>
        <v/>
      </c>
      <c r="F234" s="8" t="str">
        <f>IF($B234="","",_xlfn.LET(
_xlpm.受入,SUMIFS(tbl_ledger[数量],tbl_ledger[ロットID],$B234,tbl_ledger[イベント種類],"アニール完了"),
_xlpm.充当受入,SUMIFS(tbl_ledger[数量],tbl_ledger[充当先ロットID],$B234,tbl_ledger[イベント種類],"充当",tbl_ledger[元状態],F$1),
_xlpm.払出,SUMIFS(tbl_ledger[数量],tbl_ledger[ロットID],$B234,tbl_ledger[元状態],F$1),
_xlpm.受入+_xlpm.充当受入-_xlpm.払出))</f>
        <v/>
      </c>
      <c r="G234" s="8" t="str">
        <f>IF($B234="","",_xlfn.LET(
_xlpm.受入,SUMIFS(tbl_ledger[数量],tbl_ledger[ロットID],$B234,tbl_ledger[イベント種類],"アセンブリ開始"),
_xlpm.充当受入,SUMIFS(tbl_ledger[数量],tbl_ledger[充当先ロットID],$B234,tbl_ledger[イベント種類],"充当",tbl_ledger[元状態],G$1),
_xlpm.払出,SUMIFS(tbl_ledger[数量],tbl_ledger[ロットID],$B234,tbl_ledger[元状態],G$1),
_xlpm.受入+_xlpm.充当受入-_xlpm.払出))</f>
        <v/>
      </c>
      <c r="H234" s="8" t="str">
        <f>IF($B234="","",_xlfn.LET(
_xlpm.受入,SUMIFS(tbl_ledger[数量],tbl_ledger[ロットID],$B234,tbl_ledger[イベント種類],"アセンブリ完了"),
_xlpm.充当受入,SUMIFS(tbl_ledger[数量],tbl_ledger[充当先ロットID],$B234,tbl_ledger[イベント種類],"充当",tbl_ledger[元状態],H$1),
_xlpm.払出,SUMIFS(tbl_ledger[数量],tbl_ledger[ロットID],$B234,tbl_ledger[元状態],H$1),
_xlpm.受入+_xlpm.充当受入-_xlpm.払出))</f>
        <v/>
      </c>
      <c r="I234" s="8" t="str">
        <f>IF($B234="","",_xlfn.LET(
_xlpm.受入,SUMIFS(tbl_ledger[数量],tbl_ledger[ロットID],$B234,tbl_ledger[イベント種類],"梱包開始"),
_xlpm.充当受入,SUMIFS(tbl_ledger[数量],tbl_ledger[充当先ロットID],$B234,tbl_ledger[イベント種類],"充当",tbl_ledger[元状態],I$1),
_xlpm.払出,SUMIFS(tbl_ledger[数量],tbl_ledger[ロットID],$B234,tbl_ledger[元状態],I$1),
_xlpm.受入+_xlpm.充当受入-_xlpm.払出))</f>
        <v/>
      </c>
      <c r="J234" s="8" t="str">
        <f>IF($B234="","",_xlfn.LET(
_xlpm.受入,SUMIFS(tbl_ledger[数量],tbl_ledger[ロットID],$B234,tbl_ledger[イベント種類],"梱包完了"),
_xlpm.充当受入,SUMIFS(tbl_ledger[数量],tbl_ledger[充当先ロットID],$B234,tbl_ledger[イベント種類],"充当",tbl_ledger[元状態],J$1),
_xlpm.払出,SUMIFS(tbl_ledger[数量],tbl_ledger[ロットID],$B234,tbl_ledger[元状態],J$1),
_xlpm.受入+_xlpm.充当受入-_xlpm.払出))</f>
        <v/>
      </c>
      <c r="K234" s="8" t="str">
        <f>IF($B234="","",_xlfn.LET(
_xlpm.受入,SUMIFS(tbl_ledger[数量],tbl_ledger[ロットID],$B234,tbl_ledger[イベント種類],"発送準備開始"),
_xlpm.充当受入,SUMIFS(tbl_ledger[数量],tbl_ledger[充当先ロットID],$B234,tbl_ledger[イベント種類],"充当",tbl_ledger[元状態],K$1),
_xlpm.払出,SUMIFS(tbl_ledger[数量],tbl_ledger[ロットID],$B234,tbl_ledger[元状態],K$1),
_xlpm.受入+_xlpm.充当受入-_xlpm.払出))</f>
        <v/>
      </c>
      <c r="L234" s="8" t="str">
        <f>IF($B234="","",_xlfn.LET(
_xlpm.受入,SUMIFS(tbl_ledger[数量],tbl_ledger[ロットID],$B234,tbl_ledger[イベント種類],"発送準備完了"),
_xlpm.充当受入,SUMIFS(tbl_ledger[数量],tbl_ledger[充当先ロットID],$B234,tbl_ledger[イベント種類],"充当",tbl_ledger[元状態],L$1),
_xlpm.払出,SUMIFS(tbl_ledger[数量],tbl_ledger[ロットID],$B234,tbl_ledger[元状態],L$1),
_xlpm.受入+_xlpm.充当受入-_xlpm.払出))</f>
        <v/>
      </c>
      <c r="M234" s="8" t="str">
        <f>IF($B234="","",_xlfn.LET(
_xlpm.受入,SUMIFS(tbl_ledger[数量],tbl_ledger[ロットID],$B234,tbl_ledger[イベント種類],"不良発生"),
_xlpm.充当受入,SUMIFS(tbl_ledger[数量],tbl_ledger[充当先ロットID],$B234,tbl_ledger[イベント種類],"充当",tbl_ledger[元状態],M$1),
_xlpm.払出,SUMIFS(tbl_ledger[数量],tbl_ledger[ロットID],$B234,tbl_ledger[元状態],M$1),
_xlpm.受入+_xlpm.充当受入-_xlpm.払出))</f>
        <v/>
      </c>
      <c r="N234" s="8" t="str">
        <f t="shared" si="7"/>
        <v/>
      </c>
    </row>
    <row r="235" spans="1:14" ht="15" customHeight="1" x14ac:dyDescent="0.25">
      <c r="A235" s="4" t="str">
        <f t="shared" si="6"/>
        <v/>
      </c>
      <c r="B235" s="4" t="str">
        <f>IFERROR(IF(COUNTIF($B$1:$B234,INDEX(tbl_plan[ロットID],ROW()-1))&gt;0,"",INDEX(tbl_plan[ロットID],ROW()-1)),"")</f>
        <v/>
      </c>
      <c r="C235" s="4" t="str">
        <f>IF($B235="","",INDEX(tbl_plan[localId],ROW()-1))</f>
        <v/>
      </c>
      <c r="D235" s="8" t="str">
        <f>IF($B235="","",_xlfn.LET(
_xlpm.割当受入,SUMIF(V_充足確認!$A$2:$A$301,$B235,V_充足確認!$F$2:$F$301),
_xlpm.充当受入,SUMIFS(tbl_ledger[数量],tbl_ledger[充当先ロットID],$B235,tbl_ledger[イベント種類],"充当",tbl_ledger[元状態],D$1),
_xlpm.払出,SUMIFS(tbl_ledger[数量],tbl_ledger[ロットID],$B235,tbl_ledger[元状態],D$1),
_xlpm.割当受入+_xlpm.充当受入-_xlpm.払出))</f>
        <v/>
      </c>
      <c r="E235" s="8" t="str">
        <f>IF($B235="","",_xlfn.LET(
_xlpm.受入,SUMIFS(tbl_ledger[数量],tbl_ledger[ロットID],$B235,tbl_ledger[イベント種類],"アニール開始"),
_xlpm.充当受入,SUMIFS(tbl_ledger[数量],tbl_ledger[充当先ロットID],$B235,tbl_ledger[イベント種類],"充当",tbl_ledger[元状態],E$1),
_xlpm.払出,SUMIFS(tbl_ledger[数量],tbl_ledger[ロットID],$B235,tbl_ledger[元状態],E$1),
_xlpm.受入+_xlpm.充当受入-_xlpm.払出))</f>
        <v/>
      </c>
      <c r="F235" s="8" t="str">
        <f>IF($B235="","",_xlfn.LET(
_xlpm.受入,SUMIFS(tbl_ledger[数量],tbl_ledger[ロットID],$B235,tbl_ledger[イベント種類],"アニール完了"),
_xlpm.充当受入,SUMIFS(tbl_ledger[数量],tbl_ledger[充当先ロットID],$B235,tbl_ledger[イベント種類],"充当",tbl_ledger[元状態],F$1),
_xlpm.払出,SUMIFS(tbl_ledger[数量],tbl_ledger[ロットID],$B235,tbl_ledger[元状態],F$1),
_xlpm.受入+_xlpm.充当受入-_xlpm.払出))</f>
        <v/>
      </c>
      <c r="G235" s="8" t="str">
        <f>IF($B235="","",_xlfn.LET(
_xlpm.受入,SUMIFS(tbl_ledger[数量],tbl_ledger[ロットID],$B235,tbl_ledger[イベント種類],"アセンブリ開始"),
_xlpm.充当受入,SUMIFS(tbl_ledger[数量],tbl_ledger[充当先ロットID],$B235,tbl_ledger[イベント種類],"充当",tbl_ledger[元状態],G$1),
_xlpm.払出,SUMIFS(tbl_ledger[数量],tbl_ledger[ロットID],$B235,tbl_ledger[元状態],G$1),
_xlpm.受入+_xlpm.充当受入-_xlpm.払出))</f>
        <v/>
      </c>
      <c r="H235" s="8" t="str">
        <f>IF($B235="","",_xlfn.LET(
_xlpm.受入,SUMIFS(tbl_ledger[数量],tbl_ledger[ロットID],$B235,tbl_ledger[イベント種類],"アセンブリ完了"),
_xlpm.充当受入,SUMIFS(tbl_ledger[数量],tbl_ledger[充当先ロットID],$B235,tbl_ledger[イベント種類],"充当",tbl_ledger[元状態],H$1),
_xlpm.払出,SUMIFS(tbl_ledger[数量],tbl_ledger[ロットID],$B235,tbl_ledger[元状態],H$1),
_xlpm.受入+_xlpm.充当受入-_xlpm.払出))</f>
        <v/>
      </c>
      <c r="I235" s="8" t="str">
        <f>IF($B235="","",_xlfn.LET(
_xlpm.受入,SUMIFS(tbl_ledger[数量],tbl_ledger[ロットID],$B235,tbl_ledger[イベント種類],"梱包開始"),
_xlpm.充当受入,SUMIFS(tbl_ledger[数量],tbl_ledger[充当先ロットID],$B235,tbl_ledger[イベント種類],"充当",tbl_ledger[元状態],I$1),
_xlpm.払出,SUMIFS(tbl_ledger[数量],tbl_ledger[ロットID],$B235,tbl_ledger[元状態],I$1),
_xlpm.受入+_xlpm.充当受入-_xlpm.払出))</f>
        <v/>
      </c>
      <c r="J235" s="8" t="str">
        <f>IF($B235="","",_xlfn.LET(
_xlpm.受入,SUMIFS(tbl_ledger[数量],tbl_ledger[ロットID],$B235,tbl_ledger[イベント種類],"梱包完了"),
_xlpm.充当受入,SUMIFS(tbl_ledger[数量],tbl_ledger[充当先ロットID],$B235,tbl_ledger[イベント種類],"充当",tbl_ledger[元状態],J$1),
_xlpm.払出,SUMIFS(tbl_ledger[数量],tbl_ledger[ロットID],$B235,tbl_ledger[元状態],J$1),
_xlpm.受入+_xlpm.充当受入-_xlpm.払出))</f>
        <v/>
      </c>
      <c r="K235" s="8" t="str">
        <f>IF($B235="","",_xlfn.LET(
_xlpm.受入,SUMIFS(tbl_ledger[数量],tbl_ledger[ロットID],$B235,tbl_ledger[イベント種類],"発送準備開始"),
_xlpm.充当受入,SUMIFS(tbl_ledger[数量],tbl_ledger[充当先ロットID],$B235,tbl_ledger[イベント種類],"充当",tbl_ledger[元状態],K$1),
_xlpm.払出,SUMIFS(tbl_ledger[数量],tbl_ledger[ロットID],$B235,tbl_ledger[元状態],K$1),
_xlpm.受入+_xlpm.充当受入-_xlpm.払出))</f>
        <v/>
      </c>
      <c r="L235" s="8" t="str">
        <f>IF($B235="","",_xlfn.LET(
_xlpm.受入,SUMIFS(tbl_ledger[数量],tbl_ledger[ロットID],$B235,tbl_ledger[イベント種類],"発送準備完了"),
_xlpm.充当受入,SUMIFS(tbl_ledger[数量],tbl_ledger[充当先ロットID],$B235,tbl_ledger[イベント種類],"充当",tbl_ledger[元状態],L$1),
_xlpm.払出,SUMIFS(tbl_ledger[数量],tbl_ledger[ロットID],$B235,tbl_ledger[元状態],L$1),
_xlpm.受入+_xlpm.充当受入-_xlpm.払出))</f>
        <v/>
      </c>
      <c r="M235" s="8" t="str">
        <f>IF($B235="","",_xlfn.LET(
_xlpm.受入,SUMIFS(tbl_ledger[数量],tbl_ledger[ロットID],$B235,tbl_ledger[イベント種類],"不良発生"),
_xlpm.充当受入,SUMIFS(tbl_ledger[数量],tbl_ledger[充当先ロットID],$B235,tbl_ledger[イベント種類],"充当",tbl_ledger[元状態],M$1),
_xlpm.払出,SUMIFS(tbl_ledger[数量],tbl_ledger[ロットID],$B235,tbl_ledger[元状態],M$1),
_xlpm.受入+_xlpm.充当受入-_xlpm.払出))</f>
        <v/>
      </c>
      <c r="N235" s="8" t="str">
        <f t="shared" si="7"/>
        <v/>
      </c>
    </row>
    <row r="236" spans="1:14" ht="15" customHeight="1" x14ac:dyDescent="0.25">
      <c r="A236" s="4" t="str">
        <f t="shared" si="6"/>
        <v/>
      </c>
      <c r="B236" s="4" t="str">
        <f>IFERROR(IF(COUNTIF($B$1:$B235,INDEX(tbl_plan[ロットID],ROW()-1))&gt;0,"",INDEX(tbl_plan[ロットID],ROW()-1)),"")</f>
        <v/>
      </c>
      <c r="C236" s="4" t="str">
        <f>IF($B236="","",INDEX(tbl_plan[localId],ROW()-1))</f>
        <v/>
      </c>
      <c r="D236" s="8" t="str">
        <f>IF($B236="","",_xlfn.LET(
_xlpm.割当受入,SUMIF(V_充足確認!$A$2:$A$301,$B236,V_充足確認!$F$2:$F$301),
_xlpm.充当受入,SUMIFS(tbl_ledger[数量],tbl_ledger[充当先ロットID],$B236,tbl_ledger[イベント種類],"充当",tbl_ledger[元状態],D$1),
_xlpm.払出,SUMIFS(tbl_ledger[数量],tbl_ledger[ロットID],$B236,tbl_ledger[元状態],D$1),
_xlpm.割当受入+_xlpm.充当受入-_xlpm.払出))</f>
        <v/>
      </c>
      <c r="E236" s="8" t="str">
        <f>IF($B236="","",_xlfn.LET(
_xlpm.受入,SUMIFS(tbl_ledger[数量],tbl_ledger[ロットID],$B236,tbl_ledger[イベント種類],"アニール開始"),
_xlpm.充当受入,SUMIFS(tbl_ledger[数量],tbl_ledger[充当先ロットID],$B236,tbl_ledger[イベント種類],"充当",tbl_ledger[元状態],E$1),
_xlpm.払出,SUMIFS(tbl_ledger[数量],tbl_ledger[ロットID],$B236,tbl_ledger[元状態],E$1),
_xlpm.受入+_xlpm.充当受入-_xlpm.払出))</f>
        <v/>
      </c>
      <c r="F236" s="8" t="str">
        <f>IF($B236="","",_xlfn.LET(
_xlpm.受入,SUMIFS(tbl_ledger[数量],tbl_ledger[ロットID],$B236,tbl_ledger[イベント種類],"アニール完了"),
_xlpm.充当受入,SUMIFS(tbl_ledger[数量],tbl_ledger[充当先ロットID],$B236,tbl_ledger[イベント種類],"充当",tbl_ledger[元状態],F$1),
_xlpm.払出,SUMIFS(tbl_ledger[数量],tbl_ledger[ロットID],$B236,tbl_ledger[元状態],F$1),
_xlpm.受入+_xlpm.充当受入-_xlpm.払出))</f>
        <v/>
      </c>
      <c r="G236" s="8" t="str">
        <f>IF($B236="","",_xlfn.LET(
_xlpm.受入,SUMIFS(tbl_ledger[数量],tbl_ledger[ロットID],$B236,tbl_ledger[イベント種類],"アセンブリ開始"),
_xlpm.充当受入,SUMIFS(tbl_ledger[数量],tbl_ledger[充当先ロットID],$B236,tbl_ledger[イベント種類],"充当",tbl_ledger[元状態],G$1),
_xlpm.払出,SUMIFS(tbl_ledger[数量],tbl_ledger[ロットID],$B236,tbl_ledger[元状態],G$1),
_xlpm.受入+_xlpm.充当受入-_xlpm.払出))</f>
        <v/>
      </c>
      <c r="H236" s="8" t="str">
        <f>IF($B236="","",_xlfn.LET(
_xlpm.受入,SUMIFS(tbl_ledger[数量],tbl_ledger[ロットID],$B236,tbl_ledger[イベント種類],"アセンブリ完了"),
_xlpm.充当受入,SUMIFS(tbl_ledger[数量],tbl_ledger[充当先ロットID],$B236,tbl_ledger[イベント種類],"充当",tbl_ledger[元状態],H$1),
_xlpm.払出,SUMIFS(tbl_ledger[数量],tbl_ledger[ロットID],$B236,tbl_ledger[元状態],H$1),
_xlpm.受入+_xlpm.充当受入-_xlpm.払出))</f>
        <v/>
      </c>
      <c r="I236" s="8" t="str">
        <f>IF($B236="","",_xlfn.LET(
_xlpm.受入,SUMIFS(tbl_ledger[数量],tbl_ledger[ロットID],$B236,tbl_ledger[イベント種類],"梱包開始"),
_xlpm.充当受入,SUMIFS(tbl_ledger[数量],tbl_ledger[充当先ロットID],$B236,tbl_ledger[イベント種類],"充当",tbl_ledger[元状態],I$1),
_xlpm.払出,SUMIFS(tbl_ledger[数量],tbl_ledger[ロットID],$B236,tbl_ledger[元状態],I$1),
_xlpm.受入+_xlpm.充当受入-_xlpm.払出))</f>
        <v/>
      </c>
      <c r="J236" s="8" t="str">
        <f>IF($B236="","",_xlfn.LET(
_xlpm.受入,SUMIFS(tbl_ledger[数量],tbl_ledger[ロットID],$B236,tbl_ledger[イベント種類],"梱包完了"),
_xlpm.充当受入,SUMIFS(tbl_ledger[数量],tbl_ledger[充当先ロットID],$B236,tbl_ledger[イベント種類],"充当",tbl_ledger[元状態],J$1),
_xlpm.払出,SUMIFS(tbl_ledger[数量],tbl_ledger[ロットID],$B236,tbl_ledger[元状態],J$1),
_xlpm.受入+_xlpm.充当受入-_xlpm.払出))</f>
        <v/>
      </c>
      <c r="K236" s="8" t="str">
        <f>IF($B236="","",_xlfn.LET(
_xlpm.受入,SUMIFS(tbl_ledger[数量],tbl_ledger[ロットID],$B236,tbl_ledger[イベント種類],"発送準備開始"),
_xlpm.充当受入,SUMIFS(tbl_ledger[数量],tbl_ledger[充当先ロットID],$B236,tbl_ledger[イベント種類],"充当",tbl_ledger[元状態],K$1),
_xlpm.払出,SUMIFS(tbl_ledger[数量],tbl_ledger[ロットID],$B236,tbl_ledger[元状態],K$1),
_xlpm.受入+_xlpm.充当受入-_xlpm.払出))</f>
        <v/>
      </c>
      <c r="L236" s="8" t="str">
        <f>IF($B236="","",_xlfn.LET(
_xlpm.受入,SUMIFS(tbl_ledger[数量],tbl_ledger[ロットID],$B236,tbl_ledger[イベント種類],"発送準備完了"),
_xlpm.充当受入,SUMIFS(tbl_ledger[数量],tbl_ledger[充当先ロットID],$B236,tbl_ledger[イベント種類],"充当",tbl_ledger[元状態],L$1),
_xlpm.払出,SUMIFS(tbl_ledger[数量],tbl_ledger[ロットID],$B236,tbl_ledger[元状態],L$1),
_xlpm.受入+_xlpm.充当受入-_xlpm.払出))</f>
        <v/>
      </c>
      <c r="M236" s="8" t="str">
        <f>IF($B236="","",_xlfn.LET(
_xlpm.受入,SUMIFS(tbl_ledger[数量],tbl_ledger[ロットID],$B236,tbl_ledger[イベント種類],"不良発生"),
_xlpm.充当受入,SUMIFS(tbl_ledger[数量],tbl_ledger[充当先ロットID],$B236,tbl_ledger[イベント種類],"充当",tbl_ledger[元状態],M$1),
_xlpm.払出,SUMIFS(tbl_ledger[数量],tbl_ledger[ロットID],$B236,tbl_ledger[元状態],M$1),
_xlpm.受入+_xlpm.充当受入-_xlpm.払出))</f>
        <v/>
      </c>
      <c r="N236" s="8" t="str">
        <f t="shared" si="7"/>
        <v/>
      </c>
    </row>
    <row r="237" spans="1:14" ht="15" customHeight="1" x14ac:dyDescent="0.25">
      <c r="A237" s="4" t="str">
        <f t="shared" si="6"/>
        <v/>
      </c>
      <c r="B237" s="4" t="str">
        <f>IFERROR(IF(COUNTIF($B$1:$B236,INDEX(tbl_plan[ロットID],ROW()-1))&gt;0,"",INDEX(tbl_plan[ロットID],ROW()-1)),"")</f>
        <v/>
      </c>
      <c r="C237" s="4" t="str">
        <f>IF($B237="","",INDEX(tbl_plan[localId],ROW()-1))</f>
        <v/>
      </c>
      <c r="D237" s="8" t="str">
        <f>IF($B237="","",_xlfn.LET(
_xlpm.割当受入,SUMIF(V_充足確認!$A$2:$A$301,$B237,V_充足確認!$F$2:$F$301),
_xlpm.充当受入,SUMIFS(tbl_ledger[数量],tbl_ledger[充当先ロットID],$B237,tbl_ledger[イベント種類],"充当",tbl_ledger[元状態],D$1),
_xlpm.払出,SUMIFS(tbl_ledger[数量],tbl_ledger[ロットID],$B237,tbl_ledger[元状態],D$1),
_xlpm.割当受入+_xlpm.充当受入-_xlpm.払出))</f>
        <v/>
      </c>
      <c r="E237" s="8" t="str">
        <f>IF($B237="","",_xlfn.LET(
_xlpm.受入,SUMIFS(tbl_ledger[数量],tbl_ledger[ロットID],$B237,tbl_ledger[イベント種類],"アニール開始"),
_xlpm.充当受入,SUMIFS(tbl_ledger[数量],tbl_ledger[充当先ロットID],$B237,tbl_ledger[イベント種類],"充当",tbl_ledger[元状態],E$1),
_xlpm.払出,SUMIFS(tbl_ledger[数量],tbl_ledger[ロットID],$B237,tbl_ledger[元状態],E$1),
_xlpm.受入+_xlpm.充当受入-_xlpm.払出))</f>
        <v/>
      </c>
      <c r="F237" s="8" t="str">
        <f>IF($B237="","",_xlfn.LET(
_xlpm.受入,SUMIFS(tbl_ledger[数量],tbl_ledger[ロットID],$B237,tbl_ledger[イベント種類],"アニール完了"),
_xlpm.充当受入,SUMIFS(tbl_ledger[数量],tbl_ledger[充当先ロットID],$B237,tbl_ledger[イベント種類],"充当",tbl_ledger[元状態],F$1),
_xlpm.払出,SUMIFS(tbl_ledger[数量],tbl_ledger[ロットID],$B237,tbl_ledger[元状態],F$1),
_xlpm.受入+_xlpm.充当受入-_xlpm.払出))</f>
        <v/>
      </c>
      <c r="G237" s="8" t="str">
        <f>IF($B237="","",_xlfn.LET(
_xlpm.受入,SUMIFS(tbl_ledger[数量],tbl_ledger[ロットID],$B237,tbl_ledger[イベント種類],"アセンブリ開始"),
_xlpm.充当受入,SUMIFS(tbl_ledger[数量],tbl_ledger[充当先ロットID],$B237,tbl_ledger[イベント種類],"充当",tbl_ledger[元状態],G$1),
_xlpm.払出,SUMIFS(tbl_ledger[数量],tbl_ledger[ロットID],$B237,tbl_ledger[元状態],G$1),
_xlpm.受入+_xlpm.充当受入-_xlpm.払出))</f>
        <v/>
      </c>
      <c r="H237" s="8" t="str">
        <f>IF($B237="","",_xlfn.LET(
_xlpm.受入,SUMIFS(tbl_ledger[数量],tbl_ledger[ロットID],$B237,tbl_ledger[イベント種類],"アセンブリ完了"),
_xlpm.充当受入,SUMIFS(tbl_ledger[数量],tbl_ledger[充当先ロットID],$B237,tbl_ledger[イベント種類],"充当",tbl_ledger[元状態],H$1),
_xlpm.払出,SUMIFS(tbl_ledger[数量],tbl_ledger[ロットID],$B237,tbl_ledger[元状態],H$1),
_xlpm.受入+_xlpm.充当受入-_xlpm.払出))</f>
        <v/>
      </c>
      <c r="I237" s="8" t="str">
        <f>IF($B237="","",_xlfn.LET(
_xlpm.受入,SUMIFS(tbl_ledger[数量],tbl_ledger[ロットID],$B237,tbl_ledger[イベント種類],"梱包開始"),
_xlpm.充当受入,SUMIFS(tbl_ledger[数量],tbl_ledger[充当先ロットID],$B237,tbl_ledger[イベント種類],"充当",tbl_ledger[元状態],I$1),
_xlpm.払出,SUMIFS(tbl_ledger[数量],tbl_ledger[ロットID],$B237,tbl_ledger[元状態],I$1),
_xlpm.受入+_xlpm.充当受入-_xlpm.払出))</f>
        <v/>
      </c>
      <c r="J237" s="8" t="str">
        <f>IF($B237="","",_xlfn.LET(
_xlpm.受入,SUMIFS(tbl_ledger[数量],tbl_ledger[ロットID],$B237,tbl_ledger[イベント種類],"梱包完了"),
_xlpm.充当受入,SUMIFS(tbl_ledger[数量],tbl_ledger[充当先ロットID],$B237,tbl_ledger[イベント種類],"充当",tbl_ledger[元状態],J$1),
_xlpm.払出,SUMIFS(tbl_ledger[数量],tbl_ledger[ロットID],$B237,tbl_ledger[元状態],J$1),
_xlpm.受入+_xlpm.充当受入-_xlpm.払出))</f>
        <v/>
      </c>
      <c r="K237" s="8" t="str">
        <f>IF($B237="","",_xlfn.LET(
_xlpm.受入,SUMIFS(tbl_ledger[数量],tbl_ledger[ロットID],$B237,tbl_ledger[イベント種類],"発送準備開始"),
_xlpm.充当受入,SUMIFS(tbl_ledger[数量],tbl_ledger[充当先ロットID],$B237,tbl_ledger[イベント種類],"充当",tbl_ledger[元状態],K$1),
_xlpm.払出,SUMIFS(tbl_ledger[数量],tbl_ledger[ロットID],$B237,tbl_ledger[元状態],K$1),
_xlpm.受入+_xlpm.充当受入-_xlpm.払出))</f>
        <v/>
      </c>
      <c r="L237" s="8" t="str">
        <f>IF($B237="","",_xlfn.LET(
_xlpm.受入,SUMIFS(tbl_ledger[数量],tbl_ledger[ロットID],$B237,tbl_ledger[イベント種類],"発送準備完了"),
_xlpm.充当受入,SUMIFS(tbl_ledger[数量],tbl_ledger[充当先ロットID],$B237,tbl_ledger[イベント種類],"充当",tbl_ledger[元状態],L$1),
_xlpm.払出,SUMIFS(tbl_ledger[数量],tbl_ledger[ロットID],$B237,tbl_ledger[元状態],L$1),
_xlpm.受入+_xlpm.充当受入-_xlpm.払出))</f>
        <v/>
      </c>
      <c r="M237" s="8" t="str">
        <f>IF($B237="","",_xlfn.LET(
_xlpm.受入,SUMIFS(tbl_ledger[数量],tbl_ledger[ロットID],$B237,tbl_ledger[イベント種類],"不良発生"),
_xlpm.充当受入,SUMIFS(tbl_ledger[数量],tbl_ledger[充当先ロットID],$B237,tbl_ledger[イベント種類],"充当",tbl_ledger[元状態],M$1),
_xlpm.払出,SUMIFS(tbl_ledger[数量],tbl_ledger[ロットID],$B237,tbl_ledger[元状態],M$1),
_xlpm.受入+_xlpm.充当受入-_xlpm.払出))</f>
        <v/>
      </c>
      <c r="N237" s="8" t="str">
        <f t="shared" si="7"/>
        <v/>
      </c>
    </row>
    <row r="238" spans="1:14" ht="15" customHeight="1" x14ac:dyDescent="0.25">
      <c r="A238" s="4" t="str">
        <f t="shared" si="6"/>
        <v/>
      </c>
      <c r="B238" s="4" t="str">
        <f>IFERROR(IF(COUNTIF($B$1:$B237,INDEX(tbl_plan[ロットID],ROW()-1))&gt;0,"",INDEX(tbl_plan[ロットID],ROW()-1)),"")</f>
        <v/>
      </c>
      <c r="C238" s="4" t="str">
        <f>IF($B238="","",INDEX(tbl_plan[localId],ROW()-1))</f>
        <v/>
      </c>
      <c r="D238" s="8" t="str">
        <f>IF($B238="","",_xlfn.LET(
_xlpm.割当受入,SUMIF(V_充足確認!$A$2:$A$301,$B238,V_充足確認!$F$2:$F$301),
_xlpm.充当受入,SUMIFS(tbl_ledger[数量],tbl_ledger[充当先ロットID],$B238,tbl_ledger[イベント種類],"充当",tbl_ledger[元状態],D$1),
_xlpm.払出,SUMIFS(tbl_ledger[数量],tbl_ledger[ロットID],$B238,tbl_ledger[元状態],D$1),
_xlpm.割当受入+_xlpm.充当受入-_xlpm.払出))</f>
        <v/>
      </c>
      <c r="E238" s="8" t="str">
        <f>IF($B238="","",_xlfn.LET(
_xlpm.受入,SUMIFS(tbl_ledger[数量],tbl_ledger[ロットID],$B238,tbl_ledger[イベント種類],"アニール開始"),
_xlpm.充当受入,SUMIFS(tbl_ledger[数量],tbl_ledger[充当先ロットID],$B238,tbl_ledger[イベント種類],"充当",tbl_ledger[元状態],E$1),
_xlpm.払出,SUMIFS(tbl_ledger[数量],tbl_ledger[ロットID],$B238,tbl_ledger[元状態],E$1),
_xlpm.受入+_xlpm.充当受入-_xlpm.払出))</f>
        <v/>
      </c>
      <c r="F238" s="8" t="str">
        <f>IF($B238="","",_xlfn.LET(
_xlpm.受入,SUMIFS(tbl_ledger[数量],tbl_ledger[ロットID],$B238,tbl_ledger[イベント種類],"アニール完了"),
_xlpm.充当受入,SUMIFS(tbl_ledger[数量],tbl_ledger[充当先ロットID],$B238,tbl_ledger[イベント種類],"充当",tbl_ledger[元状態],F$1),
_xlpm.払出,SUMIFS(tbl_ledger[数量],tbl_ledger[ロットID],$B238,tbl_ledger[元状態],F$1),
_xlpm.受入+_xlpm.充当受入-_xlpm.払出))</f>
        <v/>
      </c>
      <c r="G238" s="8" t="str">
        <f>IF($B238="","",_xlfn.LET(
_xlpm.受入,SUMIFS(tbl_ledger[数量],tbl_ledger[ロットID],$B238,tbl_ledger[イベント種類],"アセンブリ開始"),
_xlpm.充当受入,SUMIFS(tbl_ledger[数量],tbl_ledger[充当先ロットID],$B238,tbl_ledger[イベント種類],"充当",tbl_ledger[元状態],G$1),
_xlpm.払出,SUMIFS(tbl_ledger[数量],tbl_ledger[ロットID],$B238,tbl_ledger[元状態],G$1),
_xlpm.受入+_xlpm.充当受入-_xlpm.払出))</f>
        <v/>
      </c>
      <c r="H238" s="8" t="str">
        <f>IF($B238="","",_xlfn.LET(
_xlpm.受入,SUMIFS(tbl_ledger[数量],tbl_ledger[ロットID],$B238,tbl_ledger[イベント種類],"アセンブリ完了"),
_xlpm.充当受入,SUMIFS(tbl_ledger[数量],tbl_ledger[充当先ロットID],$B238,tbl_ledger[イベント種類],"充当",tbl_ledger[元状態],H$1),
_xlpm.払出,SUMIFS(tbl_ledger[数量],tbl_ledger[ロットID],$B238,tbl_ledger[元状態],H$1),
_xlpm.受入+_xlpm.充当受入-_xlpm.払出))</f>
        <v/>
      </c>
      <c r="I238" s="8" t="str">
        <f>IF($B238="","",_xlfn.LET(
_xlpm.受入,SUMIFS(tbl_ledger[数量],tbl_ledger[ロットID],$B238,tbl_ledger[イベント種類],"梱包開始"),
_xlpm.充当受入,SUMIFS(tbl_ledger[数量],tbl_ledger[充当先ロットID],$B238,tbl_ledger[イベント種類],"充当",tbl_ledger[元状態],I$1),
_xlpm.払出,SUMIFS(tbl_ledger[数量],tbl_ledger[ロットID],$B238,tbl_ledger[元状態],I$1),
_xlpm.受入+_xlpm.充当受入-_xlpm.払出))</f>
        <v/>
      </c>
      <c r="J238" s="8" t="str">
        <f>IF($B238="","",_xlfn.LET(
_xlpm.受入,SUMIFS(tbl_ledger[数量],tbl_ledger[ロットID],$B238,tbl_ledger[イベント種類],"梱包完了"),
_xlpm.充当受入,SUMIFS(tbl_ledger[数量],tbl_ledger[充当先ロットID],$B238,tbl_ledger[イベント種類],"充当",tbl_ledger[元状態],J$1),
_xlpm.払出,SUMIFS(tbl_ledger[数量],tbl_ledger[ロットID],$B238,tbl_ledger[元状態],J$1),
_xlpm.受入+_xlpm.充当受入-_xlpm.払出))</f>
        <v/>
      </c>
      <c r="K238" s="8" t="str">
        <f>IF($B238="","",_xlfn.LET(
_xlpm.受入,SUMIFS(tbl_ledger[数量],tbl_ledger[ロットID],$B238,tbl_ledger[イベント種類],"発送準備開始"),
_xlpm.充当受入,SUMIFS(tbl_ledger[数量],tbl_ledger[充当先ロットID],$B238,tbl_ledger[イベント種類],"充当",tbl_ledger[元状態],K$1),
_xlpm.払出,SUMIFS(tbl_ledger[数量],tbl_ledger[ロットID],$B238,tbl_ledger[元状態],K$1),
_xlpm.受入+_xlpm.充当受入-_xlpm.払出))</f>
        <v/>
      </c>
      <c r="L238" s="8" t="str">
        <f>IF($B238="","",_xlfn.LET(
_xlpm.受入,SUMIFS(tbl_ledger[数量],tbl_ledger[ロットID],$B238,tbl_ledger[イベント種類],"発送準備完了"),
_xlpm.充当受入,SUMIFS(tbl_ledger[数量],tbl_ledger[充当先ロットID],$B238,tbl_ledger[イベント種類],"充当",tbl_ledger[元状態],L$1),
_xlpm.払出,SUMIFS(tbl_ledger[数量],tbl_ledger[ロットID],$B238,tbl_ledger[元状態],L$1),
_xlpm.受入+_xlpm.充当受入-_xlpm.払出))</f>
        <v/>
      </c>
      <c r="M238" s="8" t="str">
        <f>IF($B238="","",_xlfn.LET(
_xlpm.受入,SUMIFS(tbl_ledger[数量],tbl_ledger[ロットID],$B238,tbl_ledger[イベント種類],"不良発生"),
_xlpm.充当受入,SUMIFS(tbl_ledger[数量],tbl_ledger[充当先ロットID],$B238,tbl_ledger[イベント種類],"充当",tbl_ledger[元状態],M$1),
_xlpm.払出,SUMIFS(tbl_ledger[数量],tbl_ledger[ロットID],$B238,tbl_ledger[元状態],M$1),
_xlpm.受入+_xlpm.充当受入-_xlpm.払出))</f>
        <v/>
      </c>
      <c r="N238" s="8" t="str">
        <f t="shared" si="7"/>
        <v/>
      </c>
    </row>
    <row r="239" spans="1:14" ht="15" customHeight="1" x14ac:dyDescent="0.25">
      <c r="A239" s="4" t="str">
        <f t="shared" si="6"/>
        <v/>
      </c>
      <c r="B239" s="4" t="str">
        <f>IFERROR(IF(COUNTIF($B$1:$B238,INDEX(tbl_plan[ロットID],ROW()-1))&gt;0,"",INDEX(tbl_plan[ロットID],ROW()-1)),"")</f>
        <v/>
      </c>
      <c r="C239" s="4" t="str">
        <f>IF($B239="","",INDEX(tbl_plan[localId],ROW()-1))</f>
        <v/>
      </c>
      <c r="D239" s="8" t="str">
        <f>IF($B239="","",_xlfn.LET(
_xlpm.割当受入,SUMIF(V_充足確認!$A$2:$A$301,$B239,V_充足確認!$F$2:$F$301),
_xlpm.充当受入,SUMIFS(tbl_ledger[数量],tbl_ledger[充当先ロットID],$B239,tbl_ledger[イベント種類],"充当",tbl_ledger[元状態],D$1),
_xlpm.払出,SUMIFS(tbl_ledger[数量],tbl_ledger[ロットID],$B239,tbl_ledger[元状態],D$1),
_xlpm.割当受入+_xlpm.充当受入-_xlpm.払出))</f>
        <v/>
      </c>
      <c r="E239" s="8" t="str">
        <f>IF($B239="","",_xlfn.LET(
_xlpm.受入,SUMIFS(tbl_ledger[数量],tbl_ledger[ロットID],$B239,tbl_ledger[イベント種類],"アニール開始"),
_xlpm.充当受入,SUMIFS(tbl_ledger[数量],tbl_ledger[充当先ロットID],$B239,tbl_ledger[イベント種類],"充当",tbl_ledger[元状態],E$1),
_xlpm.払出,SUMIFS(tbl_ledger[数量],tbl_ledger[ロットID],$B239,tbl_ledger[元状態],E$1),
_xlpm.受入+_xlpm.充当受入-_xlpm.払出))</f>
        <v/>
      </c>
      <c r="F239" s="8" t="str">
        <f>IF($B239="","",_xlfn.LET(
_xlpm.受入,SUMIFS(tbl_ledger[数量],tbl_ledger[ロットID],$B239,tbl_ledger[イベント種類],"アニール完了"),
_xlpm.充当受入,SUMIFS(tbl_ledger[数量],tbl_ledger[充当先ロットID],$B239,tbl_ledger[イベント種類],"充当",tbl_ledger[元状態],F$1),
_xlpm.払出,SUMIFS(tbl_ledger[数量],tbl_ledger[ロットID],$B239,tbl_ledger[元状態],F$1),
_xlpm.受入+_xlpm.充当受入-_xlpm.払出))</f>
        <v/>
      </c>
      <c r="G239" s="8" t="str">
        <f>IF($B239="","",_xlfn.LET(
_xlpm.受入,SUMIFS(tbl_ledger[数量],tbl_ledger[ロットID],$B239,tbl_ledger[イベント種類],"アセンブリ開始"),
_xlpm.充当受入,SUMIFS(tbl_ledger[数量],tbl_ledger[充当先ロットID],$B239,tbl_ledger[イベント種類],"充当",tbl_ledger[元状態],G$1),
_xlpm.払出,SUMIFS(tbl_ledger[数量],tbl_ledger[ロットID],$B239,tbl_ledger[元状態],G$1),
_xlpm.受入+_xlpm.充当受入-_xlpm.払出))</f>
        <v/>
      </c>
      <c r="H239" s="8" t="str">
        <f>IF($B239="","",_xlfn.LET(
_xlpm.受入,SUMIFS(tbl_ledger[数量],tbl_ledger[ロットID],$B239,tbl_ledger[イベント種類],"アセンブリ完了"),
_xlpm.充当受入,SUMIFS(tbl_ledger[数量],tbl_ledger[充当先ロットID],$B239,tbl_ledger[イベント種類],"充当",tbl_ledger[元状態],H$1),
_xlpm.払出,SUMIFS(tbl_ledger[数量],tbl_ledger[ロットID],$B239,tbl_ledger[元状態],H$1),
_xlpm.受入+_xlpm.充当受入-_xlpm.払出))</f>
        <v/>
      </c>
      <c r="I239" s="8" t="str">
        <f>IF($B239="","",_xlfn.LET(
_xlpm.受入,SUMIFS(tbl_ledger[数量],tbl_ledger[ロットID],$B239,tbl_ledger[イベント種類],"梱包開始"),
_xlpm.充当受入,SUMIFS(tbl_ledger[数量],tbl_ledger[充当先ロットID],$B239,tbl_ledger[イベント種類],"充当",tbl_ledger[元状態],I$1),
_xlpm.払出,SUMIFS(tbl_ledger[数量],tbl_ledger[ロットID],$B239,tbl_ledger[元状態],I$1),
_xlpm.受入+_xlpm.充当受入-_xlpm.払出))</f>
        <v/>
      </c>
      <c r="J239" s="8" t="str">
        <f>IF($B239="","",_xlfn.LET(
_xlpm.受入,SUMIFS(tbl_ledger[数量],tbl_ledger[ロットID],$B239,tbl_ledger[イベント種類],"梱包完了"),
_xlpm.充当受入,SUMIFS(tbl_ledger[数量],tbl_ledger[充当先ロットID],$B239,tbl_ledger[イベント種類],"充当",tbl_ledger[元状態],J$1),
_xlpm.払出,SUMIFS(tbl_ledger[数量],tbl_ledger[ロットID],$B239,tbl_ledger[元状態],J$1),
_xlpm.受入+_xlpm.充当受入-_xlpm.払出))</f>
        <v/>
      </c>
      <c r="K239" s="8" t="str">
        <f>IF($B239="","",_xlfn.LET(
_xlpm.受入,SUMIFS(tbl_ledger[数量],tbl_ledger[ロットID],$B239,tbl_ledger[イベント種類],"発送準備開始"),
_xlpm.充当受入,SUMIFS(tbl_ledger[数量],tbl_ledger[充当先ロットID],$B239,tbl_ledger[イベント種類],"充当",tbl_ledger[元状態],K$1),
_xlpm.払出,SUMIFS(tbl_ledger[数量],tbl_ledger[ロットID],$B239,tbl_ledger[元状態],K$1),
_xlpm.受入+_xlpm.充当受入-_xlpm.払出))</f>
        <v/>
      </c>
      <c r="L239" s="8" t="str">
        <f>IF($B239="","",_xlfn.LET(
_xlpm.受入,SUMIFS(tbl_ledger[数量],tbl_ledger[ロットID],$B239,tbl_ledger[イベント種類],"発送準備完了"),
_xlpm.充当受入,SUMIFS(tbl_ledger[数量],tbl_ledger[充当先ロットID],$B239,tbl_ledger[イベント種類],"充当",tbl_ledger[元状態],L$1),
_xlpm.払出,SUMIFS(tbl_ledger[数量],tbl_ledger[ロットID],$B239,tbl_ledger[元状態],L$1),
_xlpm.受入+_xlpm.充当受入-_xlpm.払出))</f>
        <v/>
      </c>
      <c r="M239" s="8" t="str">
        <f>IF($B239="","",_xlfn.LET(
_xlpm.受入,SUMIFS(tbl_ledger[数量],tbl_ledger[ロットID],$B239,tbl_ledger[イベント種類],"不良発生"),
_xlpm.充当受入,SUMIFS(tbl_ledger[数量],tbl_ledger[充当先ロットID],$B239,tbl_ledger[イベント種類],"充当",tbl_ledger[元状態],M$1),
_xlpm.払出,SUMIFS(tbl_ledger[数量],tbl_ledger[ロットID],$B239,tbl_ledger[元状態],M$1),
_xlpm.受入+_xlpm.充当受入-_xlpm.払出))</f>
        <v/>
      </c>
      <c r="N239" s="8" t="str">
        <f t="shared" si="7"/>
        <v/>
      </c>
    </row>
    <row r="240" spans="1:14" ht="15" customHeight="1" x14ac:dyDescent="0.25">
      <c r="A240" s="4" t="str">
        <f t="shared" si="6"/>
        <v/>
      </c>
      <c r="B240" s="4" t="str">
        <f>IFERROR(IF(COUNTIF($B$1:$B239,INDEX(tbl_plan[ロットID],ROW()-1))&gt;0,"",INDEX(tbl_plan[ロットID],ROW()-1)),"")</f>
        <v/>
      </c>
      <c r="C240" s="4" t="str">
        <f>IF($B240="","",INDEX(tbl_plan[localId],ROW()-1))</f>
        <v/>
      </c>
      <c r="D240" s="8" t="str">
        <f>IF($B240="","",_xlfn.LET(
_xlpm.割当受入,SUMIF(V_充足確認!$A$2:$A$301,$B240,V_充足確認!$F$2:$F$301),
_xlpm.充当受入,SUMIFS(tbl_ledger[数量],tbl_ledger[充当先ロットID],$B240,tbl_ledger[イベント種類],"充当",tbl_ledger[元状態],D$1),
_xlpm.払出,SUMIFS(tbl_ledger[数量],tbl_ledger[ロットID],$B240,tbl_ledger[元状態],D$1),
_xlpm.割当受入+_xlpm.充当受入-_xlpm.払出))</f>
        <v/>
      </c>
      <c r="E240" s="8" t="str">
        <f>IF($B240="","",_xlfn.LET(
_xlpm.受入,SUMIFS(tbl_ledger[数量],tbl_ledger[ロットID],$B240,tbl_ledger[イベント種類],"アニール開始"),
_xlpm.充当受入,SUMIFS(tbl_ledger[数量],tbl_ledger[充当先ロットID],$B240,tbl_ledger[イベント種類],"充当",tbl_ledger[元状態],E$1),
_xlpm.払出,SUMIFS(tbl_ledger[数量],tbl_ledger[ロットID],$B240,tbl_ledger[元状態],E$1),
_xlpm.受入+_xlpm.充当受入-_xlpm.払出))</f>
        <v/>
      </c>
      <c r="F240" s="8" t="str">
        <f>IF($B240="","",_xlfn.LET(
_xlpm.受入,SUMIFS(tbl_ledger[数量],tbl_ledger[ロットID],$B240,tbl_ledger[イベント種類],"アニール完了"),
_xlpm.充当受入,SUMIFS(tbl_ledger[数量],tbl_ledger[充当先ロットID],$B240,tbl_ledger[イベント種類],"充当",tbl_ledger[元状態],F$1),
_xlpm.払出,SUMIFS(tbl_ledger[数量],tbl_ledger[ロットID],$B240,tbl_ledger[元状態],F$1),
_xlpm.受入+_xlpm.充当受入-_xlpm.払出))</f>
        <v/>
      </c>
      <c r="G240" s="8" t="str">
        <f>IF($B240="","",_xlfn.LET(
_xlpm.受入,SUMIFS(tbl_ledger[数量],tbl_ledger[ロットID],$B240,tbl_ledger[イベント種類],"アセンブリ開始"),
_xlpm.充当受入,SUMIFS(tbl_ledger[数量],tbl_ledger[充当先ロットID],$B240,tbl_ledger[イベント種類],"充当",tbl_ledger[元状態],G$1),
_xlpm.払出,SUMIFS(tbl_ledger[数量],tbl_ledger[ロットID],$B240,tbl_ledger[元状態],G$1),
_xlpm.受入+_xlpm.充当受入-_xlpm.払出))</f>
        <v/>
      </c>
      <c r="H240" s="8" t="str">
        <f>IF($B240="","",_xlfn.LET(
_xlpm.受入,SUMIFS(tbl_ledger[数量],tbl_ledger[ロットID],$B240,tbl_ledger[イベント種類],"アセンブリ完了"),
_xlpm.充当受入,SUMIFS(tbl_ledger[数量],tbl_ledger[充当先ロットID],$B240,tbl_ledger[イベント種類],"充当",tbl_ledger[元状態],H$1),
_xlpm.払出,SUMIFS(tbl_ledger[数量],tbl_ledger[ロットID],$B240,tbl_ledger[元状態],H$1),
_xlpm.受入+_xlpm.充当受入-_xlpm.払出))</f>
        <v/>
      </c>
      <c r="I240" s="8" t="str">
        <f>IF($B240="","",_xlfn.LET(
_xlpm.受入,SUMIFS(tbl_ledger[数量],tbl_ledger[ロットID],$B240,tbl_ledger[イベント種類],"梱包開始"),
_xlpm.充当受入,SUMIFS(tbl_ledger[数量],tbl_ledger[充当先ロットID],$B240,tbl_ledger[イベント種類],"充当",tbl_ledger[元状態],I$1),
_xlpm.払出,SUMIFS(tbl_ledger[数量],tbl_ledger[ロットID],$B240,tbl_ledger[元状態],I$1),
_xlpm.受入+_xlpm.充当受入-_xlpm.払出))</f>
        <v/>
      </c>
      <c r="J240" s="8" t="str">
        <f>IF($B240="","",_xlfn.LET(
_xlpm.受入,SUMIFS(tbl_ledger[数量],tbl_ledger[ロットID],$B240,tbl_ledger[イベント種類],"梱包完了"),
_xlpm.充当受入,SUMIFS(tbl_ledger[数量],tbl_ledger[充当先ロットID],$B240,tbl_ledger[イベント種類],"充当",tbl_ledger[元状態],J$1),
_xlpm.払出,SUMIFS(tbl_ledger[数量],tbl_ledger[ロットID],$B240,tbl_ledger[元状態],J$1),
_xlpm.受入+_xlpm.充当受入-_xlpm.払出))</f>
        <v/>
      </c>
      <c r="K240" s="8" t="str">
        <f>IF($B240="","",_xlfn.LET(
_xlpm.受入,SUMIFS(tbl_ledger[数量],tbl_ledger[ロットID],$B240,tbl_ledger[イベント種類],"発送準備開始"),
_xlpm.充当受入,SUMIFS(tbl_ledger[数量],tbl_ledger[充当先ロットID],$B240,tbl_ledger[イベント種類],"充当",tbl_ledger[元状態],K$1),
_xlpm.払出,SUMIFS(tbl_ledger[数量],tbl_ledger[ロットID],$B240,tbl_ledger[元状態],K$1),
_xlpm.受入+_xlpm.充当受入-_xlpm.払出))</f>
        <v/>
      </c>
      <c r="L240" s="8" t="str">
        <f>IF($B240="","",_xlfn.LET(
_xlpm.受入,SUMIFS(tbl_ledger[数量],tbl_ledger[ロットID],$B240,tbl_ledger[イベント種類],"発送準備完了"),
_xlpm.充当受入,SUMIFS(tbl_ledger[数量],tbl_ledger[充当先ロットID],$B240,tbl_ledger[イベント種類],"充当",tbl_ledger[元状態],L$1),
_xlpm.払出,SUMIFS(tbl_ledger[数量],tbl_ledger[ロットID],$B240,tbl_ledger[元状態],L$1),
_xlpm.受入+_xlpm.充当受入-_xlpm.払出))</f>
        <v/>
      </c>
      <c r="M240" s="8" t="str">
        <f>IF($B240="","",_xlfn.LET(
_xlpm.受入,SUMIFS(tbl_ledger[数量],tbl_ledger[ロットID],$B240,tbl_ledger[イベント種類],"不良発生"),
_xlpm.充当受入,SUMIFS(tbl_ledger[数量],tbl_ledger[充当先ロットID],$B240,tbl_ledger[イベント種類],"充当",tbl_ledger[元状態],M$1),
_xlpm.払出,SUMIFS(tbl_ledger[数量],tbl_ledger[ロットID],$B240,tbl_ledger[元状態],M$1),
_xlpm.受入+_xlpm.充当受入-_xlpm.払出))</f>
        <v/>
      </c>
      <c r="N240" s="8" t="str">
        <f t="shared" si="7"/>
        <v/>
      </c>
    </row>
    <row r="241" spans="1:14" ht="15" customHeight="1" x14ac:dyDescent="0.25">
      <c r="A241" s="4" t="str">
        <f t="shared" si="6"/>
        <v/>
      </c>
      <c r="B241" s="4" t="str">
        <f>IFERROR(IF(COUNTIF($B$1:$B240,INDEX(tbl_plan[ロットID],ROW()-1))&gt;0,"",INDEX(tbl_plan[ロットID],ROW()-1)),"")</f>
        <v/>
      </c>
      <c r="C241" s="4" t="str">
        <f>IF($B241="","",INDEX(tbl_plan[localId],ROW()-1))</f>
        <v/>
      </c>
      <c r="D241" s="8" t="str">
        <f>IF($B241="","",_xlfn.LET(
_xlpm.割当受入,SUMIF(V_充足確認!$A$2:$A$301,$B241,V_充足確認!$F$2:$F$301),
_xlpm.充当受入,SUMIFS(tbl_ledger[数量],tbl_ledger[充当先ロットID],$B241,tbl_ledger[イベント種類],"充当",tbl_ledger[元状態],D$1),
_xlpm.払出,SUMIFS(tbl_ledger[数量],tbl_ledger[ロットID],$B241,tbl_ledger[元状態],D$1),
_xlpm.割当受入+_xlpm.充当受入-_xlpm.払出))</f>
        <v/>
      </c>
      <c r="E241" s="8" t="str">
        <f>IF($B241="","",_xlfn.LET(
_xlpm.受入,SUMIFS(tbl_ledger[数量],tbl_ledger[ロットID],$B241,tbl_ledger[イベント種類],"アニール開始"),
_xlpm.充当受入,SUMIFS(tbl_ledger[数量],tbl_ledger[充当先ロットID],$B241,tbl_ledger[イベント種類],"充当",tbl_ledger[元状態],E$1),
_xlpm.払出,SUMIFS(tbl_ledger[数量],tbl_ledger[ロットID],$B241,tbl_ledger[元状態],E$1),
_xlpm.受入+_xlpm.充当受入-_xlpm.払出))</f>
        <v/>
      </c>
      <c r="F241" s="8" t="str">
        <f>IF($B241="","",_xlfn.LET(
_xlpm.受入,SUMIFS(tbl_ledger[数量],tbl_ledger[ロットID],$B241,tbl_ledger[イベント種類],"アニール完了"),
_xlpm.充当受入,SUMIFS(tbl_ledger[数量],tbl_ledger[充当先ロットID],$B241,tbl_ledger[イベント種類],"充当",tbl_ledger[元状態],F$1),
_xlpm.払出,SUMIFS(tbl_ledger[数量],tbl_ledger[ロットID],$B241,tbl_ledger[元状態],F$1),
_xlpm.受入+_xlpm.充当受入-_xlpm.払出))</f>
        <v/>
      </c>
      <c r="G241" s="8" t="str">
        <f>IF($B241="","",_xlfn.LET(
_xlpm.受入,SUMIFS(tbl_ledger[数量],tbl_ledger[ロットID],$B241,tbl_ledger[イベント種類],"アセンブリ開始"),
_xlpm.充当受入,SUMIFS(tbl_ledger[数量],tbl_ledger[充当先ロットID],$B241,tbl_ledger[イベント種類],"充当",tbl_ledger[元状態],G$1),
_xlpm.払出,SUMIFS(tbl_ledger[数量],tbl_ledger[ロットID],$B241,tbl_ledger[元状態],G$1),
_xlpm.受入+_xlpm.充当受入-_xlpm.払出))</f>
        <v/>
      </c>
      <c r="H241" s="8" t="str">
        <f>IF($B241="","",_xlfn.LET(
_xlpm.受入,SUMIFS(tbl_ledger[数量],tbl_ledger[ロットID],$B241,tbl_ledger[イベント種類],"アセンブリ完了"),
_xlpm.充当受入,SUMIFS(tbl_ledger[数量],tbl_ledger[充当先ロットID],$B241,tbl_ledger[イベント種類],"充当",tbl_ledger[元状態],H$1),
_xlpm.払出,SUMIFS(tbl_ledger[数量],tbl_ledger[ロットID],$B241,tbl_ledger[元状態],H$1),
_xlpm.受入+_xlpm.充当受入-_xlpm.払出))</f>
        <v/>
      </c>
      <c r="I241" s="8" t="str">
        <f>IF($B241="","",_xlfn.LET(
_xlpm.受入,SUMIFS(tbl_ledger[数量],tbl_ledger[ロットID],$B241,tbl_ledger[イベント種類],"梱包開始"),
_xlpm.充当受入,SUMIFS(tbl_ledger[数量],tbl_ledger[充当先ロットID],$B241,tbl_ledger[イベント種類],"充当",tbl_ledger[元状態],I$1),
_xlpm.払出,SUMIFS(tbl_ledger[数量],tbl_ledger[ロットID],$B241,tbl_ledger[元状態],I$1),
_xlpm.受入+_xlpm.充当受入-_xlpm.払出))</f>
        <v/>
      </c>
      <c r="J241" s="8" t="str">
        <f>IF($B241="","",_xlfn.LET(
_xlpm.受入,SUMIFS(tbl_ledger[数量],tbl_ledger[ロットID],$B241,tbl_ledger[イベント種類],"梱包完了"),
_xlpm.充当受入,SUMIFS(tbl_ledger[数量],tbl_ledger[充当先ロットID],$B241,tbl_ledger[イベント種類],"充当",tbl_ledger[元状態],J$1),
_xlpm.払出,SUMIFS(tbl_ledger[数量],tbl_ledger[ロットID],$B241,tbl_ledger[元状態],J$1),
_xlpm.受入+_xlpm.充当受入-_xlpm.払出))</f>
        <v/>
      </c>
      <c r="K241" s="8" t="str">
        <f>IF($B241="","",_xlfn.LET(
_xlpm.受入,SUMIFS(tbl_ledger[数量],tbl_ledger[ロットID],$B241,tbl_ledger[イベント種類],"発送準備開始"),
_xlpm.充当受入,SUMIFS(tbl_ledger[数量],tbl_ledger[充当先ロットID],$B241,tbl_ledger[イベント種類],"充当",tbl_ledger[元状態],K$1),
_xlpm.払出,SUMIFS(tbl_ledger[数量],tbl_ledger[ロットID],$B241,tbl_ledger[元状態],K$1),
_xlpm.受入+_xlpm.充当受入-_xlpm.払出))</f>
        <v/>
      </c>
      <c r="L241" s="8" t="str">
        <f>IF($B241="","",_xlfn.LET(
_xlpm.受入,SUMIFS(tbl_ledger[数量],tbl_ledger[ロットID],$B241,tbl_ledger[イベント種類],"発送準備完了"),
_xlpm.充当受入,SUMIFS(tbl_ledger[数量],tbl_ledger[充当先ロットID],$B241,tbl_ledger[イベント種類],"充当",tbl_ledger[元状態],L$1),
_xlpm.払出,SUMIFS(tbl_ledger[数量],tbl_ledger[ロットID],$B241,tbl_ledger[元状態],L$1),
_xlpm.受入+_xlpm.充当受入-_xlpm.払出))</f>
        <v/>
      </c>
      <c r="M241" s="8" t="str">
        <f>IF($B241="","",_xlfn.LET(
_xlpm.受入,SUMIFS(tbl_ledger[数量],tbl_ledger[ロットID],$B241,tbl_ledger[イベント種類],"不良発生"),
_xlpm.充当受入,SUMIFS(tbl_ledger[数量],tbl_ledger[充当先ロットID],$B241,tbl_ledger[イベント種類],"充当",tbl_ledger[元状態],M$1),
_xlpm.払出,SUMIFS(tbl_ledger[数量],tbl_ledger[ロットID],$B241,tbl_ledger[元状態],M$1),
_xlpm.受入+_xlpm.充当受入-_xlpm.払出))</f>
        <v/>
      </c>
      <c r="N241" s="8" t="str">
        <f t="shared" si="7"/>
        <v/>
      </c>
    </row>
    <row r="242" spans="1:14" ht="15" customHeight="1" x14ac:dyDescent="0.25">
      <c r="A242" s="4" t="str">
        <f t="shared" si="6"/>
        <v/>
      </c>
      <c r="B242" s="4" t="str">
        <f>IFERROR(IF(COUNTIF($B$1:$B241,INDEX(tbl_plan[ロットID],ROW()-1))&gt;0,"",INDEX(tbl_plan[ロットID],ROW()-1)),"")</f>
        <v/>
      </c>
      <c r="C242" s="4" t="str">
        <f>IF($B242="","",INDEX(tbl_plan[localId],ROW()-1))</f>
        <v/>
      </c>
      <c r="D242" s="8" t="str">
        <f>IF($B242="","",_xlfn.LET(
_xlpm.割当受入,SUMIF(V_充足確認!$A$2:$A$301,$B242,V_充足確認!$F$2:$F$301),
_xlpm.充当受入,SUMIFS(tbl_ledger[数量],tbl_ledger[充当先ロットID],$B242,tbl_ledger[イベント種類],"充当",tbl_ledger[元状態],D$1),
_xlpm.払出,SUMIFS(tbl_ledger[数量],tbl_ledger[ロットID],$B242,tbl_ledger[元状態],D$1),
_xlpm.割当受入+_xlpm.充当受入-_xlpm.払出))</f>
        <v/>
      </c>
      <c r="E242" s="8" t="str">
        <f>IF($B242="","",_xlfn.LET(
_xlpm.受入,SUMIFS(tbl_ledger[数量],tbl_ledger[ロットID],$B242,tbl_ledger[イベント種類],"アニール開始"),
_xlpm.充当受入,SUMIFS(tbl_ledger[数量],tbl_ledger[充当先ロットID],$B242,tbl_ledger[イベント種類],"充当",tbl_ledger[元状態],E$1),
_xlpm.払出,SUMIFS(tbl_ledger[数量],tbl_ledger[ロットID],$B242,tbl_ledger[元状態],E$1),
_xlpm.受入+_xlpm.充当受入-_xlpm.払出))</f>
        <v/>
      </c>
      <c r="F242" s="8" t="str">
        <f>IF($B242="","",_xlfn.LET(
_xlpm.受入,SUMIFS(tbl_ledger[数量],tbl_ledger[ロットID],$B242,tbl_ledger[イベント種類],"アニール完了"),
_xlpm.充当受入,SUMIFS(tbl_ledger[数量],tbl_ledger[充当先ロットID],$B242,tbl_ledger[イベント種類],"充当",tbl_ledger[元状態],F$1),
_xlpm.払出,SUMIFS(tbl_ledger[数量],tbl_ledger[ロットID],$B242,tbl_ledger[元状態],F$1),
_xlpm.受入+_xlpm.充当受入-_xlpm.払出))</f>
        <v/>
      </c>
      <c r="G242" s="8" t="str">
        <f>IF($B242="","",_xlfn.LET(
_xlpm.受入,SUMIFS(tbl_ledger[数量],tbl_ledger[ロットID],$B242,tbl_ledger[イベント種類],"アセンブリ開始"),
_xlpm.充当受入,SUMIFS(tbl_ledger[数量],tbl_ledger[充当先ロットID],$B242,tbl_ledger[イベント種類],"充当",tbl_ledger[元状態],G$1),
_xlpm.払出,SUMIFS(tbl_ledger[数量],tbl_ledger[ロットID],$B242,tbl_ledger[元状態],G$1),
_xlpm.受入+_xlpm.充当受入-_xlpm.払出))</f>
        <v/>
      </c>
      <c r="H242" s="8" t="str">
        <f>IF($B242="","",_xlfn.LET(
_xlpm.受入,SUMIFS(tbl_ledger[数量],tbl_ledger[ロットID],$B242,tbl_ledger[イベント種類],"アセンブリ完了"),
_xlpm.充当受入,SUMIFS(tbl_ledger[数量],tbl_ledger[充当先ロットID],$B242,tbl_ledger[イベント種類],"充当",tbl_ledger[元状態],H$1),
_xlpm.払出,SUMIFS(tbl_ledger[数量],tbl_ledger[ロットID],$B242,tbl_ledger[元状態],H$1),
_xlpm.受入+_xlpm.充当受入-_xlpm.払出))</f>
        <v/>
      </c>
      <c r="I242" s="8" t="str">
        <f>IF($B242="","",_xlfn.LET(
_xlpm.受入,SUMIFS(tbl_ledger[数量],tbl_ledger[ロットID],$B242,tbl_ledger[イベント種類],"梱包開始"),
_xlpm.充当受入,SUMIFS(tbl_ledger[数量],tbl_ledger[充当先ロットID],$B242,tbl_ledger[イベント種類],"充当",tbl_ledger[元状態],I$1),
_xlpm.払出,SUMIFS(tbl_ledger[数量],tbl_ledger[ロットID],$B242,tbl_ledger[元状態],I$1),
_xlpm.受入+_xlpm.充当受入-_xlpm.払出))</f>
        <v/>
      </c>
      <c r="J242" s="8" t="str">
        <f>IF($B242="","",_xlfn.LET(
_xlpm.受入,SUMIFS(tbl_ledger[数量],tbl_ledger[ロットID],$B242,tbl_ledger[イベント種類],"梱包完了"),
_xlpm.充当受入,SUMIFS(tbl_ledger[数量],tbl_ledger[充当先ロットID],$B242,tbl_ledger[イベント種類],"充当",tbl_ledger[元状態],J$1),
_xlpm.払出,SUMIFS(tbl_ledger[数量],tbl_ledger[ロットID],$B242,tbl_ledger[元状態],J$1),
_xlpm.受入+_xlpm.充当受入-_xlpm.払出))</f>
        <v/>
      </c>
      <c r="K242" s="8" t="str">
        <f>IF($B242="","",_xlfn.LET(
_xlpm.受入,SUMIFS(tbl_ledger[数量],tbl_ledger[ロットID],$B242,tbl_ledger[イベント種類],"発送準備開始"),
_xlpm.充当受入,SUMIFS(tbl_ledger[数量],tbl_ledger[充当先ロットID],$B242,tbl_ledger[イベント種類],"充当",tbl_ledger[元状態],K$1),
_xlpm.払出,SUMIFS(tbl_ledger[数量],tbl_ledger[ロットID],$B242,tbl_ledger[元状態],K$1),
_xlpm.受入+_xlpm.充当受入-_xlpm.払出))</f>
        <v/>
      </c>
      <c r="L242" s="8" t="str">
        <f>IF($B242="","",_xlfn.LET(
_xlpm.受入,SUMIFS(tbl_ledger[数量],tbl_ledger[ロットID],$B242,tbl_ledger[イベント種類],"発送準備完了"),
_xlpm.充当受入,SUMIFS(tbl_ledger[数量],tbl_ledger[充当先ロットID],$B242,tbl_ledger[イベント種類],"充当",tbl_ledger[元状態],L$1),
_xlpm.払出,SUMIFS(tbl_ledger[数量],tbl_ledger[ロットID],$B242,tbl_ledger[元状態],L$1),
_xlpm.受入+_xlpm.充当受入-_xlpm.払出))</f>
        <v/>
      </c>
      <c r="M242" s="8" t="str">
        <f>IF($B242="","",_xlfn.LET(
_xlpm.受入,SUMIFS(tbl_ledger[数量],tbl_ledger[ロットID],$B242,tbl_ledger[イベント種類],"不良発生"),
_xlpm.充当受入,SUMIFS(tbl_ledger[数量],tbl_ledger[充当先ロットID],$B242,tbl_ledger[イベント種類],"充当",tbl_ledger[元状態],M$1),
_xlpm.払出,SUMIFS(tbl_ledger[数量],tbl_ledger[ロットID],$B242,tbl_ledger[元状態],M$1),
_xlpm.受入+_xlpm.充当受入-_xlpm.払出))</f>
        <v/>
      </c>
      <c r="N242" s="8" t="str">
        <f t="shared" si="7"/>
        <v/>
      </c>
    </row>
    <row r="243" spans="1:14" ht="15" customHeight="1" x14ac:dyDescent="0.25">
      <c r="A243" s="4" t="str">
        <f t="shared" si="6"/>
        <v/>
      </c>
      <c r="B243" s="4" t="str">
        <f>IFERROR(IF(COUNTIF($B$1:$B242,INDEX(tbl_plan[ロットID],ROW()-1))&gt;0,"",INDEX(tbl_plan[ロットID],ROW()-1)),"")</f>
        <v/>
      </c>
      <c r="C243" s="4" t="str">
        <f>IF($B243="","",INDEX(tbl_plan[localId],ROW()-1))</f>
        <v/>
      </c>
      <c r="D243" s="8" t="str">
        <f>IF($B243="","",_xlfn.LET(
_xlpm.割当受入,SUMIF(V_充足確認!$A$2:$A$301,$B243,V_充足確認!$F$2:$F$301),
_xlpm.充当受入,SUMIFS(tbl_ledger[数量],tbl_ledger[充当先ロットID],$B243,tbl_ledger[イベント種類],"充当",tbl_ledger[元状態],D$1),
_xlpm.払出,SUMIFS(tbl_ledger[数量],tbl_ledger[ロットID],$B243,tbl_ledger[元状態],D$1),
_xlpm.割当受入+_xlpm.充当受入-_xlpm.払出))</f>
        <v/>
      </c>
      <c r="E243" s="8" t="str">
        <f>IF($B243="","",_xlfn.LET(
_xlpm.受入,SUMIFS(tbl_ledger[数量],tbl_ledger[ロットID],$B243,tbl_ledger[イベント種類],"アニール開始"),
_xlpm.充当受入,SUMIFS(tbl_ledger[数量],tbl_ledger[充当先ロットID],$B243,tbl_ledger[イベント種類],"充当",tbl_ledger[元状態],E$1),
_xlpm.払出,SUMIFS(tbl_ledger[数量],tbl_ledger[ロットID],$B243,tbl_ledger[元状態],E$1),
_xlpm.受入+_xlpm.充当受入-_xlpm.払出))</f>
        <v/>
      </c>
      <c r="F243" s="8" t="str">
        <f>IF($B243="","",_xlfn.LET(
_xlpm.受入,SUMIFS(tbl_ledger[数量],tbl_ledger[ロットID],$B243,tbl_ledger[イベント種類],"アニール完了"),
_xlpm.充当受入,SUMIFS(tbl_ledger[数量],tbl_ledger[充当先ロットID],$B243,tbl_ledger[イベント種類],"充当",tbl_ledger[元状態],F$1),
_xlpm.払出,SUMIFS(tbl_ledger[数量],tbl_ledger[ロットID],$B243,tbl_ledger[元状態],F$1),
_xlpm.受入+_xlpm.充当受入-_xlpm.払出))</f>
        <v/>
      </c>
      <c r="G243" s="8" t="str">
        <f>IF($B243="","",_xlfn.LET(
_xlpm.受入,SUMIFS(tbl_ledger[数量],tbl_ledger[ロットID],$B243,tbl_ledger[イベント種類],"アセンブリ開始"),
_xlpm.充当受入,SUMIFS(tbl_ledger[数量],tbl_ledger[充当先ロットID],$B243,tbl_ledger[イベント種類],"充当",tbl_ledger[元状態],G$1),
_xlpm.払出,SUMIFS(tbl_ledger[数量],tbl_ledger[ロットID],$B243,tbl_ledger[元状態],G$1),
_xlpm.受入+_xlpm.充当受入-_xlpm.払出))</f>
        <v/>
      </c>
      <c r="H243" s="8" t="str">
        <f>IF($B243="","",_xlfn.LET(
_xlpm.受入,SUMIFS(tbl_ledger[数量],tbl_ledger[ロットID],$B243,tbl_ledger[イベント種類],"アセンブリ完了"),
_xlpm.充当受入,SUMIFS(tbl_ledger[数量],tbl_ledger[充当先ロットID],$B243,tbl_ledger[イベント種類],"充当",tbl_ledger[元状態],H$1),
_xlpm.払出,SUMIFS(tbl_ledger[数量],tbl_ledger[ロットID],$B243,tbl_ledger[元状態],H$1),
_xlpm.受入+_xlpm.充当受入-_xlpm.払出))</f>
        <v/>
      </c>
      <c r="I243" s="8" t="str">
        <f>IF($B243="","",_xlfn.LET(
_xlpm.受入,SUMIFS(tbl_ledger[数量],tbl_ledger[ロットID],$B243,tbl_ledger[イベント種類],"梱包開始"),
_xlpm.充当受入,SUMIFS(tbl_ledger[数量],tbl_ledger[充当先ロットID],$B243,tbl_ledger[イベント種類],"充当",tbl_ledger[元状態],I$1),
_xlpm.払出,SUMIFS(tbl_ledger[数量],tbl_ledger[ロットID],$B243,tbl_ledger[元状態],I$1),
_xlpm.受入+_xlpm.充当受入-_xlpm.払出))</f>
        <v/>
      </c>
      <c r="J243" s="8" t="str">
        <f>IF($B243="","",_xlfn.LET(
_xlpm.受入,SUMIFS(tbl_ledger[数量],tbl_ledger[ロットID],$B243,tbl_ledger[イベント種類],"梱包完了"),
_xlpm.充当受入,SUMIFS(tbl_ledger[数量],tbl_ledger[充当先ロットID],$B243,tbl_ledger[イベント種類],"充当",tbl_ledger[元状態],J$1),
_xlpm.払出,SUMIFS(tbl_ledger[数量],tbl_ledger[ロットID],$B243,tbl_ledger[元状態],J$1),
_xlpm.受入+_xlpm.充当受入-_xlpm.払出))</f>
        <v/>
      </c>
      <c r="K243" s="8" t="str">
        <f>IF($B243="","",_xlfn.LET(
_xlpm.受入,SUMIFS(tbl_ledger[数量],tbl_ledger[ロットID],$B243,tbl_ledger[イベント種類],"発送準備開始"),
_xlpm.充当受入,SUMIFS(tbl_ledger[数量],tbl_ledger[充当先ロットID],$B243,tbl_ledger[イベント種類],"充当",tbl_ledger[元状態],K$1),
_xlpm.払出,SUMIFS(tbl_ledger[数量],tbl_ledger[ロットID],$B243,tbl_ledger[元状態],K$1),
_xlpm.受入+_xlpm.充当受入-_xlpm.払出))</f>
        <v/>
      </c>
      <c r="L243" s="8" t="str">
        <f>IF($B243="","",_xlfn.LET(
_xlpm.受入,SUMIFS(tbl_ledger[数量],tbl_ledger[ロットID],$B243,tbl_ledger[イベント種類],"発送準備完了"),
_xlpm.充当受入,SUMIFS(tbl_ledger[数量],tbl_ledger[充当先ロットID],$B243,tbl_ledger[イベント種類],"充当",tbl_ledger[元状態],L$1),
_xlpm.払出,SUMIFS(tbl_ledger[数量],tbl_ledger[ロットID],$B243,tbl_ledger[元状態],L$1),
_xlpm.受入+_xlpm.充当受入-_xlpm.払出))</f>
        <v/>
      </c>
      <c r="M243" s="8" t="str">
        <f>IF($B243="","",_xlfn.LET(
_xlpm.受入,SUMIFS(tbl_ledger[数量],tbl_ledger[ロットID],$B243,tbl_ledger[イベント種類],"不良発生"),
_xlpm.充当受入,SUMIFS(tbl_ledger[数量],tbl_ledger[充当先ロットID],$B243,tbl_ledger[イベント種類],"充当",tbl_ledger[元状態],M$1),
_xlpm.払出,SUMIFS(tbl_ledger[数量],tbl_ledger[ロットID],$B243,tbl_ledger[元状態],M$1),
_xlpm.受入+_xlpm.充当受入-_xlpm.払出))</f>
        <v/>
      </c>
      <c r="N243" s="8" t="str">
        <f t="shared" si="7"/>
        <v/>
      </c>
    </row>
    <row r="244" spans="1:14" ht="15" customHeight="1" x14ac:dyDescent="0.25">
      <c r="A244" s="4" t="str">
        <f t="shared" si="6"/>
        <v/>
      </c>
      <c r="B244" s="4" t="str">
        <f>IFERROR(IF(COUNTIF($B$1:$B243,INDEX(tbl_plan[ロットID],ROW()-1))&gt;0,"",INDEX(tbl_plan[ロットID],ROW()-1)),"")</f>
        <v/>
      </c>
      <c r="C244" s="4" t="str">
        <f>IF($B244="","",INDEX(tbl_plan[localId],ROW()-1))</f>
        <v/>
      </c>
      <c r="D244" s="8" t="str">
        <f>IF($B244="","",_xlfn.LET(
_xlpm.割当受入,SUMIF(V_充足確認!$A$2:$A$301,$B244,V_充足確認!$F$2:$F$301),
_xlpm.充当受入,SUMIFS(tbl_ledger[数量],tbl_ledger[充当先ロットID],$B244,tbl_ledger[イベント種類],"充当",tbl_ledger[元状態],D$1),
_xlpm.払出,SUMIFS(tbl_ledger[数量],tbl_ledger[ロットID],$B244,tbl_ledger[元状態],D$1),
_xlpm.割当受入+_xlpm.充当受入-_xlpm.払出))</f>
        <v/>
      </c>
      <c r="E244" s="8" t="str">
        <f>IF($B244="","",_xlfn.LET(
_xlpm.受入,SUMIFS(tbl_ledger[数量],tbl_ledger[ロットID],$B244,tbl_ledger[イベント種類],"アニール開始"),
_xlpm.充当受入,SUMIFS(tbl_ledger[数量],tbl_ledger[充当先ロットID],$B244,tbl_ledger[イベント種類],"充当",tbl_ledger[元状態],E$1),
_xlpm.払出,SUMIFS(tbl_ledger[数量],tbl_ledger[ロットID],$B244,tbl_ledger[元状態],E$1),
_xlpm.受入+_xlpm.充当受入-_xlpm.払出))</f>
        <v/>
      </c>
      <c r="F244" s="8" t="str">
        <f>IF($B244="","",_xlfn.LET(
_xlpm.受入,SUMIFS(tbl_ledger[数量],tbl_ledger[ロットID],$B244,tbl_ledger[イベント種類],"アニール完了"),
_xlpm.充当受入,SUMIFS(tbl_ledger[数量],tbl_ledger[充当先ロットID],$B244,tbl_ledger[イベント種類],"充当",tbl_ledger[元状態],F$1),
_xlpm.払出,SUMIFS(tbl_ledger[数量],tbl_ledger[ロットID],$B244,tbl_ledger[元状態],F$1),
_xlpm.受入+_xlpm.充当受入-_xlpm.払出))</f>
        <v/>
      </c>
      <c r="G244" s="8" t="str">
        <f>IF($B244="","",_xlfn.LET(
_xlpm.受入,SUMIFS(tbl_ledger[数量],tbl_ledger[ロットID],$B244,tbl_ledger[イベント種類],"アセンブリ開始"),
_xlpm.充当受入,SUMIFS(tbl_ledger[数量],tbl_ledger[充当先ロットID],$B244,tbl_ledger[イベント種類],"充当",tbl_ledger[元状態],G$1),
_xlpm.払出,SUMIFS(tbl_ledger[数量],tbl_ledger[ロットID],$B244,tbl_ledger[元状態],G$1),
_xlpm.受入+_xlpm.充当受入-_xlpm.払出))</f>
        <v/>
      </c>
      <c r="H244" s="8" t="str">
        <f>IF($B244="","",_xlfn.LET(
_xlpm.受入,SUMIFS(tbl_ledger[数量],tbl_ledger[ロットID],$B244,tbl_ledger[イベント種類],"アセンブリ完了"),
_xlpm.充当受入,SUMIFS(tbl_ledger[数量],tbl_ledger[充当先ロットID],$B244,tbl_ledger[イベント種類],"充当",tbl_ledger[元状態],H$1),
_xlpm.払出,SUMIFS(tbl_ledger[数量],tbl_ledger[ロットID],$B244,tbl_ledger[元状態],H$1),
_xlpm.受入+_xlpm.充当受入-_xlpm.払出))</f>
        <v/>
      </c>
      <c r="I244" s="8" t="str">
        <f>IF($B244="","",_xlfn.LET(
_xlpm.受入,SUMIFS(tbl_ledger[数量],tbl_ledger[ロットID],$B244,tbl_ledger[イベント種類],"梱包開始"),
_xlpm.充当受入,SUMIFS(tbl_ledger[数量],tbl_ledger[充当先ロットID],$B244,tbl_ledger[イベント種類],"充当",tbl_ledger[元状態],I$1),
_xlpm.払出,SUMIFS(tbl_ledger[数量],tbl_ledger[ロットID],$B244,tbl_ledger[元状態],I$1),
_xlpm.受入+_xlpm.充当受入-_xlpm.払出))</f>
        <v/>
      </c>
      <c r="J244" s="8" t="str">
        <f>IF($B244="","",_xlfn.LET(
_xlpm.受入,SUMIFS(tbl_ledger[数量],tbl_ledger[ロットID],$B244,tbl_ledger[イベント種類],"梱包完了"),
_xlpm.充当受入,SUMIFS(tbl_ledger[数量],tbl_ledger[充当先ロットID],$B244,tbl_ledger[イベント種類],"充当",tbl_ledger[元状態],J$1),
_xlpm.払出,SUMIFS(tbl_ledger[数量],tbl_ledger[ロットID],$B244,tbl_ledger[元状態],J$1),
_xlpm.受入+_xlpm.充当受入-_xlpm.払出))</f>
        <v/>
      </c>
      <c r="K244" s="8" t="str">
        <f>IF($B244="","",_xlfn.LET(
_xlpm.受入,SUMIFS(tbl_ledger[数量],tbl_ledger[ロットID],$B244,tbl_ledger[イベント種類],"発送準備開始"),
_xlpm.充当受入,SUMIFS(tbl_ledger[数量],tbl_ledger[充当先ロットID],$B244,tbl_ledger[イベント種類],"充当",tbl_ledger[元状態],K$1),
_xlpm.払出,SUMIFS(tbl_ledger[数量],tbl_ledger[ロットID],$B244,tbl_ledger[元状態],K$1),
_xlpm.受入+_xlpm.充当受入-_xlpm.払出))</f>
        <v/>
      </c>
      <c r="L244" s="8" t="str">
        <f>IF($B244="","",_xlfn.LET(
_xlpm.受入,SUMIFS(tbl_ledger[数量],tbl_ledger[ロットID],$B244,tbl_ledger[イベント種類],"発送準備完了"),
_xlpm.充当受入,SUMIFS(tbl_ledger[数量],tbl_ledger[充当先ロットID],$B244,tbl_ledger[イベント種類],"充当",tbl_ledger[元状態],L$1),
_xlpm.払出,SUMIFS(tbl_ledger[数量],tbl_ledger[ロットID],$B244,tbl_ledger[元状態],L$1),
_xlpm.受入+_xlpm.充当受入-_xlpm.払出))</f>
        <v/>
      </c>
      <c r="M244" s="8" t="str">
        <f>IF($B244="","",_xlfn.LET(
_xlpm.受入,SUMIFS(tbl_ledger[数量],tbl_ledger[ロットID],$B244,tbl_ledger[イベント種類],"不良発生"),
_xlpm.充当受入,SUMIFS(tbl_ledger[数量],tbl_ledger[充当先ロットID],$B244,tbl_ledger[イベント種類],"充当",tbl_ledger[元状態],M$1),
_xlpm.払出,SUMIFS(tbl_ledger[数量],tbl_ledger[ロットID],$B244,tbl_ledger[元状態],M$1),
_xlpm.受入+_xlpm.充当受入-_xlpm.払出))</f>
        <v/>
      </c>
      <c r="N244" s="8" t="str">
        <f t="shared" si="7"/>
        <v/>
      </c>
    </row>
    <row r="245" spans="1:14" ht="15" customHeight="1" x14ac:dyDescent="0.25">
      <c r="A245" s="4" t="str">
        <f t="shared" si="6"/>
        <v/>
      </c>
      <c r="B245" s="4" t="str">
        <f>IFERROR(IF(COUNTIF($B$1:$B244,INDEX(tbl_plan[ロットID],ROW()-1))&gt;0,"",INDEX(tbl_plan[ロットID],ROW()-1)),"")</f>
        <v/>
      </c>
      <c r="C245" s="4" t="str">
        <f>IF($B245="","",INDEX(tbl_plan[localId],ROW()-1))</f>
        <v/>
      </c>
      <c r="D245" s="8" t="str">
        <f>IF($B245="","",_xlfn.LET(
_xlpm.割当受入,SUMIF(V_充足確認!$A$2:$A$301,$B245,V_充足確認!$F$2:$F$301),
_xlpm.充当受入,SUMIFS(tbl_ledger[数量],tbl_ledger[充当先ロットID],$B245,tbl_ledger[イベント種類],"充当",tbl_ledger[元状態],D$1),
_xlpm.払出,SUMIFS(tbl_ledger[数量],tbl_ledger[ロットID],$B245,tbl_ledger[元状態],D$1),
_xlpm.割当受入+_xlpm.充当受入-_xlpm.払出))</f>
        <v/>
      </c>
      <c r="E245" s="8" t="str">
        <f>IF($B245="","",_xlfn.LET(
_xlpm.受入,SUMIFS(tbl_ledger[数量],tbl_ledger[ロットID],$B245,tbl_ledger[イベント種類],"アニール開始"),
_xlpm.充当受入,SUMIFS(tbl_ledger[数量],tbl_ledger[充当先ロットID],$B245,tbl_ledger[イベント種類],"充当",tbl_ledger[元状態],E$1),
_xlpm.払出,SUMIFS(tbl_ledger[数量],tbl_ledger[ロットID],$B245,tbl_ledger[元状態],E$1),
_xlpm.受入+_xlpm.充当受入-_xlpm.払出))</f>
        <v/>
      </c>
      <c r="F245" s="8" t="str">
        <f>IF($B245="","",_xlfn.LET(
_xlpm.受入,SUMIFS(tbl_ledger[数量],tbl_ledger[ロットID],$B245,tbl_ledger[イベント種類],"アニール完了"),
_xlpm.充当受入,SUMIFS(tbl_ledger[数量],tbl_ledger[充当先ロットID],$B245,tbl_ledger[イベント種類],"充当",tbl_ledger[元状態],F$1),
_xlpm.払出,SUMIFS(tbl_ledger[数量],tbl_ledger[ロットID],$B245,tbl_ledger[元状態],F$1),
_xlpm.受入+_xlpm.充当受入-_xlpm.払出))</f>
        <v/>
      </c>
      <c r="G245" s="8" t="str">
        <f>IF($B245="","",_xlfn.LET(
_xlpm.受入,SUMIFS(tbl_ledger[数量],tbl_ledger[ロットID],$B245,tbl_ledger[イベント種類],"アセンブリ開始"),
_xlpm.充当受入,SUMIFS(tbl_ledger[数量],tbl_ledger[充当先ロットID],$B245,tbl_ledger[イベント種類],"充当",tbl_ledger[元状態],G$1),
_xlpm.払出,SUMIFS(tbl_ledger[数量],tbl_ledger[ロットID],$B245,tbl_ledger[元状態],G$1),
_xlpm.受入+_xlpm.充当受入-_xlpm.払出))</f>
        <v/>
      </c>
      <c r="H245" s="8" t="str">
        <f>IF($B245="","",_xlfn.LET(
_xlpm.受入,SUMIFS(tbl_ledger[数量],tbl_ledger[ロットID],$B245,tbl_ledger[イベント種類],"アセンブリ完了"),
_xlpm.充当受入,SUMIFS(tbl_ledger[数量],tbl_ledger[充当先ロットID],$B245,tbl_ledger[イベント種類],"充当",tbl_ledger[元状態],H$1),
_xlpm.払出,SUMIFS(tbl_ledger[数量],tbl_ledger[ロットID],$B245,tbl_ledger[元状態],H$1),
_xlpm.受入+_xlpm.充当受入-_xlpm.払出))</f>
        <v/>
      </c>
      <c r="I245" s="8" t="str">
        <f>IF($B245="","",_xlfn.LET(
_xlpm.受入,SUMIFS(tbl_ledger[数量],tbl_ledger[ロットID],$B245,tbl_ledger[イベント種類],"梱包開始"),
_xlpm.充当受入,SUMIFS(tbl_ledger[数量],tbl_ledger[充当先ロットID],$B245,tbl_ledger[イベント種類],"充当",tbl_ledger[元状態],I$1),
_xlpm.払出,SUMIFS(tbl_ledger[数量],tbl_ledger[ロットID],$B245,tbl_ledger[元状態],I$1),
_xlpm.受入+_xlpm.充当受入-_xlpm.払出))</f>
        <v/>
      </c>
      <c r="J245" s="8" t="str">
        <f>IF($B245="","",_xlfn.LET(
_xlpm.受入,SUMIFS(tbl_ledger[数量],tbl_ledger[ロットID],$B245,tbl_ledger[イベント種類],"梱包完了"),
_xlpm.充当受入,SUMIFS(tbl_ledger[数量],tbl_ledger[充当先ロットID],$B245,tbl_ledger[イベント種類],"充当",tbl_ledger[元状態],J$1),
_xlpm.払出,SUMIFS(tbl_ledger[数量],tbl_ledger[ロットID],$B245,tbl_ledger[元状態],J$1),
_xlpm.受入+_xlpm.充当受入-_xlpm.払出))</f>
        <v/>
      </c>
      <c r="K245" s="8" t="str">
        <f>IF($B245="","",_xlfn.LET(
_xlpm.受入,SUMIFS(tbl_ledger[数量],tbl_ledger[ロットID],$B245,tbl_ledger[イベント種類],"発送準備開始"),
_xlpm.充当受入,SUMIFS(tbl_ledger[数量],tbl_ledger[充当先ロットID],$B245,tbl_ledger[イベント種類],"充当",tbl_ledger[元状態],K$1),
_xlpm.払出,SUMIFS(tbl_ledger[数量],tbl_ledger[ロットID],$B245,tbl_ledger[元状態],K$1),
_xlpm.受入+_xlpm.充当受入-_xlpm.払出))</f>
        <v/>
      </c>
      <c r="L245" s="8" t="str">
        <f>IF($B245="","",_xlfn.LET(
_xlpm.受入,SUMIFS(tbl_ledger[数量],tbl_ledger[ロットID],$B245,tbl_ledger[イベント種類],"発送準備完了"),
_xlpm.充当受入,SUMIFS(tbl_ledger[数量],tbl_ledger[充当先ロットID],$B245,tbl_ledger[イベント種類],"充当",tbl_ledger[元状態],L$1),
_xlpm.払出,SUMIFS(tbl_ledger[数量],tbl_ledger[ロットID],$B245,tbl_ledger[元状態],L$1),
_xlpm.受入+_xlpm.充当受入-_xlpm.払出))</f>
        <v/>
      </c>
      <c r="M245" s="8" t="str">
        <f>IF($B245="","",_xlfn.LET(
_xlpm.受入,SUMIFS(tbl_ledger[数量],tbl_ledger[ロットID],$B245,tbl_ledger[イベント種類],"不良発生"),
_xlpm.充当受入,SUMIFS(tbl_ledger[数量],tbl_ledger[充当先ロットID],$B245,tbl_ledger[イベント種類],"充当",tbl_ledger[元状態],M$1),
_xlpm.払出,SUMIFS(tbl_ledger[数量],tbl_ledger[ロットID],$B245,tbl_ledger[元状態],M$1),
_xlpm.受入+_xlpm.充当受入-_xlpm.払出))</f>
        <v/>
      </c>
      <c r="N245" s="8" t="str">
        <f t="shared" si="7"/>
        <v/>
      </c>
    </row>
    <row r="246" spans="1:14" ht="15" customHeight="1" x14ac:dyDescent="0.25">
      <c r="A246" s="4" t="str">
        <f t="shared" si="6"/>
        <v/>
      </c>
      <c r="B246" s="4" t="str">
        <f>IFERROR(IF(COUNTIF($B$1:$B245,INDEX(tbl_plan[ロットID],ROW()-1))&gt;0,"",INDEX(tbl_plan[ロットID],ROW()-1)),"")</f>
        <v/>
      </c>
      <c r="C246" s="4" t="str">
        <f>IF($B246="","",INDEX(tbl_plan[localId],ROW()-1))</f>
        <v/>
      </c>
      <c r="D246" s="8" t="str">
        <f>IF($B246="","",_xlfn.LET(
_xlpm.割当受入,SUMIF(V_充足確認!$A$2:$A$301,$B246,V_充足確認!$F$2:$F$301),
_xlpm.充当受入,SUMIFS(tbl_ledger[数量],tbl_ledger[充当先ロットID],$B246,tbl_ledger[イベント種類],"充当",tbl_ledger[元状態],D$1),
_xlpm.払出,SUMIFS(tbl_ledger[数量],tbl_ledger[ロットID],$B246,tbl_ledger[元状態],D$1),
_xlpm.割当受入+_xlpm.充当受入-_xlpm.払出))</f>
        <v/>
      </c>
      <c r="E246" s="8" t="str">
        <f>IF($B246="","",_xlfn.LET(
_xlpm.受入,SUMIFS(tbl_ledger[数量],tbl_ledger[ロットID],$B246,tbl_ledger[イベント種類],"アニール開始"),
_xlpm.充当受入,SUMIFS(tbl_ledger[数量],tbl_ledger[充当先ロットID],$B246,tbl_ledger[イベント種類],"充当",tbl_ledger[元状態],E$1),
_xlpm.払出,SUMIFS(tbl_ledger[数量],tbl_ledger[ロットID],$B246,tbl_ledger[元状態],E$1),
_xlpm.受入+_xlpm.充当受入-_xlpm.払出))</f>
        <v/>
      </c>
      <c r="F246" s="8" t="str">
        <f>IF($B246="","",_xlfn.LET(
_xlpm.受入,SUMIFS(tbl_ledger[数量],tbl_ledger[ロットID],$B246,tbl_ledger[イベント種類],"アニール完了"),
_xlpm.充当受入,SUMIFS(tbl_ledger[数量],tbl_ledger[充当先ロットID],$B246,tbl_ledger[イベント種類],"充当",tbl_ledger[元状態],F$1),
_xlpm.払出,SUMIFS(tbl_ledger[数量],tbl_ledger[ロットID],$B246,tbl_ledger[元状態],F$1),
_xlpm.受入+_xlpm.充当受入-_xlpm.払出))</f>
        <v/>
      </c>
      <c r="G246" s="8" t="str">
        <f>IF($B246="","",_xlfn.LET(
_xlpm.受入,SUMIFS(tbl_ledger[数量],tbl_ledger[ロットID],$B246,tbl_ledger[イベント種類],"アセンブリ開始"),
_xlpm.充当受入,SUMIFS(tbl_ledger[数量],tbl_ledger[充当先ロットID],$B246,tbl_ledger[イベント種類],"充当",tbl_ledger[元状態],G$1),
_xlpm.払出,SUMIFS(tbl_ledger[数量],tbl_ledger[ロットID],$B246,tbl_ledger[元状態],G$1),
_xlpm.受入+_xlpm.充当受入-_xlpm.払出))</f>
        <v/>
      </c>
      <c r="H246" s="8" t="str">
        <f>IF($B246="","",_xlfn.LET(
_xlpm.受入,SUMIFS(tbl_ledger[数量],tbl_ledger[ロットID],$B246,tbl_ledger[イベント種類],"アセンブリ完了"),
_xlpm.充当受入,SUMIFS(tbl_ledger[数量],tbl_ledger[充当先ロットID],$B246,tbl_ledger[イベント種類],"充当",tbl_ledger[元状態],H$1),
_xlpm.払出,SUMIFS(tbl_ledger[数量],tbl_ledger[ロットID],$B246,tbl_ledger[元状態],H$1),
_xlpm.受入+_xlpm.充当受入-_xlpm.払出))</f>
        <v/>
      </c>
      <c r="I246" s="8" t="str">
        <f>IF($B246="","",_xlfn.LET(
_xlpm.受入,SUMIFS(tbl_ledger[数量],tbl_ledger[ロットID],$B246,tbl_ledger[イベント種類],"梱包開始"),
_xlpm.充当受入,SUMIFS(tbl_ledger[数量],tbl_ledger[充当先ロットID],$B246,tbl_ledger[イベント種類],"充当",tbl_ledger[元状態],I$1),
_xlpm.払出,SUMIFS(tbl_ledger[数量],tbl_ledger[ロットID],$B246,tbl_ledger[元状態],I$1),
_xlpm.受入+_xlpm.充当受入-_xlpm.払出))</f>
        <v/>
      </c>
      <c r="J246" s="8" t="str">
        <f>IF($B246="","",_xlfn.LET(
_xlpm.受入,SUMIFS(tbl_ledger[数量],tbl_ledger[ロットID],$B246,tbl_ledger[イベント種類],"梱包完了"),
_xlpm.充当受入,SUMIFS(tbl_ledger[数量],tbl_ledger[充当先ロットID],$B246,tbl_ledger[イベント種類],"充当",tbl_ledger[元状態],J$1),
_xlpm.払出,SUMIFS(tbl_ledger[数量],tbl_ledger[ロットID],$B246,tbl_ledger[元状態],J$1),
_xlpm.受入+_xlpm.充当受入-_xlpm.払出))</f>
        <v/>
      </c>
      <c r="K246" s="8" t="str">
        <f>IF($B246="","",_xlfn.LET(
_xlpm.受入,SUMIFS(tbl_ledger[数量],tbl_ledger[ロットID],$B246,tbl_ledger[イベント種類],"発送準備開始"),
_xlpm.充当受入,SUMIFS(tbl_ledger[数量],tbl_ledger[充当先ロットID],$B246,tbl_ledger[イベント種類],"充当",tbl_ledger[元状態],K$1),
_xlpm.払出,SUMIFS(tbl_ledger[数量],tbl_ledger[ロットID],$B246,tbl_ledger[元状態],K$1),
_xlpm.受入+_xlpm.充当受入-_xlpm.払出))</f>
        <v/>
      </c>
      <c r="L246" s="8" t="str">
        <f>IF($B246="","",_xlfn.LET(
_xlpm.受入,SUMIFS(tbl_ledger[数量],tbl_ledger[ロットID],$B246,tbl_ledger[イベント種類],"発送準備完了"),
_xlpm.充当受入,SUMIFS(tbl_ledger[数量],tbl_ledger[充当先ロットID],$B246,tbl_ledger[イベント種類],"充当",tbl_ledger[元状態],L$1),
_xlpm.払出,SUMIFS(tbl_ledger[数量],tbl_ledger[ロットID],$B246,tbl_ledger[元状態],L$1),
_xlpm.受入+_xlpm.充当受入-_xlpm.払出))</f>
        <v/>
      </c>
      <c r="M246" s="8" t="str">
        <f>IF($B246="","",_xlfn.LET(
_xlpm.受入,SUMIFS(tbl_ledger[数量],tbl_ledger[ロットID],$B246,tbl_ledger[イベント種類],"不良発生"),
_xlpm.充当受入,SUMIFS(tbl_ledger[数量],tbl_ledger[充当先ロットID],$B246,tbl_ledger[イベント種類],"充当",tbl_ledger[元状態],M$1),
_xlpm.払出,SUMIFS(tbl_ledger[数量],tbl_ledger[ロットID],$B246,tbl_ledger[元状態],M$1),
_xlpm.受入+_xlpm.充当受入-_xlpm.払出))</f>
        <v/>
      </c>
      <c r="N246" s="8" t="str">
        <f t="shared" si="7"/>
        <v/>
      </c>
    </row>
    <row r="247" spans="1:14" ht="15" customHeight="1" x14ac:dyDescent="0.25">
      <c r="A247" s="4" t="str">
        <f t="shared" si="6"/>
        <v/>
      </c>
      <c r="B247" s="4" t="str">
        <f>IFERROR(IF(COUNTIF($B$1:$B246,INDEX(tbl_plan[ロットID],ROW()-1))&gt;0,"",INDEX(tbl_plan[ロットID],ROW()-1)),"")</f>
        <v/>
      </c>
      <c r="C247" s="4" t="str">
        <f>IF($B247="","",INDEX(tbl_plan[localId],ROW()-1))</f>
        <v/>
      </c>
      <c r="D247" s="8" t="str">
        <f>IF($B247="","",_xlfn.LET(
_xlpm.割当受入,SUMIF(V_充足確認!$A$2:$A$301,$B247,V_充足確認!$F$2:$F$301),
_xlpm.充当受入,SUMIFS(tbl_ledger[数量],tbl_ledger[充当先ロットID],$B247,tbl_ledger[イベント種類],"充当",tbl_ledger[元状態],D$1),
_xlpm.払出,SUMIFS(tbl_ledger[数量],tbl_ledger[ロットID],$B247,tbl_ledger[元状態],D$1),
_xlpm.割当受入+_xlpm.充当受入-_xlpm.払出))</f>
        <v/>
      </c>
      <c r="E247" s="8" t="str">
        <f>IF($B247="","",_xlfn.LET(
_xlpm.受入,SUMIFS(tbl_ledger[数量],tbl_ledger[ロットID],$B247,tbl_ledger[イベント種類],"アニール開始"),
_xlpm.充当受入,SUMIFS(tbl_ledger[数量],tbl_ledger[充当先ロットID],$B247,tbl_ledger[イベント種類],"充当",tbl_ledger[元状態],E$1),
_xlpm.払出,SUMIFS(tbl_ledger[数量],tbl_ledger[ロットID],$B247,tbl_ledger[元状態],E$1),
_xlpm.受入+_xlpm.充当受入-_xlpm.払出))</f>
        <v/>
      </c>
      <c r="F247" s="8" t="str">
        <f>IF($B247="","",_xlfn.LET(
_xlpm.受入,SUMIFS(tbl_ledger[数量],tbl_ledger[ロットID],$B247,tbl_ledger[イベント種類],"アニール完了"),
_xlpm.充当受入,SUMIFS(tbl_ledger[数量],tbl_ledger[充当先ロットID],$B247,tbl_ledger[イベント種類],"充当",tbl_ledger[元状態],F$1),
_xlpm.払出,SUMIFS(tbl_ledger[数量],tbl_ledger[ロットID],$B247,tbl_ledger[元状態],F$1),
_xlpm.受入+_xlpm.充当受入-_xlpm.払出))</f>
        <v/>
      </c>
      <c r="G247" s="8" t="str">
        <f>IF($B247="","",_xlfn.LET(
_xlpm.受入,SUMIFS(tbl_ledger[数量],tbl_ledger[ロットID],$B247,tbl_ledger[イベント種類],"アセンブリ開始"),
_xlpm.充当受入,SUMIFS(tbl_ledger[数量],tbl_ledger[充当先ロットID],$B247,tbl_ledger[イベント種類],"充当",tbl_ledger[元状態],G$1),
_xlpm.払出,SUMIFS(tbl_ledger[数量],tbl_ledger[ロットID],$B247,tbl_ledger[元状態],G$1),
_xlpm.受入+_xlpm.充当受入-_xlpm.払出))</f>
        <v/>
      </c>
      <c r="H247" s="8" t="str">
        <f>IF($B247="","",_xlfn.LET(
_xlpm.受入,SUMIFS(tbl_ledger[数量],tbl_ledger[ロットID],$B247,tbl_ledger[イベント種類],"アセンブリ完了"),
_xlpm.充当受入,SUMIFS(tbl_ledger[数量],tbl_ledger[充当先ロットID],$B247,tbl_ledger[イベント種類],"充当",tbl_ledger[元状態],H$1),
_xlpm.払出,SUMIFS(tbl_ledger[数量],tbl_ledger[ロットID],$B247,tbl_ledger[元状態],H$1),
_xlpm.受入+_xlpm.充当受入-_xlpm.払出))</f>
        <v/>
      </c>
      <c r="I247" s="8" t="str">
        <f>IF($B247="","",_xlfn.LET(
_xlpm.受入,SUMIFS(tbl_ledger[数量],tbl_ledger[ロットID],$B247,tbl_ledger[イベント種類],"梱包開始"),
_xlpm.充当受入,SUMIFS(tbl_ledger[数量],tbl_ledger[充当先ロットID],$B247,tbl_ledger[イベント種類],"充当",tbl_ledger[元状態],I$1),
_xlpm.払出,SUMIFS(tbl_ledger[数量],tbl_ledger[ロットID],$B247,tbl_ledger[元状態],I$1),
_xlpm.受入+_xlpm.充当受入-_xlpm.払出))</f>
        <v/>
      </c>
      <c r="J247" s="8" t="str">
        <f>IF($B247="","",_xlfn.LET(
_xlpm.受入,SUMIFS(tbl_ledger[数量],tbl_ledger[ロットID],$B247,tbl_ledger[イベント種類],"梱包完了"),
_xlpm.充当受入,SUMIFS(tbl_ledger[数量],tbl_ledger[充当先ロットID],$B247,tbl_ledger[イベント種類],"充当",tbl_ledger[元状態],J$1),
_xlpm.払出,SUMIFS(tbl_ledger[数量],tbl_ledger[ロットID],$B247,tbl_ledger[元状態],J$1),
_xlpm.受入+_xlpm.充当受入-_xlpm.払出))</f>
        <v/>
      </c>
      <c r="K247" s="8" t="str">
        <f>IF($B247="","",_xlfn.LET(
_xlpm.受入,SUMIFS(tbl_ledger[数量],tbl_ledger[ロットID],$B247,tbl_ledger[イベント種類],"発送準備開始"),
_xlpm.充当受入,SUMIFS(tbl_ledger[数量],tbl_ledger[充当先ロットID],$B247,tbl_ledger[イベント種類],"充当",tbl_ledger[元状態],K$1),
_xlpm.払出,SUMIFS(tbl_ledger[数量],tbl_ledger[ロットID],$B247,tbl_ledger[元状態],K$1),
_xlpm.受入+_xlpm.充当受入-_xlpm.払出))</f>
        <v/>
      </c>
      <c r="L247" s="8" t="str">
        <f>IF($B247="","",_xlfn.LET(
_xlpm.受入,SUMIFS(tbl_ledger[数量],tbl_ledger[ロットID],$B247,tbl_ledger[イベント種類],"発送準備完了"),
_xlpm.充当受入,SUMIFS(tbl_ledger[数量],tbl_ledger[充当先ロットID],$B247,tbl_ledger[イベント種類],"充当",tbl_ledger[元状態],L$1),
_xlpm.払出,SUMIFS(tbl_ledger[数量],tbl_ledger[ロットID],$B247,tbl_ledger[元状態],L$1),
_xlpm.受入+_xlpm.充当受入-_xlpm.払出))</f>
        <v/>
      </c>
      <c r="M247" s="8" t="str">
        <f>IF($B247="","",_xlfn.LET(
_xlpm.受入,SUMIFS(tbl_ledger[数量],tbl_ledger[ロットID],$B247,tbl_ledger[イベント種類],"不良発生"),
_xlpm.充当受入,SUMIFS(tbl_ledger[数量],tbl_ledger[充当先ロットID],$B247,tbl_ledger[イベント種類],"充当",tbl_ledger[元状態],M$1),
_xlpm.払出,SUMIFS(tbl_ledger[数量],tbl_ledger[ロットID],$B247,tbl_ledger[元状態],M$1),
_xlpm.受入+_xlpm.充当受入-_xlpm.払出))</f>
        <v/>
      </c>
      <c r="N247" s="8" t="str">
        <f t="shared" si="7"/>
        <v/>
      </c>
    </row>
    <row r="248" spans="1:14" ht="15" customHeight="1" x14ac:dyDescent="0.25">
      <c r="A248" s="4" t="str">
        <f t="shared" si="6"/>
        <v/>
      </c>
      <c r="B248" s="4" t="str">
        <f>IFERROR(IF(COUNTIF($B$1:$B247,INDEX(tbl_plan[ロットID],ROW()-1))&gt;0,"",INDEX(tbl_plan[ロットID],ROW()-1)),"")</f>
        <v/>
      </c>
      <c r="C248" s="4" t="str">
        <f>IF($B248="","",INDEX(tbl_plan[localId],ROW()-1))</f>
        <v/>
      </c>
      <c r="D248" s="8" t="str">
        <f>IF($B248="","",_xlfn.LET(
_xlpm.割当受入,SUMIF(V_充足確認!$A$2:$A$301,$B248,V_充足確認!$F$2:$F$301),
_xlpm.充当受入,SUMIFS(tbl_ledger[数量],tbl_ledger[充当先ロットID],$B248,tbl_ledger[イベント種類],"充当",tbl_ledger[元状態],D$1),
_xlpm.払出,SUMIFS(tbl_ledger[数量],tbl_ledger[ロットID],$B248,tbl_ledger[元状態],D$1),
_xlpm.割当受入+_xlpm.充当受入-_xlpm.払出))</f>
        <v/>
      </c>
      <c r="E248" s="8" t="str">
        <f>IF($B248="","",_xlfn.LET(
_xlpm.受入,SUMIFS(tbl_ledger[数量],tbl_ledger[ロットID],$B248,tbl_ledger[イベント種類],"アニール開始"),
_xlpm.充当受入,SUMIFS(tbl_ledger[数量],tbl_ledger[充当先ロットID],$B248,tbl_ledger[イベント種類],"充当",tbl_ledger[元状態],E$1),
_xlpm.払出,SUMIFS(tbl_ledger[数量],tbl_ledger[ロットID],$B248,tbl_ledger[元状態],E$1),
_xlpm.受入+_xlpm.充当受入-_xlpm.払出))</f>
        <v/>
      </c>
      <c r="F248" s="8" t="str">
        <f>IF($B248="","",_xlfn.LET(
_xlpm.受入,SUMIFS(tbl_ledger[数量],tbl_ledger[ロットID],$B248,tbl_ledger[イベント種類],"アニール完了"),
_xlpm.充当受入,SUMIFS(tbl_ledger[数量],tbl_ledger[充当先ロットID],$B248,tbl_ledger[イベント種類],"充当",tbl_ledger[元状態],F$1),
_xlpm.払出,SUMIFS(tbl_ledger[数量],tbl_ledger[ロットID],$B248,tbl_ledger[元状態],F$1),
_xlpm.受入+_xlpm.充当受入-_xlpm.払出))</f>
        <v/>
      </c>
      <c r="G248" s="8" t="str">
        <f>IF($B248="","",_xlfn.LET(
_xlpm.受入,SUMIFS(tbl_ledger[数量],tbl_ledger[ロットID],$B248,tbl_ledger[イベント種類],"アセンブリ開始"),
_xlpm.充当受入,SUMIFS(tbl_ledger[数量],tbl_ledger[充当先ロットID],$B248,tbl_ledger[イベント種類],"充当",tbl_ledger[元状態],G$1),
_xlpm.払出,SUMIFS(tbl_ledger[数量],tbl_ledger[ロットID],$B248,tbl_ledger[元状態],G$1),
_xlpm.受入+_xlpm.充当受入-_xlpm.払出))</f>
        <v/>
      </c>
      <c r="H248" s="8" t="str">
        <f>IF($B248="","",_xlfn.LET(
_xlpm.受入,SUMIFS(tbl_ledger[数量],tbl_ledger[ロットID],$B248,tbl_ledger[イベント種類],"アセンブリ完了"),
_xlpm.充当受入,SUMIFS(tbl_ledger[数量],tbl_ledger[充当先ロットID],$B248,tbl_ledger[イベント種類],"充当",tbl_ledger[元状態],H$1),
_xlpm.払出,SUMIFS(tbl_ledger[数量],tbl_ledger[ロットID],$B248,tbl_ledger[元状態],H$1),
_xlpm.受入+_xlpm.充当受入-_xlpm.払出))</f>
        <v/>
      </c>
      <c r="I248" s="8" t="str">
        <f>IF($B248="","",_xlfn.LET(
_xlpm.受入,SUMIFS(tbl_ledger[数量],tbl_ledger[ロットID],$B248,tbl_ledger[イベント種類],"梱包開始"),
_xlpm.充当受入,SUMIFS(tbl_ledger[数量],tbl_ledger[充当先ロットID],$B248,tbl_ledger[イベント種類],"充当",tbl_ledger[元状態],I$1),
_xlpm.払出,SUMIFS(tbl_ledger[数量],tbl_ledger[ロットID],$B248,tbl_ledger[元状態],I$1),
_xlpm.受入+_xlpm.充当受入-_xlpm.払出))</f>
        <v/>
      </c>
      <c r="J248" s="8" t="str">
        <f>IF($B248="","",_xlfn.LET(
_xlpm.受入,SUMIFS(tbl_ledger[数量],tbl_ledger[ロットID],$B248,tbl_ledger[イベント種類],"梱包完了"),
_xlpm.充当受入,SUMIFS(tbl_ledger[数量],tbl_ledger[充当先ロットID],$B248,tbl_ledger[イベント種類],"充当",tbl_ledger[元状態],J$1),
_xlpm.払出,SUMIFS(tbl_ledger[数量],tbl_ledger[ロットID],$B248,tbl_ledger[元状態],J$1),
_xlpm.受入+_xlpm.充当受入-_xlpm.払出))</f>
        <v/>
      </c>
      <c r="K248" s="8" t="str">
        <f>IF($B248="","",_xlfn.LET(
_xlpm.受入,SUMIFS(tbl_ledger[数量],tbl_ledger[ロットID],$B248,tbl_ledger[イベント種類],"発送準備開始"),
_xlpm.充当受入,SUMIFS(tbl_ledger[数量],tbl_ledger[充当先ロットID],$B248,tbl_ledger[イベント種類],"充当",tbl_ledger[元状態],K$1),
_xlpm.払出,SUMIFS(tbl_ledger[数量],tbl_ledger[ロットID],$B248,tbl_ledger[元状態],K$1),
_xlpm.受入+_xlpm.充当受入-_xlpm.払出))</f>
        <v/>
      </c>
      <c r="L248" s="8" t="str">
        <f>IF($B248="","",_xlfn.LET(
_xlpm.受入,SUMIFS(tbl_ledger[数量],tbl_ledger[ロットID],$B248,tbl_ledger[イベント種類],"発送準備完了"),
_xlpm.充当受入,SUMIFS(tbl_ledger[数量],tbl_ledger[充当先ロットID],$B248,tbl_ledger[イベント種類],"充当",tbl_ledger[元状態],L$1),
_xlpm.払出,SUMIFS(tbl_ledger[数量],tbl_ledger[ロットID],$B248,tbl_ledger[元状態],L$1),
_xlpm.受入+_xlpm.充当受入-_xlpm.払出))</f>
        <v/>
      </c>
      <c r="M248" s="8" t="str">
        <f>IF($B248="","",_xlfn.LET(
_xlpm.受入,SUMIFS(tbl_ledger[数量],tbl_ledger[ロットID],$B248,tbl_ledger[イベント種類],"不良発生"),
_xlpm.充当受入,SUMIFS(tbl_ledger[数量],tbl_ledger[充当先ロットID],$B248,tbl_ledger[イベント種類],"充当",tbl_ledger[元状態],M$1),
_xlpm.払出,SUMIFS(tbl_ledger[数量],tbl_ledger[ロットID],$B248,tbl_ledger[元状態],M$1),
_xlpm.受入+_xlpm.充当受入-_xlpm.払出))</f>
        <v/>
      </c>
      <c r="N248" s="8" t="str">
        <f t="shared" si="7"/>
        <v/>
      </c>
    </row>
    <row r="249" spans="1:14" ht="15" customHeight="1" x14ac:dyDescent="0.25">
      <c r="A249" s="4" t="str">
        <f t="shared" si="6"/>
        <v/>
      </c>
      <c r="B249" s="4" t="str">
        <f>IFERROR(IF(COUNTIF($B$1:$B248,INDEX(tbl_plan[ロットID],ROW()-1))&gt;0,"",INDEX(tbl_plan[ロットID],ROW()-1)),"")</f>
        <v/>
      </c>
      <c r="C249" s="4" t="str">
        <f>IF($B249="","",INDEX(tbl_plan[localId],ROW()-1))</f>
        <v/>
      </c>
      <c r="D249" s="8" t="str">
        <f>IF($B249="","",_xlfn.LET(
_xlpm.割当受入,SUMIF(V_充足確認!$A$2:$A$301,$B249,V_充足確認!$F$2:$F$301),
_xlpm.充当受入,SUMIFS(tbl_ledger[数量],tbl_ledger[充当先ロットID],$B249,tbl_ledger[イベント種類],"充当",tbl_ledger[元状態],D$1),
_xlpm.払出,SUMIFS(tbl_ledger[数量],tbl_ledger[ロットID],$B249,tbl_ledger[元状態],D$1),
_xlpm.割当受入+_xlpm.充当受入-_xlpm.払出))</f>
        <v/>
      </c>
      <c r="E249" s="8" t="str">
        <f>IF($B249="","",_xlfn.LET(
_xlpm.受入,SUMIFS(tbl_ledger[数量],tbl_ledger[ロットID],$B249,tbl_ledger[イベント種類],"アニール開始"),
_xlpm.充当受入,SUMIFS(tbl_ledger[数量],tbl_ledger[充当先ロットID],$B249,tbl_ledger[イベント種類],"充当",tbl_ledger[元状態],E$1),
_xlpm.払出,SUMIFS(tbl_ledger[数量],tbl_ledger[ロットID],$B249,tbl_ledger[元状態],E$1),
_xlpm.受入+_xlpm.充当受入-_xlpm.払出))</f>
        <v/>
      </c>
      <c r="F249" s="8" t="str">
        <f>IF($B249="","",_xlfn.LET(
_xlpm.受入,SUMIFS(tbl_ledger[数量],tbl_ledger[ロットID],$B249,tbl_ledger[イベント種類],"アニール完了"),
_xlpm.充当受入,SUMIFS(tbl_ledger[数量],tbl_ledger[充当先ロットID],$B249,tbl_ledger[イベント種類],"充当",tbl_ledger[元状態],F$1),
_xlpm.払出,SUMIFS(tbl_ledger[数量],tbl_ledger[ロットID],$B249,tbl_ledger[元状態],F$1),
_xlpm.受入+_xlpm.充当受入-_xlpm.払出))</f>
        <v/>
      </c>
      <c r="G249" s="8" t="str">
        <f>IF($B249="","",_xlfn.LET(
_xlpm.受入,SUMIFS(tbl_ledger[数量],tbl_ledger[ロットID],$B249,tbl_ledger[イベント種類],"アセンブリ開始"),
_xlpm.充当受入,SUMIFS(tbl_ledger[数量],tbl_ledger[充当先ロットID],$B249,tbl_ledger[イベント種類],"充当",tbl_ledger[元状態],G$1),
_xlpm.払出,SUMIFS(tbl_ledger[数量],tbl_ledger[ロットID],$B249,tbl_ledger[元状態],G$1),
_xlpm.受入+_xlpm.充当受入-_xlpm.払出))</f>
        <v/>
      </c>
      <c r="H249" s="8" t="str">
        <f>IF($B249="","",_xlfn.LET(
_xlpm.受入,SUMIFS(tbl_ledger[数量],tbl_ledger[ロットID],$B249,tbl_ledger[イベント種類],"アセンブリ完了"),
_xlpm.充当受入,SUMIFS(tbl_ledger[数量],tbl_ledger[充当先ロットID],$B249,tbl_ledger[イベント種類],"充当",tbl_ledger[元状態],H$1),
_xlpm.払出,SUMIFS(tbl_ledger[数量],tbl_ledger[ロットID],$B249,tbl_ledger[元状態],H$1),
_xlpm.受入+_xlpm.充当受入-_xlpm.払出))</f>
        <v/>
      </c>
      <c r="I249" s="8" t="str">
        <f>IF($B249="","",_xlfn.LET(
_xlpm.受入,SUMIFS(tbl_ledger[数量],tbl_ledger[ロットID],$B249,tbl_ledger[イベント種類],"梱包開始"),
_xlpm.充当受入,SUMIFS(tbl_ledger[数量],tbl_ledger[充当先ロットID],$B249,tbl_ledger[イベント種類],"充当",tbl_ledger[元状態],I$1),
_xlpm.払出,SUMIFS(tbl_ledger[数量],tbl_ledger[ロットID],$B249,tbl_ledger[元状態],I$1),
_xlpm.受入+_xlpm.充当受入-_xlpm.払出))</f>
        <v/>
      </c>
      <c r="J249" s="8" t="str">
        <f>IF($B249="","",_xlfn.LET(
_xlpm.受入,SUMIFS(tbl_ledger[数量],tbl_ledger[ロットID],$B249,tbl_ledger[イベント種類],"梱包完了"),
_xlpm.充当受入,SUMIFS(tbl_ledger[数量],tbl_ledger[充当先ロットID],$B249,tbl_ledger[イベント種類],"充当",tbl_ledger[元状態],J$1),
_xlpm.払出,SUMIFS(tbl_ledger[数量],tbl_ledger[ロットID],$B249,tbl_ledger[元状態],J$1),
_xlpm.受入+_xlpm.充当受入-_xlpm.払出))</f>
        <v/>
      </c>
      <c r="K249" s="8" t="str">
        <f>IF($B249="","",_xlfn.LET(
_xlpm.受入,SUMIFS(tbl_ledger[数量],tbl_ledger[ロットID],$B249,tbl_ledger[イベント種類],"発送準備開始"),
_xlpm.充当受入,SUMIFS(tbl_ledger[数量],tbl_ledger[充当先ロットID],$B249,tbl_ledger[イベント種類],"充当",tbl_ledger[元状態],K$1),
_xlpm.払出,SUMIFS(tbl_ledger[数量],tbl_ledger[ロットID],$B249,tbl_ledger[元状態],K$1),
_xlpm.受入+_xlpm.充当受入-_xlpm.払出))</f>
        <v/>
      </c>
      <c r="L249" s="8" t="str">
        <f>IF($B249="","",_xlfn.LET(
_xlpm.受入,SUMIFS(tbl_ledger[数量],tbl_ledger[ロットID],$B249,tbl_ledger[イベント種類],"発送準備完了"),
_xlpm.充当受入,SUMIFS(tbl_ledger[数量],tbl_ledger[充当先ロットID],$B249,tbl_ledger[イベント種類],"充当",tbl_ledger[元状態],L$1),
_xlpm.払出,SUMIFS(tbl_ledger[数量],tbl_ledger[ロットID],$B249,tbl_ledger[元状態],L$1),
_xlpm.受入+_xlpm.充当受入-_xlpm.払出))</f>
        <v/>
      </c>
      <c r="M249" s="8" t="str">
        <f>IF($B249="","",_xlfn.LET(
_xlpm.受入,SUMIFS(tbl_ledger[数量],tbl_ledger[ロットID],$B249,tbl_ledger[イベント種類],"不良発生"),
_xlpm.充当受入,SUMIFS(tbl_ledger[数量],tbl_ledger[充当先ロットID],$B249,tbl_ledger[イベント種類],"充当",tbl_ledger[元状態],M$1),
_xlpm.払出,SUMIFS(tbl_ledger[数量],tbl_ledger[ロットID],$B249,tbl_ledger[元状態],M$1),
_xlpm.受入+_xlpm.充当受入-_xlpm.払出))</f>
        <v/>
      </c>
      <c r="N249" s="8" t="str">
        <f t="shared" si="7"/>
        <v/>
      </c>
    </row>
    <row r="250" spans="1:14" ht="15" customHeight="1" x14ac:dyDescent="0.25">
      <c r="A250" s="4" t="str">
        <f t="shared" si="6"/>
        <v/>
      </c>
      <c r="B250" s="4" t="str">
        <f>IFERROR(IF(COUNTIF($B$1:$B249,INDEX(tbl_plan[ロットID],ROW()-1))&gt;0,"",INDEX(tbl_plan[ロットID],ROW()-1)),"")</f>
        <v/>
      </c>
      <c r="C250" s="4" t="str">
        <f>IF($B250="","",INDEX(tbl_plan[localId],ROW()-1))</f>
        <v/>
      </c>
      <c r="D250" s="8" t="str">
        <f>IF($B250="","",_xlfn.LET(
_xlpm.割当受入,SUMIF(V_充足確認!$A$2:$A$301,$B250,V_充足確認!$F$2:$F$301),
_xlpm.充当受入,SUMIFS(tbl_ledger[数量],tbl_ledger[充当先ロットID],$B250,tbl_ledger[イベント種類],"充当",tbl_ledger[元状態],D$1),
_xlpm.払出,SUMIFS(tbl_ledger[数量],tbl_ledger[ロットID],$B250,tbl_ledger[元状態],D$1),
_xlpm.割当受入+_xlpm.充当受入-_xlpm.払出))</f>
        <v/>
      </c>
      <c r="E250" s="8" t="str">
        <f>IF($B250="","",_xlfn.LET(
_xlpm.受入,SUMIFS(tbl_ledger[数量],tbl_ledger[ロットID],$B250,tbl_ledger[イベント種類],"アニール開始"),
_xlpm.充当受入,SUMIFS(tbl_ledger[数量],tbl_ledger[充当先ロットID],$B250,tbl_ledger[イベント種類],"充当",tbl_ledger[元状態],E$1),
_xlpm.払出,SUMIFS(tbl_ledger[数量],tbl_ledger[ロットID],$B250,tbl_ledger[元状態],E$1),
_xlpm.受入+_xlpm.充当受入-_xlpm.払出))</f>
        <v/>
      </c>
      <c r="F250" s="8" t="str">
        <f>IF($B250="","",_xlfn.LET(
_xlpm.受入,SUMIFS(tbl_ledger[数量],tbl_ledger[ロットID],$B250,tbl_ledger[イベント種類],"アニール完了"),
_xlpm.充当受入,SUMIFS(tbl_ledger[数量],tbl_ledger[充当先ロットID],$B250,tbl_ledger[イベント種類],"充当",tbl_ledger[元状態],F$1),
_xlpm.払出,SUMIFS(tbl_ledger[数量],tbl_ledger[ロットID],$B250,tbl_ledger[元状態],F$1),
_xlpm.受入+_xlpm.充当受入-_xlpm.払出))</f>
        <v/>
      </c>
      <c r="G250" s="8" t="str">
        <f>IF($B250="","",_xlfn.LET(
_xlpm.受入,SUMIFS(tbl_ledger[数量],tbl_ledger[ロットID],$B250,tbl_ledger[イベント種類],"アセンブリ開始"),
_xlpm.充当受入,SUMIFS(tbl_ledger[数量],tbl_ledger[充当先ロットID],$B250,tbl_ledger[イベント種類],"充当",tbl_ledger[元状態],G$1),
_xlpm.払出,SUMIFS(tbl_ledger[数量],tbl_ledger[ロットID],$B250,tbl_ledger[元状態],G$1),
_xlpm.受入+_xlpm.充当受入-_xlpm.払出))</f>
        <v/>
      </c>
      <c r="H250" s="8" t="str">
        <f>IF($B250="","",_xlfn.LET(
_xlpm.受入,SUMIFS(tbl_ledger[数量],tbl_ledger[ロットID],$B250,tbl_ledger[イベント種類],"アセンブリ完了"),
_xlpm.充当受入,SUMIFS(tbl_ledger[数量],tbl_ledger[充当先ロットID],$B250,tbl_ledger[イベント種類],"充当",tbl_ledger[元状態],H$1),
_xlpm.払出,SUMIFS(tbl_ledger[数量],tbl_ledger[ロットID],$B250,tbl_ledger[元状態],H$1),
_xlpm.受入+_xlpm.充当受入-_xlpm.払出))</f>
        <v/>
      </c>
      <c r="I250" s="8" t="str">
        <f>IF($B250="","",_xlfn.LET(
_xlpm.受入,SUMIFS(tbl_ledger[数量],tbl_ledger[ロットID],$B250,tbl_ledger[イベント種類],"梱包開始"),
_xlpm.充当受入,SUMIFS(tbl_ledger[数量],tbl_ledger[充当先ロットID],$B250,tbl_ledger[イベント種類],"充当",tbl_ledger[元状態],I$1),
_xlpm.払出,SUMIFS(tbl_ledger[数量],tbl_ledger[ロットID],$B250,tbl_ledger[元状態],I$1),
_xlpm.受入+_xlpm.充当受入-_xlpm.払出))</f>
        <v/>
      </c>
      <c r="J250" s="8" t="str">
        <f>IF($B250="","",_xlfn.LET(
_xlpm.受入,SUMIFS(tbl_ledger[数量],tbl_ledger[ロットID],$B250,tbl_ledger[イベント種類],"梱包完了"),
_xlpm.充当受入,SUMIFS(tbl_ledger[数量],tbl_ledger[充当先ロットID],$B250,tbl_ledger[イベント種類],"充当",tbl_ledger[元状態],J$1),
_xlpm.払出,SUMIFS(tbl_ledger[数量],tbl_ledger[ロットID],$B250,tbl_ledger[元状態],J$1),
_xlpm.受入+_xlpm.充当受入-_xlpm.払出))</f>
        <v/>
      </c>
      <c r="K250" s="8" t="str">
        <f>IF($B250="","",_xlfn.LET(
_xlpm.受入,SUMIFS(tbl_ledger[数量],tbl_ledger[ロットID],$B250,tbl_ledger[イベント種類],"発送準備開始"),
_xlpm.充当受入,SUMIFS(tbl_ledger[数量],tbl_ledger[充当先ロットID],$B250,tbl_ledger[イベント種類],"充当",tbl_ledger[元状態],K$1),
_xlpm.払出,SUMIFS(tbl_ledger[数量],tbl_ledger[ロットID],$B250,tbl_ledger[元状態],K$1),
_xlpm.受入+_xlpm.充当受入-_xlpm.払出))</f>
        <v/>
      </c>
      <c r="L250" s="8" t="str">
        <f>IF($B250="","",_xlfn.LET(
_xlpm.受入,SUMIFS(tbl_ledger[数量],tbl_ledger[ロットID],$B250,tbl_ledger[イベント種類],"発送準備完了"),
_xlpm.充当受入,SUMIFS(tbl_ledger[数量],tbl_ledger[充当先ロットID],$B250,tbl_ledger[イベント種類],"充当",tbl_ledger[元状態],L$1),
_xlpm.払出,SUMIFS(tbl_ledger[数量],tbl_ledger[ロットID],$B250,tbl_ledger[元状態],L$1),
_xlpm.受入+_xlpm.充当受入-_xlpm.払出))</f>
        <v/>
      </c>
      <c r="M250" s="8" t="str">
        <f>IF($B250="","",_xlfn.LET(
_xlpm.受入,SUMIFS(tbl_ledger[数量],tbl_ledger[ロットID],$B250,tbl_ledger[イベント種類],"不良発生"),
_xlpm.充当受入,SUMIFS(tbl_ledger[数量],tbl_ledger[充当先ロットID],$B250,tbl_ledger[イベント種類],"充当",tbl_ledger[元状態],M$1),
_xlpm.払出,SUMIFS(tbl_ledger[数量],tbl_ledger[ロットID],$B250,tbl_ledger[元状態],M$1),
_xlpm.受入+_xlpm.充当受入-_xlpm.払出))</f>
        <v/>
      </c>
      <c r="N250" s="8" t="str">
        <f t="shared" si="7"/>
        <v/>
      </c>
    </row>
    <row r="251" spans="1:14" ht="15" customHeight="1" x14ac:dyDescent="0.25">
      <c r="A251" s="4" t="str">
        <f t="shared" si="6"/>
        <v/>
      </c>
      <c r="B251" s="4" t="str">
        <f>IFERROR(IF(COUNTIF($B$1:$B250,INDEX(tbl_plan[ロットID],ROW()-1))&gt;0,"",INDEX(tbl_plan[ロットID],ROW()-1)),"")</f>
        <v/>
      </c>
      <c r="C251" s="4" t="str">
        <f>IF($B251="","",INDEX(tbl_plan[localId],ROW()-1))</f>
        <v/>
      </c>
      <c r="D251" s="8" t="str">
        <f>IF($B251="","",_xlfn.LET(
_xlpm.割当受入,SUMIF(V_充足確認!$A$2:$A$301,$B251,V_充足確認!$F$2:$F$301),
_xlpm.充当受入,SUMIFS(tbl_ledger[数量],tbl_ledger[充当先ロットID],$B251,tbl_ledger[イベント種類],"充当",tbl_ledger[元状態],D$1),
_xlpm.払出,SUMIFS(tbl_ledger[数量],tbl_ledger[ロットID],$B251,tbl_ledger[元状態],D$1),
_xlpm.割当受入+_xlpm.充当受入-_xlpm.払出))</f>
        <v/>
      </c>
      <c r="E251" s="8" t="str">
        <f>IF($B251="","",_xlfn.LET(
_xlpm.受入,SUMIFS(tbl_ledger[数量],tbl_ledger[ロットID],$B251,tbl_ledger[イベント種類],"アニール開始"),
_xlpm.充当受入,SUMIFS(tbl_ledger[数量],tbl_ledger[充当先ロットID],$B251,tbl_ledger[イベント種類],"充当",tbl_ledger[元状態],E$1),
_xlpm.払出,SUMIFS(tbl_ledger[数量],tbl_ledger[ロットID],$B251,tbl_ledger[元状態],E$1),
_xlpm.受入+_xlpm.充当受入-_xlpm.払出))</f>
        <v/>
      </c>
      <c r="F251" s="8" t="str">
        <f>IF($B251="","",_xlfn.LET(
_xlpm.受入,SUMIFS(tbl_ledger[数量],tbl_ledger[ロットID],$B251,tbl_ledger[イベント種類],"アニール完了"),
_xlpm.充当受入,SUMIFS(tbl_ledger[数量],tbl_ledger[充当先ロットID],$B251,tbl_ledger[イベント種類],"充当",tbl_ledger[元状態],F$1),
_xlpm.払出,SUMIFS(tbl_ledger[数量],tbl_ledger[ロットID],$B251,tbl_ledger[元状態],F$1),
_xlpm.受入+_xlpm.充当受入-_xlpm.払出))</f>
        <v/>
      </c>
      <c r="G251" s="8" t="str">
        <f>IF($B251="","",_xlfn.LET(
_xlpm.受入,SUMIFS(tbl_ledger[数量],tbl_ledger[ロットID],$B251,tbl_ledger[イベント種類],"アセンブリ開始"),
_xlpm.充当受入,SUMIFS(tbl_ledger[数量],tbl_ledger[充当先ロットID],$B251,tbl_ledger[イベント種類],"充当",tbl_ledger[元状態],G$1),
_xlpm.払出,SUMIFS(tbl_ledger[数量],tbl_ledger[ロットID],$B251,tbl_ledger[元状態],G$1),
_xlpm.受入+_xlpm.充当受入-_xlpm.払出))</f>
        <v/>
      </c>
      <c r="H251" s="8" t="str">
        <f>IF($B251="","",_xlfn.LET(
_xlpm.受入,SUMIFS(tbl_ledger[数量],tbl_ledger[ロットID],$B251,tbl_ledger[イベント種類],"アセンブリ完了"),
_xlpm.充当受入,SUMIFS(tbl_ledger[数量],tbl_ledger[充当先ロットID],$B251,tbl_ledger[イベント種類],"充当",tbl_ledger[元状態],H$1),
_xlpm.払出,SUMIFS(tbl_ledger[数量],tbl_ledger[ロットID],$B251,tbl_ledger[元状態],H$1),
_xlpm.受入+_xlpm.充当受入-_xlpm.払出))</f>
        <v/>
      </c>
      <c r="I251" s="8" t="str">
        <f>IF($B251="","",_xlfn.LET(
_xlpm.受入,SUMIFS(tbl_ledger[数量],tbl_ledger[ロットID],$B251,tbl_ledger[イベント種類],"梱包開始"),
_xlpm.充当受入,SUMIFS(tbl_ledger[数量],tbl_ledger[充当先ロットID],$B251,tbl_ledger[イベント種類],"充当",tbl_ledger[元状態],I$1),
_xlpm.払出,SUMIFS(tbl_ledger[数量],tbl_ledger[ロットID],$B251,tbl_ledger[元状態],I$1),
_xlpm.受入+_xlpm.充当受入-_xlpm.払出))</f>
        <v/>
      </c>
      <c r="J251" s="8" t="str">
        <f>IF($B251="","",_xlfn.LET(
_xlpm.受入,SUMIFS(tbl_ledger[数量],tbl_ledger[ロットID],$B251,tbl_ledger[イベント種類],"梱包完了"),
_xlpm.充当受入,SUMIFS(tbl_ledger[数量],tbl_ledger[充当先ロットID],$B251,tbl_ledger[イベント種類],"充当",tbl_ledger[元状態],J$1),
_xlpm.払出,SUMIFS(tbl_ledger[数量],tbl_ledger[ロットID],$B251,tbl_ledger[元状態],J$1),
_xlpm.受入+_xlpm.充当受入-_xlpm.払出))</f>
        <v/>
      </c>
      <c r="K251" s="8" t="str">
        <f>IF($B251="","",_xlfn.LET(
_xlpm.受入,SUMIFS(tbl_ledger[数量],tbl_ledger[ロットID],$B251,tbl_ledger[イベント種類],"発送準備開始"),
_xlpm.充当受入,SUMIFS(tbl_ledger[数量],tbl_ledger[充当先ロットID],$B251,tbl_ledger[イベント種類],"充当",tbl_ledger[元状態],K$1),
_xlpm.払出,SUMIFS(tbl_ledger[数量],tbl_ledger[ロットID],$B251,tbl_ledger[元状態],K$1),
_xlpm.受入+_xlpm.充当受入-_xlpm.払出))</f>
        <v/>
      </c>
      <c r="L251" s="8" t="str">
        <f>IF($B251="","",_xlfn.LET(
_xlpm.受入,SUMIFS(tbl_ledger[数量],tbl_ledger[ロットID],$B251,tbl_ledger[イベント種類],"発送準備完了"),
_xlpm.充当受入,SUMIFS(tbl_ledger[数量],tbl_ledger[充当先ロットID],$B251,tbl_ledger[イベント種類],"充当",tbl_ledger[元状態],L$1),
_xlpm.払出,SUMIFS(tbl_ledger[数量],tbl_ledger[ロットID],$B251,tbl_ledger[元状態],L$1),
_xlpm.受入+_xlpm.充当受入-_xlpm.払出))</f>
        <v/>
      </c>
      <c r="M251" s="8" t="str">
        <f>IF($B251="","",_xlfn.LET(
_xlpm.受入,SUMIFS(tbl_ledger[数量],tbl_ledger[ロットID],$B251,tbl_ledger[イベント種類],"不良発生"),
_xlpm.充当受入,SUMIFS(tbl_ledger[数量],tbl_ledger[充当先ロットID],$B251,tbl_ledger[イベント種類],"充当",tbl_ledger[元状態],M$1),
_xlpm.払出,SUMIFS(tbl_ledger[数量],tbl_ledger[ロットID],$B251,tbl_ledger[元状態],M$1),
_xlpm.受入+_xlpm.充当受入-_xlpm.払出))</f>
        <v/>
      </c>
      <c r="N251" s="8" t="str">
        <f t="shared" si="7"/>
        <v/>
      </c>
    </row>
    <row r="252" spans="1:14" ht="15" customHeight="1" x14ac:dyDescent="0.25">
      <c r="A252" s="4" t="str">
        <f t="shared" si="6"/>
        <v/>
      </c>
      <c r="B252" s="4" t="str">
        <f>IFERROR(IF(COUNTIF($B$1:$B251,INDEX(tbl_plan[ロットID],ROW()-1))&gt;0,"",INDEX(tbl_plan[ロットID],ROW()-1)),"")</f>
        <v/>
      </c>
      <c r="C252" s="4" t="str">
        <f>IF($B252="","",INDEX(tbl_plan[localId],ROW()-1))</f>
        <v/>
      </c>
      <c r="D252" s="8" t="str">
        <f>IF($B252="","",_xlfn.LET(
_xlpm.割当受入,SUMIF(V_充足確認!$A$2:$A$301,$B252,V_充足確認!$F$2:$F$301),
_xlpm.充当受入,SUMIFS(tbl_ledger[数量],tbl_ledger[充当先ロットID],$B252,tbl_ledger[イベント種類],"充当",tbl_ledger[元状態],D$1),
_xlpm.払出,SUMIFS(tbl_ledger[数量],tbl_ledger[ロットID],$B252,tbl_ledger[元状態],D$1),
_xlpm.割当受入+_xlpm.充当受入-_xlpm.払出))</f>
        <v/>
      </c>
      <c r="E252" s="8" t="str">
        <f>IF($B252="","",_xlfn.LET(
_xlpm.受入,SUMIFS(tbl_ledger[数量],tbl_ledger[ロットID],$B252,tbl_ledger[イベント種類],"アニール開始"),
_xlpm.充当受入,SUMIFS(tbl_ledger[数量],tbl_ledger[充当先ロットID],$B252,tbl_ledger[イベント種類],"充当",tbl_ledger[元状態],E$1),
_xlpm.払出,SUMIFS(tbl_ledger[数量],tbl_ledger[ロットID],$B252,tbl_ledger[元状態],E$1),
_xlpm.受入+_xlpm.充当受入-_xlpm.払出))</f>
        <v/>
      </c>
      <c r="F252" s="8" t="str">
        <f>IF($B252="","",_xlfn.LET(
_xlpm.受入,SUMIFS(tbl_ledger[数量],tbl_ledger[ロットID],$B252,tbl_ledger[イベント種類],"アニール完了"),
_xlpm.充当受入,SUMIFS(tbl_ledger[数量],tbl_ledger[充当先ロットID],$B252,tbl_ledger[イベント種類],"充当",tbl_ledger[元状態],F$1),
_xlpm.払出,SUMIFS(tbl_ledger[数量],tbl_ledger[ロットID],$B252,tbl_ledger[元状態],F$1),
_xlpm.受入+_xlpm.充当受入-_xlpm.払出))</f>
        <v/>
      </c>
      <c r="G252" s="8" t="str">
        <f>IF($B252="","",_xlfn.LET(
_xlpm.受入,SUMIFS(tbl_ledger[数量],tbl_ledger[ロットID],$B252,tbl_ledger[イベント種類],"アセンブリ開始"),
_xlpm.充当受入,SUMIFS(tbl_ledger[数量],tbl_ledger[充当先ロットID],$B252,tbl_ledger[イベント種類],"充当",tbl_ledger[元状態],G$1),
_xlpm.払出,SUMIFS(tbl_ledger[数量],tbl_ledger[ロットID],$B252,tbl_ledger[元状態],G$1),
_xlpm.受入+_xlpm.充当受入-_xlpm.払出))</f>
        <v/>
      </c>
      <c r="H252" s="8" t="str">
        <f>IF($B252="","",_xlfn.LET(
_xlpm.受入,SUMIFS(tbl_ledger[数量],tbl_ledger[ロットID],$B252,tbl_ledger[イベント種類],"アセンブリ完了"),
_xlpm.充当受入,SUMIFS(tbl_ledger[数量],tbl_ledger[充当先ロットID],$B252,tbl_ledger[イベント種類],"充当",tbl_ledger[元状態],H$1),
_xlpm.払出,SUMIFS(tbl_ledger[数量],tbl_ledger[ロットID],$B252,tbl_ledger[元状態],H$1),
_xlpm.受入+_xlpm.充当受入-_xlpm.払出))</f>
        <v/>
      </c>
      <c r="I252" s="8" t="str">
        <f>IF($B252="","",_xlfn.LET(
_xlpm.受入,SUMIFS(tbl_ledger[数量],tbl_ledger[ロットID],$B252,tbl_ledger[イベント種類],"梱包開始"),
_xlpm.充当受入,SUMIFS(tbl_ledger[数量],tbl_ledger[充当先ロットID],$B252,tbl_ledger[イベント種類],"充当",tbl_ledger[元状態],I$1),
_xlpm.払出,SUMIFS(tbl_ledger[数量],tbl_ledger[ロットID],$B252,tbl_ledger[元状態],I$1),
_xlpm.受入+_xlpm.充当受入-_xlpm.払出))</f>
        <v/>
      </c>
      <c r="J252" s="8" t="str">
        <f>IF($B252="","",_xlfn.LET(
_xlpm.受入,SUMIFS(tbl_ledger[数量],tbl_ledger[ロットID],$B252,tbl_ledger[イベント種類],"梱包完了"),
_xlpm.充当受入,SUMIFS(tbl_ledger[数量],tbl_ledger[充当先ロットID],$B252,tbl_ledger[イベント種類],"充当",tbl_ledger[元状態],J$1),
_xlpm.払出,SUMIFS(tbl_ledger[数量],tbl_ledger[ロットID],$B252,tbl_ledger[元状態],J$1),
_xlpm.受入+_xlpm.充当受入-_xlpm.払出))</f>
        <v/>
      </c>
      <c r="K252" s="8" t="str">
        <f>IF($B252="","",_xlfn.LET(
_xlpm.受入,SUMIFS(tbl_ledger[数量],tbl_ledger[ロットID],$B252,tbl_ledger[イベント種類],"発送準備開始"),
_xlpm.充当受入,SUMIFS(tbl_ledger[数量],tbl_ledger[充当先ロットID],$B252,tbl_ledger[イベント種類],"充当",tbl_ledger[元状態],K$1),
_xlpm.払出,SUMIFS(tbl_ledger[数量],tbl_ledger[ロットID],$B252,tbl_ledger[元状態],K$1),
_xlpm.受入+_xlpm.充当受入-_xlpm.払出))</f>
        <v/>
      </c>
      <c r="L252" s="8" t="str">
        <f>IF($B252="","",_xlfn.LET(
_xlpm.受入,SUMIFS(tbl_ledger[数量],tbl_ledger[ロットID],$B252,tbl_ledger[イベント種類],"発送準備完了"),
_xlpm.充当受入,SUMIFS(tbl_ledger[数量],tbl_ledger[充当先ロットID],$B252,tbl_ledger[イベント種類],"充当",tbl_ledger[元状態],L$1),
_xlpm.払出,SUMIFS(tbl_ledger[数量],tbl_ledger[ロットID],$B252,tbl_ledger[元状態],L$1),
_xlpm.受入+_xlpm.充当受入-_xlpm.払出))</f>
        <v/>
      </c>
      <c r="M252" s="8" t="str">
        <f>IF($B252="","",_xlfn.LET(
_xlpm.受入,SUMIFS(tbl_ledger[数量],tbl_ledger[ロットID],$B252,tbl_ledger[イベント種類],"不良発生"),
_xlpm.充当受入,SUMIFS(tbl_ledger[数量],tbl_ledger[充当先ロットID],$B252,tbl_ledger[イベント種類],"充当",tbl_ledger[元状態],M$1),
_xlpm.払出,SUMIFS(tbl_ledger[数量],tbl_ledger[ロットID],$B252,tbl_ledger[元状態],M$1),
_xlpm.受入+_xlpm.充当受入-_xlpm.払出))</f>
        <v/>
      </c>
      <c r="N252" s="8" t="str">
        <f t="shared" si="7"/>
        <v/>
      </c>
    </row>
    <row r="253" spans="1:14" ht="15" customHeight="1" x14ac:dyDescent="0.25">
      <c r="A253" s="4" t="str">
        <f t="shared" si="6"/>
        <v/>
      </c>
      <c r="B253" s="4" t="str">
        <f>IFERROR(IF(COUNTIF($B$1:$B252,INDEX(tbl_plan[ロットID],ROW()-1))&gt;0,"",INDEX(tbl_plan[ロットID],ROW()-1)),"")</f>
        <v/>
      </c>
      <c r="C253" s="4" t="str">
        <f>IF($B253="","",INDEX(tbl_plan[localId],ROW()-1))</f>
        <v/>
      </c>
      <c r="D253" s="8" t="str">
        <f>IF($B253="","",_xlfn.LET(
_xlpm.割当受入,SUMIF(V_充足確認!$A$2:$A$301,$B253,V_充足確認!$F$2:$F$301),
_xlpm.充当受入,SUMIFS(tbl_ledger[数量],tbl_ledger[充当先ロットID],$B253,tbl_ledger[イベント種類],"充当",tbl_ledger[元状態],D$1),
_xlpm.払出,SUMIFS(tbl_ledger[数量],tbl_ledger[ロットID],$B253,tbl_ledger[元状態],D$1),
_xlpm.割当受入+_xlpm.充当受入-_xlpm.払出))</f>
        <v/>
      </c>
      <c r="E253" s="8" t="str">
        <f>IF($B253="","",_xlfn.LET(
_xlpm.受入,SUMIFS(tbl_ledger[数量],tbl_ledger[ロットID],$B253,tbl_ledger[イベント種類],"アニール開始"),
_xlpm.充当受入,SUMIFS(tbl_ledger[数量],tbl_ledger[充当先ロットID],$B253,tbl_ledger[イベント種類],"充当",tbl_ledger[元状態],E$1),
_xlpm.払出,SUMIFS(tbl_ledger[数量],tbl_ledger[ロットID],$B253,tbl_ledger[元状態],E$1),
_xlpm.受入+_xlpm.充当受入-_xlpm.払出))</f>
        <v/>
      </c>
      <c r="F253" s="8" t="str">
        <f>IF($B253="","",_xlfn.LET(
_xlpm.受入,SUMIFS(tbl_ledger[数量],tbl_ledger[ロットID],$B253,tbl_ledger[イベント種類],"アニール完了"),
_xlpm.充当受入,SUMIFS(tbl_ledger[数量],tbl_ledger[充当先ロットID],$B253,tbl_ledger[イベント種類],"充当",tbl_ledger[元状態],F$1),
_xlpm.払出,SUMIFS(tbl_ledger[数量],tbl_ledger[ロットID],$B253,tbl_ledger[元状態],F$1),
_xlpm.受入+_xlpm.充当受入-_xlpm.払出))</f>
        <v/>
      </c>
      <c r="G253" s="8" t="str">
        <f>IF($B253="","",_xlfn.LET(
_xlpm.受入,SUMIFS(tbl_ledger[数量],tbl_ledger[ロットID],$B253,tbl_ledger[イベント種類],"アセンブリ開始"),
_xlpm.充当受入,SUMIFS(tbl_ledger[数量],tbl_ledger[充当先ロットID],$B253,tbl_ledger[イベント種類],"充当",tbl_ledger[元状態],G$1),
_xlpm.払出,SUMIFS(tbl_ledger[数量],tbl_ledger[ロットID],$B253,tbl_ledger[元状態],G$1),
_xlpm.受入+_xlpm.充当受入-_xlpm.払出))</f>
        <v/>
      </c>
      <c r="H253" s="8" t="str">
        <f>IF($B253="","",_xlfn.LET(
_xlpm.受入,SUMIFS(tbl_ledger[数量],tbl_ledger[ロットID],$B253,tbl_ledger[イベント種類],"アセンブリ完了"),
_xlpm.充当受入,SUMIFS(tbl_ledger[数量],tbl_ledger[充当先ロットID],$B253,tbl_ledger[イベント種類],"充当",tbl_ledger[元状態],H$1),
_xlpm.払出,SUMIFS(tbl_ledger[数量],tbl_ledger[ロットID],$B253,tbl_ledger[元状態],H$1),
_xlpm.受入+_xlpm.充当受入-_xlpm.払出))</f>
        <v/>
      </c>
      <c r="I253" s="8" t="str">
        <f>IF($B253="","",_xlfn.LET(
_xlpm.受入,SUMIFS(tbl_ledger[数量],tbl_ledger[ロットID],$B253,tbl_ledger[イベント種類],"梱包開始"),
_xlpm.充当受入,SUMIFS(tbl_ledger[数量],tbl_ledger[充当先ロットID],$B253,tbl_ledger[イベント種類],"充当",tbl_ledger[元状態],I$1),
_xlpm.払出,SUMIFS(tbl_ledger[数量],tbl_ledger[ロットID],$B253,tbl_ledger[元状態],I$1),
_xlpm.受入+_xlpm.充当受入-_xlpm.払出))</f>
        <v/>
      </c>
      <c r="J253" s="8" t="str">
        <f>IF($B253="","",_xlfn.LET(
_xlpm.受入,SUMIFS(tbl_ledger[数量],tbl_ledger[ロットID],$B253,tbl_ledger[イベント種類],"梱包完了"),
_xlpm.充当受入,SUMIFS(tbl_ledger[数量],tbl_ledger[充当先ロットID],$B253,tbl_ledger[イベント種類],"充当",tbl_ledger[元状態],J$1),
_xlpm.払出,SUMIFS(tbl_ledger[数量],tbl_ledger[ロットID],$B253,tbl_ledger[元状態],J$1),
_xlpm.受入+_xlpm.充当受入-_xlpm.払出))</f>
        <v/>
      </c>
      <c r="K253" s="8" t="str">
        <f>IF($B253="","",_xlfn.LET(
_xlpm.受入,SUMIFS(tbl_ledger[数量],tbl_ledger[ロットID],$B253,tbl_ledger[イベント種類],"発送準備開始"),
_xlpm.充当受入,SUMIFS(tbl_ledger[数量],tbl_ledger[充当先ロットID],$B253,tbl_ledger[イベント種類],"充当",tbl_ledger[元状態],K$1),
_xlpm.払出,SUMIFS(tbl_ledger[数量],tbl_ledger[ロットID],$B253,tbl_ledger[元状態],K$1),
_xlpm.受入+_xlpm.充当受入-_xlpm.払出))</f>
        <v/>
      </c>
      <c r="L253" s="8" t="str">
        <f>IF($B253="","",_xlfn.LET(
_xlpm.受入,SUMIFS(tbl_ledger[数量],tbl_ledger[ロットID],$B253,tbl_ledger[イベント種類],"発送準備完了"),
_xlpm.充当受入,SUMIFS(tbl_ledger[数量],tbl_ledger[充当先ロットID],$B253,tbl_ledger[イベント種類],"充当",tbl_ledger[元状態],L$1),
_xlpm.払出,SUMIFS(tbl_ledger[数量],tbl_ledger[ロットID],$B253,tbl_ledger[元状態],L$1),
_xlpm.受入+_xlpm.充当受入-_xlpm.払出))</f>
        <v/>
      </c>
      <c r="M253" s="8" t="str">
        <f>IF($B253="","",_xlfn.LET(
_xlpm.受入,SUMIFS(tbl_ledger[数量],tbl_ledger[ロットID],$B253,tbl_ledger[イベント種類],"不良発生"),
_xlpm.充当受入,SUMIFS(tbl_ledger[数量],tbl_ledger[充当先ロットID],$B253,tbl_ledger[イベント種類],"充当",tbl_ledger[元状態],M$1),
_xlpm.払出,SUMIFS(tbl_ledger[数量],tbl_ledger[ロットID],$B253,tbl_ledger[元状態],M$1),
_xlpm.受入+_xlpm.充当受入-_xlpm.払出))</f>
        <v/>
      </c>
      <c r="N253" s="8" t="str">
        <f t="shared" si="7"/>
        <v/>
      </c>
    </row>
    <row r="254" spans="1:14" ht="15" customHeight="1" x14ac:dyDescent="0.25">
      <c r="A254" s="4" t="str">
        <f t="shared" si="6"/>
        <v/>
      </c>
      <c r="B254" s="4" t="str">
        <f>IFERROR(IF(COUNTIF($B$1:$B253,INDEX(tbl_plan[ロットID],ROW()-1))&gt;0,"",INDEX(tbl_plan[ロットID],ROW()-1)),"")</f>
        <v/>
      </c>
      <c r="C254" s="4" t="str">
        <f>IF($B254="","",INDEX(tbl_plan[localId],ROW()-1))</f>
        <v/>
      </c>
      <c r="D254" s="8" t="str">
        <f>IF($B254="","",_xlfn.LET(
_xlpm.割当受入,SUMIF(V_充足確認!$A$2:$A$301,$B254,V_充足確認!$F$2:$F$301),
_xlpm.充当受入,SUMIFS(tbl_ledger[数量],tbl_ledger[充当先ロットID],$B254,tbl_ledger[イベント種類],"充当",tbl_ledger[元状態],D$1),
_xlpm.払出,SUMIFS(tbl_ledger[数量],tbl_ledger[ロットID],$B254,tbl_ledger[元状態],D$1),
_xlpm.割当受入+_xlpm.充当受入-_xlpm.払出))</f>
        <v/>
      </c>
      <c r="E254" s="8" t="str">
        <f>IF($B254="","",_xlfn.LET(
_xlpm.受入,SUMIFS(tbl_ledger[数量],tbl_ledger[ロットID],$B254,tbl_ledger[イベント種類],"アニール開始"),
_xlpm.充当受入,SUMIFS(tbl_ledger[数量],tbl_ledger[充当先ロットID],$B254,tbl_ledger[イベント種類],"充当",tbl_ledger[元状態],E$1),
_xlpm.払出,SUMIFS(tbl_ledger[数量],tbl_ledger[ロットID],$B254,tbl_ledger[元状態],E$1),
_xlpm.受入+_xlpm.充当受入-_xlpm.払出))</f>
        <v/>
      </c>
      <c r="F254" s="8" t="str">
        <f>IF($B254="","",_xlfn.LET(
_xlpm.受入,SUMIFS(tbl_ledger[数量],tbl_ledger[ロットID],$B254,tbl_ledger[イベント種類],"アニール完了"),
_xlpm.充当受入,SUMIFS(tbl_ledger[数量],tbl_ledger[充当先ロットID],$B254,tbl_ledger[イベント種類],"充当",tbl_ledger[元状態],F$1),
_xlpm.払出,SUMIFS(tbl_ledger[数量],tbl_ledger[ロットID],$B254,tbl_ledger[元状態],F$1),
_xlpm.受入+_xlpm.充当受入-_xlpm.払出))</f>
        <v/>
      </c>
      <c r="G254" s="8" t="str">
        <f>IF($B254="","",_xlfn.LET(
_xlpm.受入,SUMIFS(tbl_ledger[数量],tbl_ledger[ロットID],$B254,tbl_ledger[イベント種類],"アセンブリ開始"),
_xlpm.充当受入,SUMIFS(tbl_ledger[数量],tbl_ledger[充当先ロットID],$B254,tbl_ledger[イベント種類],"充当",tbl_ledger[元状態],G$1),
_xlpm.払出,SUMIFS(tbl_ledger[数量],tbl_ledger[ロットID],$B254,tbl_ledger[元状態],G$1),
_xlpm.受入+_xlpm.充当受入-_xlpm.払出))</f>
        <v/>
      </c>
      <c r="H254" s="8" t="str">
        <f>IF($B254="","",_xlfn.LET(
_xlpm.受入,SUMIFS(tbl_ledger[数量],tbl_ledger[ロットID],$B254,tbl_ledger[イベント種類],"アセンブリ完了"),
_xlpm.充当受入,SUMIFS(tbl_ledger[数量],tbl_ledger[充当先ロットID],$B254,tbl_ledger[イベント種類],"充当",tbl_ledger[元状態],H$1),
_xlpm.払出,SUMIFS(tbl_ledger[数量],tbl_ledger[ロットID],$B254,tbl_ledger[元状態],H$1),
_xlpm.受入+_xlpm.充当受入-_xlpm.払出))</f>
        <v/>
      </c>
      <c r="I254" s="8" t="str">
        <f>IF($B254="","",_xlfn.LET(
_xlpm.受入,SUMIFS(tbl_ledger[数量],tbl_ledger[ロットID],$B254,tbl_ledger[イベント種類],"梱包開始"),
_xlpm.充当受入,SUMIFS(tbl_ledger[数量],tbl_ledger[充当先ロットID],$B254,tbl_ledger[イベント種類],"充当",tbl_ledger[元状態],I$1),
_xlpm.払出,SUMIFS(tbl_ledger[数量],tbl_ledger[ロットID],$B254,tbl_ledger[元状態],I$1),
_xlpm.受入+_xlpm.充当受入-_xlpm.払出))</f>
        <v/>
      </c>
      <c r="J254" s="8" t="str">
        <f>IF($B254="","",_xlfn.LET(
_xlpm.受入,SUMIFS(tbl_ledger[数量],tbl_ledger[ロットID],$B254,tbl_ledger[イベント種類],"梱包完了"),
_xlpm.充当受入,SUMIFS(tbl_ledger[数量],tbl_ledger[充当先ロットID],$B254,tbl_ledger[イベント種類],"充当",tbl_ledger[元状態],J$1),
_xlpm.払出,SUMIFS(tbl_ledger[数量],tbl_ledger[ロットID],$B254,tbl_ledger[元状態],J$1),
_xlpm.受入+_xlpm.充当受入-_xlpm.払出))</f>
        <v/>
      </c>
      <c r="K254" s="8" t="str">
        <f>IF($B254="","",_xlfn.LET(
_xlpm.受入,SUMIFS(tbl_ledger[数量],tbl_ledger[ロットID],$B254,tbl_ledger[イベント種類],"発送準備開始"),
_xlpm.充当受入,SUMIFS(tbl_ledger[数量],tbl_ledger[充当先ロットID],$B254,tbl_ledger[イベント種類],"充当",tbl_ledger[元状態],K$1),
_xlpm.払出,SUMIFS(tbl_ledger[数量],tbl_ledger[ロットID],$B254,tbl_ledger[元状態],K$1),
_xlpm.受入+_xlpm.充当受入-_xlpm.払出))</f>
        <v/>
      </c>
      <c r="L254" s="8" t="str">
        <f>IF($B254="","",_xlfn.LET(
_xlpm.受入,SUMIFS(tbl_ledger[数量],tbl_ledger[ロットID],$B254,tbl_ledger[イベント種類],"発送準備完了"),
_xlpm.充当受入,SUMIFS(tbl_ledger[数量],tbl_ledger[充当先ロットID],$B254,tbl_ledger[イベント種類],"充当",tbl_ledger[元状態],L$1),
_xlpm.払出,SUMIFS(tbl_ledger[数量],tbl_ledger[ロットID],$B254,tbl_ledger[元状態],L$1),
_xlpm.受入+_xlpm.充当受入-_xlpm.払出))</f>
        <v/>
      </c>
      <c r="M254" s="8" t="str">
        <f>IF($B254="","",_xlfn.LET(
_xlpm.受入,SUMIFS(tbl_ledger[数量],tbl_ledger[ロットID],$B254,tbl_ledger[イベント種類],"不良発生"),
_xlpm.充当受入,SUMIFS(tbl_ledger[数量],tbl_ledger[充当先ロットID],$B254,tbl_ledger[イベント種類],"充当",tbl_ledger[元状態],M$1),
_xlpm.払出,SUMIFS(tbl_ledger[数量],tbl_ledger[ロットID],$B254,tbl_ledger[元状態],M$1),
_xlpm.受入+_xlpm.充当受入-_xlpm.払出))</f>
        <v/>
      </c>
      <c r="N254" s="8" t="str">
        <f t="shared" si="7"/>
        <v/>
      </c>
    </row>
    <row r="255" spans="1:14" ht="15" customHeight="1" x14ac:dyDescent="0.25">
      <c r="A255" s="4" t="str">
        <f t="shared" si="6"/>
        <v/>
      </c>
      <c r="B255" s="4" t="str">
        <f>IFERROR(IF(COUNTIF($B$1:$B254,INDEX(tbl_plan[ロットID],ROW()-1))&gt;0,"",INDEX(tbl_plan[ロットID],ROW()-1)),"")</f>
        <v/>
      </c>
      <c r="C255" s="4" t="str">
        <f>IF($B255="","",INDEX(tbl_plan[localId],ROW()-1))</f>
        <v/>
      </c>
      <c r="D255" s="8" t="str">
        <f>IF($B255="","",_xlfn.LET(
_xlpm.割当受入,SUMIF(V_充足確認!$A$2:$A$301,$B255,V_充足確認!$F$2:$F$301),
_xlpm.充当受入,SUMIFS(tbl_ledger[数量],tbl_ledger[充当先ロットID],$B255,tbl_ledger[イベント種類],"充当",tbl_ledger[元状態],D$1),
_xlpm.払出,SUMIFS(tbl_ledger[数量],tbl_ledger[ロットID],$B255,tbl_ledger[元状態],D$1),
_xlpm.割当受入+_xlpm.充当受入-_xlpm.払出))</f>
        <v/>
      </c>
      <c r="E255" s="8" t="str">
        <f>IF($B255="","",_xlfn.LET(
_xlpm.受入,SUMIFS(tbl_ledger[数量],tbl_ledger[ロットID],$B255,tbl_ledger[イベント種類],"アニール開始"),
_xlpm.充当受入,SUMIFS(tbl_ledger[数量],tbl_ledger[充当先ロットID],$B255,tbl_ledger[イベント種類],"充当",tbl_ledger[元状態],E$1),
_xlpm.払出,SUMIFS(tbl_ledger[数量],tbl_ledger[ロットID],$B255,tbl_ledger[元状態],E$1),
_xlpm.受入+_xlpm.充当受入-_xlpm.払出))</f>
        <v/>
      </c>
      <c r="F255" s="8" t="str">
        <f>IF($B255="","",_xlfn.LET(
_xlpm.受入,SUMIFS(tbl_ledger[数量],tbl_ledger[ロットID],$B255,tbl_ledger[イベント種類],"アニール完了"),
_xlpm.充当受入,SUMIFS(tbl_ledger[数量],tbl_ledger[充当先ロットID],$B255,tbl_ledger[イベント種類],"充当",tbl_ledger[元状態],F$1),
_xlpm.払出,SUMIFS(tbl_ledger[数量],tbl_ledger[ロットID],$B255,tbl_ledger[元状態],F$1),
_xlpm.受入+_xlpm.充当受入-_xlpm.払出))</f>
        <v/>
      </c>
      <c r="G255" s="8" t="str">
        <f>IF($B255="","",_xlfn.LET(
_xlpm.受入,SUMIFS(tbl_ledger[数量],tbl_ledger[ロットID],$B255,tbl_ledger[イベント種類],"アセンブリ開始"),
_xlpm.充当受入,SUMIFS(tbl_ledger[数量],tbl_ledger[充当先ロットID],$B255,tbl_ledger[イベント種類],"充当",tbl_ledger[元状態],G$1),
_xlpm.払出,SUMIFS(tbl_ledger[数量],tbl_ledger[ロットID],$B255,tbl_ledger[元状態],G$1),
_xlpm.受入+_xlpm.充当受入-_xlpm.払出))</f>
        <v/>
      </c>
      <c r="H255" s="8" t="str">
        <f>IF($B255="","",_xlfn.LET(
_xlpm.受入,SUMIFS(tbl_ledger[数量],tbl_ledger[ロットID],$B255,tbl_ledger[イベント種類],"アセンブリ完了"),
_xlpm.充当受入,SUMIFS(tbl_ledger[数量],tbl_ledger[充当先ロットID],$B255,tbl_ledger[イベント種類],"充当",tbl_ledger[元状態],H$1),
_xlpm.払出,SUMIFS(tbl_ledger[数量],tbl_ledger[ロットID],$B255,tbl_ledger[元状態],H$1),
_xlpm.受入+_xlpm.充当受入-_xlpm.払出))</f>
        <v/>
      </c>
      <c r="I255" s="8" t="str">
        <f>IF($B255="","",_xlfn.LET(
_xlpm.受入,SUMIFS(tbl_ledger[数量],tbl_ledger[ロットID],$B255,tbl_ledger[イベント種類],"梱包開始"),
_xlpm.充当受入,SUMIFS(tbl_ledger[数量],tbl_ledger[充当先ロットID],$B255,tbl_ledger[イベント種類],"充当",tbl_ledger[元状態],I$1),
_xlpm.払出,SUMIFS(tbl_ledger[数量],tbl_ledger[ロットID],$B255,tbl_ledger[元状態],I$1),
_xlpm.受入+_xlpm.充当受入-_xlpm.払出))</f>
        <v/>
      </c>
      <c r="J255" s="8" t="str">
        <f>IF($B255="","",_xlfn.LET(
_xlpm.受入,SUMIFS(tbl_ledger[数量],tbl_ledger[ロットID],$B255,tbl_ledger[イベント種類],"梱包完了"),
_xlpm.充当受入,SUMIFS(tbl_ledger[数量],tbl_ledger[充当先ロットID],$B255,tbl_ledger[イベント種類],"充当",tbl_ledger[元状態],J$1),
_xlpm.払出,SUMIFS(tbl_ledger[数量],tbl_ledger[ロットID],$B255,tbl_ledger[元状態],J$1),
_xlpm.受入+_xlpm.充当受入-_xlpm.払出))</f>
        <v/>
      </c>
      <c r="K255" s="8" t="str">
        <f>IF($B255="","",_xlfn.LET(
_xlpm.受入,SUMIFS(tbl_ledger[数量],tbl_ledger[ロットID],$B255,tbl_ledger[イベント種類],"発送準備開始"),
_xlpm.充当受入,SUMIFS(tbl_ledger[数量],tbl_ledger[充当先ロットID],$B255,tbl_ledger[イベント種類],"充当",tbl_ledger[元状態],K$1),
_xlpm.払出,SUMIFS(tbl_ledger[数量],tbl_ledger[ロットID],$B255,tbl_ledger[元状態],K$1),
_xlpm.受入+_xlpm.充当受入-_xlpm.払出))</f>
        <v/>
      </c>
      <c r="L255" s="8" t="str">
        <f>IF($B255="","",_xlfn.LET(
_xlpm.受入,SUMIFS(tbl_ledger[数量],tbl_ledger[ロットID],$B255,tbl_ledger[イベント種類],"発送準備完了"),
_xlpm.充当受入,SUMIFS(tbl_ledger[数量],tbl_ledger[充当先ロットID],$B255,tbl_ledger[イベント種類],"充当",tbl_ledger[元状態],L$1),
_xlpm.払出,SUMIFS(tbl_ledger[数量],tbl_ledger[ロットID],$B255,tbl_ledger[元状態],L$1),
_xlpm.受入+_xlpm.充当受入-_xlpm.払出))</f>
        <v/>
      </c>
      <c r="M255" s="8" t="str">
        <f>IF($B255="","",_xlfn.LET(
_xlpm.受入,SUMIFS(tbl_ledger[数量],tbl_ledger[ロットID],$B255,tbl_ledger[イベント種類],"不良発生"),
_xlpm.充当受入,SUMIFS(tbl_ledger[数量],tbl_ledger[充当先ロットID],$B255,tbl_ledger[イベント種類],"充当",tbl_ledger[元状態],M$1),
_xlpm.払出,SUMIFS(tbl_ledger[数量],tbl_ledger[ロットID],$B255,tbl_ledger[元状態],M$1),
_xlpm.受入+_xlpm.充当受入-_xlpm.払出))</f>
        <v/>
      </c>
      <c r="N255" s="8" t="str">
        <f t="shared" si="7"/>
        <v/>
      </c>
    </row>
    <row r="256" spans="1:14" ht="15" customHeight="1" x14ac:dyDescent="0.25">
      <c r="A256" s="4" t="str">
        <f t="shared" si="6"/>
        <v/>
      </c>
      <c r="B256" s="4" t="str">
        <f>IFERROR(IF(COUNTIF($B$1:$B255,INDEX(tbl_plan[ロットID],ROW()-1))&gt;0,"",INDEX(tbl_plan[ロットID],ROW()-1)),"")</f>
        <v/>
      </c>
      <c r="C256" s="4" t="str">
        <f>IF($B256="","",INDEX(tbl_plan[localId],ROW()-1))</f>
        <v/>
      </c>
      <c r="D256" s="8" t="str">
        <f>IF($B256="","",_xlfn.LET(
_xlpm.割当受入,SUMIF(V_充足確認!$A$2:$A$301,$B256,V_充足確認!$F$2:$F$301),
_xlpm.充当受入,SUMIFS(tbl_ledger[数量],tbl_ledger[充当先ロットID],$B256,tbl_ledger[イベント種類],"充当",tbl_ledger[元状態],D$1),
_xlpm.払出,SUMIFS(tbl_ledger[数量],tbl_ledger[ロットID],$B256,tbl_ledger[元状態],D$1),
_xlpm.割当受入+_xlpm.充当受入-_xlpm.払出))</f>
        <v/>
      </c>
      <c r="E256" s="8" t="str">
        <f>IF($B256="","",_xlfn.LET(
_xlpm.受入,SUMIFS(tbl_ledger[数量],tbl_ledger[ロットID],$B256,tbl_ledger[イベント種類],"アニール開始"),
_xlpm.充当受入,SUMIFS(tbl_ledger[数量],tbl_ledger[充当先ロットID],$B256,tbl_ledger[イベント種類],"充当",tbl_ledger[元状態],E$1),
_xlpm.払出,SUMIFS(tbl_ledger[数量],tbl_ledger[ロットID],$B256,tbl_ledger[元状態],E$1),
_xlpm.受入+_xlpm.充当受入-_xlpm.払出))</f>
        <v/>
      </c>
      <c r="F256" s="8" t="str">
        <f>IF($B256="","",_xlfn.LET(
_xlpm.受入,SUMIFS(tbl_ledger[数量],tbl_ledger[ロットID],$B256,tbl_ledger[イベント種類],"アニール完了"),
_xlpm.充当受入,SUMIFS(tbl_ledger[数量],tbl_ledger[充当先ロットID],$B256,tbl_ledger[イベント種類],"充当",tbl_ledger[元状態],F$1),
_xlpm.払出,SUMIFS(tbl_ledger[数量],tbl_ledger[ロットID],$B256,tbl_ledger[元状態],F$1),
_xlpm.受入+_xlpm.充当受入-_xlpm.払出))</f>
        <v/>
      </c>
      <c r="G256" s="8" t="str">
        <f>IF($B256="","",_xlfn.LET(
_xlpm.受入,SUMIFS(tbl_ledger[数量],tbl_ledger[ロットID],$B256,tbl_ledger[イベント種類],"アセンブリ開始"),
_xlpm.充当受入,SUMIFS(tbl_ledger[数量],tbl_ledger[充当先ロットID],$B256,tbl_ledger[イベント種類],"充当",tbl_ledger[元状態],G$1),
_xlpm.払出,SUMIFS(tbl_ledger[数量],tbl_ledger[ロットID],$B256,tbl_ledger[元状態],G$1),
_xlpm.受入+_xlpm.充当受入-_xlpm.払出))</f>
        <v/>
      </c>
      <c r="H256" s="8" t="str">
        <f>IF($B256="","",_xlfn.LET(
_xlpm.受入,SUMIFS(tbl_ledger[数量],tbl_ledger[ロットID],$B256,tbl_ledger[イベント種類],"アセンブリ完了"),
_xlpm.充当受入,SUMIFS(tbl_ledger[数量],tbl_ledger[充当先ロットID],$B256,tbl_ledger[イベント種類],"充当",tbl_ledger[元状態],H$1),
_xlpm.払出,SUMIFS(tbl_ledger[数量],tbl_ledger[ロットID],$B256,tbl_ledger[元状態],H$1),
_xlpm.受入+_xlpm.充当受入-_xlpm.払出))</f>
        <v/>
      </c>
      <c r="I256" s="8" t="str">
        <f>IF($B256="","",_xlfn.LET(
_xlpm.受入,SUMIFS(tbl_ledger[数量],tbl_ledger[ロットID],$B256,tbl_ledger[イベント種類],"梱包開始"),
_xlpm.充当受入,SUMIFS(tbl_ledger[数量],tbl_ledger[充当先ロットID],$B256,tbl_ledger[イベント種類],"充当",tbl_ledger[元状態],I$1),
_xlpm.払出,SUMIFS(tbl_ledger[数量],tbl_ledger[ロットID],$B256,tbl_ledger[元状態],I$1),
_xlpm.受入+_xlpm.充当受入-_xlpm.払出))</f>
        <v/>
      </c>
      <c r="J256" s="8" t="str">
        <f>IF($B256="","",_xlfn.LET(
_xlpm.受入,SUMIFS(tbl_ledger[数量],tbl_ledger[ロットID],$B256,tbl_ledger[イベント種類],"梱包完了"),
_xlpm.充当受入,SUMIFS(tbl_ledger[数量],tbl_ledger[充当先ロットID],$B256,tbl_ledger[イベント種類],"充当",tbl_ledger[元状態],J$1),
_xlpm.払出,SUMIFS(tbl_ledger[数量],tbl_ledger[ロットID],$B256,tbl_ledger[元状態],J$1),
_xlpm.受入+_xlpm.充当受入-_xlpm.払出))</f>
        <v/>
      </c>
      <c r="K256" s="8" t="str">
        <f>IF($B256="","",_xlfn.LET(
_xlpm.受入,SUMIFS(tbl_ledger[数量],tbl_ledger[ロットID],$B256,tbl_ledger[イベント種類],"発送準備開始"),
_xlpm.充当受入,SUMIFS(tbl_ledger[数量],tbl_ledger[充当先ロットID],$B256,tbl_ledger[イベント種類],"充当",tbl_ledger[元状態],K$1),
_xlpm.払出,SUMIFS(tbl_ledger[数量],tbl_ledger[ロットID],$B256,tbl_ledger[元状態],K$1),
_xlpm.受入+_xlpm.充当受入-_xlpm.払出))</f>
        <v/>
      </c>
      <c r="L256" s="8" t="str">
        <f>IF($B256="","",_xlfn.LET(
_xlpm.受入,SUMIFS(tbl_ledger[数量],tbl_ledger[ロットID],$B256,tbl_ledger[イベント種類],"発送準備完了"),
_xlpm.充当受入,SUMIFS(tbl_ledger[数量],tbl_ledger[充当先ロットID],$B256,tbl_ledger[イベント種類],"充当",tbl_ledger[元状態],L$1),
_xlpm.払出,SUMIFS(tbl_ledger[数量],tbl_ledger[ロットID],$B256,tbl_ledger[元状態],L$1),
_xlpm.受入+_xlpm.充当受入-_xlpm.払出))</f>
        <v/>
      </c>
      <c r="M256" s="8" t="str">
        <f>IF($B256="","",_xlfn.LET(
_xlpm.受入,SUMIFS(tbl_ledger[数量],tbl_ledger[ロットID],$B256,tbl_ledger[イベント種類],"不良発生"),
_xlpm.充当受入,SUMIFS(tbl_ledger[数量],tbl_ledger[充当先ロットID],$B256,tbl_ledger[イベント種類],"充当",tbl_ledger[元状態],M$1),
_xlpm.払出,SUMIFS(tbl_ledger[数量],tbl_ledger[ロットID],$B256,tbl_ledger[元状態],M$1),
_xlpm.受入+_xlpm.充当受入-_xlpm.払出))</f>
        <v/>
      </c>
      <c r="N256" s="8" t="str">
        <f t="shared" si="7"/>
        <v/>
      </c>
    </row>
    <row r="257" spans="1:14" ht="15" customHeight="1" x14ac:dyDescent="0.25">
      <c r="A257" s="4" t="str">
        <f t="shared" si="6"/>
        <v/>
      </c>
      <c r="B257" s="4" t="str">
        <f>IFERROR(IF(COUNTIF($B$1:$B256,INDEX(tbl_plan[ロットID],ROW()-1))&gt;0,"",INDEX(tbl_plan[ロットID],ROW()-1)),"")</f>
        <v/>
      </c>
      <c r="C257" s="4" t="str">
        <f>IF($B257="","",INDEX(tbl_plan[localId],ROW()-1))</f>
        <v/>
      </c>
      <c r="D257" s="8" t="str">
        <f>IF($B257="","",_xlfn.LET(
_xlpm.割当受入,SUMIF(V_充足確認!$A$2:$A$301,$B257,V_充足確認!$F$2:$F$301),
_xlpm.充当受入,SUMIFS(tbl_ledger[数量],tbl_ledger[充当先ロットID],$B257,tbl_ledger[イベント種類],"充当",tbl_ledger[元状態],D$1),
_xlpm.払出,SUMIFS(tbl_ledger[数量],tbl_ledger[ロットID],$B257,tbl_ledger[元状態],D$1),
_xlpm.割当受入+_xlpm.充当受入-_xlpm.払出))</f>
        <v/>
      </c>
      <c r="E257" s="8" t="str">
        <f>IF($B257="","",_xlfn.LET(
_xlpm.受入,SUMIFS(tbl_ledger[数量],tbl_ledger[ロットID],$B257,tbl_ledger[イベント種類],"アニール開始"),
_xlpm.充当受入,SUMIFS(tbl_ledger[数量],tbl_ledger[充当先ロットID],$B257,tbl_ledger[イベント種類],"充当",tbl_ledger[元状態],E$1),
_xlpm.払出,SUMIFS(tbl_ledger[数量],tbl_ledger[ロットID],$B257,tbl_ledger[元状態],E$1),
_xlpm.受入+_xlpm.充当受入-_xlpm.払出))</f>
        <v/>
      </c>
      <c r="F257" s="8" t="str">
        <f>IF($B257="","",_xlfn.LET(
_xlpm.受入,SUMIFS(tbl_ledger[数量],tbl_ledger[ロットID],$B257,tbl_ledger[イベント種類],"アニール完了"),
_xlpm.充当受入,SUMIFS(tbl_ledger[数量],tbl_ledger[充当先ロットID],$B257,tbl_ledger[イベント種類],"充当",tbl_ledger[元状態],F$1),
_xlpm.払出,SUMIFS(tbl_ledger[数量],tbl_ledger[ロットID],$B257,tbl_ledger[元状態],F$1),
_xlpm.受入+_xlpm.充当受入-_xlpm.払出))</f>
        <v/>
      </c>
      <c r="G257" s="8" t="str">
        <f>IF($B257="","",_xlfn.LET(
_xlpm.受入,SUMIFS(tbl_ledger[数量],tbl_ledger[ロットID],$B257,tbl_ledger[イベント種類],"アセンブリ開始"),
_xlpm.充当受入,SUMIFS(tbl_ledger[数量],tbl_ledger[充当先ロットID],$B257,tbl_ledger[イベント種類],"充当",tbl_ledger[元状態],G$1),
_xlpm.払出,SUMIFS(tbl_ledger[数量],tbl_ledger[ロットID],$B257,tbl_ledger[元状態],G$1),
_xlpm.受入+_xlpm.充当受入-_xlpm.払出))</f>
        <v/>
      </c>
      <c r="H257" s="8" t="str">
        <f>IF($B257="","",_xlfn.LET(
_xlpm.受入,SUMIFS(tbl_ledger[数量],tbl_ledger[ロットID],$B257,tbl_ledger[イベント種類],"アセンブリ完了"),
_xlpm.充当受入,SUMIFS(tbl_ledger[数量],tbl_ledger[充当先ロットID],$B257,tbl_ledger[イベント種類],"充当",tbl_ledger[元状態],H$1),
_xlpm.払出,SUMIFS(tbl_ledger[数量],tbl_ledger[ロットID],$B257,tbl_ledger[元状態],H$1),
_xlpm.受入+_xlpm.充当受入-_xlpm.払出))</f>
        <v/>
      </c>
      <c r="I257" s="8" t="str">
        <f>IF($B257="","",_xlfn.LET(
_xlpm.受入,SUMIFS(tbl_ledger[数量],tbl_ledger[ロットID],$B257,tbl_ledger[イベント種類],"梱包開始"),
_xlpm.充当受入,SUMIFS(tbl_ledger[数量],tbl_ledger[充当先ロットID],$B257,tbl_ledger[イベント種類],"充当",tbl_ledger[元状態],I$1),
_xlpm.払出,SUMIFS(tbl_ledger[数量],tbl_ledger[ロットID],$B257,tbl_ledger[元状態],I$1),
_xlpm.受入+_xlpm.充当受入-_xlpm.払出))</f>
        <v/>
      </c>
      <c r="J257" s="8" t="str">
        <f>IF($B257="","",_xlfn.LET(
_xlpm.受入,SUMIFS(tbl_ledger[数量],tbl_ledger[ロットID],$B257,tbl_ledger[イベント種類],"梱包完了"),
_xlpm.充当受入,SUMIFS(tbl_ledger[数量],tbl_ledger[充当先ロットID],$B257,tbl_ledger[イベント種類],"充当",tbl_ledger[元状態],J$1),
_xlpm.払出,SUMIFS(tbl_ledger[数量],tbl_ledger[ロットID],$B257,tbl_ledger[元状態],J$1),
_xlpm.受入+_xlpm.充当受入-_xlpm.払出))</f>
        <v/>
      </c>
      <c r="K257" s="8" t="str">
        <f>IF($B257="","",_xlfn.LET(
_xlpm.受入,SUMIFS(tbl_ledger[数量],tbl_ledger[ロットID],$B257,tbl_ledger[イベント種類],"発送準備開始"),
_xlpm.充当受入,SUMIFS(tbl_ledger[数量],tbl_ledger[充当先ロットID],$B257,tbl_ledger[イベント種類],"充当",tbl_ledger[元状態],K$1),
_xlpm.払出,SUMIFS(tbl_ledger[数量],tbl_ledger[ロットID],$B257,tbl_ledger[元状態],K$1),
_xlpm.受入+_xlpm.充当受入-_xlpm.払出))</f>
        <v/>
      </c>
      <c r="L257" s="8" t="str">
        <f>IF($B257="","",_xlfn.LET(
_xlpm.受入,SUMIFS(tbl_ledger[数量],tbl_ledger[ロットID],$B257,tbl_ledger[イベント種類],"発送準備完了"),
_xlpm.充当受入,SUMIFS(tbl_ledger[数量],tbl_ledger[充当先ロットID],$B257,tbl_ledger[イベント種類],"充当",tbl_ledger[元状態],L$1),
_xlpm.払出,SUMIFS(tbl_ledger[数量],tbl_ledger[ロットID],$B257,tbl_ledger[元状態],L$1),
_xlpm.受入+_xlpm.充当受入-_xlpm.払出))</f>
        <v/>
      </c>
      <c r="M257" s="8" t="str">
        <f>IF($B257="","",_xlfn.LET(
_xlpm.受入,SUMIFS(tbl_ledger[数量],tbl_ledger[ロットID],$B257,tbl_ledger[イベント種類],"不良発生"),
_xlpm.充当受入,SUMIFS(tbl_ledger[数量],tbl_ledger[充当先ロットID],$B257,tbl_ledger[イベント種類],"充当",tbl_ledger[元状態],M$1),
_xlpm.払出,SUMIFS(tbl_ledger[数量],tbl_ledger[ロットID],$B257,tbl_ledger[元状態],M$1),
_xlpm.受入+_xlpm.充当受入-_xlpm.払出))</f>
        <v/>
      </c>
      <c r="N257" s="8" t="str">
        <f t="shared" si="7"/>
        <v/>
      </c>
    </row>
    <row r="258" spans="1:14" ht="15" customHeight="1" x14ac:dyDescent="0.25">
      <c r="A258" s="4" t="str">
        <f t="shared" ref="A258:A301" si="8">IF($B258="","","ロット")</f>
        <v/>
      </c>
      <c r="B258" s="4" t="str">
        <f>IFERROR(IF(COUNTIF($B$1:$B257,INDEX(tbl_plan[ロットID],ROW()-1))&gt;0,"",INDEX(tbl_plan[ロットID],ROW()-1)),"")</f>
        <v/>
      </c>
      <c r="C258" s="4" t="str">
        <f>IF($B258="","",INDEX(tbl_plan[localId],ROW()-1))</f>
        <v/>
      </c>
      <c r="D258" s="8" t="str">
        <f>IF($B258="","",_xlfn.LET(
_xlpm.割当受入,SUMIF(V_充足確認!$A$2:$A$301,$B258,V_充足確認!$F$2:$F$301),
_xlpm.充当受入,SUMIFS(tbl_ledger[数量],tbl_ledger[充当先ロットID],$B258,tbl_ledger[イベント種類],"充当",tbl_ledger[元状態],D$1),
_xlpm.払出,SUMIFS(tbl_ledger[数量],tbl_ledger[ロットID],$B258,tbl_ledger[元状態],D$1),
_xlpm.割当受入+_xlpm.充当受入-_xlpm.払出))</f>
        <v/>
      </c>
      <c r="E258" s="8" t="str">
        <f>IF($B258="","",_xlfn.LET(
_xlpm.受入,SUMIFS(tbl_ledger[数量],tbl_ledger[ロットID],$B258,tbl_ledger[イベント種類],"アニール開始"),
_xlpm.充当受入,SUMIFS(tbl_ledger[数量],tbl_ledger[充当先ロットID],$B258,tbl_ledger[イベント種類],"充当",tbl_ledger[元状態],E$1),
_xlpm.払出,SUMIFS(tbl_ledger[数量],tbl_ledger[ロットID],$B258,tbl_ledger[元状態],E$1),
_xlpm.受入+_xlpm.充当受入-_xlpm.払出))</f>
        <v/>
      </c>
      <c r="F258" s="8" t="str">
        <f>IF($B258="","",_xlfn.LET(
_xlpm.受入,SUMIFS(tbl_ledger[数量],tbl_ledger[ロットID],$B258,tbl_ledger[イベント種類],"アニール完了"),
_xlpm.充当受入,SUMIFS(tbl_ledger[数量],tbl_ledger[充当先ロットID],$B258,tbl_ledger[イベント種類],"充当",tbl_ledger[元状態],F$1),
_xlpm.払出,SUMIFS(tbl_ledger[数量],tbl_ledger[ロットID],$B258,tbl_ledger[元状態],F$1),
_xlpm.受入+_xlpm.充当受入-_xlpm.払出))</f>
        <v/>
      </c>
      <c r="G258" s="8" t="str">
        <f>IF($B258="","",_xlfn.LET(
_xlpm.受入,SUMIFS(tbl_ledger[数量],tbl_ledger[ロットID],$B258,tbl_ledger[イベント種類],"アセンブリ開始"),
_xlpm.充当受入,SUMIFS(tbl_ledger[数量],tbl_ledger[充当先ロットID],$B258,tbl_ledger[イベント種類],"充当",tbl_ledger[元状態],G$1),
_xlpm.払出,SUMIFS(tbl_ledger[数量],tbl_ledger[ロットID],$B258,tbl_ledger[元状態],G$1),
_xlpm.受入+_xlpm.充当受入-_xlpm.払出))</f>
        <v/>
      </c>
      <c r="H258" s="8" t="str">
        <f>IF($B258="","",_xlfn.LET(
_xlpm.受入,SUMIFS(tbl_ledger[数量],tbl_ledger[ロットID],$B258,tbl_ledger[イベント種類],"アセンブリ完了"),
_xlpm.充当受入,SUMIFS(tbl_ledger[数量],tbl_ledger[充当先ロットID],$B258,tbl_ledger[イベント種類],"充当",tbl_ledger[元状態],H$1),
_xlpm.払出,SUMIFS(tbl_ledger[数量],tbl_ledger[ロットID],$B258,tbl_ledger[元状態],H$1),
_xlpm.受入+_xlpm.充当受入-_xlpm.払出))</f>
        <v/>
      </c>
      <c r="I258" s="8" t="str">
        <f>IF($B258="","",_xlfn.LET(
_xlpm.受入,SUMIFS(tbl_ledger[数量],tbl_ledger[ロットID],$B258,tbl_ledger[イベント種類],"梱包開始"),
_xlpm.充当受入,SUMIFS(tbl_ledger[数量],tbl_ledger[充当先ロットID],$B258,tbl_ledger[イベント種類],"充当",tbl_ledger[元状態],I$1),
_xlpm.払出,SUMIFS(tbl_ledger[数量],tbl_ledger[ロットID],$B258,tbl_ledger[元状態],I$1),
_xlpm.受入+_xlpm.充当受入-_xlpm.払出))</f>
        <v/>
      </c>
      <c r="J258" s="8" t="str">
        <f>IF($B258="","",_xlfn.LET(
_xlpm.受入,SUMIFS(tbl_ledger[数量],tbl_ledger[ロットID],$B258,tbl_ledger[イベント種類],"梱包完了"),
_xlpm.充当受入,SUMIFS(tbl_ledger[数量],tbl_ledger[充当先ロットID],$B258,tbl_ledger[イベント種類],"充当",tbl_ledger[元状態],J$1),
_xlpm.払出,SUMIFS(tbl_ledger[数量],tbl_ledger[ロットID],$B258,tbl_ledger[元状態],J$1),
_xlpm.受入+_xlpm.充当受入-_xlpm.払出))</f>
        <v/>
      </c>
      <c r="K258" s="8" t="str">
        <f>IF($B258="","",_xlfn.LET(
_xlpm.受入,SUMIFS(tbl_ledger[数量],tbl_ledger[ロットID],$B258,tbl_ledger[イベント種類],"発送準備開始"),
_xlpm.充当受入,SUMIFS(tbl_ledger[数量],tbl_ledger[充当先ロットID],$B258,tbl_ledger[イベント種類],"充当",tbl_ledger[元状態],K$1),
_xlpm.払出,SUMIFS(tbl_ledger[数量],tbl_ledger[ロットID],$B258,tbl_ledger[元状態],K$1),
_xlpm.受入+_xlpm.充当受入-_xlpm.払出))</f>
        <v/>
      </c>
      <c r="L258" s="8" t="str">
        <f>IF($B258="","",_xlfn.LET(
_xlpm.受入,SUMIFS(tbl_ledger[数量],tbl_ledger[ロットID],$B258,tbl_ledger[イベント種類],"発送準備完了"),
_xlpm.充当受入,SUMIFS(tbl_ledger[数量],tbl_ledger[充当先ロットID],$B258,tbl_ledger[イベント種類],"充当",tbl_ledger[元状態],L$1),
_xlpm.払出,SUMIFS(tbl_ledger[数量],tbl_ledger[ロットID],$B258,tbl_ledger[元状態],L$1),
_xlpm.受入+_xlpm.充当受入-_xlpm.払出))</f>
        <v/>
      </c>
      <c r="M258" s="8" t="str">
        <f>IF($B258="","",_xlfn.LET(
_xlpm.受入,SUMIFS(tbl_ledger[数量],tbl_ledger[ロットID],$B258,tbl_ledger[イベント種類],"不良発生"),
_xlpm.充当受入,SUMIFS(tbl_ledger[数量],tbl_ledger[充当先ロットID],$B258,tbl_ledger[イベント種類],"充当",tbl_ledger[元状態],M$1),
_xlpm.払出,SUMIFS(tbl_ledger[数量],tbl_ledger[ロットID],$B258,tbl_ledger[元状態],M$1),
_xlpm.受入+_xlpm.充当受入-_xlpm.払出))</f>
        <v/>
      </c>
      <c r="N258" s="8" t="str">
        <f t="shared" ref="N258:N301" si="9">IF($B258="","",SUM(D258:M258))</f>
        <v/>
      </c>
    </row>
    <row r="259" spans="1:14" ht="15" customHeight="1" x14ac:dyDescent="0.25">
      <c r="A259" s="4" t="str">
        <f t="shared" si="8"/>
        <v/>
      </c>
      <c r="B259" s="4" t="str">
        <f>IFERROR(IF(COUNTIF($B$1:$B258,INDEX(tbl_plan[ロットID],ROW()-1))&gt;0,"",INDEX(tbl_plan[ロットID],ROW()-1)),"")</f>
        <v/>
      </c>
      <c r="C259" s="4" t="str">
        <f>IF($B259="","",INDEX(tbl_plan[localId],ROW()-1))</f>
        <v/>
      </c>
      <c r="D259" s="8" t="str">
        <f>IF($B259="","",_xlfn.LET(
_xlpm.割当受入,SUMIF(V_充足確認!$A$2:$A$301,$B259,V_充足確認!$F$2:$F$301),
_xlpm.充当受入,SUMIFS(tbl_ledger[数量],tbl_ledger[充当先ロットID],$B259,tbl_ledger[イベント種類],"充当",tbl_ledger[元状態],D$1),
_xlpm.払出,SUMIFS(tbl_ledger[数量],tbl_ledger[ロットID],$B259,tbl_ledger[元状態],D$1),
_xlpm.割当受入+_xlpm.充当受入-_xlpm.払出))</f>
        <v/>
      </c>
      <c r="E259" s="8" t="str">
        <f>IF($B259="","",_xlfn.LET(
_xlpm.受入,SUMIFS(tbl_ledger[数量],tbl_ledger[ロットID],$B259,tbl_ledger[イベント種類],"アニール開始"),
_xlpm.充当受入,SUMIFS(tbl_ledger[数量],tbl_ledger[充当先ロットID],$B259,tbl_ledger[イベント種類],"充当",tbl_ledger[元状態],E$1),
_xlpm.払出,SUMIFS(tbl_ledger[数量],tbl_ledger[ロットID],$B259,tbl_ledger[元状態],E$1),
_xlpm.受入+_xlpm.充当受入-_xlpm.払出))</f>
        <v/>
      </c>
      <c r="F259" s="8" t="str">
        <f>IF($B259="","",_xlfn.LET(
_xlpm.受入,SUMIFS(tbl_ledger[数量],tbl_ledger[ロットID],$B259,tbl_ledger[イベント種類],"アニール完了"),
_xlpm.充当受入,SUMIFS(tbl_ledger[数量],tbl_ledger[充当先ロットID],$B259,tbl_ledger[イベント種類],"充当",tbl_ledger[元状態],F$1),
_xlpm.払出,SUMIFS(tbl_ledger[数量],tbl_ledger[ロットID],$B259,tbl_ledger[元状態],F$1),
_xlpm.受入+_xlpm.充当受入-_xlpm.払出))</f>
        <v/>
      </c>
      <c r="G259" s="8" t="str">
        <f>IF($B259="","",_xlfn.LET(
_xlpm.受入,SUMIFS(tbl_ledger[数量],tbl_ledger[ロットID],$B259,tbl_ledger[イベント種類],"アセンブリ開始"),
_xlpm.充当受入,SUMIFS(tbl_ledger[数量],tbl_ledger[充当先ロットID],$B259,tbl_ledger[イベント種類],"充当",tbl_ledger[元状態],G$1),
_xlpm.払出,SUMIFS(tbl_ledger[数量],tbl_ledger[ロットID],$B259,tbl_ledger[元状態],G$1),
_xlpm.受入+_xlpm.充当受入-_xlpm.払出))</f>
        <v/>
      </c>
      <c r="H259" s="8" t="str">
        <f>IF($B259="","",_xlfn.LET(
_xlpm.受入,SUMIFS(tbl_ledger[数量],tbl_ledger[ロットID],$B259,tbl_ledger[イベント種類],"アセンブリ完了"),
_xlpm.充当受入,SUMIFS(tbl_ledger[数量],tbl_ledger[充当先ロットID],$B259,tbl_ledger[イベント種類],"充当",tbl_ledger[元状態],H$1),
_xlpm.払出,SUMIFS(tbl_ledger[数量],tbl_ledger[ロットID],$B259,tbl_ledger[元状態],H$1),
_xlpm.受入+_xlpm.充当受入-_xlpm.払出))</f>
        <v/>
      </c>
      <c r="I259" s="8" t="str">
        <f>IF($B259="","",_xlfn.LET(
_xlpm.受入,SUMIFS(tbl_ledger[数量],tbl_ledger[ロットID],$B259,tbl_ledger[イベント種類],"梱包開始"),
_xlpm.充当受入,SUMIFS(tbl_ledger[数量],tbl_ledger[充当先ロットID],$B259,tbl_ledger[イベント種類],"充当",tbl_ledger[元状態],I$1),
_xlpm.払出,SUMIFS(tbl_ledger[数量],tbl_ledger[ロットID],$B259,tbl_ledger[元状態],I$1),
_xlpm.受入+_xlpm.充当受入-_xlpm.払出))</f>
        <v/>
      </c>
      <c r="J259" s="8" t="str">
        <f>IF($B259="","",_xlfn.LET(
_xlpm.受入,SUMIFS(tbl_ledger[数量],tbl_ledger[ロットID],$B259,tbl_ledger[イベント種類],"梱包完了"),
_xlpm.充当受入,SUMIFS(tbl_ledger[数量],tbl_ledger[充当先ロットID],$B259,tbl_ledger[イベント種類],"充当",tbl_ledger[元状態],J$1),
_xlpm.払出,SUMIFS(tbl_ledger[数量],tbl_ledger[ロットID],$B259,tbl_ledger[元状態],J$1),
_xlpm.受入+_xlpm.充当受入-_xlpm.払出))</f>
        <v/>
      </c>
      <c r="K259" s="8" t="str">
        <f>IF($B259="","",_xlfn.LET(
_xlpm.受入,SUMIFS(tbl_ledger[数量],tbl_ledger[ロットID],$B259,tbl_ledger[イベント種類],"発送準備開始"),
_xlpm.充当受入,SUMIFS(tbl_ledger[数量],tbl_ledger[充当先ロットID],$B259,tbl_ledger[イベント種類],"充当",tbl_ledger[元状態],K$1),
_xlpm.払出,SUMIFS(tbl_ledger[数量],tbl_ledger[ロットID],$B259,tbl_ledger[元状態],K$1),
_xlpm.受入+_xlpm.充当受入-_xlpm.払出))</f>
        <v/>
      </c>
      <c r="L259" s="8" t="str">
        <f>IF($B259="","",_xlfn.LET(
_xlpm.受入,SUMIFS(tbl_ledger[数量],tbl_ledger[ロットID],$B259,tbl_ledger[イベント種類],"発送準備完了"),
_xlpm.充当受入,SUMIFS(tbl_ledger[数量],tbl_ledger[充当先ロットID],$B259,tbl_ledger[イベント種類],"充当",tbl_ledger[元状態],L$1),
_xlpm.払出,SUMIFS(tbl_ledger[数量],tbl_ledger[ロットID],$B259,tbl_ledger[元状態],L$1),
_xlpm.受入+_xlpm.充当受入-_xlpm.払出))</f>
        <v/>
      </c>
      <c r="M259" s="8" t="str">
        <f>IF($B259="","",_xlfn.LET(
_xlpm.受入,SUMIFS(tbl_ledger[数量],tbl_ledger[ロットID],$B259,tbl_ledger[イベント種類],"不良発生"),
_xlpm.充当受入,SUMIFS(tbl_ledger[数量],tbl_ledger[充当先ロットID],$B259,tbl_ledger[イベント種類],"充当",tbl_ledger[元状態],M$1),
_xlpm.払出,SUMIFS(tbl_ledger[数量],tbl_ledger[ロットID],$B259,tbl_ledger[元状態],M$1),
_xlpm.受入+_xlpm.充当受入-_xlpm.払出))</f>
        <v/>
      </c>
      <c r="N259" s="8" t="str">
        <f t="shared" si="9"/>
        <v/>
      </c>
    </row>
    <row r="260" spans="1:14" ht="15" customHeight="1" x14ac:dyDescent="0.25">
      <c r="A260" s="4" t="str">
        <f t="shared" si="8"/>
        <v/>
      </c>
      <c r="B260" s="4" t="str">
        <f>IFERROR(IF(COUNTIF($B$1:$B259,INDEX(tbl_plan[ロットID],ROW()-1))&gt;0,"",INDEX(tbl_plan[ロットID],ROW()-1)),"")</f>
        <v/>
      </c>
      <c r="C260" s="4" t="str">
        <f>IF($B260="","",INDEX(tbl_plan[localId],ROW()-1))</f>
        <v/>
      </c>
      <c r="D260" s="8" t="str">
        <f>IF($B260="","",_xlfn.LET(
_xlpm.割当受入,SUMIF(V_充足確認!$A$2:$A$301,$B260,V_充足確認!$F$2:$F$301),
_xlpm.充当受入,SUMIFS(tbl_ledger[数量],tbl_ledger[充当先ロットID],$B260,tbl_ledger[イベント種類],"充当",tbl_ledger[元状態],D$1),
_xlpm.払出,SUMIFS(tbl_ledger[数量],tbl_ledger[ロットID],$B260,tbl_ledger[元状態],D$1),
_xlpm.割当受入+_xlpm.充当受入-_xlpm.払出))</f>
        <v/>
      </c>
      <c r="E260" s="8" t="str">
        <f>IF($B260="","",_xlfn.LET(
_xlpm.受入,SUMIFS(tbl_ledger[数量],tbl_ledger[ロットID],$B260,tbl_ledger[イベント種類],"アニール開始"),
_xlpm.充当受入,SUMIFS(tbl_ledger[数量],tbl_ledger[充当先ロットID],$B260,tbl_ledger[イベント種類],"充当",tbl_ledger[元状態],E$1),
_xlpm.払出,SUMIFS(tbl_ledger[数量],tbl_ledger[ロットID],$B260,tbl_ledger[元状態],E$1),
_xlpm.受入+_xlpm.充当受入-_xlpm.払出))</f>
        <v/>
      </c>
      <c r="F260" s="8" t="str">
        <f>IF($B260="","",_xlfn.LET(
_xlpm.受入,SUMIFS(tbl_ledger[数量],tbl_ledger[ロットID],$B260,tbl_ledger[イベント種類],"アニール完了"),
_xlpm.充当受入,SUMIFS(tbl_ledger[数量],tbl_ledger[充当先ロットID],$B260,tbl_ledger[イベント種類],"充当",tbl_ledger[元状態],F$1),
_xlpm.払出,SUMIFS(tbl_ledger[数量],tbl_ledger[ロットID],$B260,tbl_ledger[元状態],F$1),
_xlpm.受入+_xlpm.充当受入-_xlpm.払出))</f>
        <v/>
      </c>
      <c r="G260" s="8" t="str">
        <f>IF($B260="","",_xlfn.LET(
_xlpm.受入,SUMIFS(tbl_ledger[数量],tbl_ledger[ロットID],$B260,tbl_ledger[イベント種類],"アセンブリ開始"),
_xlpm.充当受入,SUMIFS(tbl_ledger[数量],tbl_ledger[充当先ロットID],$B260,tbl_ledger[イベント種類],"充当",tbl_ledger[元状態],G$1),
_xlpm.払出,SUMIFS(tbl_ledger[数量],tbl_ledger[ロットID],$B260,tbl_ledger[元状態],G$1),
_xlpm.受入+_xlpm.充当受入-_xlpm.払出))</f>
        <v/>
      </c>
      <c r="H260" s="8" t="str">
        <f>IF($B260="","",_xlfn.LET(
_xlpm.受入,SUMIFS(tbl_ledger[数量],tbl_ledger[ロットID],$B260,tbl_ledger[イベント種類],"アセンブリ完了"),
_xlpm.充当受入,SUMIFS(tbl_ledger[数量],tbl_ledger[充当先ロットID],$B260,tbl_ledger[イベント種類],"充当",tbl_ledger[元状態],H$1),
_xlpm.払出,SUMIFS(tbl_ledger[数量],tbl_ledger[ロットID],$B260,tbl_ledger[元状態],H$1),
_xlpm.受入+_xlpm.充当受入-_xlpm.払出))</f>
        <v/>
      </c>
      <c r="I260" s="8" t="str">
        <f>IF($B260="","",_xlfn.LET(
_xlpm.受入,SUMIFS(tbl_ledger[数量],tbl_ledger[ロットID],$B260,tbl_ledger[イベント種類],"梱包開始"),
_xlpm.充当受入,SUMIFS(tbl_ledger[数量],tbl_ledger[充当先ロットID],$B260,tbl_ledger[イベント種類],"充当",tbl_ledger[元状態],I$1),
_xlpm.払出,SUMIFS(tbl_ledger[数量],tbl_ledger[ロットID],$B260,tbl_ledger[元状態],I$1),
_xlpm.受入+_xlpm.充当受入-_xlpm.払出))</f>
        <v/>
      </c>
      <c r="J260" s="8" t="str">
        <f>IF($B260="","",_xlfn.LET(
_xlpm.受入,SUMIFS(tbl_ledger[数量],tbl_ledger[ロットID],$B260,tbl_ledger[イベント種類],"梱包完了"),
_xlpm.充当受入,SUMIFS(tbl_ledger[数量],tbl_ledger[充当先ロットID],$B260,tbl_ledger[イベント種類],"充当",tbl_ledger[元状態],J$1),
_xlpm.払出,SUMIFS(tbl_ledger[数量],tbl_ledger[ロットID],$B260,tbl_ledger[元状態],J$1),
_xlpm.受入+_xlpm.充当受入-_xlpm.払出))</f>
        <v/>
      </c>
      <c r="K260" s="8" t="str">
        <f>IF($B260="","",_xlfn.LET(
_xlpm.受入,SUMIFS(tbl_ledger[数量],tbl_ledger[ロットID],$B260,tbl_ledger[イベント種類],"発送準備開始"),
_xlpm.充当受入,SUMIFS(tbl_ledger[数量],tbl_ledger[充当先ロットID],$B260,tbl_ledger[イベント種類],"充当",tbl_ledger[元状態],K$1),
_xlpm.払出,SUMIFS(tbl_ledger[数量],tbl_ledger[ロットID],$B260,tbl_ledger[元状態],K$1),
_xlpm.受入+_xlpm.充当受入-_xlpm.払出))</f>
        <v/>
      </c>
      <c r="L260" s="8" t="str">
        <f>IF($B260="","",_xlfn.LET(
_xlpm.受入,SUMIFS(tbl_ledger[数量],tbl_ledger[ロットID],$B260,tbl_ledger[イベント種類],"発送準備完了"),
_xlpm.充当受入,SUMIFS(tbl_ledger[数量],tbl_ledger[充当先ロットID],$B260,tbl_ledger[イベント種類],"充当",tbl_ledger[元状態],L$1),
_xlpm.払出,SUMIFS(tbl_ledger[数量],tbl_ledger[ロットID],$B260,tbl_ledger[元状態],L$1),
_xlpm.受入+_xlpm.充当受入-_xlpm.払出))</f>
        <v/>
      </c>
      <c r="M260" s="8" t="str">
        <f>IF($B260="","",_xlfn.LET(
_xlpm.受入,SUMIFS(tbl_ledger[数量],tbl_ledger[ロットID],$B260,tbl_ledger[イベント種類],"不良発生"),
_xlpm.充当受入,SUMIFS(tbl_ledger[数量],tbl_ledger[充当先ロットID],$B260,tbl_ledger[イベント種類],"充当",tbl_ledger[元状態],M$1),
_xlpm.払出,SUMIFS(tbl_ledger[数量],tbl_ledger[ロットID],$B260,tbl_ledger[元状態],M$1),
_xlpm.受入+_xlpm.充当受入-_xlpm.払出))</f>
        <v/>
      </c>
      <c r="N260" s="8" t="str">
        <f t="shared" si="9"/>
        <v/>
      </c>
    </row>
    <row r="261" spans="1:14" ht="15" customHeight="1" x14ac:dyDescent="0.25">
      <c r="A261" s="4" t="str">
        <f t="shared" si="8"/>
        <v/>
      </c>
      <c r="B261" s="4" t="str">
        <f>IFERROR(IF(COUNTIF($B$1:$B260,INDEX(tbl_plan[ロットID],ROW()-1))&gt;0,"",INDEX(tbl_plan[ロットID],ROW()-1)),"")</f>
        <v/>
      </c>
      <c r="C261" s="4" t="str">
        <f>IF($B261="","",INDEX(tbl_plan[localId],ROW()-1))</f>
        <v/>
      </c>
      <c r="D261" s="8" t="str">
        <f>IF($B261="","",_xlfn.LET(
_xlpm.割当受入,SUMIF(V_充足確認!$A$2:$A$301,$B261,V_充足確認!$F$2:$F$301),
_xlpm.充当受入,SUMIFS(tbl_ledger[数量],tbl_ledger[充当先ロットID],$B261,tbl_ledger[イベント種類],"充当",tbl_ledger[元状態],D$1),
_xlpm.払出,SUMIFS(tbl_ledger[数量],tbl_ledger[ロットID],$B261,tbl_ledger[元状態],D$1),
_xlpm.割当受入+_xlpm.充当受入-_xlpm.払出))</f>
        <v/>
      </c>
      <c r="E261" s="8" t="str">
        <f>IF($B261="","",_xlfn.LET(
_xlpm.受入,SUMIFS(tbl_ledger[数量],tbl_ledger[ロットID],$B261,tbl_ledger[イベント種類],"アニール開始"),
_xlpm.充当受入,SUMIFS(tbl_ledger[数量],tbl_ledger[充当先ロットID],$B261,tbl_ledger[イベント種類],"充当",tbl_ledger[元状態],E$1),
_xlpm.払出,SUMIFS(tbl_ledger[数量],tbl_ledger[ロットID],$B261,tbl_ledger[元状態],E$1),
_xlpm.受入+_xlpm.充当受入-_xlpm.払出))</f>
        <v/>
      </c>
      <c r="F261" s="8" t="str">
        <f>IF($B261="","",_xlfn.LET(
_xlpm.受入,SUMIFS(tbl_ledger[数量],tbl_ledger[ロットID],$B261,tbl_ledger[イベント種類],"アニール完了"),
_xlpm.充当受入,SUMIFS(tbl_ledger[数量],tbl_ledger[充当先ロットID],$B261,tbl_ledger[イベント種類],"充当",tbl_ledger[元状態],F$1),
_xlpm.払出,SUMIFS(tbl_ledger[数量],tbl_ledger[ロットID],$B261,tbl_ledger[元状態],F$1),
_xlpm.受入+_xlpm.充当受入-_xlpm.払出))</f>
        <v/>
      </c>
      <c r="G261" s="8" t="str">
        <f>IF($B261="","",_xlfn.LET(
_xlpm.受入,SUMIFS(tbl_ledger[数量],tbl_ledger[ロットID],$B261,tbl_ledger[イベント種類],"アセンブリ開始"),
_xlpm.充当受入,SUMIFS(tbl_ledger[数量],tbl_ledger[充当先ロットID],$B261,tbl_ledger[イベント種類],"充当",tbl_ledger[元状態],G$1),
_xlpm.払出,SUMIFS(tbl_ledger[数量],tbl_ledger[ロットID],$B261,tbl_ledger[元状態],G$1),
_xlpm.受入+_xlpm.充当受入-_xlpm.払出))</f>
        <v/>
      </c>
      <c r="H261" s="8" t="str">
        <f>IF($B261="","",_xlfn.LET(
_xlpm.受入,SUMIFS(tbl_ledger[数量],tbl_ledger[ロットID],$B261,tbl_ledger[イベント種類],"アセンブリ完了"),
_xlpm.充当受入,SUMIFS(tbl_ledger[数量],tbl_ledger[充当先ロットID],$B261,tbl_ledger[イベント種類],"充当",tbl_ledger[元状態],H$1),
_xlpm.払出,SUMIFS(tbl_ledger[数量],tbl_ledger[ロットID],$B261,tbl_ledger[元状態],H$1),
_xlpm.受入+_xlpm.充当受入-_xlpm.払出))</f>
        <v/>
      </c>
      <c r="I261" s="8" t="str">
        <f>IF($B261="","",_xlfn.LET(
_xlpm.受入,SUMIFS(tbl_ledger[数量],tbl_ledger[ロットID],$B261,tbl_ledger[イベント種類],"梱包開始"),
_xlpm.充当受入,SUMIFS(tbl_ledger[数量],tbl_ledger[充当先ロットID],$B261,tbl_ledger[イベント種類],"充当",tbl_ledger[元状態],I$1),
_xlpm.払出,SUMIFS(tbl_ledger[数量],tbl_ledger[ロットID],$B261,tbl_ledger[元状態],I$1),
_xlpm.受入+_xlpm.充当受入-_xlpm.払出))</f>
        <v/>
      </c>
      <c r="J261" s="8" t="str">
        <f>IF($B261="","",_xlfn.LET(
_xlpm.受入,SUMIFS(tbl_ledger[数量],tbl_ledger[ロットID],$B261,tbl_ledger[イベント種類],"梱包完了"),
_xlpm.充当受入,SUMIFS(tbl_ledger[数量],tbl_ledger[充当先ロットID],$B261,tbl_ledger[イベント種類],"充当",tbl_ledger[元状態],J$1),
_xlpm.払出,SUMIFS(tbl_ledger[数量],tbl_ledger[ロットID],$B261,tbl_ledger[元状態],J$1),
_xlpm.受入+_xlpm.充当受入-_xlpm.払出))</f>
        <v/>
      </c>
      <c r="K261" s="8" t="str">
        <f>IF($B261="","",_xlfn.LET(
_xlpm.受入,SUMIFS(tbl_ledger[数量],tbl_ledger[ロットID],$B261,tbl_ledger[イベント種類],"発送準備開始"),
_xlpm.充当受入,SUMIFS(tbl_ledger[数量],tbl_ledger[充当先ロットID],$B261,tbl_ledger[イベント種類],"充当",tbl_ledger[元状態],K$1),
_xlpm.払出,SUMIFS(tbl_ledger[数量],tbl_ledger[ロットID],$B261,tbl_ledger[元状態],K$1),
_xlpm.受入+_xlpm.充当受入-_xlpm.払出))</f>
        <v/>
      </c>
      <c r="L261" s="8" t="str">
        <f>IF($B261="","",_xlfn.LET(
_xlpm.受入,SUMIFS(tbl_ledger[数量],tbl_ledger[ロットID],$B261,tbl_ledger[イベント種類],"発送準備完了"),
_xlpm.充当受入,SUMIFS(tbl_ledger[数量],tbl_ledger[充当先ロットID],$B261,tbl_ledger[イベント種類],"充当",tbl_ledger[元状態],L$1),
_xlpm.払出,SUMIFS(tbl_ledger[数量],tbl_ledger[ロットID],$B261,tbl_ledger[元状態],L$1),
_xlpm.受入+_xlpm.充当受入-_xlpm.払出))</f>
        <v/>
      </c>
      <c r="M261" s="8" t="str">
        <f>IF($B261="","",_xlfn.LET(
_xlpm.受入,SUMIFS(tbl_ledger[数量],tbl_ledger[ロットID],$B261,tbl_ledger[イベント種類],"不良発生"),
_xlpm.充当受入,SUMIFS(tbl_ledger[数量],tbl_ledger[充当先ロットID],$B261,tbl_ledger[イベント種類],"充当",tbl_ledger[元状態],M$1),
_xlpm.払出,SUMIFS(tbl_ledger[数量],tbl_ledger[ロットID],$B261,tbl_ledger[元状態],M$1),
_xlpm.受入+_xlpm.充当受入-_xlpm.払出))</f>
        <v/>
      </c>
      <c r="N261" s="8" t="str">
        <f t="shared" si="9"/>
        <v/>
      </c>
    </row>
    <row r="262" spans="1:14" ht="15" customHeight="1" x14ac:dyDescent="0.25">
      <c r="A262" s="4" t="str">
        <f t="shared" si="8"/>
        <v/>
      </c>
      <c r="B262" s="4" t="str">
        <f>IFERROR(IF(COUNTIF($B$1:$B261,INDEX(tbl_plan[ロットID],ROW()-1))&gt;0,"",INDEX(tbl_plan[ロットID],ROW()-1)),"")</f>
        <v/>
      </c>
      <c r="C262" s="4" t="str">
        <f>IF($B262="","",INDEX(tbl_plan[localId],ROW()-1))</f>
        <v/>
      </c>
      <c r="D262" s="8" t="str">
        <f>IF($B262="","",_xlfn.LET(
_xlpm.割当受入,SUMIF(V_充足確認!$A$2:$A$301,$B262,V_充足確認!$F$2:$F$301),
_xlpm.充当受入,SUMIFS(tbl_ledger[数量],tbl_ledger[充当先ロットID],$B262,tbl_ledger[イベント種類],"充当",tbl_ledger[元状態],D$1),
_xlpm.払出,SUMIFS(tbl_ledger[数量],tbl_ledger[ロットID],$B262,tbl_ledger[元状態],D$1),
_xlpm.割当受入+_xlpm.充当受入-_xlpm.払出))</f>
        <v/>
      </c>
      <c r="E262" s="8" t="str">
        <f>IF($B262="","",_xlfn.LET(
_xlpm.受入,SUMIFS(tbl_ledger[数量],tbl_ledger[ロットID],$B262,tbl_ledger[イベント種類],"アニール開始"),
_xlpm.充当受入,SUMIFS(tbl_ledger[数量],tbl_ledger[充当先ロットID],$B262,tbl_ledger[イベント種類],"充当",tbl_ledger[元状態],E$1),
_xlpm.払出,SUMIFS(tbl_ledger[数量],tbl_ledger[ロットID],$B262,tbl_ledger[元状態],E$1),
_xlpm.受入+_xlpm.充当受入-_xlpm.払出))</f>
        <v/>
      </c>
      <c r="F262" s="8" t="str">
        <f>IF($B262="","",_xlfn.LET(
_xlpm.受入,SUMIFS(tbl_ledger[数量],tbl_ledger[ロットID],$B262,tbl_ledger[イベント種類],"アニール完了"),
_xlpm.充当受入,SUMIFS(tbl_ledger[数量],tbl_ledger[充当先ロットID],$B262,tbl_ledger[イベント種類],"充当",tbl_ledger[元状態],F$1),
_xlpm.払出,SUMIFS(tbl_ledger[数量],tbl_ledger[ロットID],$B262,tbl_ledger[元状態],F$1),
_xlpm.受入+_xlpm.充当受入-_xlpm.払出))</f>
        <v/>
      </c>
      <c r="G262" s="8" t="str">
        <f>IF($B262="","",_xlfn.LET(
_xlpm.受入,SUMIFS(tbl_ledger[数量],tbl_ledger[ロットID],$B262,tbl_ledger[イベント種類],"アセンブリ開始"),
_xlpm.充当受入,SUMIFS(tbl_ledger[数量],tbl_ledger[充当先ロットID],$B262,tbl_ledger[イベント種類],"充当",tbl_ledger[元状態],G$1),
_xlpm.払出,SUMIFS(tbl_ledger[数量],tbl_ledger[ロットID],$B262,tbl_ledger[元状態],G$1),
_xlpm.受入+_xlpm.充当受入-_xlpm.払出))</f>
        <v/>
      </c>
      <c r="H262" s="8" t="str">
        <f>IF($B262="","",_xlfn.LET(
_xlpm.受入,SUMIFS(tbl_ledger[数量],tbl_ledger[ロットID],$B262,tbl_ledger[イベント種類],"アセンブリ完了"),
_xlpm.充当受入,SUMIFS(tbl_ledger[数量],tbl_ledger[充当先ロットID],$B262,tbl_ledger[イベント種類],"充当",tbl_ledger[元状態],H$1),
_xlpm.払出,SUMIFS(tbl_ledger[数量],tbl_ledger[ロットID],$B262,tbl_ledger[元状態],H$1),
_xlpm.受入+_xlpm.充当受入-_xlpm.払出))</f>
        <v/>
      </c>
      <c r="I262" s="8" t="str">
        <f>IF($B262="","",_xlfn.LET(
_xlpm.受入,SUMIFS(tbl_ledger[数量],tbl_ledger[ロットID],$B262,tbl_ledger[イベント種類],"梱包開始"),
_xlpm.充当受入,SUMIFS(tbl_ledger[数量],tbl_ledger[充当先ロットID],$B262,tbl_ledger[イベント種類],"充当",tbl_ledger[元状態],I$1),
_xlpm.払出,SUMIFS(tbl_ledger[数量],tbl_ledger[ロットID],$B262,tbl_ledger[元状態],I$1),
_xlpm.受入+_xlpm.充当受入-_xlpm.払出))</f>
        <v/>
      </c>
      <c r="J262" s="8" t="str">
        <f>IF($B262="","",_xlfn.LET(
_xlpm.受入,SUMIFS(tbl_ledger[数量],tbl_ledger[ロットID],$B262,tbl_ledger[イベント種類],"梱包完了"),
_xlpm.充当受入,SUMIFS(tbl_ledger[数量],tbl_ledger[充当先ロットID],$B262,tbl_ledger[イベント種類],"充当",tbl_ledger[元状態],J$1),
_xlpm.払出,SUMIFS(tbl_ledger[数量],tbl_ledger[ロットID],$B262,tbl_ledger[元状態],J$1),
_xlpm.受入+_xlpm.充当受入-_xlpm.払出))</f>
        <v/>
      </c>
      <c r="K262" s="8" t="str">
        <f>IF($B262="","",_xlfn.LET(
_xlpm.受入,SUMIFS(tbl_ledger[数量],tbl_ledger[ロットID],$B262,tbl_ledger[イベント種類],"発送準備開始"),
_xlpm.充当受入,SUMIFS(tbl_ledger[数量],tbl_ledger[充当先ロットID],$B262,tbl_ledger[イベント種類],"充当",tbl_ledger[元状態],K$1),
_xlpm.払出,SUMIFS(tbl_ledger[数量],tbl_ledger[ロットID],$B262,tbl_ledger[元状態],K$1),
_xlpm.受入+_xlpm.充当受入-_xlpm.払出))</f>
        <v/>
      </c>
      <c r="L262" s="8" t="str">
        <f>IF($B262="","",_xlfn.LET(
_xlpm.受入,SUMIFS(tbl_ledger[数量],tbl_ledger[ロットID],$B262,tbl_ledger[イベント種類],"発送準備完了"),
_xlpm.充当受入,SUMIFS(tbl_ledger[数量],tbl_ledger[充当先ロットID],$B262,tbl_ledger[イベント種類],"充当",tbl_ledger[元状態],L$1),
_xlpm.払出,SUMIFS(tbl_ledger[数量],tbl_ledger[ロットID],$B262,tbl_ledger[元状態],L$1),
_xlpm.受入+_xlpm.充当受入-_xlpm.払出))</f>
        <v/>
      </c>
      <c r="M262" s="8" t="str">
        <f>IF($B262="","",_xlfn.LET(
_xlpm.受入,SUMIFS(tbl_ledger[数量],tbl_ledger[ロットID],$B262,tbl_ledger[イベント種類],"不良発生"),
_xlpm.充当受入,SUMIFS(tbl_ledger[数量],tbl_ledger[充当先ロットID],$B262,tbl_ledger[イベント種類],"充当",tbl_ledger[元状態],M$1),
_xlpm.払出,SUMIFS(tbl_ledger[数量],tbl_ledger[ロットID],$B262,tbl_ledger[元状態],M$1),
_xlpm.受入+_xlpm.充当受入-_xlpm.払出))</f>
        <v/>
      </c>
      <c r="N262" s="8" t="str">
        <f t="shared" si="9"/>
        <v/>
      </c>
    </row>
    <row r="263" spans="1:14" ht="15" customHeight="1" x14ac:dyDescent="0.25">
      <c r="A263" s="4" t="str">
        <f t="shared" si="8"/>
        <v/>
      </c>
      <c r="B263" s="4" t="str">
        <f>IFERROR(IF(COUNTIF($B$1:$B262,INDEX(tbl_plan[ロットID],ROW()-1))&gt;0,"",INDEX(tbl_plan[ロットID],ROW()-1)),"")</f>
        <v/>
      </c>
      <c r="C263" s="4" t="str">
        <f>IF($B263="","",INDEX(tbl_plan[localId],ROW()-1))</f>
        <v/>
      </c>
      <c r="D263" s="8" t="str">
        <f>IF($B263="","",_xlfn.LET(
_xlpm.割当受入,SUMIF(V_充足確認!$A$2:$A$301,$B263,V_充足確認!$F$2:$F$301),
_xlpm.充当受入,SUMIFS(tbl_ledger[数量],tbl_ledger[充当先ロットID],$B263,tbl_ledger[イベント種類],"充当",tbl_ledger[元状態],D$1),
_xlpm.払出,SUMIFS(tbl_ledger[数量],tbl_ledger[ロットID],$B263,tbl_ledger[元状態],D$1),
_xlpm.割当受入+_xlpm.充当受入-_xlpm.払出))</f>
        <v/>
      </c>
      <c r="E263" s="8" t="str">
        <f>IF($B263="","",_xlfn.LET(
_xlpm.受入,SUMIFS(tbl_ledger[数量],tbl_ledger[ロットID],$B263,tbl_ledger[イベント種類],"アニール開始"),
_xlpm.充当受入,SUMIFS(tbl_ledger[数量],tbl_ledger[充当先ロットID],$B263,tbl_ledger[イベント種類],"充当",tbl_ledger[元状態],E$1),
_xlpm.払出,SUMIFS(tbl_ledger[数量],tbl_ledger[ロットID],$B263,tbl_ledger[元状態],E$1),
_xlpm.受入+_xlpm.充当受入-_xlpm.払出))</f>
        <v/>
      </c>
      <c r="F263" s="8" t="str">
        <f>IF($B263="","",_xlfn.LET(
_xlpm.受入,SUMIFS(tbl_ledger[数量],tbl_ledger[ロットID],$B263,tbl_ledger[イベント種類],"アニール完了"),
_xlpm.充当受入,SUMIFS(tbl_ledger[数量],tbl_ledger[充当先ロットID],$B263,tbl_ledger[イベント種類],"充当",tbl_ledger[元状態],F$1),
_xlpm.払出,SUMIFS(tbl_ledger[数量],tbl_ledger[ロットID],$B263,tbl_ledger[元状態],F$1),
_xlpm.受入+_xlpm.充当受入-_xlpm.払出))</f>
        <v/>
      </c>
      <c r="G263" s="8" t="str">
        <f>IF($B263="","",_xlfn.LET(
_xlpm.受入,SUMIFS(tbl_ledger[数量],tbl_ledger[ロットID],$B263,tbl_ledger[イベント種類],"アセンブリ開始"),
_xlpm.充当受入,SUMIFS(tbl_ledger[数量],tbl_ledger[充当先ロットID],$B263,tbl_ledger[イベント種類],"充当",tbl_ledger[元状態],G$1),
_xlpm.払出,SUMIFS(tbl_ledger[数量],tbl_ledger[ロットID],$B263,tbl_ledger[元状態],G$1),
_xlpm.受入+_xlpm.充当受入-_xlpm.払出))</f>
        <v/>
      </c>
      <c r="H263" s="8" t="str">
        <f>IF($B263="","",_xlfn.LET(
_xlpm.受入,SUMIFS(tbl_ledger[数量],tbl_ledger[ロットID],$B263,tbl_ledger[イベント種類],"アセンブリ完了"),
_xlpm.充当受入,SUMIFS(tbl_ledger[数量],tbl_ledger[充当先ロットID],$B263,tbl_ledger[イベント種類],"充当",tbl_ledger[元状態],H$1),
_xlpm.払出,SUMIFS(tbl_ledger[数量],tbl_ledger[ロットID],$B263,tbl_ledger[元状態],H$1),
_xlpm.受入+_xlpm.充当受入-_xlpm.払出))</f>
        <v/>
      </c>
      <c r="I263" s="8" t="str">
        <f>IF($B263="","",_xlfn.LET(
_xlpm.受入,SUMIFS(tbl_ledger[数量],tbl_ledger[ロットID],$B263,tbl_ledger[イベント種類],"梱包開始"),
_xlpm.充当受入,SUMIFS(tbl_ledger[数量],tbl_ledger[充当先ロットID],$B263,tbl_ledger[イベント種類],"充当",tbl_ledger[元状態],I$1),
_xlpm.払出,SUMIFS(tbl_ledger[数量],tbl_ledger[ロットID],$B263,tbl_ledger[元状態],I$1),
_xlpm.受入+_xlpm.充当受入-_xlpm.払出))</f>
        <v/>
      </c>
      <c r="J263" s="8" t="str">
        <f>IF($B263="","",_xlfn.LET(
_xlpm.受入,SUMIFS(tbl_ledger[数量],tbl_ledger[ロットID],$B263,tbl_ledger[イベント種類],"梱包完了"),
_xlpm.充当受入,SUMIFS(tbl_ledger[数量],tbl_ledger[充当先ロットID],$B263,tbl_ledger[イベント種類],"充当",tbl_ledger[元状態],J$1),
_xlpm.払出,SUMIFS(tbl_ledger[数量],tbl_ledger[ロットID],$B263,tbl_ledger[元状態],J$1),
_xlpm.受入+_xlpm.充当受入-_xlpm.払出))</f>
        <v/>
      </c>
      <c r="K263" s="8" t="str">
        <f>IF($B263="","",_xlfn.LET(
_xlpm.受入,SUMIFS(tbl_ledger[数量],tbl_ledger[ロットID],$B263,tbl_ledger[イベント種類],"発送準備開始"),
_xlpm.充当受入,SUMIFS(tbl_ledger[数量],tbl_ledger[充当先ロットID],$B263,tbl_ledger[イベント種類],"充当",tbl_ledger[元状態],K$1),
_xlpm.払出,SUMIFS(tbl_ledger[数量],tbl_ledger[ロットID],$B263,tbl_ledger[元状態],K$1),
_xlpm.受入+_xlpm.充当受入-_xlpm.払出))</f>
        <v/>
      </c>
      <c r="L263" s="8" t="str">
        <f>IF($B263="","",_xlfn.LET(
_xlpm.受入,SUMIFS(tbl_ledger[数量],tbl_ledger[ロットID],$B263,tbl_ledger[イベント種類],"発送準備完了"),
_xlpm.充当受入,SUMIFS(tbl_ledger[数量],tbl_ledger[充当先ロットID],$B263,tbl_ledger[イベント種類],"充当",tbl_ledger[元状態],L$1),
_xlpm.払出,SUMIFS(tbl_ledger[数量],tbl_ledger[ロットID],$B263,tbl_ledger[元状態],L$1),
_xlpm.受入+_xlpm.充当受入-_xlpm.払出))</f>
        <v/>
      </c>
      <c r="M263" s="8" t="str">
        <f>IF($B263="","",_xlfn.LET(
_xlpm.受入,SUMIFS(tbl_ledger[数量],tbl_ledger[ロットID],$B263,tbl_ledger[イベント種類],"不良発生"),
_xlpm.充当受入,SUMIFS(tbl_ledger[数量],tbl_ledger[充当先ロットID],$B263,tbl_ledger[イベント種類],"充当",tbl_ledger[元状態],M$1),
_xlpm.払出,SUMIFS(tbl_ledger[数量],tbl_ledger[ロットID],$B263,tbl_ledger[元状態],M$1),
_xlpm.受入+_xlpm.充当受入-_xlpm.払出))</f>
        <v/>
      </c>
      <c r="N263" s="8" t="str">
        <f t="shared" si="9"/>
        <v/>
      </c>
    </row>
    <row r="264" spans="1:14" ht="15" customHeight="1" x14ac:dyDescent="0.25">
      <c r="A264" s="4" t="str">
        <f t="shared" si="8"/>
        <v/>
      </c>
      <c r="B264" s="4" t="str">
        <f>IFERROR(IF(COUNTIF($B$1:$B263,INDEX(tbl_plan[ロットID],ROW()-1))&gt;0,"",INDEX(tbl_plan[ロットID],ROW()-1)),"")</f>
        <v/>
      </c>
      <c r="C264" s="4" t="str">
        <f>IF($B264="","",INDEX(tbl_plan[localId],ROW()-1))</f>
        <v/>
      </c>
      <c r="D264" s="8" t="str">
        <f>IF($B264="","",_xlfn.LET(
_xlpm.割当受入,SUMIF(V_充足確認!$A$2:$A$301,$B264,V_充足確認!$F$2:$F$301),
_xlpm.充当受入,SUMIFS(tbl_ledger[数量],tbl_ledger[充当先ロットID],$B264,tbl_ledger[イベント種類],"充当",tbl_ledger[元状態],D$1),
_xlpm.払出,SUMIFS(tbl_ledger[数量],tbl_ledger[ロットID],$B264,tbl_ledger[元状態],D$1),
_xlpm.割当受入+_xlpm.充当受入-_xlpm.払出))</f>
        <v/>
      </c>
      <c r="E264" s="8" t="str">
        <f>IF($B264="","",_xlfn.LET(
_xlpm.受入,SUMIFS(tbl_ledger[数量],tbl_ledger[ロットID],$B264,tbl_ledger[イベント種類],"アニール開始"),
_xlpm.充当受入,SUMIFS(tbl_ledger[数量],tbl_ledger[充当先ロットID],$B264,tbl_ledger[イベント種類],"充当",tbl_ledger[元状態],E$1),
_xlpm.払出,SUMIFS(tbl_ledger[数量],tbl_ledger[ロットID],$B264,tbl_ledger[元状態],E$1),
_xlpm.受入+_xlpm.充当受入-_xlpm.払出))</f>
        <v/>
      </c>
      <c r="F264" s="8" t="str">
        <f>IF($B264="","",_xlfn.LET(
_xlpm.受入,SUMIFS(tbl_ledger[数量],tbl_ledger[ロットID],$B264,tbl_ledger[イベント種類],"アニール完了"),
_xlpm.充当受入,SUMIFS(tbl_ledger[数量],tbl_ledger[充当先ロットID],$B264,tbl_ledger[イベント種類],"充当",tbl_ledger[元状態],F$1),
_xlpm.払出,SUMIFS(tbl_ledger[数量],tbl_ledger[ロットID],$B264,tbl_ledger[元状態],F$1),
_xlpm.受入+_xlpm.充当受入-_xlpm.払出))</f>
        <v/>
      </c>
      <c r="G264" s="8" t="str">
        <f>IF($B264="","",_xlfn.LET(
_xlpm.受入,SUMIFS(tbl_ledger[数量],tbl_ledger[ロットID],$B264,tbl_ledger[イベント種類],"アセンブリ開始"),
_xlpm.充当受入,SUMIFS(tbl_ledger[数量],tbl_ledger[充当先ロットID],$B264,tbl_ledger[イベント種類],"充当",tbl_ledger[元状態],G$1),
_xlpm.払出,SUMIFS(tbl_ledger[数量],tbl_ledger[ロットID],$B264,tbl_ledger[元状態],G$1),
_xlpm.受入+_xlpm.充当受入-_xlpm.払出))</f>
        <v/>
      </c>
      <c r="H264" s="8" t="str">
        <f>IF($B264="","",_xlfn.LET(
_xlpm.受入,SUMIFS(tbl_ledger[数量],tbl_ledger[ロットID],$B264,tbl_ledger[イベント種類],"アセンブリ完了"),
_xlpm.充当受入,SUMIFS(tbl_ledger[数量],tbl_ledger[充当先ロットID],$B264,tbl_ledger[イベント種類],"充当",tbl_ledger[元状態],H$1),
_xlpm.払出,SUMIFS(tbl_ledger[数量],tbl_ledger[ロットID],$B264,tbl_ledger[元状態],H$1),
_xlpm.受入+_xlpm.充当受入-_xlpm.払出))</f>
        <v/>
      </c>
      <c r="I264" s="8" t="str">
        <f>IF($B264="","",_xlfn.LET(
_xlpm.受入,SUMIFS(tbl_ledger[数量],tbl_ledger[ロットID],$B264,tbl_ledger[イベント種類],"梱包開始"),
_xlpm.充当受入,SUMIFS(tbl_ledger[数量],tbl_ledger[充当先ロットID],$B264,tbl_ledger[イベント種類],"充当",tbl_ledger[元状態],I$1),
_xlpm.払出,SUMIFS(tbl_ledger[数量],tbl_ledger[ロットID],$B264,tbl_ledger[元状態],I$1),
_xlpm.受入+_xlpm.充当受入-_xlpm.払出))</f>
        <v/>
      </c>
      <c r="J264" s="8" t="str">
        <f>IF($B264="","",_xlfn.LET(
_xlpm.受入,SUMIFS(tbl_ledger[数量],tbl_ledger[ロットID],$B264,tbl_ledger[イベント種類],"梱包完了"),
_xlpm.充当受入,SUMIFS(tbl_ledger[数量],tbl_ledger[充当先ロットID],$B264,tbl_ledger[イベント種類],"充当",tbl_ledger[元状態],J$1),
_xlpm.払出,SUMIFS(tbl_ledger[数量],tbl_ledger[ロットID],$B264,tbl_ledger[元状態],J$1),
_xlpm.受入+_xlpm.充当受入-_xlpm.払出))</f>
        <v/>
      </c>
      <c r="K264" s="8" t="str">
        <f>IF($B264="","",_xlfn.LET(
_xlpm.受入,SUMIFS(tbl_ledger[数量],tbl_ledger[ロットID],$B264,tbl_ledger[イベント種類],"発送準備開始"),
_xlpm.充当受入,SUMIFS(tbl_ledger[数量],tbl_ledger[充当先ロットID],$B264,tbl_ledger[イベント種類],"充当",tbl_ledger[元状態],K$1),
_xlpm.払出,SUMIFS(tbl_ledger[数量],tbl_ledger[ロットID],$B264,tbl_ledger[元状態],K$1),
_xlpm.受入+_xlpm.充当受入-_xlpm.払出))</f>
        <v/>
      </c>
      <c r="L264" s="8" t="str">
        <f>IF($B264="","",_xlfn.LET(
_xlpm.受入,SUMIFS(tbl_ledger[数量],tbl_ledger[ロットID],$B264,tbl_ledger[イベント種類],"発送準備完了"),
_xlpm.充当受入,SUMIFS(tbl_ledger[数量],tbl_ledger[充当先ロットID],$B264,tbl_ledger[イベント種類],"充当",tbl_ledger[元状態],L$1),
_xlpm.払出,SUMIFS(tbl_ledger[数量],tbl_ledger[ロットID],$B264,tbl_ledger[元状態],L$1),
_xlpm.受入+_xlpm.充当受入-_xlpm.払出))</f>
        <v/>
      </c>
      <c r="M264" s="8" t="str">
        <f>IF($B264="","",_xlfn.LET(
_xlpm.受入,SUMIFS(tbl_ledger[数量],tbl_ledger[ロットID],$B264,tbl_ledger[イベント種類],"不良発生"),
_xlpm.充当受入,SUMIFS(tbl_ledger[数量],tbl_ledger[充当先ロットID],$B264,tbl_ledger[イベント種類],"充当",tbl_ledger[元状態],M$1),
_xlpm.払出,SUMIFS(tbl_ledger[数量],tbl_ledger[ロットID],$B264,tbl_ledger[元状態],M$1),
_xlpm.受入+_xlpm.充当受入-_xlpm.払出))</f>
        <v/>
      </c>
      <c r="N264" s="8" t="str">
        <f t="shared" si="9"/>
        <v/>
      </c>
    </row>
    <row r="265" spans="1:14" ht="15" customHeight="1" x14ac:dyDescent="0.25">
      <c r="A265" s="4" t="str">
        <f t="shared" si="8"/>
        <v/>
      </c>
      <c r="B265" s="4" t="str">
        <f>IFERROR(IF(COUNTIF($B$1:$B264,INDEX(tbl_plan[ロットID],ROW()-1))&gt;0,"",INDEX(tbl_plan[ロットID],ROW()-1)),"")</f>
        <v/>
      </c>
      <c r="C265" s="4" t="str">
        <f>IF($B265="","",INDEX(tbl_plan[localId],ROW()-1))</f>
        <v/>
      </c>
      <c r="D265" s="8" t="str">
        <f>IF($B265="","",_xlfn.LET(
_xlpm.割当受入,SUMIF(V_充足確認!$A$2:$A$301,$B265,V_充足確認!$F$2:$F$301),
_xlpm.充当受入,SUMIFS(tbl_ledger[数量],tbl_ledger[充当先ロットID],$B265,tbl_ledger[イベント種類],"充当",tbl_ledger[元状態],D$1),
_xlpm.払出,SUMIFS(tbl_ledger[数量],tbl_ledger[ロットID],$B265,tbl_ledger[元状態],D$1),
_xlpm.割当受入+_xlpm.充当受入-_xlpm.払出))</f>
        <v/>
      </c>
      <c r="E265" s="8" t="str">
        <f>IF($B265="","",_xlfn.LET(
_xlpm.受入,SUMIFS(tbl_ledger[数量],tbl_ledger[ロットID],$B265,tbl_ledger[イベント種類],"アニール開始"),
_xlpm.充当受入,SUMIFS(tbl_ledger[数量],tbl_ledger[充当先ロットID],$B265,tbl_ledger[イベント種類],"充当",tbl_ledger[元状態],E$1),
_xlpm.払出,SUMIFS(tbl_ledger[数量],tbl_ledger[ロットID],$B265,tbl_ledger[元状態],E$1),
_xlpm.受入+_xlpm.充当受入-_xlpm.払出))</f>
        <v/>
      </c>
      <c r="F265" s="8" t="str">
        <f>IF($B265="","",_xlfn.LET(
_xlpm.受入,SUMIFS(tbl_ledger[数量],tbl_ledger[ロットID],$B265,tbl_ledger[イベント種類],"アニール完了"),
_xlpm.充当受入,SUMIFS(tbl_ledger[数量],tbl_ledger[充当先ロットID],$B265,tbl_ledger[イベント種類],"充当",tbl_ledger[元状態],F$1),
_xlpm.払出,SUMIFS(tbl_ledger[数量],tbl_ledger[ロットID],$B265,tbl_ledger[元状態],F$1),
_xlpm.受入+_xlpm.充当受入-_xlpm.払出))</f>
        <v/>
      </c>
      <c r="G265" s="8" t="str">
        <f>IF($B265="","",_xlfn.LET(
_xlpm.受入,SUMIFS(tbl_ledger[数量],tbl_ledger[ロットID],$B265,tbl_ledger[イベント種類],"アセンブリ開始"),
_xlpm.充当受入,SUMIFS(tbl_ledger[数量],tbl_ledger[充当先ロットID],$B265,tbl_ledger[イベント種類],"充当",tbl_ledger[元状態],G$1),
_xlpm.払出,SUMIFS(tbl_ledger[数量],tbl_ledger[ロットID],$B265,tbl_ledger[元状態],G$1),
_xlpm.受入+_xlpm.充当受入-_xlpm.払出))</f>
        <v/>
      </c>
      <c r="H265" s="8" t="str">
        <f>IF($B265="","",_xlfn.LET(
_xlpm.受入,SUMIFS(tbl_ledger[数量],tbl_ledger[ロットID],$B265,tbl_ledger[イベント種類],"アセンブリ完了"),
_xlpm.充当受入,SUMIFS(tbl_ledger[数量],tbl_ledger[充当先ロットID],$B265,tbl_ledger[イベント種類],"充当",tbl_ledger[元状態],H$1),
_xlpm.払出,SUMIFS(tbl_ledger[数量],tbl_ledger[ロットID],$B265,tbl_ledger[元状態],H$1),
_xlpm.受入+_xlpm.充当受入-_xlpm.払出))</f>
        <v/>
      </c>
      <c r="I265" s="8" t="str">
        <f>IF($B265="","",_xlfn.LET(
_xlpm.受入,SUMIFS(tbl_ledger[数量],tbl_ledger[ロットID],$B265,tbl_ledger[イベント種類],"梱包開始"),
_xlpm.充当受入,SUMIFS(tbl_ledger[数量],tbl_ledger[充当先ロットID],$B265,tbl_ledger[イベント種類],"充当",tbl_ledger[元状態],I$1),
_xlpm.払出,SUMIFS(tbl_ledger[数量],tbl_ledger[ロットID],$B265,tbl_ledger[元状態],I$1),
_xlpm.受入+_xlpm.充当受入-_xlpm.払出))</f>
        <v/>
      </c>
      <c r="J265" s="8" t="str">
        <f>IF($B265="","",_xlfn.LET(
_xlpm.受入,SUMIFS(tbl_ledger[数量],tbl_ledger[ロットID],$B265,tbl_ledger[イベント種類],"梱包完了"),
_xlpm.充当受入,SUMIFS(tbl_ledger[数量],tbl_ledger[充当先ロットID],$B265,tbl_ledger[イベント種類],"充当",tbl_ledger[元状態],J$1),
_xlpm.払出,SUMIFS(tbl_ledger[数量],tbl_ledger[ロットID],$B265,tbl_ledger[元状態],J$1),
_xlpm.受入+_xlpm.充当受入-_xlpm.払出))</f>
        <v/>
      </c>
      <c r="K265" s="8" t="str">
        <f>IF($B265="","",_xlfn.LET(
_xlpm.受入,SUMIFS(tbl_ledger[数量],tbl_ledger[ロットID],$B265,tbl_ledger[イベント種類],"発送準備開始"),
_xlpm.充当受入,SUMIFS(tbl_ledger[数量],tbl_ledger[充当先ロットID],$B265,tbl_ledger[イベント種類],"充当",tbl_ledger[元状態],K$1),
_xlpm.払出,SUMIFS(tbl_ledger[数量],tbl_ledger[ロットID],$B265,tbl_ledger[元状態],K$1),
_xlpm.受入+_xlpm.充当受入-_xlpm.払出))</f>
        <v/>
      </c>
      <c r="L265" s="8" t="str">
        <f>IF($B265="","",_xlfn.LET(
_xlpm.受入,SUMIFS(tbl_ledger[数量],tbl_ledger[ロットID],$B265,tbl_ledger[イベント種類],"発送準備完了"),
_xlpm.充当受入,SUMIFS(tbl_ledger[数量],tbl_ledger[充当先ロットID],$B265,tbl_ledger[イベント種類],"充当",tbl_ledger[元状態],L$1),
_xlpm.払出,SUMIFS(tbl_ledger[数量],tbl_ledger[ロットID],$B265,tbl_ledger[元状態],L$1),
_xlpm.受入+_xlpm.充当受入-_xlpm.払出))</f>
        <v/>
      </c>
      <c r="M265" s="8" t="str">
        <f>IF($B265="","",_xlfn.LET(
_xlpm.受入,SUMIFS(tbl_ledger[数量],tbl_ledger[ロットID],$B265,tbl_ledger[イベント種類],"不良発生"),
_xlpm.充当受入,SUMIFS(tbl_ledger[数量],tbl_ledger[充当先ロットID],$B265,tbl_ledger[イベント種類],"充当",tbl_ledger[元状態],M$1),
_xlpm.払出,SUMIFS(tbl_ledger[数量],tbl_ledger[ロットID],$B265,tbl_ledger[元状態],M$1),
_xlpm.受入+_xlpm.充当受入-_xlpm.払出))</f>
        <v/>
      </c>
      <c r="N265" s="8" t="str">
        <f t="shared" si="9"/>
        <v/>
      </c>
    </row>
    <row r="266" spans="1:14" ht="15" customHeight="1" x14ac:dyDescent="0.25">
      <c r="A266" s="4" t="str">
        <f t="shared" si="8"/>
        <v/>
      </c>
      <c r="B266" s="4" t="str">
        <f>IFERROR(IF(COUNTIF($B$1:$B265,INDEX(tbl_plan[ロットID],ROW()-1))&gt;0,"",INDEX(tbl_plan[ロットID],ROW()-1)),"")</f>
        <v/>
      </c>
      <c r="C266" s="4" t="str">
        <f>IF($B266="","",INDEX(tbl_plan[localId],ROW()-1))</f>
        <v/>
      </c>
      <c r="D266" s="8" t="str">
        <f>IF($B266="","",_xlfn.LET(
_xlpm.割当受入,SUMIF(V_充足確認!$A$2:$A$301,$B266,V_充足確認!$F$2:$F$301),
_xlpm.充当受入,SUMIFS(tbl_ledger[数量],tbl_ledger[充当先ロットID],$B266,tbl_ledger[イベント種類],"充当",tbl_ledger[元状態],D$1),
_xlpm.払出,SUMIFS(tbl_ledger[数量],tbl_ledger[ロットID],$B266,tbl_ledger[元状態],D$1),
_xlpm.割当受入+_xlpm.充当受入-_xlpm.払出))</f>
        <v/>
      </c>
      <c r="E266" s="8" t="str">
        <f>IF($B266="","",_xlfn.LET(
_xlpm.受入,SUMIFS(tbl_ledger[数量],tbl_ledger[ロットID],$B266,tbl_ledger[イベント種類],"アニール開始"),
_xlpm.充当受入,SUMIFS(tbl_ledger[数量],tbl_ledger[充当先ロットID],$B266,tbl_ledger[イベント種類],"充当",tbl_ledger[元状態],E$1),
_xlpm.払出,SUMIFS(tbl_ledger[数量],tbl_ledger[ロットID],$B266,tbl_ledger[元状態],E$1),
_xlpm.受入+_xlpm.充当受入-_xlpm.払出))</f>
        <v/>
      </c>
      <c r="F266" s="8" t="str">
        <f>IF($B266="","",_xlfn.LET(
_xlpm.受入,SUMIFS(tbl_ledger[数量],tbl_ledger[ロットID],$B266,tbl_ledger[イベント種類],"アニール完了"),
_xlpm.充当受入,SUMIFS(tbl_ledger[数量],tbl_ledger[充当先ロットID],$B266,tbl_ledger[イベント種類],"充当",tbl_ledger[元状態],F$1),
_xlpm.払出,SUMIFS(tbl_ledger[数量],tbl_ledger[ロットID],$B266,tbl_ledger[元状態],F$1),
_xlpm.受入+_xlpm.充当受入-_xlpm.払出))</f>
        <v/>
      </c>
      <c r="G266" s="8" t="str">
        <f>IF($B266="","",_xlfn.LET(
_xlpm.受入,SUMIFS(tbl_ledger[数量],tbl_ledger[ロットID],$B266,tbl_ledger[イベント種類],"アセンブリ開始"),
_xlpm.充当受入,SUMIFS(tbl_ledger[数量],tbl_ledger[充当先ロットID],$B266,tbl_ledger[イベント種類],"充当",tbl_ledger[元状態],G$1),
_xlpm.払出,SUMIFS(tbl_ledger[数量],tbl_ledger[ロットID],$B266,tbl_ledger[元状態],G$1),
_xlpm.受入+_xlpm.充当受入-_xlpm.払出))</f>
        <v/>
      </c>
      <c r="H266" s="8" t="str">
        <f>IF($B266="","",_xlfn.LET(
_xlpm.受入,SUMIFS(tbl_ledger[数量],tbl_ledger[ロットID],$B266,tbl_ledger[イベント種類],"アセンブリ完了"),
_xlpm.充当受入,SUMIFS(tbl_ledger[数量],tbl_ledger[充当先ロットID],$B266,tbl_ledger[イベント種類],"充当",tbl_ledger[元状態],H$1),
_xlpm.払出,SUMIFS(tbl_ledger[数量],tbl_ledger[ロットID],$B266,tbl_ledger[元状態],H$1),
_xlpm.受入+_xlpm.充当受入-_xlpm.払出))</f>
        <v/>
      </c>
      <c r="I266" s="8" t="str">
        <f>IF($B266="","",_xlfn.LET(
_xlpm.受入,SUMIFS(tbl_ledger[数量],tbl_ledger[ロットID],$B266,tbl_ledger[イベント種類],"梱包開始"),
_xlpm.充当受入,SUMIFS(tbl_ledger[数量],tbl_ledger[充当先ロットID],$B266,tbl_ledger[イベント種類],"充当",tbl_ledger[元状態],I$1),
_xlpm.払出,SUMIFS(tbl_ledger[数量],tbl_ledger[ロットID],$B266,tbl_ledger[元状態],I$1),
_xlpm.受入+_xlpm.充当受入-_xlpm.払出))</f>
        <v/>
      </c>
      <c r="J266" s="8" t="str">
        <f>IF($B266="","",_xlfn.LET(
_xlpm.受入,SUMIFS(tbl_ledger[数量],tbl_ledger[ロットID],$B266,tbl_ledger[イベント種類],"梱包完了"),
_xlpm.充当受入,SUMIFS(tbl_ledger[数量],tbl_ledger[充当先ロットID],$B266,tbl_ledger[イベント種類],"充当",tbl_ledger[元状態],J$1),
_xlpm.払出,SUMIFS(tbl_ledger[数量],tbl_ledger[ロットID],$B266,tbl_ledger[元状態],J$1),
_xlpm.受入+_xlpm.充当受入-_xlpm.払出))</f>
        <v/>
      </c>
      <c r="K266" s="8" t="str">
        <f>IF($B266="","",_xlfn.LET(
_xlpm.受入,SUMIFS(tbl_ledger[数量],tbl_ledger[ロットID],$B266,tbl_ledger[イベント種類],"発送準備開始"),
_xlpm.充当受入,SUMIFS(tbl_ledger[数量],tbl_ledger[充当先ロットID],$B266,tbl_ledger[イベント種類],"充当",tbl_ledger[元状態],K$1),
_xlpm.払出,SUMIFS(tbl_ledger[数量],tbl_ledger[ロットID],$B266,tbl_ledger[元状態],K$1),
_xlpm.受入+_xlpm.充当受入-_xlpm.払出))</f>
        <v/>
      </c>
      <c r="L266" s="8" t="str">
        <f>IF($B266="","",_xlfn.LET(
_xlpm.受入,SUMIFS(tbl_ledger[数量],tbl_ledger[ロットID],$B266,tbl_ledger[イベント種類],"発送準備完了"),
_xlpm.充当受入,SUMIFS(tbl_ledger[数量],tbl_ledger[充当先ロットID],$B266,tbl_ledger[イベント種類],"充当",tbl_ledger[元状態],L$1),
_xlpm.払出,SUMIFS(tbl_ledger[数量],tbl_ledger[ロットID],$B266,tbl_ledger[元状態],L$1),
_xlpm.受入+_xlpm.充当受入-_xlpm.払出))</f>
        <v/>
      </c>
      <c r="M266" s="8" t="str">
        <f>IF($B266="","",_xlfn.LET(
_xlpm.受入,SUMIFS(tbl_ledger[数量],tbl_ledger[ロットID],$B266,tbl_ledger[イベント種類],"不良発生"),
_xlpm.充当受入,SUMIFS(tbl_ledger[数量],tbl_ledger[充当先ロットID],$B266,tbl_ledger[イベント種類],"充当",tbl_ledger[元状態],M$1),
_xlpm.払出,SUMIFS(tbl_ledger[数量],tbl_ledger[ロットID],$B266,tbl_ledger[元状態],M$1),
_xlpm.受入+_xlpm.充当受入-_xlpm.払出))</f>
        <v/>
      </c>
      <c r="N266" s="8" t="str">
        <f t="shared" si="9"/>
        <v/>
      </c>
    </row>
    <row r="267" spans="1:14" ht="15" customHeight="1" x14ac:dyDescent="0.25">
      <c r="A267" s="4" t="str">
        <f t="shared" si="8"/>
        <v/>
      </c>
      <c r="B267" s="4" t="str">
        <f>IFERROR(IF(COUNTIF($B$1:$B266,INDEX(tbl_plan[ロットID],ROW()-1))&gt;0,"",INDEX(tbl_plan[ロットID],ROW()-1)),"")</f>
        <v/>
      </c>
      <c r="C267" s="4" t="str">
        <f>IF($B267="","",INDEX(tbl_plan[localId],ROW()-1))</f>
        <v/>
      </c>
      <c r="D267" s="8" t="str">
        <f>IF($B267="","",_xlfn.LET(
_xlpm.割当受入,SUMIF(V_充足確認!$A$2:$A$301,$B267,V_充足確認!$F$2:$F$301),
_xlpm.充当受入,SUMIFS(tbl_ledger[数量],tbl_ledger[充当先ロットID],$B267,tbl_ledger[イベント種類],"充当",tbl_ledger[元状態],D$1),
_xlpm.払出,SUMIFS(tbl_ledger[数量],tbl_ledger[ロットID],$B267,tbl_ledger[元状態],D$1),
_xlpm.割当受入+_xlpm.充当受入-_xlpm.払出))</f>
        <v/>
      </c>
      <c r="E267" s="8" t="str">
        <f>IF($B267="","",_xlfn.LET(
_xlpm.受入,SUMIFS(tbl_ledger[数量],tbl_ledger[ロットID],$B267,tbl_ledger[イベント種類],"アニール開始"),
_xlpm.充当受入,SUMIFS(tbl_ledger[数量],tbl_ledger[充当先ロットID],$B267,tbl_ledger[イベント種類],"充当",tbl_ledger[元状態],E$1),
_xlpm.払出,SUMIFS(tbl_ledger[数量],tbl_ledger[ロットID],$B267,tbl_ledger[元状態],E$1),
_xlpm.受入+_xlpm.充当受入-_xlpm.払出))</f>
        <v/>
      </c>
      <c r="F267" s="8" t="str">
        <f>IF($B267="","",_xlfn.LET(
_xlpm.受入,SUMIFS(tbl_ledger[数量],tbl_ledger[ロットID],$B267,tbl_ledger[イベント種類],"アニール完了"),
_xlpm.充当受入,SUMIFS(tbl_ledger[数量],tbl_ledger[充当先ロットID],$B267,tbl_ledger[イベント種類],"充当",tbl_ledger[元状態],F$1),
_xlpm.払出,SUMIFS(tbl_ledger[数量],tbl_ledger[ロットID],$B267,tbl_ledger[元状態],F$1),
_xlpm.受入+_xlpm.充当受入-_xlpm.払出))</f>
        <v/>
      </c>
      <c r="G267" s="8" t="str">
        <f>IF($B267="","",_xlfn.LET(
_xlpm.受入,SUMIFS(tbl_ledger[数量],tbl_ledger[ロットID],$B267,tbl_ledger[イベント種類],"アセンブリ開始"),
_xlpm.充当受入,SUMIFS(tbl_ledger[数量],tbl_ledger[充当先ロットID],$B267,tbl_ledger[イベント種類],"充当",tbl_ledger[元状態],G$1),
_xlpm.払出,SUMIFS(tbl_ledger[数量],tbl_ledger[ロットID],$B267,tbl_ledger[元状態],G$1),
_xlpm.受入+_xlpm.充当受入-_xlpm.払出))</f>
        <v/>
      </c>
      <c r="H267" s="8" t="str">
        <f>IF($B267="","",_xlfn.LET(
_xlpm.受入,SUMIFS(tbl_ledger[数量],tbl_ledger[ロットID],$B267,tbl_ledger[イベント種類],"アセンブリ完了"),
_xlpm.充当受入,SUMIFS(tbl_ledger[数量],tbl_ledger[充当先ロットID],$B267,tbl_ledger[イベント種類],"充当",tbl_ledger[元状態],H$1),
_xlpm.払出,SUMIFS(tbl_ledger[数量],tbl_ledger[ロットID],$B267,tbl_ledger[元状態],H$1),
_xlpm.受入+_xlpm.充当受入-_xlpm.払出))</f>
        <v/>
      </c>
      <c r="I267" s="8" t="str">
        <f>IF($B267="","",_xlfn.LET(
_xlpm.受入,SUMIFS(tbl_ledger[数量],tbl_ledger[ロットID],$B267,tbl_ledger[イベント種類],"梱包開始"),
_xlpm.充当受入,SUMIFS(tbl_ledger[数量],tbl_ledger[充当先ロットID],$B267,tbl_ledger[イベント種類],"充当",tbl_ledger[元状態],I$1),
_xlpm.払出,SUMIFS(tbl_ledger[数量],tbl_ledger[ロットID],$B267,tbl_ledger[元状態],I$1),
_xlpm.受入+_xlpm.充当受入-_xlpm.払出))</f>
        <v/>
      </c>
      <c r="J267" s="8" t="str">
        <f>IF($B267="","",_xlfn.LET(
_xlpm.受入,SUMIFS(tbl_ledger[数量],tbl_ledger[ロットID],$B267,tbl_ledger[イベント種類],"梱包完了"),
_xlpm.充当受入,SUMIFS(tbl_ledger[数量],tbl_ledger[充当先ロットID],$B267,tbl_ledger[イベント種類],"充当",tbl_ledger[元状態],J$1),
_xlpm.払出,SUMIFS(tbl_ledger[数量],tbl_ledger[ロットID],$B267,tbl_ledger[元状態],J$1),
_xlpm.受入+_xlpm.充当受入-_xlpm.払出))</f>
        <v/>
      </c>
      <c r="K267" s="8" t="str">
        <f>IF($B267="","",_xlfn.LET(
_xlpm.受入,SUMIFS(tbl_ledger[数量],tbl_ledger[ロットID],$B267,tbl_ledger[イベント種類],"発送準備開始"),
_xlpm.充当受入,SUMIFS(tbl_ledger[数量],tbl_ledger[充当先ロットID],$B267,tbl_ledger[イベント種類],"充当",tbl_ledger[元状態],K$1),
_xlpm.払出,SUMIFS(tbl_ledger[数量],tbl_ledger[ロットID],$B267,tbl_ledger[元状態],K$1),
_xlpm.受入+_xlpm.充当受入-_xlpm.払出))</f>
        <v/>
      </c>
      <c r="L267" s="8" t="str">
        <f>IF($B267="","",_xlfn.LET(
_xlpm.受入,SUMIFS(tbl_ledger[数量],tbl_ledger[ロットID],$B267,tbl_ledger[イベント種類],"発送準備完了"),
_xlpm.充当受入,SUMIFS(tbl_ledger[数量],tbl_ledger[充当先ロットID],$B267,tbl_ledger[イベント種類],"充当",tbl_ledger[元状態],L$1),
_xlpm.払出,SUMIFS(tbl_ledger[数量],tbl_ledger[ロットID],$B267,tbl_ledger[元状態],L$1),
_xlpm.受入+_xlpm.充当受入-_xlpm.払出))</f>
        <v/>
      </c>
      <c r="M267" s="8" t="str">
        <f>IF($B267="","",_xlfn.LET(
_xlpm.受入,SUMIFS(tbl_ledger[数量],tbl_ledger[ロットID],$B267,tbl_ledger[イベント種類],"不良発生"),
_xlpm.充当受入,SUMIFS(tbl_ledger[数量],tbl_ledger[充当先ロットID],$B267,tbl_ledger[イベント種類],"充当",tbl_ledger[元状態],M$1),
_xlpm.払出,SUMIFS(tbl_ledger[数量],tbl_ledger[ロットID],$B267,tbl_ledger[元状態],M$1),
_xlpm.受入+_xlpm.充当受入-_xlpm.払出))</f>
        <v/>
      </c>
      <c r="N267" s="8" t="str">
        <f t="shared" si="9"/>
        <v/>
      </c>
    </row>
    <row r="268" spans="1:14" ht="15" customHeight="1" x14ac:dyDescent="0.25">
      <c r="A268" s="4" t="str">
        <f t="shared" si="8"/>
        <v/>
      </c>
      <c r="B268" s="4" t="str">
        <f>IFERROR(IF(COUNTIF($B$1:$B267,INDEX(tbl_plan[ロットID],ROW()-1))&gt;0,"",INDEX(tbl_plan[ロットID],ROW()-1)),"")</f>
        <v/>
      </c>
      <c r="C268" s="4" t="str">
        <f>IF($B268="","",INDEX(tbl_plan[localId],ROW()-1))</f>
        <v/>
      </c>
      <c r="D268" s="8" t="str">
        <f>IF($B268="","",_xlfn.LET(
_xlpm.割当受入,SUMIF(V_充足確認!$A$2:$A$301,$B268,V_充足確認!$F$2:$F$301),
_xlpm.充当受入,SUMIFS(tbl_ledger[数量],tbl_ledger[充当先ロットID],$B268,tbl_ledger[イベント種類],"充当",tbl_ledger[元状態],D$1),
_xlpm.払出,SUMIFS(tbl_ledger[数量],tbl_ledger[ロットID],$B268,tbl_ledger[元状態],D$1),
_xlpm.割当受入+_xlpm.充当受入-_xlpm.払出))</f>
        <v/>
      </c>
      <c r="E268" s="8" t="str">
        <f>IF($B268="","",_xlfn.LET(
_xlpm.受入,SUMIFS(tbl_ledger[数量],tbl_ledger[ロットID],$B268,tbl_ledger[イベント種類],"アニール開始"),
_xlpm.充当受入,SUMIFS(tbl_ledger[数量],tbl_ledger[充当先ロットID],$B268,tbl_ledger[イベント種類],"充当",tbl_ledger[元状態],E$1),
_xlpm.払出,SUMIFS(tbl_ledger[数量],tbl_ledger[ロットID],$B268,tbl_ledger[元状態],E$1),
_xlpm.受入+_xlpm.充当受入-_xlpm.払出))</f>
        <v/>
      </c>
      <c r="F268" s="8" t="str">
        <f>IF($B268="","",_xlfn.LET(
_xlpm.受入,SUMIFS(tbl_ledger[数量],tbl_ledger[ロットID],$B268,tbl_ledger[イベント種類],"アニール完了"),
_xlpm.充当受入,SUMIFS(tbl_ledger[数量],tbl_ledger[充当先ロットID],$B268,tbl_ledger[イベント種類],"充当",tbl_ledger[元状態],F$1),
_xlpm.払出,SUMIFS(tbl_ledger[数量],tbl_ledger[ロットID],$B268,tbl_ledger[元状態],F$1),
_xlpm.受入+_xlpm.充当受入-_xlpm.払出))</f>
        <v/>
      </c>
      <c r="G268" s="8" t="str">
        <f>IF($B268="","",_xlfn.LET(
_xlpm.受入,SUMIFS(tbl_ledger[数量],tbl_ledger[ロットID],$B268,tbl_ledger[イベント種類],"アセンブリ開始"),
_xlpm.充当受入,SUMIFS(tbl_ledger[数量],tbl_ledger[充当先ロットID],$B268,tbl_ledger[イベント種類],"充当",tbl_ledger[元状態],G$1),
_xlpm.払出,SUMIFS(tbl_ledger[数量],tbl_ledger[ロットID],$B268,tbl_ledger[元状態],G$1),
_xlpm.受入+_xlpm.充当受入-_xlpm.払出))</f>
        <v/>
      </c>
      <c r="H268" s="8" t="str">
        <f>IF($B268="","",_xlfn.LET(
_xlpm.受入,SUMIFS(tbl_ledger[数量],tbl_ledger[ロットID],$B268,tbl_ledger[イベント種類],"アセンブリ完了"),
_xlpm.充当受入,SUMIFS(tbl_ledger[数量],tbl_ledger[充当先ロットID],$B268,tbl_ledger[イベント種類],"充当",tbl_ledger[元状態],H$1),
_xlpm.払出,SUMIFS(tbl_ledger[数量],tbl_ledger[ロットID],$B268,tbl_ledger[元状態],H$1),
_xlpm.受入+_xlpm.充当受入-_xlpm.払出))</f>
        <v/>
      </c>
      <c r="I268" s="8" t="str">
        <f>IF($B268="","",_xlfn.LET(
_xlpm.受入,SUMIFS(tbl_ledger[数量],tbl_ledger[ロットID],$B268,tbl_ledger[イベント種類],"梱包開始"),
_xlpm.充当受入,SUMIFS(tbl_ledger[数量],tbl_ledger[充当先ロットID],$B268,tbl_ledger[イベント種類],"充当",tbl_ledger[元状態],I$1),
_xlpm.払出,SUMIFS(tbl_ledger[数量],tbl_ledger[ロットID],$B268,tbl_ledger[元状態],I$1),
_xlpm.受入+_xlpm.充当受入-_xlpm.払出))</f>
        <v/>
      </c>
      <c r="J268" s="8" t="str">
        <f>IF($B268="","",_xlfn.LET(
_xlpm.受入,SUMIFS(tbl_ledger[数量],tbl_ledger[ロットID],$B268,tbl_ledger[イベント種類],"梱包完了"),
_xlpm.充当受入,SUMIFS(tbl_ledger[数量],tbl_ledger[充当先ロットID],$B268,tbl_ledger[イベント種類],"充当",tbl_ledger[元状態],J$1),
_xlpm.払出,SUMIFS(tbl_ledger[数量],tbl_ledger[ロットID],$B268,tbl_ledger[元状態],J$1),
_xlpm.受入+_xlpm.充当受入-_xlpm.払出))</f>
        <v/>
      </c>
      <c r="K268" s="8" t="str">
        <f>IF($B268="","",_xlfn.LET(
_xlpm.受入,SUMIFS(tbl_ledger[数量],tbl_ledger[ロットID],$B268,tbl_ledger[イベント種類],"発送準備開始"),
_xlpm.充当受入,SUMIFS(tbl_ledger[数量],tbl_ledger[充当先ロットID],$B268,tbl_ledger[イベント種類],"充当",tbl_ledger[元状態],K$1),
_xlpm.払出,SUMIFS(tbl_ledger[数量],tbl_ledger[ロットID],$B268,tbl_ledger[元状態],K$1),
_xlpm.受入+_xlpm.充当受入-_xlpm.払出))</f>
        <v/>
      </c>
      <c r="L268" s="8" t="str">
        <f>IF($B268="","",_xlfn.LET(
_xlpm.受入,SUMIFS(tbl_ledger[数量],tbl_ledger[ロットID],$B268,tbl_ledger[イベント種類],"発送準備完了"),
_xlpm.充当受入,SUMIFS(tbl_ledger[数量],tbl_ledger[充当先ロットID],$B268,tbl_ledger[イベント種類],"充当",tbl_ledger[元状態],L$1),
_xlpm.払出,SUMIFS(tbl_ledger[数量],tbl_ledger[ロットID],$B268,tbl_ledger[元状態],L$1),
_xlpm.受入+_xlpm.充当受入-_xlpm.払出))</f>
        <v/>
      </c>
      <c r="M268" s="8" t="str">
        <f>IF($B268="","",_xlfn.LET(
_xlpm.受入,SUMIFS(tbl_ledger[数量],tbl_ledger[ロットID],$B268,tbl_ledger[イベント種類],"不良発生"),
_xlpm.充当受入,SUMIFS(tbl_ledger[数量],tbl_ledger[充当先ロットID],$B268,tbl_ledger[イベント種類],"充当",tbl_ledger[元状態],M$1),
_xlpm.払出,SUMIFS(tbl_ledger[数量],tbl_ledger[ロットID],$B268,tbl_ledger[元状態],M$1),
_xlpm.受入+_xlpm.充当受入-_xlpm.払出))</f>
        <v/>
      </c>
      <c r="N268" s="8" t="str">
        <f t="shared" si="9"/>
        <v/>
      </c>
    </row>
    <row r="269" spans="1:14" ht="15" customHeight="1" x14ac:dyDescent="0.25">
      <c r="A269" s="4" t="str">
        <f t="shared" si="8"/>
        <v/>
      </c>
      <c r="B269" s="4" t="str">
        <f>IFERROR(IF(COUNTIF($B$1:$B268,INDEX(tbl_plan[ロットID],ROW()-1))&gt;0,"",INDEX(tbl_plan[ロットID],ROW()-1)),"")</f>
        <v/>
      </c>
      <c r="C269" s="4" t="str">
        <f>IF($B269="","",INDEX(tbl_plan[localId],ROW()-1))</f>
        <v/>
      </c>
      <c r="D269" s="8" t="str">
        <f>IF($B269="","",_xlfn.LET(
_xlpm.割当受入,SUMIF(V_充足確認!$A$2:$A$301,$B269,V_充足確認!$F$2:$F$301),
_xlpm.充当受入,SUMIFS(tbl_ledger[数量],tbl_ledger[充当先ロットID],$B269,tbl_ledger[イベント種類],"充当",tbl_ledger[元状態],D$1),
_xlpm.払出,SUMIFS(tbl_ledger[数量],tbl_ledger[ロットID],$B269,tbl_ledger[元状態],D$1),
_xlpm.割当受入+_xlpm.充当受入-_xlpm.払出))</f>
        <v/>
      </c>
      <c r="E269" s="8" t="str">
        <f>IF($B269="","",_xlfn.LET(
_xlpm.受入,SUMIFS(tbl_ledger[数量],tbl_ledger[ロットID],$B269,tbl_ledger[イベント種類],"アニール開始"),
_xlpm.充当受入,SUMIFS(tbl_ledger[数量],tbl_ledger[充当先ロットID],$B269,tbl_ledger[イベント種類],"充当",tbl_ledger[元状態],E$1),
_xlpm.払出,SUMIFS(tbl_ledger[数量],tbl_ledger[ロットID],$B269,tbl_ledger[元状態],E$1),
_xlpm.受入+_xlpm.充当受入-_xlpm.払出))</f>
        <v/>
      </c>
      <c r="F269" s="8" t="str">
        <f>IF($B269="","",_xlfn.LET(
_xlpm.受入,SUMIFS(tbl_ledger[数量],tbl_ledger[ロットID],$B269,tbl_ledger[イベント種類],"アニール完了"),
_xlpm.充当受入,SUMIFS(tbl_ledger[数量],tbl_ledger[充当先ロットID],$B269,tbl_ledger[イベント種類],"充当",tbl_ledger[元状態],F$1),
_xlpm.払出,SUMIFS(tbl_ledger[数量],tbl_ledger[ロットID],$B269,tbl_ledger[元状態],F$1),
_xlpm.受入+_xlpm.充当受入-_xlpm.払出))</f>
        <v/>
      </c>
      <c r="G269" s="8" t="str">
        <f>IF($B269="","",_xlfn.LET(
_xlpm.受入,SUMIFS(tbl_ledger[数量],tbl_ledger[ロットID],$B269,tbl_ledger[イベント種類],"アセンブリ開始"),
_xlpm.充当受入,SUMIFS(tbl_ledger[数量],tbl_ledger[充当先ロットID],$B269,tbl_ledger[イベント種類],"充当",tbl_ledger[元状態],G$1),
_xlpm.払出,SUMIFS(tbl_ledger[数量],tbl_ledger[ロットID],$B269,tbl_ledger[元状態],G$1),
_xlpm.受入+_xlpm.充当受入-_xlpm.払出))</f>
        <v/>
      </c>
      <c r="H269" s="8" t="str">
        <f>IF($B269="","",_xlfn.LET(
_xlpm.受入,SUMIFS(tbl_ledger[数量],tbl_ledger[ロットID],$B269,tbl_ledger[イベント種類],"アセンブリ完了"),
_xlpm.充当受入,SUMIFS(tbl_ledger[数量],tbl_ledger[充当先ロットID],$B269,tbl_ledger[イベント種類],"充当",tbl_ledger[元状態],H$1),
_xlpm.払出,SUMIFS(tbl_ledger[数量],tbl_ledger[ロットID],$B269,tbl_ledger[元状態],H$1),
_xlpm.受入+_xlpm.充当受入-_xlpm.払出))</f>
        <v/>
      </c>
      <c r="I269" s="8" t="str">
        <f>IF($B269="","",_xlfn.LET(
_xlpm.受入,SUMIFS(tbl_ledger[数量],tbl_ledger[ロットID],$B269,tbl_ledger[イベント種類],"梱包開始"),
_xlpm.充当受入,SUMIFS(tbl_ledger[数量],tbl_ledger[充当先ロットID],$B269,tbl_ledger[イベント種類],"充当",tbl_ledger[元状態],I$1),
_xlpm.払出,SUMIFS(tbl_ledger[数量],tbl_ledger[ロットID],$B269,tbl_ledger[元状態],I$1),
_xlpm.受入+_xlpm.充当受入-_xlpm.払出))</f>
        <v/>
      </c>
      <c r="J269" s="8" t="str">
        <f>IF($B269="","",_xlfn.LET(
_xlpm.受入,SUMIFS(tbl_ledger[数量],tbl_ledger[ロットID],$B269,tbl_ledger[イベント種類],"梱包完了"),
_xlpm.充当受入,SUMIFS(tbl_ledger[数量],tbl_ledger[充当先ロットID],$B269,tbl_ledger[イベント種類],"充当",tbl_ledger[元状態],J$1),
_xlpm.払出,SUMIFS(tbl_ledger[数量],tbl_ledger[ロットID],$B269,tbl_ledger[元状態],J$1),
_xlpm.受入+_xlpm.充当受入-_xlpm.払出))</f>
        <v/>
      </c>
      <c r="K269" s="8" t="str">
        <f>IF($B269="","",_xlfn.LET(
_xlpm.受入,SUMIFS(tbl_ledger[数量],tbl_ledger[ロットID],$B269,tbl_ledger[イベント種類],"発送準備開始"),
_xlpm.充当受入,SUMIFS(tbl_ledger[数量],tbl_ledger[充当先ロットID],$B269,tbl_ledger[イベント種類],"充当",tbl_ledger[元状態],K$1),
_xlpm.払出,SUMIFS(tbl_ledger[数量],tbl_ledger[ロットID],$B269,tbl_ledger[元状態],K$1),
_xlpm.受入+_xlpm.充当受入-_xlpm.払出))</f>
        <v/>
      </c>
      <c r="L269" s="8" t="str">
        <f>IF($B269="","",_xlfn.LET(
_xlpm.受入,SUMIFS(tbl_ledger[数量],tbl_ledger[ロットID],$B269,tbl_ledger[イベント種類],"発送準備完了"),
_xlpm.充当受入,SUMIFS(tbl_ledger[数量],tbl_ledger[充当先ロットID],$B269,tbl_ledger[イベント種類],"充当",tbl_ledger[元状態],L$1),
_xlpm.払出,SUMIFS(tbl_ledger[数量],tbl_ledger[ロットID],$B269,tbl_ledger[元状態],L$1),
_xlpm.受入+_xlpm.充当受入-_xlpm.払出))</f>
        <v/>
      </c>
      <c r="M269" s="8" t="str">
        <f>IF($B269="","",_xlfn.LET(
_xlpm.受入,SUMIFS(tbl_ledger[数量],tbl_ledger[ロットID],$B269,tbl_ledger[イベント種類],"不良発生"),
_xlpm.充当受入,SUMIFS(tbl_ledger[数量],tbl_ledger[充当先ロットID],$B269,tbl_ledger[イベント種類],"充当",tbl_ledger[元状態],M$1),
_xlpm.払出,SUMIFS(tbl_ledger[数量],tbl_ledger[ロットID],$B269,tbl_ledger[元状態],M$1),
_xlpm.受入+_xlpm.充当受入-_xlpm.払出))</f>
        <v/>
      </c>
      <c r="N269" s="8" t="str">
        <f t="shared" si="9"/>
        <v/>
      </c>
    </row>
    <row r="270" spans="1:14" ht="15" customHeight="1" x14ac:dyDescent="0.25">
      <c r="A270" s="4" t="str">
        <f t="shared" si="8"/>
        <v/>
      </c>
      <c r="B270" s="4" t="str">
        <f>IFERROR(IF(COUNTIF($B$1:$B269,INDEX(tbl_plan[ロットID],ROW()-1))&gt;0,"",INDEX(tbl_plan[ロットID],ROW()-1)),"")</f>
        <v/>
      </c>
      <c r="C270" s="4" t="str">
        <f>IF($B270="","",INDEX(tbl_plan[localId],ROW()-1))</f>
        <v/>
      </c>
      <c r="D270" s="8" t="str">
        <f>IF($B270="","",_xlfn.LET(
_xlpm.割当受入,SUMIF(V_充足確認!$A$2:$A$301,$B270,V_充足確認!$F$2:$F$301),
_xlpm.充当受入,SUMIFS(tbl_ledger[数量],tbl_ledger[充当先ロットID],$B270,tbl_ledger[イベント種類],"充当",tbl_ledger[元状態],D$1),
_xlpm.払出,SUMIFS(tbl_ledger[数量],tbl_ledger[ロットID],$B270,tbl_ledger[元状態],D$1),
_xlpm.割当受入+_xlpm.充当受入-_xlpm.払出))</f>
        <v/>
      </c>
      <c r="E270" s="8" t="str">
        <f>IF($B270="","",_xlfn.LET(
_xlpm.受入,SUMIFS(tbl_ledger[数量],tbl_ledger[ロットID],$B270,tbl_ledger[イベント種類],"アニール開始"),
_xlpm.充当受入,SUMIFS(tbl_ledger[数量],tbl_ledger[充当先ロットID],$B270,tbl_ledger[イベント種類],"充当",tbl_ledger[元状態],E$1),
_xlpm.払出,SUMIFS(tbl_ledger[数量],tbl_ledger[ロットID],$B270,tbl_ledger[元状態],E$1),
_xlpm.受入+_xlpm.充当受入-_xlpm.払出))</f>
        <v/>
      </c>
      <c r="F270" s="8" t="str">
        <f>IF($B270="","",_xlfn.LET(
_xlpm.受入,SUMIFS(tbl_ledger[数量],tbl_ledger[ロットID],$B270,tbl_ledger[イベント種類],"アニール完了"),
_xlpm.充当受入,SUMIFS(tbl_ledger[数量],tbl_ledger[充当先ロットID],$B270,tbl_ledger[イベント種類],"充当",tbl_ledger[元状態],F$1),
_xlpm.払出,SUMIFS(tbl_ledger[数量],tbl_ledger[ロットID],$B270,tbl_ledger[元状態],F$1),
_xlpm.受入+_xlpm.充当受入-_xlpm.払出))</f>
        <v/>
      </c>
      <c r="G270" s="8" t="str">
        <f>IF($B270="","",_xlfn.LET(
_xlpm.受入,SUMIFS(tbl_ledger[数量],tbl_ledger[ロットID],$B270,tbl_ledger[イベント種類],"アセンブリ開始"),
_xlpm.充当受入,SUMIFS(tbl_ledger[数量],tbl_ledger[充当先ロットID],$B270,tbl_ledger[イベント種類],"充当",tbl_ledger[元状態],G$1),
_xlpm.払出,SUMIFS(tbl_ledger[数量],tbl_ledger[ロットID],$B270,tbl_ledger[元状態],G$1),
_xlpm.受入+_xlpm.充当受入-_xlpm.払出))</f>
        <v/>
      </c>
      <c r="H270" s="8" t="str">
        <f>IF($B270="","",_xlfn.LET(
_xlpm.受入,SUMIFS(tbl_ledger[数量],tbl_ledger[ロットID],$B270,tbl_ledger[イベント種類],"アセンブリ完了"),
_xlpm.充当受入,SUMIFS(tbl_ledger[数量],tbl_ledger[充当先ロットID],$B270,tbl_ledger[イベント種類],"充当",tbl_ledger[元状態],H$1),
_xlpm.払出,SUMIFS(tbl_ledger[数量],tbl_ledger[ロットID],$B270,tbl_ledger[元状態],H$1),
_xlpm.受入+_xlpm.充当受入-_xlpm.払出))</f>
        <v/>
      </c>
      <c r="I270" s="8" t="str">
        <f>IF($B270="","",_xlfn.LET(
_xlpm.受入,SUMIFS(tbl_ledger[数量],tbl_ledger[ロットID],$B270,tbl_ledger[イベント種類],"梱包開始"),
_xlpm.充当受入,SUMIFS(tbl_ledger[数量],tbl_ledger[充当先ロットID],$B270,tbl_ledger[イベント種類],"充当",tbl_ledger[元状態],I$1),
_xlpm.払出,SUMIFS(tbl_ledger[数量],tbl_ledger[ロットID],$B270,tbl_ledger[元状態],I$1),
_xlpm.受入+_xlpm.充当受入-_xlpm.払出))</f>
        <v/>
      </c>
      <c r="J270" s="8" t="str">
        <f>IF($B270="","",_xlfn.LET(
_xlpm.受入,SUMIFS(tbl_ledger[数量],tbl_ledger[ロットID],$B270,tbl_ledger[イベント種類],"梱包完了"),
_xlpm.充当受入,SUMIFS(tbl_ledger[数量],tbl_ledger[充当先ロットID],$B270,tbl_ledger[イベント種類],"充当",tbl_ledger[元状態],J$1),
_xlpm.払出,SUMIFS(tbl_ledger[数量],tbl_ledger[ロットID],$B270,tbl_ledger[元状態],J$1),
_xlpm.受入+_xlpm.充当受入-_xlpm.払出))</f>
        <v/>
      </c>
      <c r="K270" s="8" t="str">
        <f>IF($B270="","",_xlfn.LET(
_xlpm.受入,SUMIFS(tbl_ledger[数量],tbl_ledger[ロットID],$B270,tbl_ledger[イベント種類],"発送準備開始"),
_xlpm.充当受入,SUMIFS(tbl_ledger[数量],tbl_ledger[充当先ロットID],$B270,tbl_ledger[イベント種類],"充当",tbl_ledger[元状態],K$1),
_xlpm.払出,SUMIFS(tbl_ledger[数量],tbl_ledger[ロットID],$B270,tbl_ledger[元状態],K$1),
_xlpm.受入+_xlpm.充当受入-_xlpm.払出))</f>
        <v/>
      </c>
      <c r="L270" s="8" t="str">
        <f>IF($B270="","",_xlfn.LET(
_xlpm.受入,SUMIFS(tbl_ledger[数量],tbl_ledger[ロットID],$B270,tbl_ledger[イベント種類],"発送準備完了"),
_xlpm.充当受入,SUMIFS(tbl_ledger[数量],tbl_ledger[充当先ロットID],$B270,tbl_ledger[イベント種類],"充当",tbl_ledger[元状態],L$1),
_xlpm.払出,SUMIFS(tbl_ledger[数量],tbl_ledger[ロットID],$B270,tbl_ledger[元状態],L$1),
_xlpm.受入+_xlpm.充当受入-_xlpm.払出))</f>
        <v/>
      </c>
      <c r="M270" s="8" t="str">
        <f>IF($B270="","",_xlfn.LET(
_xlpm.受入,SUMIFS(tbl_ledger[数量],tbl_ledger[ロットID],$B270,tbl_ledger[イベント種類],"不良発生"),
_xlpm.充当受入,SUMIFS(tbl_ledger[数量],tbl_ledger[充当先ロットID],$B270,tbl_ledger[イベント種類],"充当",tbl_ledger[元状態],M$1),
_xlpm.払出,SUMIFS(tbl_ledger[数量],tbl_ledger[ロットID],$B270,tbl_ledger[元状態],M$1),
_xlpm.受入+_xlpm.充当受入-_xlpm.払出))</f>
        <v/>
      </c>
      <c r="N270" s="8" t="str">
        <f t="shared" si="9"/>
        <v/>
      </c>
    </row>
    <row r="271" spans="1:14" ht="15" customHeight="1" x14ac:dyDescent="0.25">
      <c r="A271" s="4" t="str">
        <f t="shared" si="8"/>
        <v/>
      </c>
      <c r="B271" s="4" t="str">
        <f>IFERROR(IF(COUNTIF($B$1:$B270,INDEX(tbl_plan[ロットID],ROW()-1))&gt;0,"",INDEX(tbl_plan[ロットID],ROW()-1)),"")</f>
        <v/>
      </c>
      <c r="C271" s="4" t="str">
        <f>IF($B271="","",INDEX(tbl_plan[localId],ROW()-1))</f>
        <v/>
      </c>
      <c r="D271" s="8" t="str">
        <f>IF($B271="","",_xlfn.LET(
_xlpm.割当受入,SUMIF(V_充足確認!$A$2:$A$301,$B271,V_充足確認!$F$2:$F$301),
_xlpm.充当受入,SUMIFS(tbl_ledger[数量],tbl_ledger[充当先ロットID],$B271,tbl_ledger[イベント種類],"充当",tbl_ledger[元状態],D$1),
_xlpm.払出,SUMIFS(tbl_ledger[数量],tbl_ledger[ロットID],$B271,tbl_ledger[元状態],D$1),
_xlpm.割当受入+_xlpm.充当受入-_xlpm.払出))</f>
        <v/>
      </c>
      <c r="E271" s="8" t="str">
        <f>IF($B271="","",_xlfn.LET(
_xlpm.受入,SUMIFS(tbl_ledger[数量],tbl_ledger[ロットID],$B271,tbl_ledger[イベント種類],"アニール開始"),
_xlpm.充当受入,SUMIFS(tbl_ledger[数量],tbl_ledger[充当先ロットID],$B271,tbl_ledger[イベント種類],"充当",tbl_ledger[元状態],E$1),
_xlpm.払出,SUMIFS(tbl_ledger[数量],tbl_ledger[ロットID],$B271,tbl_ledger[元状態],E$1),
_xlpm.受入+_xlpm.充当受入-_xlpm.払出))</f>
        <v/>
      </c>
      <c r="F271" s="8" t="str">
        <f>IF($B271="","",_xlfn.LET(
_xlpm.受入,SUMIFS(tbl_ledger[数量],tbl_ledger[ロットID],$B271,tbl_ledger[イベント種類],"アニール完了"),
_xlpm.充当受入,SUMIFS(tbl_ledger[数量],tbl_ledger[充当先ロットID],$B271,tbl_ledger[イベント種類],"充当",tbl_ledger[元状態],F$1),
_xlpm.払出,SUMIFS(tbl_ledger[数量],tbl_ledger[ロットID],$B271,tbl_ledger[元状態],F$1),
_xlpm.受入+_xlpm.充当受入-_xlpm.払出))</f>
        <v/>
      </c>
      <c r="G271" s="8" t="str">
        <f>IF($B271="","",_xlfn.LET(
_xlpm.受入,SUMIFS(tbl_ledger[数量],tbl_ledger[ロットID],$B271,tbl_ledger[イベント種類],"アセンブリ開始"),
_xlpm.充当受入,SUMIFS(tbl_ledger[数量],tbl_ledger[充当先ロットID],$B271,tbl_ledger[イベント種類],"充当",tbl_ledger[元状態],G$1),
_xlpm.払出,SUMIFS(tbl_ledger[数量],tbl_ledger[ロットID],$B271,tbl_ledger[元状態],G$1),
_xlpm.受入+_xlpm.充当受入-_xlpm.払出))</f>
        <v/>
      </c>
      <c r="H271" s="8" t="str">
        <f>IF($B271="","",_xlfn.LET(
_xlpm.受入,SUMIFS(tbl_ledger[数量],tbl_ledger[ロットID],$B271,tbl_ledger[イベント種類],"アセンブリ完了"),
_xlpm.充当受入,SUMIFS(tbl_ledger[数量],tbl_ledger[充当先ロットID],$B271,tbl_ledger[イベント種類],"充当",tbl_ledger[元状態],H$1),
_xlpm.払出,SUMIFS(tbl_ledger[数量],tbl_ledger[ロットID],$B271,tbl_ledger[元状態],H$1),
_xlpm.受入+_xlpm.充当受入-_xlpm.払出))</f>
        <v/>
      </c>
      <c r="I271" s="8" t="str">
        <f>IF($B271="","",_xlfn.LET(
_xlpm.受入,SUMIFS(tbl_ledger[数量],tbl_ledger[ロットID],$B271,tbl_ledger[イベント種類],"梱包開始"),
_xlpm.充当受入,SUMIFS(tbl_ledger[数量],tbl_ledger[充当先ロットID],$B271,tbl_ledger[イベント種類],"充当",tbl_ledger[元状態],I$1),
_xlpm.払出,SUMIFS(tbl_ledger[数量],tbl_ledger[ロットID],$B271,tbl_ledger[元状態],I$1),
_xlpm.受入+_xlpm.充当受入-_xlpm.払出))</f>
        <v/>
      </c>
      <c r="J271" s="8" t="str">
        <f>IF($B271="","",_xlfn.LET(
_xlpm.受入,SUMIFS(tbl_ledger[数量],tbl_ledger[ロットID],$B271,tbl_ledger[イベント種類],"梱包完了"),
_xlpm.充当受入,SUMIFS(tbl_ledger[数量],tbl_ledger[充当先ロットID],$B271,tbl_ledger[イベント種類],"充当",tbl_ledger[元状態],J$1),
_xlpm.払出,SUMIFS(tbl_ledger[数量],tbl_ledger[ロットID],$B271,tbl_ledger[元状態],J$1),
_xlpm.受入+_xlpm.充当受入-_xlpm.払出))</f>
        <v/>
      </c>
      <c r="K271" s="8" t="str">
        <f>IF($B271="","",_xlfn.LET(
_xlpm.受入,SUMIFS(tbl_ledger[数量],tbl_ledger[ロットID],$B271,tbl_ledger[イベント種類],"発送準備開始"),
_xlpm.充当受入,SUMIFS(tbl_ledger[数量],tbl_ledger[充当先ロットID],$B271,tbl_ledger[イベント種類],"充当",tbl_ledger[元状態],K$1),
_xlpm.払出,SUMIFS(tbl_ledger[数量],tbl_ledger[ロットID],$B271,tbl_ledger[元状態],K$1),
_xlpm.受入+_xlpm.充当受入-_xlpm.払出))</f>
        <v/>
      </c>
      <c r="L271" s="8" t="str">
        <f>IF($B271="","",_xlfn.LET(
_xlpm.受入,SUMIFS(tbl_ledger[数量],tbl_ledger[ロットID],$B271,tbl_ledger[イベント種類],"発送準備完了"),
_xlpm.充当受入,SUMIFS(tbl_ledger[数量],tbl_ledger[充当先ロットID],$B271,tbl_ledger[イベント種類],"充当",tbl_ledger[元状態],L$1),
_xlpm.払出,SUMIFS(tbl_ledger[数量],tbl_ledger[ロットID],$B271,tbl_ledger[元状態],L$1),
_xlpm.受入+_xlpm.充当受入-_xlpm.払出))</f>
        <v/>
      </c>
      <c r="M271" s="8" t="str">
        <f>IF($B271="","",_xlfn.LET(
_xlpm.受入,SUMIFS(tbl_ledger[数量],tbl_ledger[ロットID],$B271,tbl_ledger[イベント種類],"不良発生"),
_xlpm.充当受入,SUMIFS(tbl_ledger[数量],tbl_ledger[充当先ロットID],$B271,tbl_ledger[イベント種類],"充当",tbl_ledger[元状態],M$1),
_xlpm.払出,SUMIFS(tbl_ledger[数量],tbl_ledger[ロットID],$B271,tbl_ledger[元状態],M$1),
_xlpm.受入+_xlpm.充当受入-_xlpm.払出))</f>
        <v/>
      </c>
      <c r="N271" s="8" t="str">
        <f t="shared" si="9"/>
        <v/>
      </c>
    </row>
    <row r="272" spans="1:14" ht="15" customHeight="1" x14ac:dyDescent="0.25">
      <c r="A272" s="4" t="str">
        <f t="shared" si="8"/>
        <v/>
      </c>
      <c r="B272" s="4" t="str">
        <f>IFERROR(IF(COUNTIF($B$1:$B271,INDEX(tbl_plan[ロットID],ROW()-1))&gt;0,"",INDEX(tbl_plan[ロットID],ROW()-1)),"")</f>
        <v/>
      </c>
      <c r="C272" s="4" t="str">
        <f>IF($B272="","",INDEX(tbl_plan[localId],ROW()-1))</f>
        <v/>
      </c>
      <c r="D272" s="8" t="str">
        <f>IF($B272="","",_xlfn.LET(
_xlpm.割当受入,SUMIF(V_充足確認!$A$2:$A$301,$B272,V_充足確認!$F$2:$F$301),
_xlpm.充当受入,SUMIFS(tbl_ledger[数量],tbl_ledger[充当先ロットID],$B272,tbl_ledger[イベント種類],"充当",tbl_ledger[元状態],D$1),
_xlpm.払出,SUMIFS(tbl_ledger[数量],tbl_ledger[ロットID],$B272,tbl_ledger[元状態],D$1),
_xlpm.割当受入+_xlpm.充当受入-_xlpm.払出))</f>
        <v/>
      </c>
      <c r="E272" s="8" t="str">
        <f>IF($B272="","",_xlfn.LET(
_xlpm.受入,SUMIFS(tbl_ledger[数量],tbl_ledger[ロットID],$B272,tbl_ledger[イベント種類],"アニール開始"),
_xlpm.充当受入,SUMIFS(tbl_ledger[数量],tbl_ledger[充当先ロットID],$B272,tbl_ledger[イベント種類],"充当",tbl_ledger[元状態],E$1),
_xlpm.払出,SUMIFS(tbl_ledger[数量],tbl_ledger[ロットID],$B272,tbl_ledger[元状態],E$1),
_xlpm.受入+_xlpm.充当受入-_xlpm.払出))</f>
        <v/>
      </c>
      <c r="F272" s="8" t="str">
        <f>IF($B272="","",_xlfn.LET(
_xlpm.受入,SUMIFS(tbl_ledger[数量],tbl_ledger[ロットID],$B272,tbl_ledger[イベント種類],"アニール完了"),
_xlpm.充当受入,SUMIFS(tbl_ledger[数量],tbl_ledger[充当先ロットID],$B272,tbl_ledger[イベント種類],"充当",tbl_ledger[元状態],F$1),
_xlpm.払出,SUMIFS(tbl_ledger[数量],tbl_ledger[ロットID],$B272,tbl_ledger[元状態],F$1),
_xlpm.受入+_xlpm.充当受入-_xlpm.払出))</f>
        <v/>
      </c>
      <c r="G272" s="8" t="str">
        <f>IF($B272="","",_xlfn.LET(
_xlpm.受入,SUMIFS(tbl_ledger[数量],tbl_ledger[ロットID],$B272,tbl_ledger[イベント種類],"アセンブリ開始"),
_xlpm.充当受入,SUMIFS(tbl_ledger[数量],tbl_ledger[充当先ロットID],$B272,tbl_ledger[イベント種類],"充当",tbl_ledger[元状態],G$1),
_xlpm.払出,SUMIFS(tbl_ledger[数量],tbl_ledger[ロットID],$B272,tbl_ledger[元状態],G$1),
_xlpm.受入+_xlpm.充当受入-_xlpm.払出))</f>
        <v/>
      </c>
      <c r="H272" s="8" t="str">
        <f>IF($B272="","",_xlfn.LET(
_xlpm.受入,SUMIFS(tbl_ledger[数量],tbl_ledger[ロットID],$B272,tbl_ledger[イベント種類],"アセンブリ完了"),
_xlpm.充当受入,SUMIFS(tbl_ledger[数量],tbl_ledger[充当先ロットID],$B272,tbl_ledger[イベント種類],"充当",tbl_ledger[元状態],H$1),
_xlpm.払出,SUMIFS(tbl_ledger[数量],tbl_ledger[ロットID],$B272,tbl_ledger[元状態],H$1),
_xlpm.受入+_xlpm.充当受入-_xlpm.払出))</f>
        <v/>
      </c>
      <c r="I272" s="8" t="str">
        <f>IF($B272="","",_xlfn.LET(
_xlpm.受入,SUMIFS(tbl_ledger[数量],tbl_ledger[ロットID],$B272,tbl_ledger[イベント種類],"梱包開始"),
_xlpm.充当受入,SUMIFS(tbl_ledger[数量],tbl_ledger[充当先ロットID],$B272,tbl_ledger[イベント種類],"充当",tbl_ledger[元状態],I$1),
_xlpm.払出,SUMIFS(tbl_ledger[数量],tbl_ledger[ロットID],$B272,tbl_ledger[元状態],I$1),
_xlpm.受入+_xlpm.充当受入-_xlpm.払出))</f>
        <v/>
      </c>
      <c r="J272" s="8" t="str">
        <f>IF($B272="","",_xlfn.LET(
_xlpm.受入,SUMIFS(tbl_ledger[数量],tbl_ledger[ロットID],$B272,tbl_ledger[イベント種類],"梱包完了"),
_xlpm.充当受入,SUMIFS(tbl_ledger[数量],tbl_ledger[充当先ロットID],$B272,tbl_ledger[イベント種類],"充当",tbl_ledger[元状態],J$1),
_xlpm.払出,SUMIFS(tbl_ledger[数量],tbl_ledger[ロットID],$B272,tbl_ledger[元状態],J$1),
_xlpm.受入+_xlpm.充当受入-_xlpm.払出))</f>
        <v/>
      </c>
      <c r="K272" s="8" t="str">
        <f>IF($B272="","",_xlfn.LET(
_xlpm.受入,SUMIFS(tbl_ledger[数量],tbl_ledger[ロットID],$B272,tbl_ledger[イベント種類],"発送準備開始"),
_xlpm.充当受入,SUMIFS(tbl_ledger[数量],tbl_ledger[充当先ロットID],$B272,tbl_ledger[イベント種類],"充当",tbl_ledger[元状態],K$1),
_xlpm.払出,SUMIFS(tbl_ledger[数量],tbl_ledger[ロットID],$B272,tbl_ledger[元状態],K$1),
_xlpm.受入+_xlpm.充当受入-_xlpm.払出))</f>
        <v/>
      </c>
      <c r="L272" s="8" t="str">
        <f>IF($B272="","",_xlfn.LET(
_xlpm.受入,SUMIFS(tbl_ledger[数量],tbl_ledger[ロットID],$B272,tbl_ledger[イベント種類],"発送準備完了"),
_xlpm.充当受入,SUMIFS(tbl_ledger[数量],tbl_ledger[充当先ロットID],$B272,tbl_ledger[イベント種類],"充当",tbl_ledger[元状態],L$1),
_xlpm.払出,SUMIFS(tbl_ledger[数量],tbl_ledger[ロットID],$B272,tbl_ledger[元状態],L$1),
_xlpm.受入+_xlpm.充当受入-_xlpm.払出))</f>
        <v/>
      </c>
      <c r="M272" s="8" t="str">
        <f>IF($B272="","",_xlfn.LET(
_xlpm.受入,SUMIFS(tbl_ledger[数量],tbl_ledger[ロットID],$B272,tbl_ledger[イベント種類],"不良発生"),
_xlpm.充当受入,SUMIFS(tbl_ledger[数量],tbl_ledger[充当先ロットID],$B272,tbl_ledger[イベント種類],"充当",tbl_ledger[元状態],M$1),
_xlpm.払出,SUMIFS(tbl_ledger[数量],tbl_ledger[ロットID],$B272,tbl_ledger[元状態],M$1),
_xlpm.受入+_xlpm.充当受入-_xlpm.払出))</f>
        <v/>
      </c>
      <c r="N272" s="8" t="str">
        <f t="shared" si="9"/>
        <v/>
      </c>
    </row>
    <row r="273" spans="1:14" ht="15" customHeight="1" x14ac:dyDescent="0.25">
      <c r="A273" s="4" t="str">
        <f t="shared" si="8"/>
        <v/>
      </c>
      <c r="B273" s="4" t="str">
        <f>IFERROR(IF(COUNTIF($B$1:$B272,INDEX(tbl_plan[ロットID],ROW()-1))&gt;0,"",INDEX(tbl_plan[ロットID],ROW()-1)),"")</f>
        <v/>
      </c>
      <c r="C273" s="4" t="str">
        <f>IF($B273="","",INDEX(tbl_plan[localId],ROW()-1))</f>
        <v/>
      </c>
      <c r="D273" s="8" t="str">
        <f>IF($B273="","",_xlfn.LET(
_xlpm.割当受入,SUMIF(V_充足確認!$A$2:$A$301,$B273,V_充足確認!$F$2:$F$301),
_xlpm.充当受入,SUMIFS(tbl_ledger[数量],tbl_ledger[充当先ロットID],$B273,tbl_ledger[イベント種類],"充当",tbl_ledger[元状態],D$1),
_xlpm.払出,SUMIFS(tbl_ledger[数量],tbl_ledger[ロットID],$B273,tbl_ledger[元状態],D$1),
_xlpm.割当受入+_xlpm.充当受入-_xlpm.払出))</f>
        <v/>
      </c>
      <c r="E273" s="8" t="str">
        <f>IF($B273="","",_xlfn.LET(
_xlpm.受入,SUMIFS(tbl_ledger[数量],tbl_ledger[ロットID],$B273,tbl_ledger[イベント種類],"アニール開始"),
_xlpm.充当受入,SUMIFS(tbl_ledger[数量],tbl_ledger[充当先ロットID],$B273,tbl_ledger[イベント種類],"充当",tbl_ledger[元状態],E$1),
_xlpm.払出,SUMIFS(tbl_ledger[数量],tbl_ledger[ロットID],$B273,tbl_ledger[元状態],E$1),
_xlpm.受入+_xlpm.充当受入-_xlpm.払出))</f>
        <v/>
      </c>
      <c r="F273" s="8" t="str">
        <f>IF($B273="","",_xlfn.LET(
_xlpm.受入,SUMIFS(tbl_ledger[数量],tbl_ledger[ロットID],$B273,tbl_ledger[イベント種類],"アニール完了"),
_xlpm.充当受入,SUMIFS(tbl_ledger[数量],tbl_ledger[充当先ロットID],$B273,tbl_ledger[イベント種類],"充当",tbl_ledger[元状態],F$1),
_xlpm.払出,SUMIFS(tbl_ledger[数量],tbl_ledger[ロットID],$B273,tbl_ledger[元状態],F$1),
_xlpm.受入+_xlpm.充当受入-_xlpm.払出))</f>
        <v/>
      </c>
      <c r="G273" s="8" t="str">
        <f>IF($B273="","",_xlfn.LET(
_xlpm.受入,SUMIFS(tbl_ledger[数量],tbl_ledger[ロットID],$B273,tbl_ledger[イベント種類],"アセンブリ開始"),
_xlpm.充当受入,SUMIFS(tbl_ledger[数量],tbl_ledger[充当先ロットID],$B273,tbl_ledger[イベント種類],"充当",tbl_ledger[元状態],G$1),
_xlpm.払出,SUMIFS(tbl_ledger[数量],tbl_ledger[ロットID],$B273,tbl_ledger[元状態],G$1),
_xlpm.受入+_xlpm.充当受入-_xlpm.払出))</f>
        <v/>
      </c>
      <c r="H273" s="8" t="str">
        <f>IF($B273="","",_xlfn.LET(
_xlpm.受入,SUMIFS(tbl_ledger[数量],tbl_ledger[ロットID],$B273,tbl_ledger[イベント種類],"アセンブリ完了"),
_xlpm.充当受入,SUMIFS(tbl_ledger[数量],tbl_ledger[充当先ロットID],$B273,tbl_ledger[イベント種類],"充当",tbl_ledger[元状態],H$1),
_xlpm.払出,SUMIFS(tbl_ledger[数量],tbl_ledger[ロットID],$B273,tbl_ledger[元状態],H$1),
_xlpm.受入+_xlpm.充当受入-_xlpm.払出))</f>
        <v/>
      </c>
      <c r="I273" s="8" t="str">
        <f>IF($B273="","",_xlfn.LET(
_xlpm.受入,SUMIFS(tbl_ledger[数量],tbl_ledger[ロットID],$B273,tbl_ledger[イベント種類],"梱包開始"),
_xlpm.充当受入,SUMIFS(tbl_ledger[数量],tbl_ledger[充当先ロットID],$B273,tbl_ledger[イベント種類],"充当",tbl_ledger[元状態],I$1),
_xlpm.払出,SUMIFS(tbl_ledger[数量],tbl_ledger[ロットID],$B273,tbl_ledger[元状態],I$1),
_xlpm.受入+_xlpm.充当受入-_xlpm.払出))</f>
        <v/>
      </c>
      <c r="J273" s="8" t="str">
        <f>IF($B273="","",_xlfn.LET(
_xlpm.受入,SUMIFS(tbl_ledger[数量],tbl_ledger[ロットID],$B273,tbl_ledger[イベント種類],"梱包完了"),
_xlpm.充当受入,SUMIFS(tbl_ledger[数量],tbl_ledger[充当先ロットID],$B273,tbl_ledger[イベント種類],"充当",tbl_ledger[元状態],J$1),
_xlpm.払出,SUMIFS(tbl_ledger[数量],tbl_ledger[ロットID],$B273,tbl_ledger[元状態],J$1),
_xlpm.受入+_xlpm.充当受入-_xlpm.払出))</f>
        <v/>
      </c>
      <c r="K273" s="8" t="str">
        <f>IF($B273="","",_xlfn.LET(
_xlpm.受入,SUMIFS(tbl_ledger[数量],tbl_ledger[ロットID],$B273,tbl_ledger[イベント種類],"発送準備開始"),
_xlpm.充当受入,SUMIFS(tbl_ledger[数量],tbl_ledger[充当先ロットID],$B273,tbl_ledger[イベント種類],"充当",tbl_ledger[元状態],K$1),
_xlpm.払出,SUMIFS(tbl_ledger[数量],tbl_ledger[ロットID],$B273,tbl_ledger[元状態],K$1),
_xlpm.受入+_xlpm.充当受入-_xlpm.払出))</f>
        <v/>
      </c>
      <c r="L273" s="8" t="str">
        <f>IF($B273="","",_xlfn.LET(
_xlpm.受入,SUMIFS(tbl_ledger[数量],tbl_ledger[ロットID],$B273,tbl_ledger[イベント種類],"発送準備完了"),
_xlpm.充当受入,SUMIFS(tbl_ledger[数量],tbl_ledger[充当先ロットID],$B273,tbl_ledger[イベント種類],"充当",tbl_ledger[元状態],L$1),
_xlpm.払出,SUMIFS(tbl_ledger[数量],tbl_ledger[ロットID],$B273,tbl_ledger[元状態],L$1),
_xlpm.受入+_xlpm.充当受入-_xlpm.払出))</f>
        <v/>
      </c>
      <c r="M273" s="8" t="str">
        <f>IF($B273="","",_xlfn.LET(
_xlpm.受入,SUMIFS(tbl_ledger[数量],tbl_ledger[ロットID],$B273,tbl_ledger[イベント種類],"不良発生"),
_xlpm.充当受入,SUMIFS(tbl_ledger[数量],tbl_ledger[充当先ロットID],$B273,tbl_ledger[イベント種類],"充当",tbl_ledger[元状態],M$1),
_xlpm.払出,SUMIFS(tbl_ledger[数量],tbl_ledger[ロットID],$B273,tbl_ledger[元状態],M$1),
_xlpm.受入+_xlpm.充当受入-_xlpm.払出))</f>
        <v/>
      </c>
      <c r="N273" s="8" t="str">
        <f t="shared" si="9"/>
        <v/>
      </c>
    </row>
    <row r="274" spans="1:14" ht="15" customHeight="1" x14ac:dyDescent="0.25">
      <c r="A274" s="4" t="str">
        <f t="shared" si="8"/>
        <v/>
      </c>
      <c r="B274" s="4" t="str">
        <f>IFERROR(IF(COUNTIF($B$1:$B273,INDEX(tbl_plan[ロットID],ROW()-1))&gt;0,"",INDEX(tbl_plan[ロットID],ROW()-1)),"")</f>
        <v/>
      </c>
      <c r="C274" s="4" t="str">
        <f>IF($B274="","",INDEX(tbl_plan[localId],ROW()-1))</f>
        <v/>
      </c>
      <c r="D274" s="8" t="str">
        <f>IF($B274="","",_xlfn.LET(
_xlpm.割当受入,SUMIF(V_充足確認!$A$2:$A$301,$B274,V_充足確認!$F$2:$F$301),
_xlpm.充当受入,SUMIFS(tbl_ledger[数量],tbl_ledger[充当先ロットID],$B274,tbl_ledger[イベント種類],"充当",tbl_ledger[元状態],D$1),
_xlpm.払出,SUMIFS(tbl_ledger[数量],tbl_ledger[ロットID],$B274,tbl_ledger[元状態],D$1),
_xlpm.割当受入+_xlpm.充当受入-_xlpm.払出))</f>
        <v/>
      </c>
      <c r="E274" s="8" t="str">
        <f>IF($B274="","",_xlfn.LET(
_xlpm.受入,SUMIFS(tbl_ledger[数量],tbl_ledger[ロットID],$B274,tbl_ledger[イベント種類],"アニール開始"),
_xlpm.充当受入,SUMIFS(tbl_ledger[数量],tbl_ledger[充当先ロットID],$B274,tbl_ledger[イベント種類],"充当",tbl_ledger[元状態],E$1),
_xlpm.払出,SUMIFS(tbl_ledger[数量],tbl_ledger[ロットID],$B274,tbl_ledger[元状態],E$1),
_xlpm.受入+_xlpm.充当受入-_xlpm.払出))</f>
        <v/>
      </c>
      <c r="F274" s="8" t="str">
        <f>IF($B274="","",_xlfn.LET(
_xlpm.受入,SUMIFS(tbl_ledger[数量],tbl_ledger[ロットID],$B274,tbl_ledger[イベント種類],"アニール完了"),
_xlpm.充当受入,SUMIFS(tbl_ledger[数量],tbl_ledger[充当先ロットID],$B274,tbl_ledger[イベント種類],"充当",tbl_ledger[元状態],F$1),
_xlpm.払出,SUMIFS(tbl_ledger[数量],tbl_ledger[ロットID],$B274,tbl_ledger[元状態],F$1),
_xlpm.受入+_xlpm.充当受入-_xlpm.払出))</f>
        <v/>
      </c>
      <c r="G274" s="8" t="str">
        <f>IF($B274="","",_xlfn.LET(
_xlpm.受入,SUMIFS(tbl_ledger[数量],tbl_ledger[ロットID],$B274,tbl_ledger[イベント種類],"アセンブリ開始"),
_xlpm.充当受入,SUMIFS(tbl_ledger[数量],tbl_ledger[充当先ロットID],$B274,tbl_ledger[イベント種類],"充当",tbl_ledger[元状態],G$1),
_xlpm.払出,SUMIFS(tbl_ledger[数量],tbl_ledger[ロットID],$B274,tbl_ledger[元状態],G$1),
_xlpm.受入+_xlpm.充当受入-_xlpm.払出))</f>
        <v/>
      </c>
      <c r="H274" s="8" t="str">
        <f>IF($B274="","",_xlfn.LET(
_xlpm.受入,SUMIFS(tbl_ledger[数量],tbl_ledger[ロットID],$B274,tbl_ledger[イベント種類],"アセンブリ完了"),
_xlpm.充当受入,SUMIFS(tbl_ledger[数量],tbl_ledger[充当先ロットID],$B274,tbl_ledger[イベント種類],"充当",tbl_ledger[元状態],H$1),
_xlpm.払出,SUMIFS(tbl_ledger[数量],tbl_ledger[ロットID],$B274,tbl_ledger[元状態],H$1),
_xlpm.受入+_xlpm.充当受入-_xlpm.払出))</f>
        <v/>
      </c>
      <c r="I274" s="8" t="str">
        <f>IF($B274="","",_xlfn.LET(
_xlpm.受入,SUMIFS(tbl_ledger[数量],tbl_ledger[ロットID],$B274,tbl_ledger[イベント種類],"梱包開始"),
_xlpm.充当受入,SUMIFS(tbl_ledger[数量],tbl_ledger[充当先ロットID],$B274,tbl_ledger[イベント種類],"充当",tbl_ledger[元状態],I$1),
_xlpm.払出,SUMIFS(tbl_ledger[数量],tbl_ledger[ロットID],$B274,tbl_ledger[元状態],I$1),
_xlpm.受入+_xlpm.充当受入-_xlpm.払出))</f>
        <v/>
      </c>
      <c r="J274" s="8" t="str">
        <f>IF($B274="","",_xlfn.LET(
_xlpm.受入,SUMIFS(tbl_ledger[数量],tbl_ledger[ロットID],$B274,tbl_ledger[イベント種類],"梱包完了"),
_xlpm.充当受入,SUMIFS(tbl_ledger[数量],tbl_ledger[充当先ロットID],$B274,tbl_ledger[イベント種類],"充当",tbl_ledger[元状態],J$1),
_xlpm.払出,SUMIFS(tbl_ledger[数量],tbl_ledger[ロットID],$B274,tbl_ledger[元状態],J$1),
_xlpm.受入+_xlpm.充当受入-_xlpm.払出))</f>
        <v/>
      </c>
      <c r="K274" s="8" t="str">
        <f>IF($B274="","",_xlfn.LET(
_xlpm.受入,SUMIFS(tbl_ledger[数量],tbl_ledger[ロットID],$B274,tbl_ledger[イベント種類],"発送準備開始"),
_xlpm.充当受入,SUMIFS(tbl_ledger[数量],tbl_ledger[充当先ロットID],$B274,tbl_ledger[イベント種類],"充当",tbl_ledger[元状態],K$1),
_xlpm.払出,SUMIFS(tbl_ledger[数量],tbl_ledger[ロットID],$B274,tbl_ledger[元状態],K$1),
_xlpm.受入+_xlpm.充当受入-_xlpm.払出))</f>
        <v/>
      </c>
      <c r="L274" s="8" t="str">
        <f>IF($B274="","",_xlfn.LET(
_xlpm.受入,SUMIFS(tbl_ledger[数量],tbl_ledger[ロットID],$B274,tbl_ledger[イベント種類],"発送準備完了"),
_xlpm.充当受入,SUMIFS(tbl_ledger[数量],tbl_ledger[充当先ロットID],$B274,tbl_ledger[イベント種類],"充当",tbl_ledger[元状態],L$1),
_xlpm.払出,SUMIFS(tbl_ledger[数量],tbl_ledger[ロットID],$B274,tbl_ledger[元状態],L$1),
_xlpm.受入+_xlpm.充当受入-_xlpm.払出))</f>
        <v/>
      </c>
      <c r="M274" s="8" t="str">
        <f>IF($B274="","",_xlfn.LET(
_xlpm.受入,SUMIFS(tbl_ledger[数量],tbl_ledger[ロットID],$B274,tbl_ledger[イベント種類],"不良発生"),
_xlpm.充当受入,SUMIFS(tbl_ledger[数量],tbl_ledger[充当先ロットID],$B274,tbl_ledger[イベント種類],"充当",tbl_ledger[元状態],M$1),
_xlpm.払出,SUMIFS(tbl_ledger[数量],tbl_ledger[ロットID],$B274,tbl_ledger[元状態],M$1),
_xlpm.受入+_xlpm.充当受入-_xlpm.払出))</f>
        <v/>
      </c>
      <c r="N274" s="8" t="str">
        <f t="shared" si="9"/>
        <v/>
      </c>
    </row>
    <row r="275" spans="1:14" ht="15" customHeight="1" x14ac:dyDescent="0.25">
      <c r="A275" s="4" t="str">
        <f t="shared" si="8"/>
        <v/>
      </c>
      <c r="B275" s="4" t="str">
        <f>IFERROR(IF(COUNTIF($B$1:$B274,INDEX(tbl_plan[ロットID],ROW()-1))&gt;0,"",INDEX(tbl_plan[ロットID],ROW()-1)),"")</f>
        <v/>
      </c>
      <c r="C275" s="4" t="str">
        <f>IF($B275="","",INDEX(tbl_plan[localId],ROW()-1))</f>
        <v/>
      </c>
      <c r="D275" s="8" t="str">
        <f>IF($B275="","",_xlfn.LET(
_xlpm.割当受入,SUMIF(V_充足確認!$A$2:$A$301,$B275,V_充足確認!$F$2:$F$301),
_xlpm.充当受入,SUMIFS(tbl_ledger[数量],tbl_ledger[充当先ロットID],$B275,tbl_ledger[イベント種類],"充当",tbl_ledger[元状態],D$1),
_xlpm.払出,SUMIFS(tbl_ledger[数量],tbl_ledger[ロットID],$B275,tbl_ledger[元状態],D$1),
_xlpm.割当受入+_xlpm.充当受入-_xlpm.払出))</f>
        <v/>
      </c>
      <c r="E275" s="8" t="str">
        <f>IF($B275="","",_xlfn.LET(
_xlpm.受入,SUMIFS(tbl_ledger[数量],tbl_ledger[ロットID],$B275,tbl_ledger[イベント種類],"アニール開始"),
_xlpm.充当受入,SUMIFS(tbl_ledger[数量],tbl_ledger[充当先ロットID],$B275,tbl_ledger[イベント種類],"充当",tbl_ledger[元状態],E$1),
_xlpm.払出,SUMIFS(tbl_ledger[数量],tbl_ledger[ロットID],$B275,tbl_ledger[元状態],E$1),
_xlpm.受入+_xlpm.充当受入-_xlpm.払出))</f>
        <v/>
      </c>
      <c r="F275" s="8" t="str">
        <f>IF($B275="","",_xlfn.LET(
_xlpm.受入,SUMIFS(tbl_ledger[数量],tbl_ledger[ロットID],$B275,tbl_ledger[イベント種類],"アニール完了"),
_xlpm.充当受入,SUMIFS(tbl_ledger[数量],tbl_ledger[充当先ロットID],$B275,tbl_ledger[イベント種類],"充当",tbl_ledger[元状態],F$1),
_xlpm.払出,SUMIFS(tbl_ledger[数量],tbl_ledger[ロットID],$B275,tbl_ledger[元状態],F$1),
_xlpm.受入+_xlpm.充当受入-_xlpm.払出))</f>
        <v/>
      </c>
      <c r="G275" s="8" t="str">
        <f>IF($B275="","",_xlfn.LET(
_xlpm.受入,SUMIFS(tbl_ledger[数量],tbl_ledger[ロットID],$B275,tbl_ledger[イベント種類],"アセンブリ開始"),
_xlpm.充当受入,SUMIFS(tbl_ledger[数量],tbl_ledger[充当先ロットID],$B275,tbl_ledger[イベント種類],"充当",tbl_ledger[元状態],G$1),
_xlpm.払出,SUMIFS(tbl_ledger[数量],tbl_ledger[ロットID],$B275,tbl_ledger[元状態],G$1),
_xlpm.受入+_xlpm.充当受入-_xlpm.払出))</f>
        <v/>
      </c>
      <c r="H275" s="8" t="str">
        <f>IF($B275="","",_xlfn.LET(
_xlpm.受入,SUMIFS(tbl_ledger[数量],tbl_ledger[ロットID],$B275,tbl_ledger[イベント種類],"アセンブリ完了"),
_xlpm.充当受入,SUMIFS(tbl_ledger[数量],tbl_ledger[充当先ロットID],$B275,tbl_ledger[イベント種類],"充当",tbl_ledger[元状態],H$1),
_xlpm.払出,SUMIFS(tbl_ledger[数量],tbl_ledger[ロットID],$B275,tbl_ledger[元状態],H$1),
_xlpm.受入+_xlpm.充当受入-_xlpm.払出))</f>
        <v/>
      </c>
      <c r="I275" s="8" t="str">
        <f>IF($B275="","",_xlfn.LET(
_xlpm.受入,SUMIFS(tbl_ledger[数量],tbl_ledger[ロットID],$B275,tbl_ledger[イベント種類],"梱包開始"),
_xlpm.充当受入,SUMIFS(tbl_ledger[数量],tbl_ledger[充当先ロットID],$B275,tbl_ledger[イベント種類],"充当",tbl_ledger[元状態],I$1),
_xlpm.払出,SUMIFS(tbl_ledger[数量],tbl_ledger[ロットID],$B275,tbl_ledger[元状態],I$1),
_xlpm.受入+_xlpm.充当受入-_xlpm.払出))</f>
        <v/>
      </c>
      <c r="J275" s="8" t="str">
        <f>IF($B275="","",_xlfn.LET(
_xlpm.受入,SUMIFS(tbl_ledger[数量],tbl_ledger[ロットID],$B275,tbl_ledger[イベント種類],"梱包完了"),
_xlpm.充当受入,SUMIFS(tbl_ledger[数量],tbl_ledger[充当先ロットID],$B275,tbl_ledger[イベント種類],"充当",tbl_ledger[元状態],J$1),
_xlpm.払出,SUMIFS(tbl_ledger[数量],tbl_ledger[ロットID],$B275,tbl_ledger[元状態],J$1),
_xlpm.受入+_xlpm.充当受入-_xlpm.払出))</f>
        <v/>
      </c>
      <c r="K275" s="8" t="str">
        <f>IF($B275="","",_xlfn.LET(
_xlpm.受入,SUMIFS(tbl_ledger[数量],tbl_ledger[ロットID],$B275,tbl_ledger[イベント種類],"発送準備開始"),
_xlpm.充当受入,SUMIFS(tbl_ledger[数量],tbl_ledger[充当先ロットID],$B275,tbl_ledger[イベント種類],"充当",tbl_ledger[元状態],K$1),
_xlpm.払出,SUMIFS(tbl_ledger[数量],tbl_ledger[ロットID],$B275,tbl_ledger[元状態],K$1),
_xlpm.受入+_xlpm.充当受入-_xlpm.払出))</f>
        <v/>
      </c>
      <c r="L275" s="8" t="str">
        <f>IF($B275="","",_xlfn.LET(
_xlpm.受入,SUMIFS(tbl_ledger[数量],tbl_ledger[ロットID],$B275,tbl_ledger[イベント種類],"発送準備完了"),
_xlpm.充当受入,SUMIFS(tbl_ledger[数量],tbl_ledger[充当先ロットID],$B275,tbl_ledger[イベント種類],"充当",tbl_ledger[元状態],L$1),
_xlpm.払出,SUMIFS(tbl_ledger[数量],tbl_ledger[ロットID],$B275,tbl_ledger[元状態],L$1),
_xlpm.受入+_xlpm.充当受入-_xlpm.払出))</f>
        <v/>
      </c>
      <c r="M275" s="8" t="str">
        <f>IF($B275="","",_xlfn.LET(
_xlpm.受入,SUMIFS(tbl_ledger[数量],tbl_ledger[ロットID],$B275,tbl_ledger[イベント種類],"不良発生"),
_xlpm.充当受入,SUMIFS(tbl_ledger[数量],tbl_ledger[充当先ロットID],$B275,tbl_ledger[イベント種類],"充当",tbl_ledger[元状態],M$1),
_xlpm.払出,SUMIFS(tbl_ledger[数量],tbl_ledger[ロットID],$B275,tbl_ledger[元状態],M$1),
_xlpm.受入+_xlpm.充当受入-_xlpm.払出))</f>
        <v/>
      </c>
      <c r="N275" s="8" t="str">
        <f t="shared" si="9"/>
        <v/>
      </c>
    </row>
    <row r="276" spans="1:14" ht="15" customHeight="1" x14ac:dyDescent="0.25">
      <c r="A276" s="4" t="str">
        <f t="shared" si="8"/>
        <v/>
      </c>
      <c r="B276" s="4" t="str">
        <f>IFERROR(IF(COUNTIF($B$1:$B275,INDEX(tbl_plan[ロットID],ROW()-1))&gt;0,"",INDEX(tbl_plan[ロットID],ROW()-1)),"")</f>
        <v/>
      </c>
      <c r="C276" s="4" t="str">
        <f>IF($B276="","",INDEX(tbl_plan[localId],ROW()-1))</f>
        <v/>
      </c>
      <c r="D276" s="8" t="str">
        <f>IF($B276="","",_xlfn.LET(
_xlpm.割当受入,SUMIF(V_充足確認!$A$2:$A$301,$B276,V_充足確認!$F$2:$F$301),
_xlpm.充当受入,SUMIFS(tbl_ledger[数量],tbl_ledger[充当先ロットID],$B276,tbl_ledger[イベント種類],"充当",tbl_ledger[元状態],D$1),
_xlpm.払出,SUMIFS(tbl_ledger[数量],tbl_ledger[ロットID],$B276,tbl_ledger[元状態],D$1),
_xlpm.割当受入+_xlpm.充当受入-_xlpm.払出))</f>
        <v/>
      </c>
      <c r="E276" s="8" t="str">
        <f>IF($B276="","",_xlfn.LET(
_xlpm.受入,SUMIFS(tbl_ledger[数量],tbl_ledger[ロットID],$B276,tbl_ledger[イベント種類],"アニール開始"),
_xlpm.充当受入,SUMIFS(tbl_ledger[数量],tbl_ledger[充当先ロットID],$B276,tbl_ledger[イベント種類],"充当",tbl_ledger[元状態],E$1),
_xlpm.払出,SUMIFS(tbl_ledger[数量],tbl_ledger[ロットID],$B276,tbl_ledger[元状態],E$1),
_xlpm.受入+_xlpm.充当受入-_xlpm.払出))</f>
        <v/>
      </c>
      <c r="F276" s="8" t="str">
        <f>IF($B276="","",_xlfn.LET(
_xlpm.受入,SUMIFS(tbl_ledger[数量],tbl_ledger[ロットID],$B276,tbl_ledger[イベント種類],"アニール完了"),
_xlpm.充当受入,SUMIFS(tbl_ledger[数量],tbl_ledger[充当先ロットID],$B276,tbl_ledger[イベント種類],"充当",tbl_ledger[元状態],F$1),
_xlpm.払出,SUMIFS(tbl_ledger[数量],tbl_ledger[ロットID],$B276,tbl_ledger[元状態],F$1),
_xlpm.受入+_xlpm.充当受入-_xlpm.払出))</f>
        <v/>
      </c>
      <c r="G276" s="8" t="str">
        <f>IF($B276="","",_xlfn.LET(
_xlpm.受入,SUMIFS(tbl_ledger[数量],tbl_ledger[ロットID],$B276,tbl_ledger[イベント種類],"アセンブリ開始"),
_xlpm.充当受入,SUMIFS(tbl_ledger[数量],tbl_ledger[充当先ロットID],$B276,tbl_ledger[イベント種類],"充当",tbl_ledger[元状態],G$1),
_xlpm.払出,SUMIFS(tbl_ledger[数量],tbl_ledger[ロットID],$B276,tbl_ledger[元状態],G$1),
_xlpm.受入+_xlpm.充当受入-_xlpm.払出))</f>
        <v/>
      </c>
      <c r="H276" s="8" t="str">
        <f>IF($B276="","",_xlfn.LET(
_xlpm.受入,SUMIFS(tbl_ledger[数量],tbl_ledger[ロットID],$B276,tbl_ledger[イベント種類],"アセンブリ完了"),
_xlpm.充当受入,SUMIFS(tbl_ledger[数量],tbl_ledger[充当先ロットID],$B276,tbl_ledger[イベント種類],"充当",tbl_ledger[元状態],H$1),
_xlpm.払出,SUMIFS(tbl_ledger[数量],tbl_ledger[ロットID],$B276,tbl_ledger[元状態],H$1),
_xlpm.受入+_xlpm.充当受入-_xlpm.払出))</f>
        <v/>
      </c>
      <c r="I276" s="8" t="str">
        <f>IF($B276="","",_xlfn.LET(
_xlpm.受入,SUMIFS(tbl_ledger[数量],tbl_ledger[ロットID],$B276,tbl_ledger[イベント種類],"梱包開始"),
_xlpm.充当受入,SUMIFS(tbl_ledger[数量],tbl_ledger[充当先ロットID],$B276,tbl_ledger[イベント種類],"充当",tbl_ledger[元状態],I$1),
_xlpm.払出,SUMIFS(tbl_ledger[数量],tbl_ledger[ロットID],$B276,tbl_ledger[元状態],I$1),
_xlpm.受入+_xlpm.充当受入-_xlpm.払出))</f>
        <v/>
      </c>
      <c r="J276" s="8" t="str">
        <f>IF($B276="","",_xlfn.LET(
_xlpm.受入,SUMIFS(tbl_ledger[数量],tbl_ledger[ロットID],$B276,tbl_ledger[イベント種類],"梱包完了"),
_xlpm.充当受入,SUMIFS(tbl_ledger[数量],tbl_ledger[充当先ロットID],$B276,tbl_ledger[イベント種類],"充当",tbl_ledger[元状態],J$1),
_xlpm.払出,SUMIFS(tbl_ledger[数量],tbl_ledger[ロットID],$B276,tbl_ledger[元状態],J$1),
_xlpm.受入+_xlpm.充当受入-_xlpm.払出))</f>
        <v/>
      </c>
      <c r="K276" s="8" t="str">
        <f>IF($B276="","",_xlfn.LET(
_xlpm.受入,SUMIFS(tbl_ledger[数量],tbl_ledger[ロットID],$B276,tbl_ledger[イベント種類],"発送準備開始"),
_xlpm.充当受入,SUMIFS(tbl_ledger[数量],tbl_ledger[充当先ロットID],$B276,tbl_ledger[イベント種類],"充当",tbl_ledger[元状態],K$1),
_xlpm.払出,SUMIFS(tbl_ledger[数量],tbl_ledger[ロットID],$B276,tbl_ledger[元状態],K$1),
_xlpm.受入+_xlpm.充当受入-_xlpm.払出))</f>
        <v/>
      </c>
      <c r="L276" s="8" t="str">
        <f>IF($B276="","",_xlfn.LET(
_xlpm.受入,SUMIFS(tbl_ledger[数量],tbl_ledger[ロットID],$B276,tbl_ledger[イベント種類],"発送準備完了"),
_xlpm.充当受入,SUMIFS(tbl_ledger[数量],tbl_ledger[充当先ロットID],$B276,tbl_ledger[イベント種類],"充当",tbl_ledger[元状態],L$1),
_xlpm.払出,SUMIFS(tbl_ledger[数量],tbl_ledger[ロットID],$B276,tbl_ledger[元状態],L$1),
_xlpm.受入+_xlpm.充当受入-_xlpm.払出))</f>
        <v/>
      </c>
      <c r="M276" s="8" t="str">
        <f>IF($B276="","",_xlfn.LET(
_xlpm.受入,SUMIFS(tbl_ledger[数量],tbl_ledger[ロットID],$B276,tbl_ledger[イベント種類],"不良発生"),
_xlpm.充当受入,SUMIFS(tbl_ledger[数量],tbl_ledger[充当先ロットID],$B276,tbl_ledger[イベント種類],"充当",tbl_ledger[元状態],M$1),
_xlpm.払出,SUMIFS(tbl_ledger[数量],tbl_ledger[ロットID],$B276,tbl_ledger[元状態],M$1),
_xlpm.受入+_xlpm.充当受入-_xlpm.払出))</f>
        <v/>
      </c>
      <c r="N276" s="8" t="str">
        <f t="shared" si="9"/>
        <v/>
      </c>
    </row>
    <row r="277" spans="1:14" ht="15" customHeight="1" x14ac:dyDescent="0.25">
      <c r="A277" s="4" t="str">
        <f t="shared" si="8"/>
        <v/>
      </c>
      <c r="B277" s="4" t="str">
        <f>IFERROR(IF(COUNTIF($B$1:$B276,INDEX(tbl_plan[ロットID],ROW()-1))&gt;0,"",INDEX(tbl_plan[ロットID],ROW()-1)),"")</f>
        <v/>
      </c>
      <c r="C277" s="4" t="str">
        <f>IF($B277="","",INDEX(tbl_plan[localId],ROW()-1))</f>
        <v/>
      </c>
      <c r="D277" s="8" t="str">
        <f>IF($B277="","",_xlfn.LET(
_xlpm.割当受入,SUMIF(V_充足確認!$A$2:$A$301,$B277,V_充足確認!$F$2:$F$301),
_xlpm.充当受入,SUMIFS(tbl_ledger[数量],tbl_ledger[充当先ロットID],$B277,tbl_ledger[イベント種類],"充当",tbl_ledger[元状態],D$1),
_xlpm.払出,SUMIFS(tbl_ledger[数量],tbl_ledger[ロットID],$B277,tbl_ledger[元状態],D$1),
_xlpm.割当受入+_xlpm.充当受入-_xlpm.払出))</f>
        <v/>
      </c>
      <c r="E277" s="8" t="str">
        <f>IF($B277="","",_xlfn.LET(
_xlpm.受入,SUMIFS(tbl_ledger[数量],tbl_ledger[ロットID],$B277,tbl_ledger[イベント種類],"アニール開始"),
_xlpm.充当受入,SUMIFS(tbl_ledger[数量],tbl_ledger[充当先ロットID],$B277,tbl_ledger[イベント種類],"充当",tbl_ledger[元状態],E$1),
_xlpm.払出,SUMIFS(tbl_ledger[数量],tbl_ledger[ロットID],$B277,tbl_ledger[元状態],E$1),
_xlpm.受入+_xlpm.充当受入-_xlpm.払出))</f>
        <v/>
      </c>
      <c r="F277" s="8" t="str">
        <f>IF($B277="","",_xlfn.LET(
_xlpm.受入,SUMIFS(tbl_ledger[数量],tbl_ledger[ロットID],$B277,tbl_ledger[イベント種類],"アニール完了"),
_xlpm.充当受入,SUMIFS(tbl_ledger[数量],tbl_ledger[充当先ロットID],$B277,tbl_ledger[イベント種類],"充当",tbl_ledger[元状態],F$1),
_xlpm.払出,SUMIFS(tbl_ledger[数量],tbl_ledger[ロットID],$B277,tbl_ledger[元状態],F$1),
_xlpm.受入+_xlpm.充当受入-_xlpm.払出))</f>
        <v/>
      </c>
      <c r="G277" s="8" t="str">
        <f>IF($B277="","",_xlfn.LET(
_xlpm.受入,SUMIFS(tbl_ledger[数量],tbl_ledger[ロットID],$B277,tbl_ledger[イベント種類],"アセンブリ開始"),
_xlpm.充当受入,SUMIFS(tbl_ledger[数量],tbl_ledger[充当先ロットID],$B277,tbl_ledger[イベント種類],"充当",tbl_ledger[元状態],G$1),
_xlpm.払出,SUMIFS(tbl_ledger[数量],tbl_ledger[ロットID],$B277,tbl_ledger[元状態],G$1),
_xlpm.受入+_xlpm.充当受入-_xlpm.払出))</f>
        <v/>
      </c>
      <c r="H277" s="8" t="str">
        <f>IF($B277="","",_xlfn.LET(
_xlpm.受入,SUMIFS(tbl_ledger[数量],tbl_ledger[ロットID],$B277,tbl_ledger[イベント種類],"アセンブリ完了"),
_xlpm.充当受入,SUMIFS(tbl_ledger[数量],tbl_ledger[充当先ロットID],$B277,tbl_ledger[イベント種類],"充当",tbl_ledger[元状態],H$1),
_xlpm.払出,SUMIFS(tbl_ledger[数量],tbl_ledger[ロットID],$B277,tbl_ledger[元状態],H$1),
_xlpm.受入+_xlpm.充当受入-_xlpm.払出))</f>
        <v/>
      </c>
      <c r="I277" s="8" t="str">
        <f>IF($B277="","",_xlfn.LET(
_xlpm.受入,SUMIFS(tbl_ledger[数量],tbl_ledger[ロットID],$B277,tbl_ledger[イベント種類],"梱包開始"),
_xlpm.充当受入,SUMIFS(tbl_ledger[数量],tbl_ledger[充当先ロットID],$B277,tbl_ledger[イベント種類],"充当",tbl_ledger[元状態],I$1),
_xlpm.払出,SUMIFS(tbl_ledger[数量],tbl_ledger[ロットID],$B277,tbl_ledger[元状態],I$1),
_xlpm.受入+_xlpm.充当受入-_xlpm.払出))</f>
        <v/>
      </c>
      <c r="J277" s="8" t="str">
        <f>IF($B277="","",_xlfn.LET(
_xlpm.受入,SUMIFS(tbl_ledger[数量],tbl_ledger[ロットID],$B277,tbl_ledger[イベント種類],"梱包完了"),
_xlpm.充当受入,SUMIFS(tbl_ledger[数量],tbl_ledger[充当先ロットID],$B277,tbl_ledger[イベント種類],"充当",tbl_ledger[元状態],J$1),
_xlpm.払出,SUMIFS(tbl_ledger[数量],tbl_ledger[ロットID],$B277,tbl_ledger[元状態],J$1),
_xlpm.受入+_xlpm.充当受入-_xlpm.払出))</f>
        <v/>
      </c>
      <c r="K277" s="8" t="str">
        <f>IF($B277="","",_xlfn.LET(
_xlpm.受入,SUMIFS(tbl_ledger[数量],tbl_ledger[ロットID],$B277,tbl_ledger[イベント種類],"発送準備開始"),
_xlpm.充当受入,SUMIFS(tbl_ledger[数量],tbl_ledger[充当先ロットID],$B277,tbl_ledger[イベント種類],"充当",tbl_ledger[元状態],K$1),
_xlpm.払出,SUMIFS(tbl_ledger[数量],tbl_ledger[ロットID],$B277,tbl_ledger[元状態],K$1),
_xlpm.受入+_xlpm.充当受入-_xlpm.払出))</f>
        <v/>
      </c>
      <c r="L277" s="8" t="str">
        <f>IF($B277="","",_xlfn.LET(
_xlpm.受入,SUMIFS(tbl_ledger[数量],tbl_ledger[ロットID],$B277,tbl_ledger[イベント種類],"発送準備完了"),
_xlpm.充当受入,SUMIFS(tbl_ledger[数量],tbl_ledger[充当先ロットID],$B277,tbl_ledger[イベント種類],"充当",tbl_ledger[元状態],L$1),
_xlpm.払出,SUMIFS(tbl_ledger[数量],tbl_ledger[ロットID],$B277,tbl_ledger[元状態],L$1),
_xlpm.受入+_xlpm.充当受入-_xlpm.払出))</f>
        <v/>
      </c>
      <c r="M277" s="8" t="str">
        <f>IF($B277="","",_xlfn.LET(
_xlpm.受入,SUMIFS(tbl_ledger[数量],tbl_ledger[ロットID],$B277,tbl_ledger[イベント種類],"不良発生"),
_xlpm.充当受入,SUMIFS(tbl_ledger[数量],tbl_ledger[充当先ロットID],$B277,tbl_ledger[イベント種類],"充当",tbl_ledger[元状態],M$1),
_xlpm.払出,SUMIFS(tbl_ledger[数量],tbl_ledger[ロットID],$B277,tbl_ledger[元状態],M$1),
_xlpm.受入+_xlpm.充当受入-_xlpm.払出))</f>
        <v/>
      </c>
      <c r="N277" s="8" t="str">
        <f t="shared" si="9"/>
        <v/>
      </c>
    </row>
    <row r="278" spans="1:14" ht="15" customHeight="1" x14ac:dyDescent="0.25">
      <c r="A278" s="4" t="str">
        <f t="shared" si="8"/>
        <v/>
      </c>
      <c r="B278" s="4" t="str">
        <f>IFERROR(IF(COUNTIF($B$1:$B277,INDEX(tbl_plan[ロットID],ROW()-1))&gt;0,"",INDEX(tbl_plan[ロットID],ROW()-1)),"")</f>
        <v/>
      </c>
      <c r="C278" s="4" t="str">
        <f>IF($B278="","",INDEX(tbl_plan[localId],ROW()-1))</f>
        <v/>
      </c>
      <c r="D278" s="8" t="str">
        <f>IF($B278="","",_xlfn.LET(
_xlpm.割当受入,SUMIF(V_充足確認!$A$2:$A$301,$B278,V_充足確認!$F$2:$F$301),
_xlpm.充当受入,SUMIFS(tbl_ledger[数量],tbl_ledger[充当先ロットID],$B278,tbl_ledger[イベント種類],"充当",tbl_ledger[元状態],D$1),
_xlpm.払出,SUMIFS(tbl_ledger[数量],tbl_ledger[ロットID],$B278,tbl_ledger[元状態],D$1),
_xlpm.割当受入+_xlpm.充当受入-_xlpm.払出))</f>
        <v/>
      </c>
      <c r="E278" s="8" t="str">
        <f>IF($B278="","",_xlfn.LET(
_xlpm.受入,SUMIFS(tbl_ledger[数量],tbl_ledger[ロットID],$B278,tbl_ledger[イベント種類],"アニール開始"),
_xlpm.充当受入,SUMIFS(tbl_ledger[数量],tbl_ledger[充当先ロットID],$B278,tbl_ledger[イベント種類],"充当",tbl_ledger[元状態],E$1),
_xlpm.払出,SUMIFS(tbl_ledger[数量],tbl_ledger[ロットID],$B278,tbl_ledger[元状態],E$1),
_xlpm.受入+_xlpm.充当受入-_xlpm.払出))</f>
        <v/>
      </c>
      <c r="F278" s="8" t="str">
        <f>IF($B278="","",_xlfn.LET(
_xlpm.受入,SUMIFS(tbl_ledger[数量],tbl_ledger[ロットID],$B278,tbl_ledger[イベント種類],"アニール完了"),
_xlpm.充当受入,SUMIFS(tbl_ledger[数量],tbl_ledger[充当先ロットID],$B278,tbl_ledger[イベント種類],"充当",tbl_ledger[元状態],F$1),
_xlpm.払出,SUMIFS(tbl_ledger[数量],tbl_ledger[ロットID],$B278,tbl_ledger[元状態],F$1),
_xlpm.受入+_xlpm.充当受入-_xlpm.払出))</f>
        <v/>
      </c>
      <c r="G278" s="8" t="str">
        <f>IF($B278="","",_xlfn.LET(
_xlpm.受入,SUMIFS(tbl_ledger[数量],tbl_ledger[ロットID],$B278,tbl_ledger[イベント種類],"アセンブリ開始"),
_xlpm.充当受入,SUMIFS(tbl_ledger[数量],tbl_ledger[充当先ロットID],$B278,tbl_ledger[イベント種類],"充当",tbl_ledger[元状態],G$1),
_xlpm.払出,SUMIFS(tbl_ledger[数量],tbl_ledger[ロットID],$B278,tbl_ledger[元状態],G$1),
_xlpm.受入+_xlpm.充当受入-_xlpm.払出))</f>
        <v/>
      </c>
      <c r="H278" s="8" t="str">
        <f>IF($B278="","",_xlfn.LET(
_xlpm.受入,SUMIFS(tbl_ledger[数量],tbl_ledger[ロットID],$B278,tbl_ledger[イベント種類],"アセンブリ完了"),
_xlpm.充当受入,SUMIFS(tbl_ledger[数量],tbl_ledger[充当先ロットID],$B278,tbl_ledger[イベント種類],"充当",tbl_ledger[元状態],H$1),
_xlpm.払出,SUMIFS(tbl_ledger[数量],tbl_ledger[ロットID],$B278,tbl_ledger[元状態],H$1),
_xlpm.受入+_xlpm.充当受入-_xlpm.払出))</f>
        <v/>
      </c>
      <c r="I278" s="8" t="str">
        <f>IF($B278="","",_xlfn.LET(
_xlpm.受入,SUMIFS(tbl_ledger[数量],tbl_ledger[ロットID],$B278,tbl_ledger[イベント種類],"梱包開始"),
_xlpm.充当受入,SUMIFS(tbl_ledger[数量],tbl_ledger[充当先ロットID],$B278,tbl_ledger[イベント種類],"充当",tbl_ledger[元状態],I$1),
_xlpm.払出,SUMIFS(tbl_ledger[数量],tbl_ledger[ロットID],$B278,tbl_ledger[元状態],I$1),
_xlpm.受入+_xlpm.充当受入-_xlpm.払出))</f>
        <v/>
      </c>
      <c r="J278" s="8" t="str">
        <f>IF($B278="","",_xlfn.LET(
_xlpm.受入,SUMIFS(tbl_ledger[数量],tbl_ledger[ロットID],$B278,tbl_ledger[イベント種類],"梱包完了"),
_xlpm.充当受入,SUMIFS(tbl_ledger[数量],tbl_ledger[充当先ロットID],$B278,tbl_ledger[イベント種類],"充当",tbl_ledger[元状態],J$1),
_xlpm.払出,SUMIFS(tbl_ledger[数量],tbl_ledger[ロットID],$B278,tbl_ledger[元状態],J$1),
_xlpm.受入+_xlpm.充当受入-_xlpm.払出))</f>
        <v/>
      </c>
      <c r="K278" s="8" t="str">
        <f>IF($B278="","",_xlfn.LET(
_xlpm.受入,SUMIFS(tbl_ledger[数量],tbl_ledger[ロットID],$B278,tbl_ledger[イベント種類],"発送準備開始"),
_xlpm.充当受入,SUMIFS(tbl_ledger[数量],tbl_ledger[充当先ロットID],$B278,tbl_ledger[イベント種類],"充当",tbl_ledger[元状態],K$1),
_xlpm.払出,SUMIFS(tbl_ledger[数量],tbl_ledger[ロットID],$B278,tbl_ledger[元状態],K$1),
_xlpm.受入+_xlpm.充当受入-_xlpm.払出))</f>
        <v/>
      </c>
      <c r="L278" s="8" t="str">
        <f>IF($B278="","",_xlfn.LET(
_xlpm.受入,SUMIFS(tbl_ledger[数量],tbl_ledger[ロットID],$B278,tbl_ledger[イベント種類],"発送準備完了"),
_xlpm.充当受入,SUMIFS(tbl_ledger[数量],tbl_ledger[充当先ロットID],$B278,tbl_ledger[イベント種類],"充当",tbl_ledger[元状態],L$1),
_xlpm.払出,SUMIFS(tbl_ledger[数量],tbl_ledger[ロットID],$B278,tbl_ledger[元状態],L$1),
_xlpm.受入+_xlpm.充当受入-_xlpm.払出))</f>
        <v/>
      </c>
      <c r="M278" s="8" t="str">
        <f>IF($B278="","",_xlfn.LET(
_xlpm.受入,SUMIFS(tbl_ledger[数量],tbl_ledger[ロットID],$B278,tbl_ledger[イベント種類],"不良発生"),
_xlpm.充当受入,SUMIFS(tbl_ledger[数量],tbl_ledger[充当先ロットID],$B278,tbl_ledger[イベント種類],"充当",tbl_ledger[元状態],M$1),
_xlpm.払出,SUMIFS(tbl_ledger[数量],tbl_ledger[ロットID],$B278,tbl_ledger[元状態],M$1),
_xlpm.受入+_xlpm.充当受入-_xlpm.払出))</f>
        <v/>
      </c>
      <c r="N278" s="8" t="str">
        <f t="shared" si="9"/>
        <v/>
      </c>
    </row>
    <row r="279" spans="1:14" ht="15" customHeight="1" x14ac:dyDescent="0.25">
      <c r="A279" s="4" t="str">
        <f t="shared" si="8"/>
        <v/>
      </c>
      <c r="B279" s="4" t="str">
        <f>IFERROR(IF(COUNTIF($B$1:$B278,INDEX(tbl_plan[ロットID],ROW()-1))&gt;0,"",INDEX(tbl_plan[ロットID],ROW()-1)),"")</f>
        <v/>
      </c>
      <c r="C279" s="4" t="str">
        <f>IF($B279="","",INDEX(tbl_plan[localId],ROW()-1))</f>
        <v/>
      </c>
      <c r="D279" s="8" t="str">
        <f>IF($B279="","",_xlfn.LET(
_xlpm.割当受入,SUMIF(V_充足確認!$A$2:$A$301,$B279,V_充足確認!$F$2:$F$301),
_xlpm.充当受入,SUMIFS(tbl_ledger[数量],tbl_ledger[充当先ロットID],$B279,tbl_ledger[イベント種類],"充当",tbl_ledger[元状態],D$1),
_xlpm.払出,SUMIFS(tbl_ledger[数量],tbl_ledger[ロットID],$B279,tbl_ledger[元状態],D$1),
_xlpm.割当受入+_xlpm.充当受入-_xlpm.払出))</f>
        <v/>
      </c>
      <c r="E279" s="8" t="str">
        <f>IF($B279="","",_xlfn.LET(
_xlpm.受入,SUMIFS(tbl_ledger[数量],tbl_ledger[ロットID],$B279,tbl_ledger[イベント種類],"アニール開始"),
_xlpm.充当受入,SUMIFS(tbl_ledger[数量],tbl_ledger[充当先ロットID],$B279,tbl_ledger[イベント種類],"充当",tbl_ledger[元状態],E$1),
_xlpm.払出,SUMIFS(tbl_ledger[数量],tbl_ledger[ロットID],$B279,tbl_ledger[元状態],E$1),
_xlpm.受入+_xlpm.充当受入-_xlpm.払出))</f>
        <v/>
      </c>
      <c r="F279" s="8" t="str">
        <f>IF($B279="","",_xlfn.LET(
_xlpm.受入,SUMIFS(tbl_ledger[数量],tbl_ledger[ロットID],$B279,tbl_ledger[イベント種類],"アニール完了"),
_xlpm.充当受入,SUMIFS(tbl_ledger[数量],tbl_ledger[充当先ロットID],$B279,tbl_ledger[イベント種類],"充当",tbl_ledger[元状態],F$1),
_xlpm.払出,SUMIFS(tbl_ledger[数量],tbl_ledger[ロットID],$B279,tbl_ledger[元状態],F$1),
_xlpm.受入+_xlpm.充当受入-_xlpm.払出))</f>
        <v/>
      </c>
      <c r="G279" s="8" t="str">
        <f>IF($B279="","",_xlfn.LET(
_xlpm.受入,SUMIFS(tbl_ledger[数量],tbl_ledger[ロットID],$B279,tbl_ledger[イベント種類],"アセンブリ開始"),
_xlpm.充当受入,SUMIFS(tbl_ledger[数量],tbl_ledger[充当先ロットID],$B279,tbl_ledger[イベント種類],"充当",tbl_ledger[元状態],G$1),
_xlpm.払出,SUMIFS(tbl_ledger[数量],tbl_ledger[ロットID],$B279,tbl_ledger[元状態],G$1),
_xlpm.受入+_xlpm.充当受入-_xlpm.払出))</f>
        <v/>
      </c>
      <c r="H279" s="8" t="str">
        <f>IF($B279="","",_xlfn.LET(
_xlpm.受入,SUMIFS(tbl_ledger[数量],tbl_ledger[ロットID],$B279,tbl_ledger[イベント種類],"アセンブリ完了"),
_xlpm.充当受入,SUMIFS(tbl_ledger[数量],tbl_ledger[充当先ロットID],$B279,tbl_ledger[イベント種類],"充当",tbl_ledger[元状態],H$1),
_xlpm.払出,SUMIFS(tbl_ledger[数量],tbl_ledger[ロットID],$B279,tbl_ledger[元状態],H$1),
_xlpm.受入+_xlpm.充当受入-_xlpm.払出))</f>
        <v/>
      </c>
      <c r="I279" s="8" t="str">
        <f>IF($B279="","",_xlfn.LET(
_xlpm.受入,SUMIFS(tbl_ledger[数量],tbl_ledger[ロットID],$B279,tbl_ledger[イベント種類],"梱包開始"),
_xlpm.充当受入,SUMIFS(tbl_ledger[数量],tbl_ledger[充当先ロットID],$B279,tbl_ledger[イベント種類],"充当",tbl_ledger[元状態],I$1),
_xlpm.払出,SUMIFS(tbl_ledger[数量],tbl_ledger[ロットID],$B279,tbl_ledger[元状態],I$1),
_xlpm.受入+_xlpm.充当受入-_xlpm.払出))</f>
        <v/>
      </c>
      <c r="J279" s="8" t="str">
        <f>IF($B279="","",_xlfn.LET(
_xlpm.受入,SUMIFS(tbl_ledger[数量],tbl_ledger[ロットID],$B279,tbl_ledger[イベント種類],"梱包完了"),
_xlpm.充当受入,SUMIFS(tbl_ledger[数量],tbl_ledger[充当先ロットID],$B279,tbl_ledger[イベント種類],"充当",tbl_ledger[元状態],J$1),
_xlpm.払出,SUMIFS(tbl_ledger[数量],tbl_ledger[ロットID],$B279,tbl_ledger[元状態],J$1),
_xlpm.受入+_xlpm.充当受入-_xlpm.払出))</f>
        <v/>
      </c>
      <c r="K279" s="8" t="str">
        <f>IF($B279="","",_xlfn.LET(
_xlpm.受入,SUMIFS(tbl_ledger[数量],tbl_ledger[ロットID],$B279,tbl_ledger[イベント種類],"発送準備開始"),
_xlpm.充当受入,SUMIFS(tbl_ledger[数量],tbl_ledger[充当先ロットID],$B279,tbl_ledger[イベント種類],"充当",tbl_ledger[元状態],K$1),
_xlpm.払出,SUMIFS(tbl_ledger[数量],tbl_ledger[ロットID],$B279,tbl_ledger[元状態],K$1),
_xlpm.受入+_xlpm.充当受入-_xlpm.払出))</f>
        <v/>
      </c>
      <c r="L279" s="8" t="str">
        <f>IF($B279="","",_xlfn.LET(
_xlpm.受入,SUMIFS(tbl_ledger[数量],tbl_ledger[ロットID],$B279,tbl_ledger[イベント種類],"発送準備完了"),
_xlpm.充当受入,SUMIFS(tbl_ledger[数量],tbl_ledger[充当先ロットID],$B279,tbl_ledger[イベント種類],"充当",tbl_ledger[元状態],L$1),
_xlpm.払出,SUMIFS(tbl_ledger[数量],tbl_ledger[ロットID],$B279,tbl_ledger[元状態],L$1),
_xlpm.受入+_xlpm.充当受入-_xlpm.払出))</f>
        <v/>
      </c>
      <c r="M279" s="8" t="str">
        <f>IF($B279="","",_xlfn.LET(
_xlpm.受入,SUMIFS(tbl_ledger[数量],tbl_ledger[ロットID],$B279,tbl_ledger[イベント種類],"不良発生"),
_xlpm.充当受入,SUMIFS(tbl_ledger[数量],tbl_ledger[充当先ロットID],$B279,tbl_ledger[イベント種類],"充当",tbl_ledger[元状態],M$1),
_xlpm.払出,SUMIFS(tbl_ledger[数量],tbl_ledger[ロットID],$B279,tbl_ledger[元状態],M$1),
_xlpm.受入+_xlpm.充当受入-_xlpm.払出))</f>
        <v/>
      </c>
      <c r="N279" s="8" t="str">
        <f t="shared" si="9"/>
        <v/>
      </c>
    </row>
    <row r="280" spans="1:14" ht="15" customHeight="1" x14ac:dyDescent="0.25">
      <c r="A280" s="4" t="str">
        <f t="shared" si="8"/>
        <v/>
      </c>
      <c r="B280" s="4" t="str">
        <f>IFERROR(IF(COUNTIF($B$1:$B279,INDEX(tbl_plan[ロットID],ROW()-1))&gt;0,"",INDEX(tbl_plan[ロットID],ROW()-1)),"")</f>
        <v/>
      </c>
      <c r="C280" s="4" t="str">
        <f>IF($B280="","",INDEX(tbl_plan[localId],ROW()-1))</f>
        <v/>
      </c>
      <c r="D280" s="8" t="str">
        <f>IF($B280="","",_xlfn.LET(
_xlpm.割当受入,SUMIF(V_充足確認!$A$2:$A$301,$B280,V_充足確認!$F$2:$F$301),
_xlpm.充当受入,SUMIFS(tbl_ledger[数量],tbl_ledger[充当先ロットID],$B280,tbl_ledger[イベント種類],"充当",tbl_ledger[元状態],D$1),
_xlpm.払出,SUMIFS(tbl_ledger[数量],tbl_ledger[ロットID],$B280,tbl_ledger[元状態],D$1),
_xlpm.割当受入+_xlpm.充当受入-_xlpm.払出))</f>
        <v/>
      </c>
      <c r="E280" s="8" t="str">
        <f>IF($B280="","",_xlfn.LET(
_xlpm.受入,SUMIFS(tbl_ledger[数量],tbl_ledger[ロットID],$B280,tbl_ledger[イベント種類],"アニール開始"),
_xlpm.充当受入,SUMIFS(tbl_ledger[数量],tbl_ledger[充当先ロットID],$B280,tbl_ledger[イベント種類],"充当",tbl_ledger[元状態],E$1),
_xlpm.払出,SUMIFS(tbl_ledger[数量],tbl_ledger[ロットID],$B280,tbl_ledger[元状態],E$1),
_xlpm.受入+_xlpm.充当受入-_xlpm.払出))</f>
        <v/>
      </c>
      <c r="F280" s="8" t="str">
        <f>IF($B280="","",_xlfn.LET(
_xlpm.受入,SUMIFS(tbl_ledger[数量],tbl_ledger[ロットID],$B280,tbl_ledger[イベント種類],"アニール完了"),
_xlpm.充当受入,SUMIFS(tbl_ledger[数量],tbl_ledger[充当先ロットID],$B280,tbl_ledger[イベント種類],"充当",tbl_ledger[元状態],F$1),
_xlpm.払出,SUMIFS(tbl_ledger[数量],tbl_ledger[ロットID],$B280,tbl_ledger[元状態],F$1),
_xlpm.受入+_xlpm.充当受入-_xlpm.払出))</f>
        <v/>
      </c>
      <c r="G280" s="8" t="str">
        <f>IF($B280="","",_xlfn.LET(
_xlpm.受入,SUMIFS(tbl_ledger[数量],tbl_ledger[ロットID],$B280,tbl_ledger[イベント種類],"アセンブリ開始"),
_xlpm.充当受入,SUMIFS(tbl_ledger[数量],tbl_ledger[充当先ロットID],$B280,tbl_ledger[イベント種類],"充当",tbl_ledger[元状態],G$1),
_xlpm.払出,SUMIFS(tbl_ledger[数量],tbl_ledger[ロットID],$B280,tbl_ledger[元状態],G$1),
_xlpm.受入+_xlpm.充当受入-_xlpm.払出))</f>
        <v/>
      </c>
      <c r="H280" s="8" t="str">
        <f>IF($B280="","",_xlfn.LET(
_xlpm.受入,SUMIFS(tbl_ledger[数量],tbl_ledger[ロットID],$B280,tbl_ledger[イベント種類],"アセンブリ完了"),
_xlpm.充当受入,SUMIFS(tbl_ledger[数量],tbl_ledger[充当先ロットID],$B280,tbl_ledger[イベント種類],"充当",tbl_ledger[元状態],H$1),
_xlpm.払出,SUMIFS(tbl_ledger[数量],tbl_ledger[ロットID],$B280,tbl_ledger[元状態],H$1),
_xlpm.受入+_xlpm.充当受入-_xlpm.払出))</f>
        <v/>
      </c>
      <c r="I280" s="8" t="str">
        <f>IF($B280="","",_xlfn.LET(
_xlpm.受入,SUMIFS(tbl_ledger[数量],tbl_ledger[ロットID],$B280,tbl_ledger[イベント種類],"梱包開始"),
_xlpm.充当受入,SUMIFS(tbl_ledger[数量],tbl_ledger[充当先ロットID],$B280,tbl_ledger[イベント種類],"充当",tbl_ledger[元状態],I$1),
_xlpm.払出,SUMIFS(tbl_ledger[数量],tbl_ledger[ロットID],$B280,tbl_ledger[元状態],I$1),
_xlpm.受入+_xlpm.充当受入-_xlpm.払出))</f>
        <v/>
      </c>
      <c r="J280" s="8" t="str">
        <f>IF($B280="","",_xlfn.LET(
_xlpm.受入,SUMIFS(tbl_ledger[数量],tbl_ledger[ロットID],$B280,tbl_ledger[イベント種類],"梱包完了"),
_xlpm.充当受入,SUMIFS(tbl_ledger[数量],tbl_ledger[充当先ロットID],$B280,tbl_ledger[イベント種類],"充当",tbl_ledger[元状態],J$1),
_xlpm.払出,SUMIFS(tbl_ledger[数量],tbl_ledger[ロットID],$B280,tbl_ledger[元状態],J$1),
_xlpm.受入+_xlpm.充当受入-_xlpm.払出))</f>
        <v/>
      </c>
      <c r="K280" s="8" t="str">
        <f>IF($B280="","",_xlfn.LET(
_xlpm.受入,SUMIFS(tbl_ledger[数量],tbl_ledger[ロットID],$B280,tbl_ledger[イベント種類],"発送準備開始"),
_xlpm.充当受入,SUMIFS(tbl_ledger[数量],tbl_ledger[充当先ロットID],$B280,tbl_ledger[イベント種類],"充当",tbl_ledger[元状態],K$1),
_xlpm.払出,SUMIFS(tbl_ledger[数量],tbl_ledger[ロットID],$B280,tbl_ledger[元状態],K$1),
_xlpm.受入+_xlpm.充当受入-_xlpm.払出))</f>
        <v/>
      </c>
      <c r="L280" s="8" t="str">
        <f>IF($B280="","",_xlfn.LET(
_xlpm.受入,SUMIFS(tbl_ledger[数量],tbl_ledger[ロットID],$B280,tbl_ledger[イベント種類],"発送準備完了"),
_xlpm.充当受入,SUMIFS(tbl_ledger[数量],tbl_ledger[充当先ロットID],$B280,tbl_ledger[イベント種類],"充当",tbl_ledger[元状態],L$1),
_xlpm.払出,SUMIFS(tbl_ledger[数量],tbl_ledger[ロットID],$B280,tbl_ledger[元状態],L$1),
_xlpm.受入+_xlpm.充当受入-_xlpm.払出))</f>
        <v/>
      </c>
      <c r="M280" s="8" t="str">
        <f>IF($B280="","",_xlfn.LET(
_xlpm.受入,SUMIFS(tbl_ledger[数量],tbl_ledger[ロットID],$B280,tbl_ledger[イベント種類],"不良発生"),
_xlpm.充当受入,SUMIFS(tbl_ledger[数量],tbl_ledger[充当先ロットID],$B280,tbl_ledger[イベント種類],"充当",tbl_ledger[元状態],M$1),
_xlpm.払出,SUMIFS(tbl_ledger[数量],tbl_ledger[ロットID],$B280,tbl_ledger[元状態],M$1),
_xlpm.受入+_xlpm.充当受入-_xlpm.払出))</f>
        <v/>
      </c>
      <c r="N280" s="8" t="str">
        <f t="shared" si="9"/>
        <v/>
      </c>
    </row>
    <row r="281" spans="1:14" ht="15" customHeight="1" x14ac:dyDescent="0.25">
      <c r="A281" s="4" t="str">
        <f t="shared" si="8"/>
        <v/>
      </c>
      <c r="B281" s="4" t="str">
        <f>IFERROR(IF(COUNTIF($B$1:$B280,INDEX(tbl_plan[ロットID],ROW()-1))&gt;0,"",INDEX(tbl_plan[ロットID],ROW()-1)),"")</f>
        <v/>
      </c>
      <c r="C281" s="4" t="str">
        <f>IF($B281="","",INDEX(tbl_plan[localId],ROW()-1))</f>
        <v/>
      </c>
      <c r="D281" s="8" t="str">
        <f>IF($B281="","",_xlfn.LET(
_xlpm.割当受入,SUMIF(V_充足確認!$A$2:$A$301,$B281,V_充足確認!$F$2:$F$301),
_xlpm.充当受入,SUMIFS(tbl_ledger[数量],tbl_ledger[充当先ロットID],$B281,tbl_ledger[イベント種類],"充当",tbl_ledger[元状態],D$1),
_xlpm.払出,SUMIFS(tbl_ledger[数量],tbl_ledger[ロットID],$B281,tbl_ledger[元状態],D$1),
_xlpm.割当受入+_xlpm.充当受入-_xlpm.払出))</f>
        <v/>
      </c>
      <c r="E281" s="8" t="str">
        <f>IF($B281="","",_xlfn.LET(
_xlpm.受入,SUMIFS(tbl_ledger[数量],tbl_ledger[ロットID],$B281,tbl_ledger[イベント種類],"アニール開始"),
_xlpm.充当受入,SUMIFS(tbl_ledger[数量],tbl_ledger[充当先ロットID],$B281,tbl_ledger[イベント種類],"充当",tbl_ledger[元状態],E$1),
_xlpm.払出,SUMIFS(tbl_ledger[数量],tbl_ledger[ロットID],$B281,tbl_ledger[元状態],E$1),
_xlpm.受入+_xlpm.充当受入-_xlpm.払出))</f>
        <v/>
      </c>
      <c r="F281" s="8" t="str">
        <f>IF($B281="","",_xlfn.LET(
_xlpm.受入,SUMIFS(tbl_ledger[数量],tbl_ledger[ロットID],$B281,tbl_ledger[イベント種類],"アニール完了"),
_xlpm.充当受入,SUMIFS(tbl_ledger[数量],tbl_ledger[充当先ロットID],$B281,tbl_ledger[イベント種類],"充当",tbl_ledger[元状態],F$1),
_xlpm.払出,SUMIFS(tbl_ledger[数量],tbl_ledger[ロットID],$B281,tbl_ledger[元状態],F$1),
_xlpm.受入+_xlpm.充当受入-_xlpm.払出))</f>
        <v/>
      </c>
      <c r="G281" s="8" t="str">
        <f>IF($B281="","",_xlfn.LET(
_xlpm.受入,SUMIFS(tbl_ledger[数量],tbl_ledger[ロットID],$B281,tbl_ledger[イベント種類],"アセンブリ開始"),
_xlpm.充当受入,SUMIFS(tbl_ledger[数量],tbl_ledger[充当先ロットID],$B281,tbl_ledger[イベント種類],"充当",tbl_ledger[元状態],G$1),
_xlpm.払出,SUMIFS(tbl_ledger[数量],tbl_ledger[ロットID],$B281,tbl_ledger[元状態],G$1),
_xlpm.受入+_xlpm.充当受入-_xlpm.払出))</f>
        <v/>
      </c>
      <c r="H281" s="8" t="str">
        <f>IF($B281="","",_xlfn.LET(
_xlpm.受入,SUMIFS(tbl_ledger[数量],tbl_ledger[ロットID],$B281,tbl_ledger[イベント種類],"アセンブリ完了"),
_xlpm.充当受入,SUMIFS(tbl_ledger[数量],tbl_ledger[充当先ロットID],$B281,tbl_ledger[イベント種類],"充当",tbl_ledger[元状態],H$1),
_xlpm.払出,SUMIFS(tbl_ledger[数量],tbl_ledger[ロットID],$B281,tbl_ledger[元状態],H$1),
_xlpm.受入+_xlpm.充当受入-_xlpm.払出))</f>
        <v/>
      </c>
      <c r="I281" s="8" t="str">
        <f>IF($B281="","",_xlfn.LET(
_xlpm.受入,SUMIFS(tbl_ledger[数量],tbl_ledger[ロットID],$B281,tbl_ledger[イベント種類],"梱包開始"),
_xlpm.充当受入,SUMIFS(tbl_ledger[数量],tbl_ledger[充当先ロットID],$B281,tbl_ledger[イベント種類],"充当",tbl_ledger[元状態],I$1),
_xlpm.払出,SUMIFS(tbl_ledger[数量],tbl_ledger[ロットID],$B281,tbl_ledger[元状態],I$1),
_xlpm.受入+_xlpm.充当受入-_xlpm.払出))</f>
        <v/>
      </c>
      <c r="J281" s="8" t="str">
        <f>IF($B281="","",_xlfn.LET(
_xlpm.受入,SUMIFS(tbl_ledger[数量],tbl_ledger[ロットID],$B281,tbl_ledger[イベント種類],"梱包完了"),
_xlpm.充当受入,SUMIFS(tbl_ledger[数量],tbl_ledger[充当先ロットID],$B281,tbl_ledger[イベント種類],"充当",tbl_ledger[元状態],J$1),
_xlpm.払出,SUMIFS(tbl_ledger[数量],tbl_ledger[ロットID],$B281,tbl_ledger[元状態],J$1),
_xlpm.受入+_xlpm.充当受入-_xlpm.払出))</f>
        <v/>
      </c>
      <c r="K281" s="8" t="str">
        <f>IF($B281="","",_xlfn.LET(
_xlpm.受入,SUMIFS(tbl_ledger[数量],tbl_ledger[ロットID],$B281,tbl_ledger[イベント種類],"発送準備開始"),
_xlpm.充当受入,SUMIFS(tbl_ledger[数量],tbl_ledger[充当先ロットID],$B281,tbl_ledger[イベント種類],"充当",tbl_ledger[元状態],K$1),
_xlpm.払出,SUMIFS(tbl_ledger[数量],tbl_ledger[ロットID],$B281,tbl_ledger[元状態],K$1),
_xlpm.受入+_xlpm.充当受入-_xlpm.払出))</f>
        <v/>
      </c>
      <c r="L281" s="8" t="str">
        <f>IF($B281="","",_xlfn.LET(
_xlpm.受入,SUMIFS(tbl_ledger[数量],tbl_ledger[ロットID],$B281,tbl_ledger[イベント種類],"発送準備完了"),
_xlpm.充当受入,SUMIFS(tbl_ledger[数量],tbl_ledger[充当先ロットID],$B281,tbl_ledger[イベント種類],"充当",tbl_ledger[元状態],L$1),
_xlpm.払出,SUMIFS(tbl_ledger[数量],tbl_ledger[ロットID],$B281,tbl_ledger[元状態],L$1),
_xlpm.受入+_xlpm.充当受入-_xlpm.払出))</f>
        <v/>
      </c>
      <c r="M281" s="8" t="str">
        <f>IF($B281="","",_xlfn.LET(
_xlpm.受入,SUMIFS(tbl_ledger[数量],tbl_ledger[ロットID],$B281,tbl_ledger[イベント種類],"不良発生"),
_xlpm.充当受入,SUMIFS(tbl_ledger[数量],tbl_ledger[充当先ロットID],$B281,tbl_ledger[イベント種類],"充当",tbl_ledger[元状態],M$1),
_xlpm.払出,SUMIFS(tbl_ledger[数量],tbl_ledger[ロットID],$B281,tbl_ledger[元状態],M$1),
_xlpm.受入+_xlpm.充当受入-_xlpm.払出))</f>
        <v/>
      </c>
      <c r="N281" s="8" t="str">
        <f t="shared" si="9"/>
        <v/>
      </c>
    </row>
    <row r="282" spans="1:14" ht="15" customHeight="1" x14ac:dyDescent="0.25">
      <c r="A282" s="4" t="str">
        <f t="shared" si="8"/>
        <v/>
      </c>
      <c r="B282" s="4" t="str">
        <f>IFERROR(IF(COUNTIF($B$1:$B281,INDEX(tbl_plan[ロットID],ROW()-1))&gt;0,"",INDEX(tbl_plan[ロットID],ROW()-1)),"")</f>
        <v/>
      </c>
      <c r="C282" s="4" t="str">
        <f>IF($B282="","",INDEX(tbl_plan[localId],ROW()-1))</f>
        <v/>
      </c>
      <c r="D282" s="8" t="str">
        <f>IF($B282="","",_xlfn.LET(
_xlpm.割当受入,SUMIF(V_充足確認!$A$2:$A$301,$B282,V_充足確認!$F$2:$F$301),
_xlpm.充当受入,SUMIFS(tbl_ledger[数量],tbl_ledger[充当先ロットID],$B282,tbl_ledger[イベント種類],"充当",tbl_ledger[元状態],D$1),
_xlpm.払出,SUMIFS(tbl_ledger[数量],tbl_ledger[ロットID],$B282,tbl_ledger[元状態],D$1),
_xlpm.割当受入+_xlpm.充当受入-_xlpm.払出))</f>
        <v/>
      </c>
      <c r="E282" s="8" t="str">
        <f>IF($B282="","",_xlfn.LET(
_xlpm.受入,SUMIFS(tbl_ledger[数量],tbl_ledger[ロットID],$B282,tbl_ledger[イベント種類],"アニール開始"),
_xlpm.充当受入,SUMIFS(tbl_ledger[数量],tbl_ledger[充当先ロットID],$B282,tbl_ledger[イベント種類],"充当",tbl_ledger[元状態],E$1),
_xlpm.払出,SUMIFS(tbl_ledger[数量],tbl_ledger[ロットID],$B282,tbl_ledger[元状態],E$1),
_xlpm.受入+_xlpm.充当受入-_xlpm.払出))</f>
        <v/>
      </c>
      <c r="F282" s="8" t="str">
        <f>IF($B282="","",_xlfn.LET(
_xlpm.受入,SUMIFS(tbl_ledger[数量],tbl_ledger[ロットID],$B282,tbl_ledger[イベント種類],"アニール完了"),
_xlpm.充当受入,SUMIFS(tbl_ledger[数量],tbl_ledger[充当先ロットID],$B282,tbl_ledger[イベント種類],"充当",tbl_ledger[元状態],F$1),
_xlpm.払出,SUMIFS(tbl_ledger[数量],tbl_ledger[ロットID],$B282,tbl_ledger[元状態],F$1),
_xlpm.受入+_xlpm.充当受入-_xlpm.払出))</f>
        <v/>
      </c>
      <c r="G282" s="8" t="str">
        <f>IF($B282="","",_xlfn.LET(
_xlpm.受入,SUMIFS(tbl_ledger[数量],tbl_ledger[ロットID],$B282,tbl_ledger[イベント種類],"アセンブリ開始"),
_xlpm.充当受入,SUMIFS(tbl_ledger[数量],tbl_ledger[充当先ロットID],$B282,tbl_ledger[イベント種類],"充当",tbl_ledger[元状態],G$1),
_xlpm.払出,SUMIFS(tbl_ledger[数量],tbl_ledger[ロットID],$B282,tbl_ledger[元状態],G$1),
_xlpm.受入+_xlpm.充当受入-_xlpm.払出))</f>
        <v/>
      </c>
      <c r="H282" s="8" t="str">
        <f>IF($B282="","",_xlfn.LET(
_xlpm.受入,SUMIFS(tbl_ledger[数量],tbl_ledger[ロットID],$B282,tbl_ledger[イベント種類],"アセンブリ完了"),
_xlpm.充当受入,SUMIFS(tbl_ledger[数量],tbl_ledger[充当先ロットID],$B282,tbl_ledger[イベント種類],"充当",tbl_ledger[元状態],H$1),
_xlpm.払出,SUMIFS(tbl_ledger[数量],tbl_ledger[ロットID],$B282,tbl_ledger[元状態],H$1),
_xlpm.受入+_xlpm.充当受入-_xlpm.払出))</f>
        <v/>
      </c>
      <c r="I282" s="8" t="str">
        <f>IF($B282="","",_xlfn.LET(
_xlpm.受入,SUMIFS(tbl_ledger[数量],tbl_ledger[ロットID],$B282,tbl_ledger[イベント種類],"梱包開始"),
_xlpm.充当受入,SUMIFS(tbl_ledger[数量],tbl_ledger[充当先ロットID],$B282,tbl_ledger[イベント種類],"充当",tbl_ledger[元状態],I$1),
_xlpm.払出,SUMIFS(tbl_ledger[数量],tbl_ledger[ロットID],$B282,tbl_ledger[元状態],I$1),
_xlpm.受入+_xlpm.充当受入-_xlpm.払出))</f>
        <v/>
      </c>
      <c r="J282" s="8" t="str">
        <f>IF($B282="","",_xlfn.LET(
_xlpm.受入,SUMIFS(tbl_ledger[数量],tbl_ledger[ロットID],$B282,tbl_ledger[イベント種類],"梱包完了"),
_xlpm.充当受入,SUMIFS(tbl_ledger[数量],tbl_ledger[充当先ロットID],$B282,tbl_ledger[イベント種類],"充当",tbl_ledger[元状態],J$1),
_xlpm.払出,SUMIFS(tbl_ledger[数量],tbl_ledger[ロットID],$B282,tbl_ledger[元状態],J$1),
_xlpm.受入+_xlpm.充当受入-_xlpm.払出))</f>
        <v/>
      </c>
      <c r="K282" s="8" t="str">
        <f>IF($B282="","",_xlfn.LET(
_xlpm.受入,SUMIFS(tbl_ledger[数量],tbl_ledger[ロットID],$B282,tbl_ledger[イベント種類],"発送準備開始"),
_xlpm.充当受入,SUMIFS(tbl_ledger[数量],tbl_ledger[充当先ロットID],$B282,tbl_ledger[イベント種類],"充当",tbl_ledger[元状態],K$1),
_xlpm.払出,SUMIFS(tbl_ledger[数量],tbl_ledger[ロットID],$B282,tbl_ledger[元状態],K$1),
_xlpm.受入+_xlpm.充当受入-_xlpm.払出))</f>
        <v/>
      </c>
      <c r="L282" s="8" t="str">
        <f>IF($B282="","",_xlfn.LET(
_xlpm.受入,SUMIFS(tbl_ledger[数量],tbl_ledger[ロットID],$B282,tbl_ledger[イベント種類],"発送準備完了"),
_xlpm.充当受入,SUMIFS(tbl_ledger[数量],tbl_ledger[充当先ロットID],$B282,tbl_ledger[イベント種類],"充当",tbl_ledger[元状態],L$1),
_xlpm.払出,SUMIFS(tbl_ledger[数量],tbl_ledger[ロットID],$B282,tbl_ledger[元状態],L$1),
_xlpm.受入+_xlpm.充当受入-_xlpm.払出))</f>
        <v/>
      </c>
      <c r="M282" s="8" t="str">
        <f>IF($B282="","",_xlfn.LET(
_xlpm.受入,SUMIFS(tbl_ledger[数量],tbl_ledger[ロットID],$B282,tbl_ledger[イベント種類],"不良発生"),
_xlpm.充当受入,SUMIFS(tbl_ledger[数量],tbl_ledger[充当先ロットID],$B282,tbl_ledger[イベント種類],"充当",tbl_ledger[元状態],M$1),
_xlpm.払出,SUMIFS(tbl_ledger[数量],tbl_ledger[ロットID],$B282,tbl_ledger[元状態],M$1),
_xlpm.受入+_xlpm.充当受入-_xlpm.払出))</f>
        <v/>
      </c>
      <c r="N282" s="8" t="str">
        <f t="shared" si="9"/>
        <v/>
      </c>
    </row>
    <row r="283" spans="1:14" ht="15" customHeight="1" x14ac:dyDescent="0.25">
      <c r="A283" s="4" t="str">
        <f t="shared" si="8"/>
        <v/>
      </c>
      <c r="B283" s="4" t="str">
        <f>IFERROR(IF(COUNTIF($B$1:$B282,INDEX(tbl_plan[ロットID],ROW()-1))&gt;0,"",INDEX(tbl_plan[ロットID],ROW()-1)),"")</f>
        <v/>
      </c>
      <c r="C283" s="4" t="str">
        <f>IF($B283="","",INDEX(tbl_plan[localId],ROW()-1))</f>
        <v/>
      </c>
      <c r="D283" s="8" t="str">
        <f>IF($B283="","",_xlfn.LET(
_xlpm.割当受入,SUMIF(V_充足確認!$A$2:$A$301,$B283,V_充足確認!$F$2:$F$301),
_xlpm.充当受入,SUMIFS(tbl_ledger[数量],tbl_ledger[充当先ロットID],$B283,tbl_ledger[イベント種類],"充当",tbl_ledger[元状態],D$1),
_xlpm.払出,SUMIFS(tbl_ledger[数量],tbl_ledger[ロットID],$B283,tbl_ledger[元状態],D$1),
_xlpm.割当受入+_xlpm.充当受入-_xlpm.払出))</f>
        <v/>
      </c>
      <c r="E283" s="8" t="str">
        <f>IF($B283="","",_xlfn.LET(
_xlpm.受入,SUMIFS(tbl_ledger[数量],tbl_ledger[ロットID],$B283,tbl_ledger[イベント種類],"アニール開始"),
_xlpm.充当受入,SUMIFS(tbl_ledger[数量],tbl_ledger[充当先ロットID],$B283,tbl_ledger[イベント種類],"充当",tbl_ledger[元状態],E$1),
_xlpm.払出,SUMIFS(tbl_ledger[数量],tbl_ledger[ロットID],$B283,tbl_ledger[元状態],E$1),
_xlpm.受入+_xlpm.充当受入-_xlpm.払出))</f>
        <v/>
      </c>
      <c r="F283" s="8" t="str">
        <f>IF($B283="","",_xlfn.LET(
_xlpm.受入,SUMIFS(tbl_ledger[数量],tbl_ledger[ロットID],$B283,tbl_ledger[イベント種類],"アニール完了"),
_xlpm.充当受入,SUMIFS(tbl_ledger[数量],tbl_ledger[充当先ロットID],$B283,tbl_ledger[イベント種類],"充当",tbl_ledger[元状態],F$1),
_xlpm.払出,SUMIFS(tbl_ledger[数量],tbl_ledger[ロットID],$B283,tbl_ledger[元状態],F$1),
_xlpm.受入+_xlpm.充当受入-_xlpm.払出))</f>
        <v/>
      </c>
      <c r="G283" s="8" t="str">
        <f>IF($B283="","",_xlfn.LET(
_xlpm.受入,SUMIFS(tbl_ledger[数量],tbl_ledger[ロットID],$B283,tbl_ledger[イベント種類],"アセンブリ開始"),
_xlpm.充当受入,SUMIFS(tbl_ledger[数量],tbl_ledger[充当先ロットID],$B283,tbl_ledger[イベント種類],"充当",tbl_ledger[元状態],G$1),
_xlpm.払出,SUMIFS(tbl_ledger[数量],tbl_ledger[ロットID],$B283,tbl_ledger[元状態],G$1),
_xlpm.受入+_xlpm.充当受入-_xlpm.払出))</f>
        <v/>
      </c>
      <c r="H283" s="8" t="str">
        <f>IF($B283="","",_xlfn.LET(
_xlpm.受入,SUMIFS(tbl_ledger[数量],tbl_ledger[ロットID],$B283,tbl_ledger[イベント種類],"アセンブリ完了"),
_xlpm.充当受入,SUMIFS(tbl_ledger[数量],tbl_ledger[充当先ロットID],$B283,tbl_ledger[イベント種類],"充当",tbl_ledger[元状態],H$1),
_xlpm.払出,SUMIFS(tbl_ledger[数量],tbl_ledger[ロットID],$B283,tbl_ledger[元状態],H$1),
_xlpm.受入+_xlpm.充当受入-_xlpm.払出))</f>
        <v/>
      </c>
      <c r="I283" s="8" t="str">
        <f>IF($B283="","",_xlfn.LET(
_xlpm.受入,SUMIFS(tbl_ledger[数量],tbl_ledger[ロットID],$B283,tbl_ledger[イベント種類],"梱包開始"),
_xlpm.充当受入,SUMIFS(tbl_ledger[数量],tbl_ledger[充当先ロットID],$B283,tbl_ledger[イベント種類],"充当",tbl_ledger[元状態],I$1),
_xlpm.払出,SUMIFS(tbl_ledger[数量],tbl_ledger[ロットID],$B283,tbl_ledger[元状態],I$1),
_xlpm.受入+_xlpm.充当受入-_xlpm.払出))</f>
        <v/>
      </c>
      <c r="J283" s="8" t="str">
        <f>IF($B283="","",_xlfn.LET(
_xlpm.受入,SUMIFS(tbl_ledger[数量],tbl_ledger[ロットID],$B283,tbl_ledger[イベント種類],"梱包完了"),
_xlpm.充当受入,SUMIFS(tbl_ledger[数量],tbl_ledger[充当先ロットID],$B283,tbl_ledger[イベント種類],"充当",tbl_ledger[元状態],J$1),
_xlpm.払出,SUMIFS(tbl_ledger[数量],tbl_ledger[ロットID],$B283,tbl_ledger[元状態],J$1),
_xlpm.受入+_xlpm.充当受入-_xlpm.払出))</f>
        <v/>
      </c>
      <c r="K283" s="8" t="str">
        <f>IF($B283="","",_xlfn.LET(
_xlpm.受入,SUMIFS(tbl_ledger[数量],tbl_ledger[ロットID],$B283,tbl_ledger[イベント種類],"発送準備開始"),
_xlpm.充当受入,SUMIFS(tbl_ledger[数量],tbl_ledger[充当先ロットID],$B283,tbl_ledger[イベント種類],"充当",tbl_ledger[元状態],K$1),
_xlpm.払出,SUMIFS(tbl_ledger[数量],tbl_ledger[ロットID],$B283,tbl_ledger[元状態],K$1),
_xlpm.受入+_xlpm.充当受入-_xlpm.払出))</f>
        <v/>
      </c>
      <c r="L283" s="8" t="str">
        <f>IF($B283="","",_xlfn.LET(
_xlpm.受入,SUMIFS(tbl_ledger[数量],tbl_ledger[ロットID],$B283,tbl_ledger[イベント種類],"発送準備完了"),
_xlpm.充当受入,SUMIFS(tbl_ledger[数量],tbl_ledger[充当先ロットID],$B283,tbl_ledger[イベント種類],"充当",tbl_ledger[元状態],L$1),
_xlpm.払出,SUMIFS(tbl_ledger[数量],tbl_ledger[ロットID],$B283,tbl_ledger[元状態],L$1),
_xlpm.受入+_xlpm.充当受入-_xlpm.払出))</f>
        <v/>
      </c>
      <c r="M283" s="8" t="str">
        <f>IF($B283="","",_xlfn.LET(
_xlpm.受入,SUMIFS(tbl_ledger[数量],tbl_ledger[ロットID],$B283,tbl_ledger[イベント種類],"不良発生"),
_xlpm.充当受入,SUMIFS(tbl_ledger[数量],tbl_ledger[充当先ロットID],$B283,tbl_ledger[イベント種類],"充当",tbl_ledger[元状態],M$1),
_xlpm.払出,SUMIFS(tbl_ledger[数量],tbl_ledger[ロットID],$B283,tbl_ledger[元状態],M$1),
_xlpm.受入+_xlpm.充当受入-_xlpm.払出))</f>
        <v/>
      </c>
      <c r="N283" s="8" t="str">
        <f t="shared" si="9"/>
        <v/>
      </c>
    </row>
    <row r="284" spans="1:14" ht="15" customHeight="1" x14ac:dyDescent="0.25">
      <c r="A284" s="4" t="str">
        <f t="shared" si="8"/>
        <v/>
      </c>
      <c r="B284" s="4" t="str">
        <f>IFERROR(IF(COUNTIF($B$1:$B283,INDEX(tbl_plan[ロットID],ROW()-1))&gt;0,"",INDEX(tbl_plan[ロットID],ROW()-1)),"")</f>
        <v/>
      </c>
      <c r="C284" s="4" t="str">
        <f>IF($B284="","",INDEX(tbl_plan[localId],ROW()-1))</f>
        <v/>
      </c>
      <c r="D284" s="8" t="str">
        <f>IF($B284="","",_xlfn.LET(
_xlpm.割当受入,SUMIF(V_充足確認!$A$2:$A$301,$B284,V_充足確認!$F$2:$F$301),
_xlpm.充当受入,SUMIFS(tbl_ledger[数量],tbl_ledger[充当先ロットID],$B284,tbl_ledger[イベント種類],"充当",tbl_ledger[元状態],D$1),
_xlpm.払出,SUMIFS(tbl_ledger[数量],tbl_ledger[ロットID],$B284,tbl_ledger[元状態],D$1),
_xlpm.割当受入+_xlpm.充当受入-_xlpm.払出))</f>
        <v/>
      </c>
      <c r="E284" s="8" t="str">
        <f>IF($B284="","",_xlfn.LET(
_xlpm.受入,SUMIFS(tbl_ledger[数量],tbl_ledger[ロットID],$B284,tbl_ledger[イベント種類],"アニール開始"),
_xlpm.充当受入,SUMIFS(tbl_ledger[数量],tbl_ledger[充当先ロットID],$B284,tbl_ledger[イベント種類],"充当",tbl_ledger[元状態],E$1),
_xlpm.払出,SUMIFS(tbl_ledger[数量],tbl_ledger[ロットID],$B284,tbl_ledger[元状態],E$1),
_xlpm.受入+_xlpm.充当受入-_xlpm.払出))</f>
        <v/>
      </c>
      <c r="F284" s="8" t="str">
        <f>IF($B284="","",_xlfn.LET(
_xlpm.受入,SUMIFS(tbl_ledger[数量],tbl_ledger[ロットID],$B284,tbl_ledger[イベント種類],"アニール完了"),
_xlpm.充当受入,SUMIFS(tbl_ledger[数量],tbl_ledger[充当先ロットID],$B284,tbl_ledger[イベント種類],"充当",tbl_ledger[元状態],F$1),
_xlpm.払出,SUMIFS(tbl_ledger[数量],tbl_ledger[ロットID],$B284,tbl_ledger[元状態],F$1),
_xlpm.受入+_xlpm.充当受入-_xlpm.払出))</f>
        <v/>
      </c>
      <c r="G284" s="8" t="str">
        <f>IF($B284="","",_xlfn.LET(
_xlpm.受入,SUMIFS(tbl_ledger[数量],tbl_ledger[ロットID],$B284,tbl_ledger[イベント種類],"アセンブリ開始"),
_xlpm.充当受入,SUMIFS(tbl_ledger[数量],tbl_ledger[充当先ロットID],$B284,tbl_ledger[イベント種類],"充当",tbl_ledger[元状態],G$1),
_xlpm.払出,SUMIFS(tbl_ledger[数量],tbl_ledger[ロットID],$B284,tbl_ledger[元状態],G$1),
_xlpm.受入+_xlpm.充当受入-_xlpm.払出))</f>
        <v/>
      </c>
      <c r="H284" s="8" t="str">
        <f>IF($B284="","",_xlfn.LET(
_xlpm.受入,SUMIFS(tbl_ledger[数量],tbl_ledger[ロットID],$B284,tbl_ledger[イベント種類],"アセンブリ完了"),
_xlpm.充当受入,SUMIFS(tbl_ledger[数量],tbl_ledger[充当先ロットID],$B284,tbl_ledger[イベント種類],"充当",tbl_ledger[元状態],H$1),
_xlpm.払出,SUMIFS(tbl_ledger[数量],tbl_ledger[ロットID],$B284,tbl_ledger[元状態],H$1),
_xlpm.受入+_xlpm.充当受入-_xlpm.払出))</f>
        <v/>
      </c>
      <c r="I284" s="8" t="str">
        <f>IF($B284="","",_xlfn.LET(
_xlpm.受入,SUMIFS(tbl_ledger[数量],tbl_ledger[ロットID],$B284,tbl_ledger[イベント種類],"梱包開始"),
_xlpm.充当受入,SUMIFS(tbl_ledger[数量],tbl_ledger[充当先ロットID],$B284,tbl_ledger[イベント種類],"充当",tbl_ledger[元状態],I$1),
_xlpm.払出,SUMIFS(tbl_ledger[数量],tbl_ledger[ロットID],$B284,tbl_ledger[元状態],I$1),
_xlpm.受入+_xlpm.充当受入-_xlpm.払出))</f>
        <v/>
      </c>
      <c r="J284" s="8" t="str">
        <f>IF($B284="","",_xlfn.LET(
_xlpm.受入,SUMIFS(tbl_ledger[数量],tbl_ledger[ロットID],$B284,tbl_ledger[イベント種類],"梱包完了"),
_xlpm.充当受入,SUMIFS(tbl_ledger[数量],tbl_ledger[充当先ロットID],$B284,tbl_ledger[イベント種類],"充当",tbl_ledger[元状態],J$1),
_xlpm.払出,SUMIFS(tbl_ledger[数量],tbl_ledger[ロットID],$B284,tbl_ledger[元状態],J$1),
_xlpm.受入+_xlpm.充当受入-_xlpm.払出))</f>
        <v/>
      </c>
      <c r="K284" s="8" t="str">
        <f>IF($B284="","",_xlfn.LET(
_xlpm.受入,SUMIFS(tbl_ledger[数量],tbl_ledger[ロットID],$B284,tbl_ledger[イベント種類],"発送準備開始"),
_xlpm.充当受入,SUMIFS(tbl_ledger[数量],tbl_ledger[充当先ロットID],$B284,tbl_ledger[イベント種類],"充当",tbl_ledger[元状態],K$1),
_xlpm.払出,SUMIFS(tbl_ledger[数量],tbl_ledger[ロットID],$B284,tbl_ledger[元状態],K$1),
_xlpm.受入+_xlpm.充当受入-_xlpm.払出))</f>
        <v/>
      </c>
      <c r="L284" s="8" t="str">
        <f>IF($B284="","",_xlfn.LET(
_xlpm.受入,SUMIFS(tbl_ledger[数量],tbl_ledger[ロットID],$B284,tbl_ledger[イベント種類],"発送準備完了"),
_xlpm.充当受入,SUMIFS(tbl_ledger[数量],tbl_ledger[充当先ロットID],$B284,tbl_ledger[イベント種類],"充当",tbl_ledger[元状態],L$1),
_xlpm.払出,SUMIFS(tbl_ledger[数量],tbl_ledger[ロットID],$B284,tbl_ledger[元状態],L$1),
_xlpm.受入+_xlpm.充当受入-_xlpm.払出))</f>
        <v/>
      </c>
      <c r="M284" s="8" t="str">
        <f>IF($B284="","",_xlfn.LET(
_xlpm.受入,SUMIFS(tbl_ledger[数量],tbl_ledger[ロットID],$B284,tbl_ledger[イベント種類],"不良発生"),
_xlpm.充当受入,SUMIFS(tbl_ledger[数量],tbl_ledger[充当先ロットID],$B284,tbl_ledger[イベント種類],"充当",tbl_ledger[元状態],M$1),
_xlpm.払出,SUMIFS(tbl_ledger[数量],tbl_ledger[ロットID],$B284,tbl_ledger[元状態],M$1),
_xlpm.受入+_xlpm.充当受入-_xlpm.払出))</f>
        <v/>
      </c>
      <c r="N284" s="8" t="str">
        <f t="shared" si="9"/>
        <v/>
      </c>
    </row>
    <row r="285" spans="1:14" ht="15" customHeight="1" x14ac:dyDescent="0.25">
      <c r="A285" s="4" t="str">
        <f t="shared" si="8"/>
        <v/>
      </c>
      <c r="B285" s="4" t="str">
        <f>IFERROR(IF(COUNTIF($B$1:$B284,INDEX(tbl_plan[ロットID],ROW()-1))&gt;0,"",INDEX(tbl_plan[ロットID],ROW()-1)),"")</f>
        <v/>
      </c>
      <c r="C285" s="4" t="str">
        <f>IF($B285="","",INDEX(tbl_plan[localId],ROW()-1))</f>
        <v/>
      </c>
      <c r="D285" s="8" t="str">
        <f>IF($B285="","",_xlfn.LET(
_xlpm.割当受入,SUMIF(V_充足確認!$A$2:$A$301,$B285,V_充足確認!$F$2:$F$301),
_xlpm.充当受入,SUMIFS(tbl_ledger[数量],tbl_ledger[充当先ロットID],$B285,tbl_ledger[イベント種類],"充当",tbl_ledger[元状態],D$1),
_xlpm.払出,SUMIFS(tbl_ledger[数量],tbl_ledger[ロットID],$B285,tbl_ledger[元状態],D$1),
_xlpm.割当受入+_xlpm.充当受入-_xlpm.払出))</f>
        <v/>
      </c>
      <c r="E285" s="8" t="str">
        <f>IF($B285="","",_xlfn.LET(
_xlpm.受入,SUMIFS(tbl_ledger[数量],tbl_ledger[ロットID],$B285,tbl_ledger[イベント種類],"アニール開始"),
_xlpm.充当受入,SUMIFS(tbl_ledger[数量],tbl_ledger[充当先ロットID],$B285,tbl_ledger[イベント種類],"充当",tbl_ledger[元状態],E$1),
_xlpm.払出,SUMIFS(tbl_ledger[数量],tbl_ledger[ロットID],$B285,tbl_ledger[元状態],E$1),
_xlpm.受入+_xlpm.充当受入-_xlpm.払出))</f>
        <v/>
      </c>
      <c r="F285" s="8" t="str">
        <f>IF($B285="","",_xlfn.LET(
_xlpm.受入,SUMIFS(tbl_ledger[数量],tbl_ledger[ロットID],$B285,tbl_ledger[イベント種類],"アニール完了"),
_xlpm.充当受入,SUMIFS(tbl_ledger[数量],tbl_ledger[充当先ロットID],$B285,tbl_ledger[イベント種類],"充当",tbl_ledger[元状態],F$1),
_xlpm.払出,SUMIFS(tbl_ledger[数量],tbl_ledger[ロットID],$B285,tbl_ledger[元状態],F$1),
_xlpm.受入+_xlpm.充当受入-_xlpm.払出))</f>
        <v/>
      </c>
      <c r="G285" s="8" t="str">
        <f>IF($B285="","",_xlfn.LET(
_xlpm.受入,SUMIFS(tbl_ledger[数量],tbl_ledger[ロットID],$B285,tbl_ledger[イベント種類],"アセンブリ開始"),
_xlpm.充当受入,SUMIFS(tbl_ledger[数量],tbl_ledger[充当先ロットID],$B285,tbl_ledger[イベント種類],"充当",tbl_ledger[元状態],G$1),
_xlpm.払出,SUMIFS(tbl_ledger[数量],tbl_ledger[ロットID],$B285,tbl_ledger[元状態],G$1),
_xlpm.受入+_xlpm.充当受入-_xlpm.払出))</f>
        <v/>
      </c>
      <c r="H285" s="8" t="str">
        <f>IF($B285="","",_xlfn.LET(
_xlpm.受入,SUMIFS(tbl_ledger[数量],tbl_ledger[ロットID],$B285,tbl_ledger[イベント種類],"アセンブリ完了"),
_xlpm.充当受入,SUMIFS(tbl_ledger[数量],tbl_ledger[充当先ロットID],$B285,tbl_ledger[イベント種類],"充当",tbl_ledger[元状態],H$1),
_xlpm.払出,SUMIFS(tbl_ledger[数量],tbl_ledger[ロットID],$B285,tbl_ledger[元状態],H$1),
_xlpm.受入+_xlpm.充当受入-_xlpm.払出))</f>
        <v/>
      </c>
      <c r="I285" s="8" t="str">
        <f>IF($B285="","",_xlfn.LET(
_xlpm.受入,SUMIFS(tbl_ledger[数量],tbl_ledger[ロットID],$B285,tbl_ledger[イベント種類],"梱包開始"),
_xlpm.充当受入,SUMIFS(tbl_ledger[数量],tbl_ledger[充当先ロットID],$B285,tbl_ledger[イベント種類],"充当",tbl_ledger[元状態],I$1),
_xlpm.払出,SUMIFS(tbl_ledger[数量],tbl_ledger[ロットID],$B285,tbl_ledger[元状態],I$1),
_xlpm.受入+_xlpm.充当受入-_xlpm.払出))</f>
        <v/>
      </c>
      <c r="J285" s="8" t="str">
        <f>IF($B285="","",_xlfn.LET(
_xlpm.受入,SUMIFS(tbl_ledger[数量],tbl_ledger[ロットID],$B285,tbl_ledger[イベント種類],"梱包完了"),
_xlpm.充当受入,SUMIFS(tbl_ledger[数量],tbl_ledger[充当先ロットID],$B285,tbl_ledger[イベント種類],"充当",tbl_ledger[元状態],J$1),
_xlpm.払出,SUMIFS(tbl_ledger[数量],tbl_ledger[ロットID],$B285,tbl_ledger[元状態],J$1),
_xlpm.受入+_xlpm.充当受入-_xlpm.払出))</f>
        <v/>
      </c>
      <c r="K285" s="8" t="str">
        <f>IF($B285="","",_xlfn.LET(
_xlpm.受入,SUMIFS(tbl_ledger[数量],tbl_ledger[ロットID],$B285,tbl_ledger[イベント種類],"発送準備開始"),
_xlpm.充当受入,SUMIFS(tbl_ledger[数量],tbl_ledger[充当先ロットID],$B285,tbl_ledger[イベント種類],"充当",tbl_ledger[元状態],K$1),
_xlpm.払出,SUMIFS(tbl_ledger[数量],tbl_ledger[ロットID],$B285,tbl_ledger[元状態],K$1),
_xlpm.受入+_xlpm.充当受入-_xlpm.払出))</f>
        <v/>
      </c>
      <c r="L285" s="8" t="str">
        <f>IF($B285="","",_xlfn.LET(
_xlpm.受入,SUMIFS(tbl_ledger[数量],tbl_ledger[ロットID],$B285,tbl_ledger[イベント種類],"発送準備完了"),
_xlpm.充当受入,SUMIFS(tbl_ledger[数量],tbl_ledger[充当先ロットID],$B285,tbl_ledger[イベント種類],"充当",tbl_ledger[元状態],L$1),
_xlpm.払出,SUMIFS(tbl_ledger[数量],tbl_ledger[ロットID],$B285,tbl_ledger[元状態],L$1),
_xlpm.受入+_xlpm.充当受入-_xlpm.払出))</f>
        <v/>
      </c>
      <c r="M285" s="8" t="str">
        <f>IF($B285="","",_xlfn.LET(
_xlpm.受入,SUMIFS(tbl_ledger[数量],tbl_ledger[ロットID],$B285,tbl_ledger[イベント種類],"不良発生"),
_xlpm.充当受入,SUMIFS(tbl_ledger[数量],tbl_ledger[充当先ロットID],$B285,tbl_ledger[イベント種類],"充当",tbl_ledger[元状態],M$1),
_xlpm.払出,SUMIFS(tbl_ledger[数量],tbl_ledger[ロットID],$B285,tbl_ledger[元状態],M$1),
_xlpm.受入+_xlpm.充当受入-_xlpm.払出))</f>
        <v/>
      </c>
      <c r="N285" s="8" t="str">
        <f t="shared" si="9"/>
        <v/>
      </c>
    </row>
    <row r="286" spans="1:14" ht="15" customHeight="1" x14ac:dyDescent="0.25">
      <c r="A286" s="4" t="str">
        <f t="shared" si="8"/>
        <v/>
      </c>
      <c r="B286" s="4" t="str">
        <f>IFERROR(IF(COUNTIF($B$1:$B285,INDEX(tbl_plan[ロットID],ROW()-1))&gt;0,"",INDEX(tbl_plan[ロットID],ROW()-1)),"")</f>
        <v/>
      </c>
      <c r="C286" s="4" t="str">
        <f>IF($B286="","",INDEX(tbl_plan[localId],ROW()-1))</f>
        <v/>
      </c>
      <c r="D286" s="8" t="str">
        <f>IF($B286="","",_xlfn.LET(
_xlpm.割当受入,SUMIF(V_充足確認!$A$2:$A$301,$B286,V_充足確認!$F$2:$F$301),
_xlpm.充当受入,SUMIFS(tbl_ledger[数量],tbl_ledger[充当先ロットID],$B286,tbl_ledger[イベント種類],"充当",tbl_ledger[元状態],D$1),
_xlpm.払出,SUMIFS(tbl_ledger[数量],tbl_ledger[ロットID],$B286,tbl_ledger[元状態],D$1),
_xlpm.割当受入+_xlpm.充当受入-_xlpm.払出))</f>
        <v/>
      </c>
      <c r="E286" s="8" t="str">
        <f>IF($B286="","",_xlfn.LET(
_xlpm.受入,SUMIFS(tbl_ledger[数量],tbl_ledger[ロットID],$B286,tbl_ledger[イベント種類],"アニール開始"),
_xlpm.充当受入,SUMIFS(tbl_ledger[数量],tbl_ledger[充当先ロットID],$B286,tbl_ledger[イベント種類],"充当",tbl_ledger[元状態],E$1),
_xlpm.払出,SUMIFS(tbl_ledger[数量],tbl_ledger[ロットID],$B286,tbl_ledger[元状態],E$1),
_xlpm.受入+_xlpm.充当受入-_xlpm.払出))</f>
        <v/>
      </c>
      <c r="F286" s="8" t="str">
        <f>IF($B286="","",_xlfn.LET(
_xlpm.受入,SUMIFS(tbl_ledger[数量],tbl_ledger[ロットID],$B286,tbl_ledger[イベント種類],"アニール完了"),
_xlpm.充当受入,SUMIFS(tbl_ledger[数量],tbl_ledger[充当先ロットID],$B286,tbl_ledger[イベント種類],"充当",tbl_ledger[元状態],F$1),
_xlpm.払出,SUMIFS(tbl_ledger[数量],tbl_ledger[ロットID],$B286,tbl_ledger[元状態],F$1),
_xlpm.受入+_xlpm.充当受入-_xlpm.払出))</f>
        <v/>
      </c>
      <c r="G286" s="8" t="str">
        <f>IF($B286="","",_xlfn.LET(
_xlpm.受入,SUMIFS(tbl_ledger[数量],tbl_ledger[ロットID],$B286,tbl_ledger[イベント種類],"アセンブリ開始"),
_xlpm.充当受入,SUMIFS(tbl_ledger[数量],tbl_ledger[充当先ロットID],$B286,tbl_ledger[イベント種類],"充当",tbl_ledger[元状態],G$1),
_xlpm.払出,SUMIFS(tbl_ledger[数量],tbl_ledger[ロットID],$B286,tbl_ledger[元状態],G$1),
_xlpm.受入+_xlpm.充当受入-_xlpm.払出))</f>
        <v/>
      </c>
      <c r="H286" s="8" t="str">
        <f>IF($B286="","",_xlfn.LET(
_xlpm.受入,SUMIFS(tbl_ledger[数量],tbl_ledger[ロットID],$B286,tbl_ledger[イベント種類],"アセンブリ完了"),
_xlpm.充当受入,SUMIFS(tbl_ledger[数量],tbl_ledger[充当先ロットID],$B286,tbl_ledger[イベント種類],"充当",tbl_ledger[元状態],H$1),
_xlpm.払出,SUMIFS(tbl_ledger[数量],tbl_ledger[ロットID],$B286,tbl_ledger[元状態],H$1),
_xlpm.受入+_xlpm.充当受入-_xlpm.払出))</f>
        <v/>
      </c>
      <c r="I286" s="8" t="str">
        <f>IF($B286="","",_xlfn.LET(
_xlpm.受入,SUMIFS(tbl_ledger[数量],tbl_ledger[ロットID],$B286,tbl_ledger[イベント種類],"梱包開始"),
_xlpm.充当受入,SUMIFS(tbl_ledger[数量],tbl_ledger[充当先ロットID],$B286,tbl_ledger[イベント種類],"充当",tbl_ledger[元状態],I$1),
_xlpm.払出,SUMIFS(tbl_ledger[数量],tbl_ledger[ロットID],$B286,tbl_ledger[元状態],I$1),
_xlpm.受入+_xlpm.充当受入-_xlpm.払出))</f>
        <v/>
      </c>
      <c r="J286" s="8" t="str">
        <f>IF($B286="","",_xlfn.LET(
_xlpm.受入,SUMIFS(tbl_ledger[数量],tbl_ledger[ロットID],$B286,tbl_ledger[イベント種類],"梱包完了"),
_xlpm.充当受入,SUMIFS(tbl_ledger[数量],tbl_ledger[充当先ロットID],$B286,tbl_ledger[イベント種類],"充当",tbl_ledger[元状態],J$1),
_xlpm.払出,SUMIFS(tbl_ledger[数量],tbl_ledger[ロットID],$B286,tbl_ledger[元状態],J$1),
_xlpm.受入+_xlpm.充当受入-_xlpm.払出))</f>
        <v/>
      </c>
      <c r="K286" s="8" t="str">
        <f>IF($B286="","",_xlfn.LET(
_xlpm.受入,SUMIFS(tbl_ledger[数量],tbl_ledger[ロットID],$B286,tbl_ledger[イベント種類],"発送準備開始"),
_xlpm.充当受入,SUMIFS(tbl_ledger[数量],tbl_ledger[充当先ロットID],$B286,tbl_ledger[イベント種類],"充当",tbl_ledger[元状態],K$1),
_xlpm.払出,SUMIFS(tbl_ledger[数量],tbl_ledger[ロットID],$B286,tbl_ledger[元状態],K$1),
_xlpm.受入+_xlpm.充当受入-_xlpm.払出))</f>
        <v/>
      </c>
      <c r="L286" s="8" t="str">
        <f>IF($B286="","",_xlfn.LET(
_xlpm.受入,SUMIFS(tbl_ledger[数量],tbl_ledger[ロットID],$B286,tbl_ledger[イベント種類],"発送準備完了"),
_xlpm.充当受入,SUMIFS(tbl_ledger[数量],tbl_ledger[充当先ロットID],$B286,tbl_ledger[イベント種類],"充当",tbl_ledger[元状態],L$1),
_xlpm.払出,SUMIFS(tbl_ledger[数量],tbl_ledger[ロットID],$B286,tbl_ledger[元状態],L$1),
_xlpm.受入+_xlpm.充当受入-_xlpm.払出))</f>
        <v/>
      </c>
      <c r="M286" s="8" t="str">
        <f>IF($B286="","",_xlfn.LET(
_xlpm.受入,SUMIFS(tbl_ledger[数量],tbl_ledger[ロットID],$B286,tbl_ledger[イベント種類],"不良発生"),
_xlpm.充当受入,SUMIFS(tbl_ledger[数量],tbl_ledger[充当先ロットID],$B286,tbl_ledger[イベント種類],"充当",tbl_ledger[元状態],M$1),
_xlpm.払出,SUMIFS(tbl_ledger[数量],tbl_ledger[ロットID],$B286,tbl_ledger[元状態],M$1),
_xlpm.受入+_xlpm.充当受入-_xlpm.払出))</f>
        <v/>
      </c>
      <c r="N286" s="8" t="str">
        <f t="shared" si="9"/>
        <v/>
      </c>
    </row>
    <row r="287" spans="1:14" ht="15" customHeight="1" x14ac:dyDescent="0.25">
      <c r="A287" s="4" t="str">
        <f t="shared" si="8"/>
        <v/>
      </c>
      <c r="B287" s="4" t="str">
        <f>IFERROR(IF(COUNTIF($B$1:$B286,INDEX(tbl_plan[ロットID],ROW()-1))&gt;0,"",INDEX(tbl_plan[ロットID],ROW()-1)),"")</f>
        <v/>
      </c>
      <c r="C287" s="4" t="str">
        <f>IF($B287="","",INDEX(tbl_plan[localId],ROW()-1))</f>
        <v/>
      </c>
      <c r="D287" s="8" t="str">
        <f>IF($B287="","",_xlfn.LET(
_xlpm.割当受入,SUMIF(V_充足確認!$A$2:$A$301,$B287,V_充足確認!$F$2:$F$301),
_xlpm.充当受入,SUMIFS(tbl_ledger[数量],tbl_ledger[充当先ロットID],$B287,tbl_ledger[イベント種類],"充当",tbl_ledger[元状態],D$1),
_xlpm.払出,SUMIFS(tbl_ledger[数量],tbl_ledger[ロットID],$B287,tbl_ledger[元状態],D$1),
_xlpm.割当受入+_xlpm.充当受入-_xlpm.払出))</f>
        <v/>
      </c>
      <c r="E287" s="8" t="str">
        <f>IF($B287="","",_xlfn.LET(
_xlpm.受入,SUMIFS(tbl_ledger[数量],tbl_ledger[ロットID],$B287,tbl_ledger[イベント種類],"アニール開始"),
_xlpm.充当受入,SUMIFS(tbl_ledger[数量],tbl_ledger[充当先ロットID],$B287,tbl_ledger[イベント種類],"充当",tbl_ledger[元状態],E$1),
_xlpm.払出,SUMIFS(tbl_ledger[数量],tbl_ledger[ロットID],$B287,tbl_ledger[元状態],E$1),
_xlpm.受入+_xlpm.充当受入-_xlpm.払出))</f>
        <v/>
      </c>
      <c r="F287" s="8" t="str">
        <f>IF($B287="","",_xlfn.LET(
_xlpm.受入,SUMIFS(tbl_ledger[数量],tbl_ledger[ロットID],$B287,tbl_ledger[イベント種類],"アニール完了"),
_xlpm.充当受入,SUMIFS(tbl_ledger[数量],tbl_ledger[充当先ロットID],$B287,tbl_ledger[イベント種類],"充当",tbl_ledger[元状態],F$1),
_xlpm.払出,SUMIFS(tbl_ledger[数量],tbl_ledger[ロットID],$B287,tbl_ledger[元状態],F$1),
_xlpm.受入+_xlpm.充当受入-_xlpm.払出))</f>
        <v/>
      </c>
      <c r="G287" s="8" t="str">
        <f>IF($B287="","",_xlfn.LET(
_xlpm.受入,SUMIFS(tbl_ledger[数量],tbl_ledger[ロットID],$B287,tbl_ledger[イベント種類],"アセンブリ開始"),
_xlpm.充当受入,SUMIFS(tbl_ledger[数量],tbl_ledger[充当先ロットID],$B287,tbl_ledger[イベント種類],"充当",tbl_ledger[元状態],G$1),
_xlpm.払出,SUMIFS(tbl_ledger[数量],tbl_ledger[ロットID],$B287,tbl_ledger[元状態],G$1),
_xlpm.受入+_xlpm.充当受入-_xlpm.払出))</f>
        <v/>
      </c>
      <c r="H287" s="8" t="str">
        <f>IF($B287="","",_xlfn.LET(
_xlpm.受入,SUMIFS(tbl_ledger[数量],tbl_ledger[ロットID],$B287,tbl_ledger[イベント種類],"アセンブリ完了"),
_xlpm.充当受入,SUMIFS(tbl_ledger[数量],tbl_ledger[充当先ロットID],$B287,tbl_ledger[イベント種類],"充当",tbl_ledger[元状態],H$1),
_xlpm.払出,SUMIFS(tbl_ledger[数量],tbl_ledger[ロットID],$B287,tbl_ledger[元状態],H$1),
_xlpm.受入+_xlpm.充当受入-_xlpm.払出))</f>
        <v/>
      </c>
      <c r="I287" s="8" t="str">
        <f>IF($B287="","",_xlfn.LET(
_xlpm.受入,SUMIFS(tbl_ledger[数量],tbl_ledger[ロットID],$B287,tbl_ledger[イベント種類],"梱包開始"),
_xlpm.充当受入,SUMIFS(tbl_ledger[数量],tbl_ledger[充当先ロットID],$B287,tbl_ledger[イベント種類],"充当",tbl_ledger[元状態],I$1),
_xlpm.払出,SUMIFS(tbl_ledger[数量],tbl_ledger[ロットID],$B287,tbl_ledger[元状態],I$1),
_xlpm.受入+_xlpm.充当受入-_xlpm.払出))</f>
        <v/>
      </c>
      <c r="J287" s="8" t="str">
        <f>IF($B287="","",_xlfn.LET(
_xlpm.受入,SUMIFS(tbl_ledger[数量],tbl_ledger[ロットID],$B287,tbl_ledger[イベント種類],"梱包完了"),
_xlpm.充当受入,SUMIFS(tbl_ledger[数量],tbl_ledger[充当先ロットID],$B287,tbl_ledger[イベント種類],"充当",tbl_ledger[元状態],J$1),
_xlpm.払出,SUMIFS(tbl_ledger[数量],tbl_ledger[ロットID],$B287,tbl_ledger[元状態],J$1),
_xlpm.受入+_xlpm.充当受入-_xlpm.払出))</f>
        <v/>
      </c>
      <c r="K287" s="8" t="str">
        <f>IF($B287="","",_xlfn.LET(
_xlpm.受入,SUMIFS(tbl_ledger[数量],tbl_ledger[ロットID],$B287,tbl_ledger[イベント種類],"発送準備開始"),
_xlpm.充当受入,SUMIFS(tbl_ledger[数量],tbl_ledger[充当先ロットID],$B287,tbl_ledger[イベント種類],"充当",tbl_ledger[元状態],K$1),
_xlpm.払出,SUMIFS(tbl_ledger[数量],tbl_ledger[ロットID],$B287,tbl_ledger[元状態],K$1),
_xlpm.受入+_xlpm.充当受入-_xlpm.払出))</f>
        <v/>
      </c>
      <c r="L287" s="8" t="str">
        <f>IF($B287="","",_xlfn.LET(
_xlpm.受入,SUMIFS(tbl_ledger[数量],tbl_ledger[ロットID],$B287,tbl_ledger[イベント種類],"発送準備完了"),
_xlpm.充当受入,SUMIFS(tbl_ledger[数量],tbl_ledger[充当先ロットID],$B287,tbl_ledger[イベント種類],"充当",tbl_ledger[元状態],L$1),
_xlpm.払出,SUMIFS(tbl_ledger[数量],tbl_ledger[ロットID],$B287,tbl_ledger[元状態],L$1),
_xlpm.受入+_xlpm.充当受入-_xlpm.払出))</f>
        <v/>
      </c>
      <c r="M287" s="8" t="str">
        <f>IF($B287="","",_xlfn.LET(
_xlpm.受入,SUMIFS(tbl_ledger[数量],tbl_ledger[ロットID],$B287,tbl_ledger[イベント種類],"不良発生"),
_xlpm.充当受入,SUMIFS(tbl_ledger[数量],tbl_ledger[充当先ロットID],$B287,tbl_ledger[イベント種類],"充当",tbl_ledger[元状態],M$1),
_xlpm.払出,SUMIFS(tbl_ledger[数量],tbl_ledger[ロットID],$B287,tbl_ledger[元状態],M$1),
_xlpm.受入+_xlpm.充当受入-_xlpm.払出))</f>
        <v/>
      </c>
      <c r="N287" s="8" t="str">
        <f t="shared" si="9"/>
        <v/>
      </c>
    </row>
    <row r="288" spans="1:14" ht="15" customHeight="1" x14ac:dyDescent="0.25">
      <c r="A288" s="4" t="str">
        <f t="shared" si="8"/>
        <v/>
      </c>
      <c r="B288" s="4" t="str">
        <f>IFERROR(IF(COUNTIF($B$1:$B287,INDEX(tbl_plan[ロットID],ROW()-1))&gt;0,"",INDEX(tbl_plan[ロットID],ROW()-1)),"")</f>
        <v/>
      </c>
      <c r="C288" s="4" t="str">
        <f>IF($B288="","",INDEX(tbl_plan[localId],ROW()-1))</f>
        <v/>
      </c>
      <c r="D288" s="8" t="str">
        <f>IF($B288="","",_xlfn.LET(
_xlpm.割当受入,SUMIF(V_充足確認!$A$2:$A$301,$B288,V_充足確認!$F$2:$F$301),
_xlpm.充当受入,SUMIFS(tbl_ledger[数量],tbl_ledger[充当先ロットID],$B288,tbl_ledger[イベント種類],"充当",tbl_ledger[元状態],D$1),
_xlpm.払出,SUMIFS(tbl_ledger[数量],tbl_ledger[ロットID],$B288,tbl_ledger[元状態],D$1),
_xlpm.割当受入+_xlpm.充当受入-_xlpm.払出))</f>
        <v/>
      </c>
      <c r="E288" s="8" t="str">
        <f>IF($B288="","",_xlfn.LET(
_xlpm.受入,SUMIFS(tbl_ledger[数量],tbl_ledger[ロットID],$B288,tbl_ledger[イベント種類],"アニール開始"),
_xlpm.充当受入,SUMIFS(tbl_ledger[数量],tbl_ledger[充当先ロットID],$B288,tbl_ledger[イベント種類],"充当",tbl_ledger[元状態],E$1),
_xlpm.払出,SUMIFS(tbl_ledger[数量],tbl_ledger[ロットID],$B288,tbl_ledger[元状態],E$1),
_xlpm.受入+_xlpm.充当受入-_xlpm.払出))</f>
        <v/>
      </c>
      <c r="F288" s="8" t="str">
        <f>IF($B288="","",_xlfn.LET(
_xlpm.受入,SUMIFS(tbl_ledger[数量],tbl_ledger[ロットID],$B288,tbl_ledger[イベント種類],"アニール完了"),
_xlpm.充当受入,SUMIFS(tbl_ledger[数量],tbl_ledger[充当先ロットID],$B288,tbl_ledger[イベント種類],"充当",tbl_ledger[元状態],F$1),
_xlpm.払出,SUMIFS(tbl_ledger[数量],tbl_ledger[ロットID],$B288,tbl_ledger[元状態],F$1),
_xlpm.受入+_xlpm.充当受入-_xlpm.払出))</f>
        <v/>
      </c>
      <c r="G288" s="8" t="str">
        <f>IF($B288="","",_xlfn.LET(
_xlpm.受入,SUMIFS(tbl_ledger[数量],tbl_ledger[ロットID],$B288,tbl_ledger[イベント種類],"アセンブリ開始"),
_xlpm.充当受入,SUMIFS(tbl_ledger[数量],tbl_ledger[充当先ロットID],$B288,tbl_ledger[イベント種類],"充当",tbl_ledger[元状態],G$1),
_xlpm.払出,SUMIFS(tbl_ledger[数量],tbl_ledger[ロットID],$B288,tbl_ledger[元状態],G$1),
_xlpm.受入+_xlpm.充当受入-_xlpm.払出))</f>
        <v/>
      </c>
      <c r="H288" s="8" t="str">
        <f>IF($B288="","",_xlfn.LET(
_xlpm.受入,SUMIFS(tbl_ledger[数量],tbl_ledger[ロットID],$B288,tbl_ledger[イベント種類],"アセンブリ完了"),
_xlpm.充当受入,SUMIFS(tbl_ledger[数量],tbl_ledger[充当先ロットID],$B288,tbl_ledger[イベント種類],"充当",tbl_ledger[元状態],H$1),
_xlpm.払出,SUMIFS(tbl_ledger[数量],tbl_ledger[ロットID],$B288,tbl_ledger[元状態],H$1),
_xlpm.受入+_xlpm.充当受入-_xlpm.払出))</f>
        <v/>
      </c>
      <c r="I288" s="8" t="str">
        <f>IF($B288="","",_xlfn.LET(
_xlpm.受入,SUMIFS(tbl_ledger[数量],tbl_ledger[ロットID],$B288,tbl_ledger[イベント種類],"梱包開始"),
_xlpm.充当受入,SUMIFS(tbl_ledger[数量],tbl_ledger[充当先ロットID],$B288,tbl_ledger[イベント種類],"充当",tbl_ledger[元状態],I$1),
_xlpm.払出,SUMIFS(tbl_ledger[数量],tbl_ledger[ロットID],$B288,tbl_ledger[元状態],I$1),
_xlpm.受入+_xlpm.充当受入-_xlpm.払出))</f>
        <v/>
      </c>
      <c r="J288" s="8" t="str">
        <f>IF($B288="","",_xlfn.LET(
_xlpm.受入,SUMIFS(tbl_ledger[数量],tbl_ledger[ロットID],$B288,tbl_ledger[イベント種類],"梱包完了"),
_xlpm.充当受入,SUMIFS(tbl_ledger[数量],tbl_ledger[充当先ロットID],$B288,tbl_ledger[イベント種類],"充当",tbl_ledger[元状態],J$1),
_xlpm.払出,SUMIFS(tbl_ledger[数量],tbl_ledger[ロットID],$B288,tbl_ledger[元状態],J$1),
_xlpm.受入+_xlpm.充当受入-_xlpm.払出))</f>
        <v/>
      </c>
      <c r="K288" s="8" t="str">
        <f>IF($B288="","",_xlfn.LET(
_xlpm.受入,SUMIFS(tbl_ledger[数量],tbl_ledger[ロットID],$B288,tbl_ledger[イベント種類],"発送準備開始"),
_xlpm.充当受入,SUMIFS(tbl_ledger[数量],tbl_ledger[充当先ロットID],$B288,tbl_ledger[イベント種類],"充当",tbl_ledger[元状態],K$1),
_xlpm.払出,SUMIFS(tbl_ledger[数量],tbl_ledger[ロットID],$B288,tbl_ledger[元状態],K$1),
_xlpm.受入+_xlpm.充当受入-_xlpm.払出))</f>
        <v/>
      </c>
      <c r="L288" s="8" t="str">
        <f>IF($B288="","",_xlfn.LET(
_xlpm.受入,SUMIFS(tbl_ledger[数量],tbl_ledger[ロットID],$B288,tbl_ledger[イベント種類],"発送準備完了"),
_xlpm.充当受入,SUMIFS(tbl_ledger[数量],tbl_ledger[充当先ロットID],$B288,tbl_ledger[イベント種類],"充当",tbl_ledger[元状態],L$1),
_xlpm.払出,SUMIFS(tbl_ledger[数量],tbl_ledger[ロットID],$B288,tbl_ledger[元状態],L$1),
_xlpm.受入+_xlpm.充当受入-_xlpm.払出))</f>
        <v/>
      </c>
      <c r="M288" s="8" t="str">
        <f>IF($B288="","",_xlfn.LET(
_xlpm.受入,SUMIFS(tbl_ledger[数量],tbl_ledger[ロットID],$B288,tbl_ledger[イベント種類],"不良発生"),
_xlpm.充当受入,SUMIFS(tbl_ledger[数量],tbl_ledger[充当先ロットID],$B288,tbl_ledger[イベント種類],"充当",tbl_ledger[元状態],M$1),
_xlpm.払出,SUMIFS(tbl_ledger[数量],tbl_ledger[ロットID],$B288,tbl_ledger[元状態],M$1),
_xlpm.受入+_xlpm.充当受入-_xlpm.払出))</f>
        <v/>
      </c>
      <c r="N288" s="8" t="str">
        <f t="shared" si="9"/>
        <v/>
      </c>
    </row>
    <row r="289" spans="1:14" ht="15" customHeight="1" x14ac:dyDescent="0.25">
      <c r="A289" s="4" t="str">
        <f t="shared" si="8"/>
        <v/>
      </c>
      <c r="B289" s="4" t="str">
        <f>IFERROR(IF(COUNTIF($B$1:$B288,INDEX(tbl_plan[ロットID],ROW()-1))&gt;0,"",INDEX(tbl_plan[ロットID],ROW()-1)),"")</f>
        <v/>
      </c>
      <c r="C289" s="4" t="str">
        <f>IF($B289="","",INDEX(tbl_plan[localId],ROW()-1))</f>
        <v/>
      </c>
      <c r="D289" s="8" t="str">
        <f>IF($B289="","",_xlfn.LET(
_xlpm.割当受入,SUMIF(V_充足確認!$A$2:$A$301,$B289,V_充足確認!$F$2:$F$301),
_xlpm.充当受入,SUMIFS(tbl_ledger[数量],tbl_ledger[充当先ロットID],$B289,tbl_ledger[イベント種類],"充当",tbl_ledger[元状態],D$1),
_xlpm.払出,SUMIFS(tbl_ledger[数量],tbl_ledger[ロットID],$B289,tbl_ledger[元状態],D$1),
_xlpm.割当受入+_xlpm.充当受入-_xlpm.払出))</f>
        <v/>
      </c>
      <c r="E289" s="8" t="str">
        <f>IF($B289="","",_xlfn.LET(
_xlpm.受入,SUMIFS(tbl_ledger[数量],tbl_ledger[ロットID],$B289,tbl_ledger[イベント種類],"アニール開始"),
_xlpm.充当受入,SUMIFS(tbl_ledger[数量],tbl_ledger[充当先ロットID],$B289,tbl_ledger[イベント種類],"充当",tbl_ledger[元状態],E$1),
_xlpm.払出,SUMIFS(tbl_ledger[数量],tbl_ledger[ロットID],$B289,tbl_ledger[元状態],E$1),
_xlpm.受入+_xlpm.充当受入-_xlpm.払出))</f>
        <v/>
      </c>
      <c r="F289" s="8" t="str">
        <f>IF($B289="","",_xlfn.LET(
_xlpm.受入,SUMIFS(tbl_ledger[数量],tbl_ledger[ロットID],$B289,tbl_ledger[イベント種類],"アニール完了"),
_xlpm.充当受入,SUMIFS(tbl_ledger[数量],tbl_ledger[充当先ロットID],$B289,tbl_ledger[イベント種類],"充当",tbl_ledger[元状態],F$1),
_xlpm.払出,SUMIFS(tbl_ledger[数量],tbl_ledger[ロットID],$B289,tbl_ledger[元状態],F$1),
_xlpm.受入+_xlpm.充当受入-_xlpm.払出))</f>
        <v/>
      </c>
      <c r="G289" s="8" t="str">
        <f>IF($B289="","",_xlfn.LET(
_xlpm.受入,SUMIFS(tbl_ledger[数量],tbl_ledger[ロットID],$B289,tbl_ledger[イベント種類],"アセンブリ開始"),
_xlpm.充当受入,SUMIFS(tbl_ledger[数量],tbl_ledger[充当先ロットID],$B289,tbl_ledger[イベント種類],"充当",tbl_ledger[元状態],G$1),
_xlpm.払出,SUMIFS(tbl_ledger[数量],tbl_ledger[ロットID],$B289,tbl_ledger[元状態],G$1),
_xlpm.受入+_xlpm.充当受入-_xlpm.払出))</f>
        <v/>
      </c>
      <c r="H289" s="8" t="str">
        <f>IF($B289="","",_xlfn.LET(
_xlpm.受入,SUMIFS(tbl_ledger[数量],tbl_ledger[ロットID],$B289,tbl_ledger[イベント種類],"アセンブリ完了"),
_xlpm.充当受入,SUMIFS(tbl_ledger[数量],tbl_ledger[充当先ロットID],$B289,tbl_ledger[イベント種類],"充当",tbl_ledger[元状態],H$1),
_xlpm.払出,SUMIFS(tbl_ledger[数量],tbl_ledger[ロットID],$B289,tbl_ledger[元状態],H$1),
_xlpm.受入+_xlpm.充当受入-_xlpm.払出))</f>
        <v/>
      </c>
      <c r="I289" s="8" t="str">
        <f>IF($B289="","",_xlfn.LET(
_xlpm.受入,SUMIFS(tbl_ledger[数量],tbl_ledger[ロットID],$B289,tbl_ledger[イベント種類],"梱包開始"),
_xlpm.充当受入,SUMIFS(tbl_ledger[数量],tbl_ledger[充当先ロットID],$B289,tbl_ledger[イベント種類],"充当",tbl_ledger[元状態],I$1),
_xlpm.払出,SUMIFS(tbl_ledger[数量],tbl_ledger[ロットID],$B289,tbl_ledger[元状態],I$1),
_xlpm.受入+_xlpm.充当受入-_xlpm.払出))</f>
        <v/>
      </c>
      <c r="J289" s="8" t="str">
        <f>IF($B289="","",_xlfn.LET(
_xlpm.受入,SUMIFS(tbl_ledger[数量],tbl_ledger[ロットID],$B289,tbl_ledger[イベント種類],"梱包完了"),
_xlpm.充当受入,SUMIFS(tbl_ledger[数量],tbl_ledger[充当先ロットID],$B289,tbl_ledger[イベント種類],"充当",tbl_ledger[元状態],J$1),
_xlpm.払出,SUMIFS(tbl_ledger[数量],tbl_ledger[ロットID],$B289,tbl_ledger[元状態],J$1),
_xlpm.受入+_xlpm.充当受入-_xlpm.払出))</f>
        <v/>
      </c>
      <c r="K289" s="8" t="str">
        <f>IF($B289="","",_xlfn.LET(
_xlpm.受入,SUMIFS(tbl_ledger[数量],tbl_ledger[ロットID],$B289,tbl_ledger[イベント種類],"発送準備開始"),
_xlpm.充当受入,SUMIFS(tbl_ledger[数量],tbl_ledger[充当先ロットID],$B289,tbl_ledger[イベント種類],"充当",tbl_ledger[元状態],K$1),
_xlpm.払出,SUMIFS(tbl_ledger[数量],tbl_ledger[ロットID],$B289,tbl_ledger[元状態],K$1),
_xlpm.受入+_xlpm.充当受入-_xlpm.払出))</f>
        <v/>
      </c>
      <c r="L289" s="8" t="str">
        <f>IF($B289="","",_xlfn.LET(
_xlpm.受入,SUMIFS(tbl_ledger[数量],tbl_ledger[ロットID],$B289,tbl_ledger[イベント種類],"発送準備完了"),
_xlpm.充当受入,SUMIFS(tbl_ledger[数量],tbl_ledger[充当先ロットID],$B289,tbl_ledger[イベント種類],"充当",tbl_ledger[元状態],L$1),
_xlpm.払出,SUMIFS(tbl_ledger[数量],tbl_ledger[ロットID],$B289,tbl_ledger[元状態],L$1),
_xlpm.受入+_xlpm.充当受入-_xlpm.払出))</f>
        <v/>
      </c>
      <c r="M289" s="8" t="str">
        <f>IF($B289="","",_xlfn.LET(
_xlpm.受入,SUMIFS(tbl_ledger[数量],tbl_ledger[ロットID],$B289,tbl_ledger[イベント種類],"不良発生"),
_xlpm.充当受入,SUMIFS(tbl_ledger[数量],tbl_ledger[充当先ロットID],$B289,tbl_ledger[イベント種類],"充当",tbl_ledger[元状態],M$1),
_xlpm.払出,SUMIFS(tbl_ledger[数量],tbl_ledger[ロットID],$B289,tbl_ledger[元状態],M$1),
_xlpm.受入+_xlpm.充当受入-_xlpm.払出))</f>
        <v/>
      </c>
      <c r="N289" s="8" t="str">
        <f t="shared" si="9"/>
        <v/>
      </c>
    </row>
    <row r="290" spans="1:14" ht="15" customHeight="1" x14ac:dyDescent="0.25">
      <c r="A290" s="4" t="str">
        <f t="shared" si="8"/>
        <v/>
      </c>
      <c r="B290" s="4" t="str">
        <f>IFERROR(IF(COUNTIF($B$1:$B289,INDEX(tbl_plan[ロットID],ROW()-1))&gt;0,"",INDEX(tbl_plan[ロットID],ROW()-1)),"")</f>
        <v/>
      </c>
      <c r="C290" s="4" t="str">
        <f>IF($B290="","",INDEX(tbl_plan[localId],ROW()-1))</f>
        <v/>
      </c>
      <c r="D290" s="8" t="str">
        <f>IF($B290="","",_xlfn.LET(
_xlpm.割当受入,SUMIF(V_充足確認!$A$2:$A$301,$B290,V_充足確認!$F$2:$F$301),
_xlpm.充当受入,SUMIFS(tbl_ledger[数量],tbl_ledger[充当先ロットID],$B290,tbl_ledger[イベント種類],"充当",tbl_ledger[元状態],D$1),
_xlpm.払出,SUMIFS(tbl_ledger[数量],tbl_ledger[ロットID],$B290,tbl_ledger[元状態],D$1),
_xlpm.割当受入+_xlpm.充当受入-_xlpm.払出))</f>
        <v/>
      </c>
      <c r="E290" s="8" t="str">
        <f>IF($B290="","",_xlfn.LET(
_xlpm.受入,SUMIFS(tbl_ledger[数量],tbl_ledger[ロットID],$B290,tbl_ledger[イベント種類],"アニール開始"),
_xlpm.充当受入,SUMIFS(tbl_ledger[数量],tbl_ledger[充当先ロットID],$B290,tbl_ledger[イベント種類],"充当",tbl_ledger[元状態],E$1),
_xlpm.払出,SUMIFS(tbl_ledger[数量],tbl_ledger[ロットID],$B290,tbl_ledger[元状態],E$1),
_xlpm.受入+_xlpm.充当受入-_xlpm.払出))</f>
        <v/>
      </c>
      <c r="F290" s="8" t="str">
        <f>IF($B290="","",_xlfn.LET(
_xlpm.受入,SUMIFS(tbl_ledger[数量],tbl_ledger[ロットID],$B290,tbl_ledger[イベント種類],"アニール完了"),
_xlpm.充当受入,SUMIFS(tbl_ledger[数量],tbl_ledger[充当先ロットID],$B290,tbl_ledger[イベント種類],"充当",tbl_ledger[元状態],F$1),
_xlpm.払出,SUMIFS(tbl_ledger[数量],tbl_ledger[ロットID],$B290,tbl_ledger[元状態],F$1),
_xlpm.受入+_xlpm.充当受入-_xlpm.払出))</f>
        <v/>
      </c>
      <c r="G290" s="8" t="str">
        <f>IF($B290="","",_xlfn.LET(
_xlpm.受入,SUMIFS(tbl_ledger[数量],tbl_ledger[ロットID],$B290,tbl_ledger[イベント種類],"アセンブリ開始"),
_xlpm.充当受入,SUMIFS(tbl_ledger[数量],tbl_ledger[充当先ロットID],$B290,tbl_ledger[イベント種類],"充当",tbl_ledger[元状態],G$1),
_xlpm.払出,SUMIFS(tbl_ledger[数量],tbl_ledger[ロットID],$B290,tbl_ledger[元状態],G$1),
_xlpm.受入+_xlpm.充当受入-_xlpm.払出))</f>
        <v/>
      </c>
      <c r="H290" s="8" t="str">
        <f>IF($B290="","",_xlfn.LET(
_xlpm.受入,SUMIFS(tbl_ledger[数量],tbl_ledger[ロットID],$B290,tbl_ledger[イベント種類],"アセンブリ完了"),
_xlpm.充当受入,SUMIFS(tbl_ledger[数量],tbl_ledger[充当先ロットID],$B290,tbl_ledger[イベント種類],"充当",tbl_ledger[元状態],H$1),
_xlpm.払出,SUMIFS(tbl_ledger[数量],tbl_ledger[ロットID],$B290,tbl_ledger[元状態],H$1),
_xlpm.受入+_xlpm.充当受入-_xlpm.払出))</f>
        <v/>
      </c>
      <c r="I290" s="8" t="str">
        <f>IF($B290="","",_xlfn.LET(
_xlpm.受入,SUMIFS(tbl_ledger[数量],tbl_ledger[ロットID],$B290,tbl_ledger[イベント種類],"梱包開始"),
_xlpm.充当受入,SUMIFS(tbl_ledger[数量],tbl_ledger[充当先ロットID],$B290,tbl_ledger[イベント種類],"充当",tbl_ledger[元状態],I$1),
_xlpm.払出,SUMIFS(tbl_ledger[数量],tbl_ledger[ロットID],$B290,tbl_ledger[元状態],I$1),
_xlpm.受入+_xlpm.充当受入-_xlpm.払出))</f>
        <v/>
      </c>
      <c r="J290" s="8" t="str">
        <f>IF($B290="","",_xlfn.LET(
_xlpm.受入,SUMIFS(tbl_ledger[数量],tbl_ledger[ロットID],$B290,tbl_ledger[イベント種類],"梱包完了"),
_xlpm.充当受入,SUMIFS(tbl_ledger[数量],tbl_ledger[充当先ロットID],$B290,tbl_ledger[イベント種類],"充当",tbl_ledger[元状態],J$1),
_xlpm.払出,SUMIFS(tbl_ledger[数量],tbl_ledger[ロットID],$B290,tbl_ledger[元状態],J$1),
_xlpm.受入+_xlpm.充当受入-_xlpm.払出))</f>
        <v/>
      </c>
      <c r="K290" s="8" t="str">
        <f>IF($B290="","",_xlfn.LET(
_xlpm.受入,SUMIFS(tbl_ledger[数量],tbl_ledger[ロットID],$B290,tbl_ledger[イベント種類],"発送準備開始"),
_xlpm.充当受入,SUMIFS(tbl_ledger[数量],tbl_ledger[充当先ロットID],$B290,tbl_ledger[イベント種類],"充当",tbl_ledger[元状態],K$1),
_xlpm.払出,SUMIFS(tbl_ledger[数量],tbl_ledger[ロットID],$B290,tbl_ledger[元状態],K$1),
_xlpm.受入+_xlpm.充当受入-_xlpm.払出))</f>
        <v/>
      </c>
      <c r="L290" s="8" t="str">
        <f>IF($B290="","",_xlfn.LET(
_xlpm.受入,SUMIFS(tbl_ledger[数量],tbl_ledger[ロットID],$B290,tbl_ledger[イベント種類],"発送準備完了"),
_xlpm.充当受入,SUMIFS(tbl_ledger[数量],tbl_ledger[充当先ロットID],$B290,tbl_ledger[イベント種類],"充当",tbl_ledger[元状態],L$1),
_xlpm.払出,SUMIFS(tbl_ledger[数量],tbl_ledger[ロットID],$B290,tbl_ledger[元状態],L$1),
_xlpm.受入+_xlpm.充当受入-_xlpm.払出))</f>
        <v/>
      </c>
      <c r="M290" s="8" t="str">
        <f>IF($B290="","",_xlfn.LET(
_xlpm.受入,SUMIFS(tbl_ledger[数量],tbl_ledger[ロットID],$B290,tbl_ledger[イベント種類],"不良発生"),
_xlpm.充当受入,SUMIFS(tbl_ledger[数量],tbl_ledger[充当先ロットID],$B290,tbl_ledger[イベント種類],"充当",tbl_ledger[元状態],M$1),
_xlpm.払出,SUMIFS(tbl_ledger[数量],tbl_ledger[ロットID],$B290,tbl_ledger[元状態],M$1),
_xlpm.受入+_xlpm.充当受入-_xlpm.払出))</f>
        <v/>
      </c>
      <c r="N290" s="8" t="str">
        <f t="shared" si="9"/>
        <v/>
      </c>
    </row>
    <row r="291" spans="1:14" ht="15" customHeight="1" x14ac:dyDescent="0.25">
      <c r="A291" s="4" t="str">
        <f t="shared" si="8"/>
        <v/>
      </c>
      <c r="B291" s="4" t="str">
        <f>IFERROR(IF(COUNTIF($B$1:$B290,INDEX(tbl_plan[ロットID],ROW()-1))&gt;0,"",INDEX(tbl_plan[ロットID],ROW()-1)),"")</f>
        <v/>
      </c>
      <c r="C291" s="4" t="str">
        <f>IF($B291="","",INDEX(tbl_plan[localId],ROW()-1))</f>
        <v/>
      </c>
      <c r="D291" s="8" t="str">
        <f>IF($B291="","",_xlfn.LET(
_xlpm.割当受入,SUMIF(V_充足確認!$A$2:$A$301,$B291,V_充足確認!$F$2:$F$301),
_xlpm.充当受入,SUMIFS(tbl_ledger[数量],tbl_ledger[充当先ロットID],$B291,tbl_ledger[イベント種類],"充当",tbl_ledger[元状態],D$1),
_xlpm.払出,SUMIFS(tbl_ledger[数量],tbl_ledger[ロットID],$B291,tbl_ledger[元状態],D$1),
_xlpm.割当受入+_xlpm.充当受入-_xlpm.払出))</f>
        <v/>
      </c>
      <c r="E291" s="8" t="str">
        <f>IF($B291="","",_xlfn.LET(
_xlpm.受入,SUMIFS(tbl_ledger[数量],tbl_ledger[ロットID],$B291,tbl_ledger[イベント種類],"アニール開始"),
_xlpm.充当受入,SUMIFS(tbl_ledger[数量],tbl_ledger[充当先ロットID],$B291,tbl_ledger[イベント種類],"充当",tbl_ledger[元状態],E$1),
_xlpm.払出,SUMIFS(tbl_ledger[数量],tbl_ledger[ロットID],$B291,tbl_ledger[元状態],E$1),
_xlpm.受入+_xlpm.充当受入-_xlpm.払出))</f>
        <v/>
      </c>
      <c r="F291" s="8" t="str">
        <f>IF($B291="","",_xlfn.LET(
_xlpm.受入,SUMIFS(tbl_ledger[数量],tbl_ledger[ロットID],$B291,tbl_ledger[イベント種類],"アニール完了"),
_xlpm.充当受入,SUMIFS(tbl_ledger[数量],tbl_ledger[充当先ロットID],$B291,tbl_ledger[イベント種類],"充当",tbl_ledger[元状態],F$1),
_xlpm.払出,SUMIFS(tbl_ledger[数量],tbl_ledger[ロットID],$B291,tbl_ledger[元状態],F$1),
_xlpm.受入+_xlpm.充当受入-_xlpm.払出))</f>
        <v/>
      </c>
      <c r="G291" s="8" t="str">
        <f>IF($B291="","",_xlfn.LET(
_xlpm.受入,SUMIFS(tbl_ledger[数量],tbl_ledger[ロットID],$B291,tbl_ledger[イベント種類],"アセンブリ開始"),
_xlpm.充当受入,SUMIFS(tbl_ledger[数量],tbl_ledger[充当先ロットID],$B291,tbl_ledger[イベント種類],"充当",tbl_ledger[元状態],G$1),
_xlpm.払出,SUMIFS(tbl_ledger[数量],tbl_ledger[ロットID],$B291,tbl_ledger[元状態],G$1),
_xlpm.受入+_xlpm.充当受入-_xlpm.払出))</f>
        <v/>
      </c>
      <c r="H291" s="8" t="str">
        <f>IF($B291="","",_xlfn.LET(
_xlpm.受入,SUMIFS(tbl_ledger[数量],tbl_ledger[ロットID],$B291,tbl_ledger[イベント種類],"アセンブリ完了"),
_xlpm.充当受入,SUMIFS(tbl_ledger[数量],tbl_ledger[充当先ロットID],$B291,tbl_ledger[イベント種類],"充当",tbl_ledger[元状態],H$1),
_xlpm.払出,SUMIFS(tbl_ledger[数量],tbl_ledger[ロットID],$B291,tbl_ledger[元状態],H$1),
_xlpm.受入+_xlpm.充当受入-_xlpm.払出))</f>
        <v/>
      </c>
      <c r="I291" s="8" t="str">
        <f>IF($B291="","",_xlfn.LET(
_xlpm.受入,SUMIFS(tbl_ledger[数量],tbl_ledger[ロットID],$B291,tbl_ledger[イベント種類],"梱包開始"),
_xlpm.充当受入,SUMIFS(tbl_ledger[数量],tbl_ledger[充当先ロットID],$B291,tbl_ledger[イベント種類],"充当",tbl_ledger[元状態],I$1),
_xlpm.払出,SUMIFS(tbl_ledger[数量],tbl_ledger[ロットID],$B291,tbl_ledger[元状態],I$1),
_xlpm.受入+_xlpm.充当受入-_xlpm.払出))</f>
        <v/>
      </c>
      <c r="J291" s="8" t="str">
        <f>IF($B291="","",_xlfn.LET(
_xlpm.受入,SUMIFS(tbl_ledger[数量],tbl_ledger[ロットID],$B291,tbl_ledger[イベント種類],"梱包完了"),
_xlpm.充当受入,SUMIFS(tbl_ledger[数量],tbl_ledger[充当先ロットID],$B291,tbl_ledger[イベント種類],"充当",tbl_ledger[元状態],J$1),
_xlpm.払出,SUMIFS(tbl_ledger[数量],tbl_ledger[ロットID],$B291,tbl_ledger[元状態],J$1),
_xlpm.受入+_xlpm.充当受入-_xlpm.払出))</f>
        <v/>
      </c>
      <c r="K291" s="8" t="str">
        <f>IF($B291="","",_xlfn.LET(
_xlpm.受入,SUMIFS(tbl_ledger[数量],tbl_ledger[ロットID],$B291,tbl_ledger[イベント種類],"発送準備開始"),
_xlpm.充当受入,SUMIFS(tbl_ledger[数量],tbl_ledger[充当先ロットID],$B291,tbl_ledger[イベント種類],"充当",tbl_ledger[元状態],K$1),
_xlpm.払出,SUMIFS(tbl_ledger[数量],tbl_ledger[ロットID],$B291,tbl_ledger[元状態],K$1),
_xlpm.受入+_xlpm.充当受入-_xlpm.払出))</f>
        <v/>
      </c>
      <c r="L291" s="8" t="str">
        <f>IF($B291="","",_xlfn.LET(
_xlpm.受入,SUMIFS(tbl_ledger[数量],tbl_ledger[ロットID],$B291,tbl_ledger[イベント種類],"発送準備完了"),
_xlpm.充当受入,SUMIFS(tbl_ledger[数量],tbl_ledger[充当先ロットID],$B291,tbl_ledger[イベント種類],"充当",tbl_ledger[元状態],L$1),
_xlpm.払出,SUMIFS(tbl_ledger[数量],tbl_ledger[ロットID],$B291,tbl_ledger[元状態],L$1),
_xlpm.受入+_xlpm.充当受入-_xlpm.払出))</f>
        <v/>
      </c>
      <c r="M291" s="8" t="str">
        <f>IF($B291="","",_xlfn.LET(
_xlpm.受入,SUMIFS(tbl_ledger[数量],tbl_ledger[ロットID],$B291,tbl_ledger[イベント種類],"不良発生"),
_xlpm.充当受入,SUMIFS(tbl_ledger[数量],tbl_ledger[充当先ロットID],$B291,tbl_ledger[イベント種類],"充当",tbl_ledger[元状態],M$1),
_xlpm.払出,SUMIFS(tbl_ledger[数量],tbl_ledger[ロットID],$B291,tbl_ledger[元状態],M$1),
_xlpm.受入+_xlpm.充当受入-_xlpm.払出))</f>
        <v/>
      </c>
      <c r="N291" s="8" t="str">
        <f t="shared" si="9"/>
        <v/>
      </c>
    </row>
    <row r="292" spans="1:14" ht="15" customHeight="1" x14ac:dyDescent="0.25">
      <c r="A292" s="4" t="str">
        <f t="shared" si="8"/>
        <v/>
      </c>
      <c r="B292" s="4" t="str">
        <f>IFERROR(IF(COUNTIF($B$1:$B291,INDEX(tbl_plan[ロットID],ROW()-1))&gt;0,"",INDEX(tbl_plan[ロットID],ROW()-1)),"")</f>
        <v/>
      </c>
      <c r="C292" s="4" t="str">
        <f>IF($B292="","",INDEX(tbl_plan[localId],ROW()-1))</f>
        <v/>
      </c>
      <c r="D292" s="8" t="str">
        <f>IF($B292="","",_xlfn.LET(
_xlpm.割当受入,SUMIF(V_充足確認!$A$2:$A$301,$B292,V_充足確認!$F$2:$F$301),
_xlpm.充当受入,SUMIFS(tbl_ledger[数量],tbl_ledger[充当先ロットID],$B292,tbl_ledger[イベント種類],"充当",tbl_ledger[元状態],D$1),
_xlpm.払出,SUMIFS(tbl_ledger[数量],tbl_ledger[ロットID],$B292,tbl_ledger[元状態],D$1),
_xlpm.割当受入+_xlpm.充当受入-_xlpm.払出))</f>
        <v/>
      </c>
      <c r="E292" s="8" t="str">
        <f>IF($B292="","",_xlfn.LET(
_xlpm.受入,SUMIFS(tbl_ledger[数量],tbl_ledger[ロットID],$B292,tbl_ledger[イベント種類],"アニール開始"),
_xlpm.充当受入,SUMIFS(tbl_ledger[数量],tbl_ledger[充当先ロットID],$B292,tbl_ledger[イベント種類],"充当",tbl_ledger[元状態],E$1),
_xlpm.払出,SUMIFS(tbl_ledger[数量],tbl_ledger[ロットID],$B292,tbl_ledger[元状態],E$1),
_xlpm.受入+_xlpm.充当受入-_xlpm.払出))</f>
        <v/>
      </c>
      <c r="F292" s="8" t="str">
        <f>IF($B292="","",_xlfn.LET(
_xlpm.受入,SUMIFS(tbl_ledger[数量],tbl_ledger[ロットID],$B292,tbl_ledger[イベント種類],"アニール完了"),
_xlpm.充当受入,SUMIFS(tbl_ledger[数量],tbl_ledger[充当先ロットID],$B292,tbl_ledger[イベント種類],"充当",tbl_ledger[元状態],F$1),
_xlpm.払出,SUMIFS(tbl_ledger[数量],tbl_ledger[ロットID],$B292,tbl_ledger[元状態],F$1),
_xlpm.受入+_xlpm.充当受入-_xlpm.払出))</f>
        <v/>
      </c>
      <c r="G292" s="8" t="str">
        <f>IF($B292="","",_xlfn.LET(
_xlpm.受入,SUMIFS(tbl_ledger[数量],tbl_ledger[ロットID],$B292,tbl_ledger[イベント種類],"アセンブリ開始"),
_xlpm.充当受入,SUMIFS(tbl_ledger[数量],tbl_ledger[充当先ロットID],$B292,tbl_ledger[イベント種類],"充当",tbl_ledger[元状態],G$1),
_xlpm.払出,SUMIFS(tbl_ledger[数量],tbl_ledger[ロットID],$B292,tbl_ledger[元状態],G$1),
_xlpm.受入+_xlpm.充当受入-_xlpm.払出))</f>
        <v/>
      </c>
      <c r="H292" s="8" t="str">
        <f>IF($B292="","",_xlfn.LET(
_xlpm.受入,SUMIFS(tbl_ledger[数量],tbl_ledger[ロットID],$B292,tbl_ledger[イベント種類],"アセンブリ完了"),
_xlpm.充当受入,SUMIFS(tbl_ledger[数量],tbl_ledger[充当先ロットID],$B292,tbl_ledger[イベント種類],"充当",tbl_ledger[元状態],H$1),
_xlpm.払出,SUMIFS(tbl_ledger[数量],tbl_ledger[ロットID],$B292,tbl_ledger[元状態],H$1),
_xlpm.受入+_xlpm.充当受入-_xlpm.払出))</f>
        <v/>
      </c>
      <c r="I292" s="8" t="str">
        <f>IF($B292="","",_xlfn.LET(
_xlpm.受入,SUMIFS(tbl_ledger[数量],tbl_ledger[ロットID],$B292,tbl_ledger[イベント種類],"梱包開始"),
_xlpm.充当受入,SUMIFS(tbl_ledger[数量],tbl_ledger[充当先ロットID],$B292,tbl_ledger[イベント種類],"充当",tbl_ledger[元状態],I$1),
_xlpm.払出,SUMIFS(tbl_ledger[数量],tbl_ledger[ロットID],$B292,tbl_ledger[元状態],I$1),
_xlpm.受入+_xlpm.充当受入-_xlpm.払出))</f>
        <v/>
      </c>
      <c r="J292" s="8" t="str">
        <f>IF($B292="","",_xlfn.LET(
_xlpm.受入,SUMIFS(tbl_ledger[数量],tbl_ledger[ロットID],$B292,tbl_ledger[イベント種類],"梱包完了"),
_xlpm.充当受入,SUMIFS(tbl_ledger[数量],tbl_ledger[充当先ロットID],$B292,tbl_ledger[イベント種類],"充当",tbl_ledger[元状態],J$1),
_xlpm.払出,SUMIFS(tbl_ledger[数量],tbl_ledger[ロットID],$B292,tbl_ledger[元状態],J$1),
_xlpm.受入+_xlpm.充当受入-_xlpm.払出))</f>
        <v/>
      </c>
      <c r="K292" s="8" t="str">
        <f>IF($B292="","",_xlfn.LET(
_xlpm.受入,SUMIFS(tbl_ledger[数量],tbl_ledger[ロットID],$B292,tbl_ledger[イベント種類],"発送準備開始"),
_xlpm.充当受入,SUMIFS(tbl_ledger[数量],tbl_ledger[充当先ロットID],$B292,tbl_ledger[イベント種類],"充当",tbl_ledger[元状態],K$1),
_xlpm.払出,SUMIFS(tbl_ledger[数量],tbl_ledger[ロットID],$B292,tbl_ledger[元状態],K$1),
_xlpm.受入+_xlpm.充当受入-_xlpm.払出))</f>
        <v/>
      </c>
      <c r="L292" s="8" t="str">
        <f>IF($B292="","",_xlfn.LET(
_xlpm.受入,SUMIFS(tbl_ledger[数量],tbl_ledger[ロットID],$B292,tbl_ledger[イベント種類],"発送準備完了"),
_xlpm.充当受入,SUMIFS(tbl_ledger[数量],tbl_ledger[充当先ロットID],$B292,tbl_ledger[イベント種類],"充当",tbl_ledger[元状態],L$1),
_xlpm.払出,SUMIFS(tbl_ledger[数量],tbl_ledger[ロットID],$B292,tbl_ledger[元状態],L$1),
_xlpm.受入+_xlpm.充当受入-_xlpm.払出))</f>
        <v/>
      </c>
      <c r="M292" s="8" t="str">
        <f>IF($B292="","",_xlfn.LET(
_xlpm.受入,SUMIFS(tbl_ledger[数量],tbl_ledger[ロットID],$B292,tbl_ledger[イベント種類],"不良発生"),
_xlpm.充当受入,SUMIFS(tbl_ledger[数量],tbl_ledger[充当先ロットID],$B292,tbl_ledger[イベント種類],"充当",tbl_ledger[元状態],M$1),
_xlpm.払出,SUMIFS(tbl_ledger[数量],tbl_ledger[ロットID],$B292,tbl_ledger[元状態],M$1),
_xlpm.受入+_xlpm.充当受入-_xlpm.払出))</f>
        <v/>
      </c>
      <c r="N292" s="8" t="str">
        <f t="shared" si="9"/>
        <v/>
      </c>
    </row>
    <row r="293" spans="1:14" ht="15" customHeight="1" x14ac:dyDescent="0.25">
      <c r="A293" s="4" t="str">
        <f t="shared" si="8"/>
        <v/>
      </c>
      <c r="B293" s="4" t="str">
        <f>IFERROR(IF(COUNTIF($B$1:$B292,INDEX(tbl_plan[ロットID],ROW()-1))&gt;0,"",INDEX(tbl_plan[ロットID],ROW()-1)),"")</f>
        <v/>
      </c>
      <c r="C293" s="4" t="str">
        <f>IF($B293="","",INDEX(tbl_plan[localId],ROW()-1))</f>
        <v/>
      </c>
      <c r="D293" s="8" t="str">
        <f>IF($B293="","",_xlfn.LET(
_xlpm.割当受入,SUMIF(V_充足確認!$A$2:$A$301,$B293,V_充足確認!$F$2:$F$301),
_xlpm.充当受入,SUMIFS(tbl_ledger[数量],tbl_ledger[充当先ロットID],$B293,tbl_ledger[イベント種類],"充当",tbl_ledger[元状態],D$1),
_xlpm.払出,SUMIFS(tbl_ledger[数量],tbl_ledger[ロットID],$B293,tbl_ledger[元状態],D$1),
_xlpm.割当受入+_xlpm.充当受入-_xlpm.払出))</f>
        <v/>
      </c>
      <c r="E293" s="8" t="str">
        <f>IF($B293="","",_xlfn.LET(
_xlpm.受入,SUMIFS(tbl_ledger[数量],tbl_ledger[ロットID],$B293,tbl_ledger[イベント種類],"アニール開始"),
_xlpm.充当受入,SUMIFS(tbl_ledger[数量],tbl_ledger[充当先ロットID],$B293,tbl_ledger[イベント種類],"充当",tbl_ledger[元状態],E$1),
_xlpm.払出,SUMIFS(tbl_ledger[数量],tbl_ledger[ロットID],$B293,tbl_ledger[元状態],E$1),
_xlpm.受入+_xlpm.充当受入-_xlpm.払出))</f>
        <v/>
      </c>
      <c r="F293" s="8" t="str">
        <f>IF($B293="","",_xlfn.LET(
_xlpm.受入,SUMIFS(tbl_ledger[数量],tbl_ledger[ロットID],$B293,tbl_ledger[イベント種類],"アニール完了"),
_xlpm.充当受入,SUMIFS(tbl_ledger[数量],tbl_ledger[充当先ロットID],$B293,tbl_ledger[イベント種類],"充当",tbl_ledger[元状態],F$1),
_xlpm.払出,SUMIFS(tbl_ledger[数量],tbl_ledger[ロットID],$B293,tbl_ledger[元状態],F$1),
_xlpm.受入+_xlpm.充当受入-_xlpm.払出))</f>
        <v/>
      </c>
      <c r="G293" s="8" t="str">
        <f>IF($B293="","",_xlfn.LET(
_xlpm.受入,SUMIFS(tbl_ledger[数量],tbl_ledger[ロットID],$B293,tbl_ledger[イベント種類],"アセンブリ開始"),
_xlpm.充当受入,SUMIFS(tbl_ledger[数量],tbl_ledger[充当先ロットID],$B293,tbl_ledger[イベント種類],"充当",tbl_ledger[元状態],G$1),
_xlpm.払出,SUMIFS(tbl_ledger[数量],tbl_ledger[ロットID],$B293,tbl_ledger[元状態],G$1),
_xlpm.受入+_xlpm.充当受入-_xlpm.払出))</f>
        <v/>
      </c>
      <c r="H293" s="8" t="str">
        <f>IF($B293="","",_xlfn.LET(
_xlpm.受入,SUMIFS(tbl_ledger[数量],tbl_ledger[ロットID],$B293,tbl_ledger[イベント種類],"アセンブリ完了"),
_xlpm.充当受入,SUMIFS(tbl_ledger[数量],tbl_ledger[充当先ロットID],$B293,tbl_ledger[イベント種類],"充当",tbl_ledger[元状態],H$1),
_xlpm.払出,SUMIFS(tbl_ledger[数量],tbl_ledger[ロットID],$B293,tbl_ledger[元状態],H$1),
_xlpm.受入+_xlpm.充当受入-_xlpm.払出))</f>
        <v/>
      </c>
      <c r="I293" s="8" t="str">
        <f>IF($B293="","",_xlfn.LET(
_xlpm.受入,SUMIFS(tbl_ledger[数量],tbl_ledger[ロットID],$B293,tbl_ledger[イベント種類],"梱包開始"),
_xlpm.充当受入,SUMIFS(tbl_ledger[数量],tbl_ledger[充当先ロットID],$B293,tbl_ledger[イベント種類],"充当",tbl_ledger[元状態],I$1),
_xlpm.払出,SUMIFS(tbl_ledger[数量],tbl_ledger[ロットID],$B293,tbl_ledger[元状態],I$1),
_xlpm.受入+_xlpm.充当受入-_xlpm.払出))</f>
        <v/>
      </c>
      <c r="J293" s="8" t="str">
        <f>IF($B293="","",_xlfn.LET(
_xlpm.受入,SUMIFS(tbl_ledger[数量],tbl_ledger[ロットID],$B293,tbl_ledger[イベント種類],"梱包完了"),
_xlpm.充当受入,SUMIFS(tbl_ledger[数量],tbl_ledger[充当先ロットID],$B293,tbl_ledger[イベント種類],"充当",tbl_ledger[元状態],J$1),
_xlpm.払出,SUMIFS(tbl_ledger[数量],tbl_ledger[ロットID],$B293,tbl_ledger[元状態],J$1),
_xlpm.受入+_xlpm.充当受入-_xlpm.払出))</f>
        <v/>
      </c>
      <c r="K293" s="8" t="str">
        <f>IF($B293="","",_xlfn.LET(
_xlpm.受入,SUMIFS(tbl_ledger[数量],tbl_ledger[ロットID],$B293,tbl_ledger[イベント種類],"発送準備開始"),
_xlpm.充当受入,SUMIFS(tbl_ledger[数量],tbl_ledger[充当先ロットID],$B293,tbl_ledger[イベント種類],"充当",tbl_ledger[元状態],K$1),
_xlpm.払出,SUMIFS(tbl_ledger[数量],tbl_ledger[ロットID],$B293,tbl_ledger[元状態],K$1),
_xlpm.受入+_xlpm.充当受入-_xlpm.払出))</f>
        <v/>
      </c>
      <c r="L293" s="8" t="str">
        <f>IF($B293="","",_xlfn.LET(
_xlpm.受入,SUMIFS(tbl_ledger[数量],tbl_ledger[ロットID],$B293,tbl_ledger[イベント種類],"発送準備完了"),
_xlpm.充当受入,SUMIFS(tbl_ledger[数量],tbl_ledger[充当先ロットID],$B293,tbl_ledger[イベント種類],"充当",tbl_ledger[元状態],L$1),
_xlpm.払出,SUMIFS(tbl_ledger[数量],tbl_ledger[ロットID],$B293,tbl_ledger[元状態],L$1),
_xlpm.受入+_xlpm.充当受入-_xlpm.払出))</f>
        <v/>
      </c>
      <c r="M293" s="8" t="str">
        <f>IF($B293="","",_xlfn.LET(
_xlpm.受入,SUMIFS(tbl_ledger[数量],tbl_ledger[ロットID],$B293,tbl_ledger[イベント種類],"不良発生"),
_xlpm.充当受入,SUMIFS(tbl_ledger[数量],tbl_ledger[充当先ロットID],$B293,tbl_ledger[イベント種類],"充当",tbl_ledger[元状態],M$1),
_xlpm.払出,SUMIFS(tbl_ledger[数量],tbl_ledger[ロットID],$B293,tbl_ledger[元状態],M$1),
_xlpm.受入+_xlpm.充当受入-_xlpm.払出))</f>
        <v/>
      </c>
      <c r="N293" s="8" t="str">
        <f t="shared" si="9"/>
        <v/>
      </c>
    </row>
    <row r="294" spans="1:14" ht="15" customHeight="1" x14ac:dyDescent="0.25">
      <c r="A294" s="4" t="str">
        <f t="shared" si="8"/>
        <v/>
      </c>
      <c r="B294" s="4" t="str">
        <f>IFERROR(IF(COUNTIF($B$1:$B293,INDEX(tbl_plan[ロットID],ROW()-1))&gt;0,"",INDEX(tbl_plan[ロットID],ROW()-1)),"")</f>
        <v/>
      </c>
      <c r="C294" s="4" t="str">
        <f>IF($B294="","",INDEX(tbl_plan[localId],ROW()-1))</f>
        <v/>
      </c>
      <c r="D294" s="8" t="str">
        <f>IF($B294="","",_xlfn.LET(
_xlpm.割当受入,SUMIF(V_充足確認!$A$2:$A$301,$B294,V_充足確認!$F$2:$F$301),
_xlpm.充当受入,SUMIFS(tbl_ledger[数量],tbl_ledger[充当先ロットID],$B294,tbl_ledger[イベント種類],"充当",tbl_ledger[元状態],D$1),
_xlpm.払出,SUMIFS(tbl_ledger[数量],tbl_ledger[ロットID],$B294,tbl_ledger[元状態],D$1),
_xlpm.割当受入+_xlpm.充当受入-_xlpm.払出))</f>
        <v/>
      </c>
      <c r="E294" s="8" t="str">
        <f>IF($B294="","",_xlfn.LET(
_xlpm.受入,SUMIFS(tbl_ledger[数量],tbl_ledger[ロットID],$B294,tbl_ledger[イベント種類],"アニール開始"),
_xlpm.充当受入,SUMIFS(tbl_ledger[数量],tbl_ledger[充当先ロットID],$B294,tbl_ledger[イベント種類],"充当",tbl_ledger[元状態],E$1),
_xlpm.払出,SUMIFS(tbl_ledger[数量],tbl_ledger[ロットID],$B294,tbl_ledger[元状態],E$1),
_xlpm.受入+_xlpm.充当受入-_xlpm.払出))</f>
        <v/>
      </c>
      <c r="F294" s="8" t="str">
        <f>IF($B294="","",_xlfn.LET(
_xlpm.受入,SUMIFS(tbl_ledger[数量],tbl_ledger[ロットID],$B294,tbl_ledger[イベント種類],"アニール完了"),
_xlpm.充当受入,SUMIFS(tbl_ledger[数量],tbl_ledger[充当先ロットID],$B294,tbl_ledger[イベント種類],"充当",tbl_ledger[元状態],F$1),
_xlpm.払出,SUMIFS(tbl_ledger[数量],tbl_ledger[ロットID],$B294,tbl_ledger[元状態],F$1),
_xlpm.受入+_xlpm.充当受入-_xlpm.払出))</f>
        <v/>
      </c>
      <c r="G294" s="8" t="str">
        <f>IF($B294="","",_xlfn.LET(
_xlpm.受入,SUMIFS(tbl_ledger[数量],tbl_ledger[ロットID],$B294,tbl_ledger[イベント種類],"アセンブリ開始"),
_xlpm.充当受入,SUMIFS(tbl_ledger[数量],tbl_ledger[充当先ロットID],$B294,tbl_ledger[イベント種類],"充当",tbl_ledger[元状態],G$1),
_xlpm.払出,SUMIFS(tbl_ledger[数量],tbl_ledger[ロットID],$B294,tbl_ledger[元状態],G$1),
_xlpm.受入+_xlpm.充当受入-_xlpm.払出))</f>
        <v/>
      </c>
      <c r="H294" s="8" t="str">
        <f>IF($B294="","",_xlfn.LET(
_xlpm.受入,SUMIFS(tbl_ledger[数量],tbl_ledger[ロットID],$B294,tbl_ledger[イベント種類],"アセンブリ完了"),
_xlpm.充当受入,SUMIFS(tbl_ledger[数量],tbl_ledger[充当先ロットID],$B294,tbl_ledger[イベント種類],"充当",tbl_ledger[元状態],H$1),
_xlpm.払出,SUMIFS(tbl_ledger[数量],tbl_ledger[ロットID],$B294,tbl_ledger[元状態],H$1),
_xlpm.受入+_xlpm.充当受入-_xlpm.払出))</f>
        <v/>
      </c>
      <c r="I294" s="8" t="str">
        <f>IF($B294="","",_xlfn.LET(
_xlpm.受入,SUMIFS(tbl_ledger[数量],tbl_ledger[ロットID],$B294,tbl_ledger[イベント種類],"梱包開始"),
_xlpm.充当受入,SUMIFS(tbl_ledger[数量],tbl_ledger[充当先ロットID],$B294,tbl_ledger[イベント種類],"充当",tbl_ledger[元状態],I$1),
_xlpm.払出,SUMIFS(tbl_ledger[数量],tbl_ledger[ロットID],$B294,tbl_ledger[元状態],I$1),
_xlpm.受入+_xlpm.充当受入-_xlpm.払出))</f>
        <v/>
      </c>
      <c r="J294" s="8" t="str">
        <f>IF($B294="","",_xlfn.LET(
_xlpm.受入,SUMIFS(tbl_ledger[数量],tbl_ledger[ロットID],$B294,tbl_ledger[イベント種類],"梱包完了"),
_xlpm.充当受入,SUMIFS(tbl_ledger[数量],tbl_ledger[充当先ロットID],$B294,tbl_ledger[イベント種類],"充当",tbl_ledger[元状態],J$1),
_xlpm.払出,SUMIFS(tbl_ledger[数量],tbl_ledger[ロットID],$B294,tbl_ledger[元状態],J$1),
_xlpm.受入+_xlpm.充当受入-_xlpm.払出))</f>
        <v/>
      </c>
      <c r="K294" s="8" t="str">
        <f>IF($B294="","",_xlfn.LET(
_xlpm.受入,SUMIFS(tbl_ledger[数量],tbl_ledger[ロットID],$B294,tbl_ledger[イベント種類],"発送準備開始"),
_xlpm.充当受入,SUMIFS(tbl_ledger[数量],tbl_ledger[充当先ロットID],$B294,tbl_ledger[イベント種類],"充当",tbl_ledger[元状態],K$1),
_xlpm.払出,SUMIFS(tbl_ledger[数量],tbl_ledger[ロットID],$B294,tbl_ledger[元状態],K$1),
_xlpm.受入+_xlpm.充当受入-_xlpm.払出))</f>
        <v/>
      </c>
      <c r="L294" s="8" t="str">
        <f>IF($B294="","",_xlfn.LET(
_xlpm.受入,SUMIFS(tbl_ledger[数量],tbl_ledger[ロットID],$B294,tbl_ledger[イベント種類],"発送準備完了"),
_xlpm.充当受入,SUMIFS(tbl_ledger[数量],tbl_ledger[充当先ロットID],$B294,tbl_ledger[イベント種類],"充当",tbl_ledger[元状態],L$1),
_xlpm.払出,SUMIFS(tbl_ledger[数量],tbl_ledger[ロットID],$B294,tbl_ledger[元状態],L$1),
_xlpm.受入+_xlpm.充当受入-_xlpm.払出))</f>
        <v/>
      </c>
      <c r="M294" s="8" t="str">
        <f>IF($B294="","",_xlfn.LET(
_xlpm.受入,SUMIFS(tbl_ledger[数量],tbl_ledger[ロットID],$B294,tbl_ledger[イベント種類],"不良発生"),
_xlpm.充当受入,SUMIFS(tbl_ledger[数量],tbl_ledger[充当先ロットID],$B294,tbl_ledger[イベント種類],"充当",tbl_ledger[元状態],M$1),
_xlpm.払出,SUMIFS(tbl_ledger[数量],tbl_ledger[ロットID],$B294,tbl_ledger[元状態],M$1),
_xlpm.受入+_xlpm.充当受入-_xlpm.払出))</f>
        <v/>
      </c>
      <c r="N294" s="8" t="str">
        <f t="shared" si="9"/>
        <v/>
      </c>
    </row>
    <row r="295" spans="1:14" ht="15" customHeight="1" x14ac:dyDescent="0.25">
      <c r="A295" s="4" t="str">
        <f t="shared" si="8"/>
        <v/>
      </c>
      <c r="B295" s="4" t="str">
        <f>IFERROR(IF(COUNTIF($B$1:$B294,INDEX(tbl_plan[ロットID],ROW()-1))&gt;0,"",INDEX(tbl_plan[ロットID],ROW()-1)),"")</f>
        <v/>
      </c>
      <c r="C295" s="4" t="str">
        <f>IF($B295="","",INDEX(tbl_plan[localId],ROW()-1))</f>
        <v/>
      </c>
      <c r="D295" s="8" t="str">
        <f>IF($B295="","",_xlfn.LET(
_xlpm.割当受入,SUMIF(V_充足確認!$A$2:$A$301,$B295,V_充足確認!$F$2:$F$301),
_xlpm.充当受入,SUMIFS(tbl_ledger[数量],tbl_ledger[充当先ロットID],$B295,tbl_ledger[イベント種類],"充当",tbl_ledger[元状態],D$1),
_xlpm.払出,SUMIFS(tbl_ledger[数量],tbl_ledger[ロットID],$B295,tbl_ledger[元状態],D$1),
_xlpm.割当受入+_xlpm.充当受入-_xlpm.払出))</f>
        <v/>
      </c>
      <c r="E295" s="8" t="str">
        <f>IF($B295="","",_xlfn.LET(
_xlpm.受入,SUMIFS(tbl_ledger[数量],tbl_ledger[ロットID],$B295,tbl_ledger[イベント種類],"アニール開始"),
_xlpm.充当受入,SUMIFS(tbl_ledger[数量],tbl_ledger[充当先ロットID],$B295,tbl_ledger[イベント種類],"充当",tbl_ledger[元状態],E$1),
_xlpm.払出,SUMIFS(tbl_ledger[数量],tbl_ledger[ロットID],$B295,tbl_ledger[元状態],E$1),
_xlpm.受入+_xlpm.充当受入-_xlpm.払出))</f>
        <v/>
      </c>
      <c r="F295" s="8" t="str">
        <f>IF($B295="","",_xlfn.LET(
_xlpm.受入,SUMIFS(tbl_ledger[数量],tbl_ledger[ロットID],$B295,tbl_ledger[イベント種類],"アニール完了"),
_xlpm.充当受入,SUMIFS(tbl_ledger[数量],tbl_ledger[充当先ロットID],$B295,tbl_ledger[イベント種類],"充当",tbl_ledger[元状態],F$1),
_xlpm.払出,SUMIFS(tbl_ledger[数量],tbl_ledger[ロットID],$B295,tbl_ledger[元状態],F$1),
_xlpm.受入+_xlpm.充当受入-_xlpm.払出))</f>
        <v/>
      </c>
      <c r="G295" s="8" t="str">
        <f>IF($B295="","",_xlfn.LET(
_xlpm.受入,SUMIFS(tbl_ledger[数量],tbl_ledger[ロットID],$B295,tbl_ledger[イベント種類],"アセンブリ開始"),
_xlpm.充当受入,SUMIFS(tbl_ledger[数量],tbl_ledger[充当先ロットID],$B295,tbl_ledger[イベント種類],"充当",tbl_ledger[元状態],G$1),
_xlpm.払出,SUMIFS(tbl_ledger[数量],tbl_ledger[ロットID],$B295,tbl_ledger[元状態],G$1),
_xlpm.受入+_xlpm.充当受入-_xlpm.払出))</f>
        <v/>
      </c>
      <c r="H295" s="8" t="str">
        <f>IF($B295="","",_xlfn.LET(
_xlpm.受入,SUMIFS(tbl_ledger[数量],tbl_ledger[ロットID],$B295,tbl_ledger[イベント種類],"アセンブリ完了"),
_xlpm.充当受入,SUMIFS(tbl_ledger[数量],tbl_ledger[充当先ロットID],$B295,tbl_ledger[イベント種類],"充当",tbl_ledger[元状態],H$1),
_xlpm.払出,SUMIFS(tbl_ledger[数量],tbl_ledger[ロットID],$B295,tbl_ledger[元状態],H$1),
_xlpm.受入+_xlpm.充当受入-_xlpm.払出))</f>
        <v/>
      </c>
      <c r="I295" s="8" t="str">
        <f>IF($B295="","",_xlfn.LET(
_xlpm.受入,SUMIFS(tbl_ledger[数量],tbl_ledger[ロットID],$B295,tbl_ledger[イベント種類],"梱包開始"),
_xlpm.充当受入,SUMIFS(tbl_ledger[数量],tbl_ledger[充当先ロットID],$B295,tbl_ledger[イベント種類],"充当",tbl_ledger[元状態],I$1),
_xlpm.払出,SUMIFS(tbl_ledger[数量],tbl_ledger[ロットID],$B295,tbl_ledger[元状態],I$1),
_xlpm.受入+_xlpm.充当受入-_xlpm.払出))</f>
        <v/>
      </c>
      <c r="J295" s="8" t="str">
        <f>IF($B295="","",_xlfn.LET(
_xlpm.受入,SUMIFS(tbl_ledger[数量],tbl_ledger[ロットID],$B295,tbl_ledger[イベント種類],"梱包完了"),
_xlpm.充当受入,SUMIFS(tbl_ledger[数量],tbl_ledger[充当先ロットID],$B295,tbl_ledger[イベント種類],"充当",tbl_ledger[元状態],J$1),
_xlpm.払出,SUMIFS(tbl_ledger[数量],tbl_ledger[ロットID],$B295,tbl_ledger[元状態],J$1),
_xlpm.受入+_xlpm.充当受入-_xlpm.払出))</f>
        <v/>
      </c>
      <c r="K295" s="8" t="str">
        <f>IF($B295="","",_xlfn.LET(
_xlpm.受入,SUMIFS(tbl_ledger[数量],tbl_ledger[ロットID],$B295,tbl_ledger[イベント種類],"発送準備開始"),
_xlpm.充当受入,SUMIFS(tbl_ledger[数量],tbl_ledger[充当先ロットID],$B295,tbl_ledger[イベント種類],"充当",tbl_ledger[元状態],K$1),
_xlpm.払出,SUMIFS(tbl_ledger[数量],tbl_ledger[ロットID],$B295,tbl_ledger[元状態],K$1),
_xlpm.受入+_xlpm.充当受入-_xlpm.払出))</f>
        <v/>
      </c>
      <c r="L295" s="8" t="str">
        <f>IF($B295="","",_xlfn.LET(
_xlpm.受入,SUMIFS(tbl_ledger[数量],tbl_ledger[ロットID],$B295,tbl_ledger[イベント種類],"発送準備完了"),
_xlpm.充当受入,SUMIFS(tbl_ledger[数量],tbl_ledger[充当先ロットID],$B295,tbl_ledger[イベント種類],"充当",tbl_ledger[元状態],L$1),
_xlpm.払出,SUMIFS(tbl_ledger[数量],tbl_ledger[ロットID],$B295,tbl_ledger[元状態],L$1),
_xlpm.受入+_xlpm.充当受入-_xlpm.払出))</f>
        <v/>
      </c>
      <c r="M295" s="8" t="str">
        <f>IF($B295="","",_xlfn.LET(
_xlpm.受入,SUMIFS(tbl_ledger[数量],tbl_ledger[ロットID],$B295,tbl_ledger[イベント種類],"不良発生"),
_xlpm.充当受入,SUMIFS(tbl_ledger[数量],tbl_ledger[充当先ロットID],$B295,tbl_ledger[イベント種類],"充当",tbl_ledger[元状態],M$1),
_xlpm.払出,SUMIFS(tbl_ledger[数量],tbl_ledger[ロットID],$B295,tbl_ledger[元状態],M$1),
_xlpm.受入+_xlpm.充当受入-_xlpm.払出))</f>
        <v/>
      </c>
      <c r="N295" s="8" t="str">
        <f t="shared" si="9"/>
        <v/>
      </c>
    </row>
    <row r="296" spans="1:14" ht="15" customHeight="1" x14ac:dyDescent="0.25">
      <c r="A296" s="4" t="str">
        <f t="shared" si="8"/>
        <v/>
      </c>
      <c r="B296" s="4" t="str">
        <f>IFERROR(IF(COUNTIF($B$1:$B295,INDEX(tbl_plan[ロットID],ROW()-1))&gt;0,"",INDEX(tbl_plan[ロットID],ROW()-1)),"")</f>
        <v/>
      </c>
      <c r="C296" s="4" t="str">
        <f>IF($B296="","",INDEX(tbl_plan[localId],ROW()-1))</f>
        <v/>
      </c>
      <c r="D296" s="8" t="str">
        <f>IF($B296="","",_xlfn.LET(
_xlpm.割当受入,SUMIF(V_充足確認!$A$2:$A$301,$B296,V_充足確認!$F$2:$F$301),
_xlpm.充当受入,SUMIFS(tbl_ledger[数量],tbl_ledger[充当先ロットID],$B296,tbl_ledger[イベント種類],"充当",tbl_ledger[元状態],D$1),
_xlpm.払出,SUMIFS(tbl_ledger[数量],tbl_ledger[ロットID],$B296,tbl_ledger[元状態],D$1),
_xlpm.割当受入+_xlpm.充当受入-_xlpm.払出))</f>
        <v/>
      </c>
      <c r="E296" s="8" t="str">
        <f>IF($B296="","",_xlfn.LET(
_xlpm.受入,SUMIFS(tbl_ledger[数量],tbl_ledger[ロットID],$B296,tbl_ledger[イベント種類],"アニール開始"),
_xlpm.充当受入,SUMIFS(tbl_ledger[数量],tbl_ledger[充当先ロットID],$B296,tbl_ledger[イベント種類],"充当",tbl_ledger[元状態],E$1),
_xlpm.払出,SUMIFS(tbl_ledger[数量],tbl_ledger[ロットID],$B296,tbl_ledger[元状態],E$1),
_xlpm.受入+_xlpm.充当受入-_xlpm.払出))</f>
        <v/>
      </c>
      <c r="F296" s="8" t="str">
        <f>IF($B296="","",_xlfn.LET(
_xlpm.受入,SUMIFS(tbl_ledger[数量],tbl_ledger[ロットID],$B296,tbl_ledger[イベント種類],"アニール完了"),
_xlpm.充当受入,SUMIFS(tbl_ledger[数量],tbl_ledger[充当先ロットID],$B296,tbl_ledger[イベント種類],"充当",tbl_ledger[元状態],F$1),
_xlpm.払出,SUMIFS(tbl_ledger[数量],tbl_ledger[ロットID],$B296,tbl_ledger[元状態],F$1),
_xlpm.受入+_xlpm.充当受入-_xlpm.払出))</f>
        <v/>
      </c>
      <c r="G296" s="8" t="str">
        <f>IF($B296="","",_xlfn.LET(
_xlpm.受入,SUMIFS(tbl_ledger[数量],tbl_ledger[ロットID],$B296,tbl_ledger[イベント種類],"アセンブリ開始"),
_xlpm.充当受入,SUMIFS(tbl_ledger[数量],tbl_ledger[充当先ロットID],$B296,tbl_ledger[イベント種類],"充当",tbl_ledger[元状態],G$1),
_xlpm.払出,SUMIFS(tbl_ledger[数量],tbl_ledger[ロットID],$B296,tbl_ledger[元状態],G$1),
_xlpm.受入+_xlpm.充当受入-_xlpm.払出))</f>
        <v/>
      </c>
      <c r="H296" s="8" t="str">
        <f>IF($B296="","",_xlfn.LET(
_xlpm.受入,SUMIFS(tbl_ledger[数量],tbl_ledger[ロットID],$B296,tbl_ledger[イベント種類],"アセンブリ完了"),
_xlpm.充当受入,SUMIFS(tbl_ledger[数量],tbl_ledger[充当先ロットID],$B296,tbl_ledger[イベント種類],"充当",tbl_ledger[元状態],H$1),
_xlpm.払出,SUMIFS(tbl_ledger[数量],tbl_ledger[ロットID],$B296,tbl_ledger[元状態],H$1),
_xlpm.受入+_xlpm.充当受入-_xlpm.払出))</f>
        <v/>
      </c>
      <c r="I296" s="8" t="str">
        <f>IF($B296="","",_xlfn.LET(
_xlpm.受入,SUMIFS(tbl_ledger[数量],tbl_ledger[ロットID],$B296,tbl_ledger[イベント種類],"梱包開始"),
_xlpm.充当受入,SUMIFS(tbl_ledger[数量],tbl_ledger[充当先ロットID],$B296,tbl_ledger[イベント種類],"充当",tbl_ledger[元状態],I$1),
_xlpm.払出,SUMIFS(tbl_ledger[数量],tbl_ledger[ロットID],$B296,tbl_ledger[元状態],I$1),
_xlpm.受入+_xlpm.充当受入-_xlpm.払出))</f>
        <v/>
      </c>
      <c r="J296" s="8" t="str">
        <f>IF($B296="","",_xlfn.LET(
_xlpm.受入,SUMIFS(tbl_ledger[数量],tbl_ledger[ロットID],$B296,tbl_ledger[イベント種類],"梱包完了"),
_xlpm.充当受入,SUMIFS(tbl_ledger[数量],tbl_ledger[充当先ロットID],$B296,tbl_ledger[イベント種類],"充当",tbl_ledger[元状態],J$1),
_xlpm.払出,SUMIFS(tbl_ledger[数量],tbl_ledger[ロットID],$B296,tbl_ledger[元状態],J$1),
_xlpm.受入+_xlpm.充当受入-_xlpm.払出))</f>
        <v/>
      </c>
      <c r="K296" s="8" t="str">
        <f>IF($B296="","",_xlfn.LET(
_xlpm.受入,SUMIFS(tbl_ledger[数量],tbl_ledger[ロットID],$B296,tbl_ledger[イベント種類],"発送準備開始"),
_xlpm.充当受入,SUMIFS(tbl_ledger[数量],tbl_ledger[充当先ロットID],$B296,tbl_ledger[イベント種類],"充当",tbl_ledger[元状態],K$1),
_xlpm.払出,SUMIFS(tbl_ledger[数量],tbl_ledger[ロットID],$B296,tbl_ledger[元状態],K$1),
_xlpm.受入+_xlpm.充当受入-_xlpm.払出))</f>
        <v/>
      </c>
      <c r="L296" s="8" t="str">
        <f>IF($B296="","",_xlfn.LET(
_xlpm.受入,SUMIFS(tbl_ledger[数量],tbl_ledger[ロットID],$B296,tbl_ledger[イベント種類],"発送準備完了"),
_xlpm.充当受入,SUMIFS(tbl_ledger[数量],tbl_ledger[充当先ロットID],$B296,tbl_ledger[イベント種類],"充当",tbl_ledger[元状態],L$1),
_xlpm.払出,SUMIFS(tbl_ledger[数量],tbl_ledger[ロットID],$B296,tbl_ledger[元状態],L$1),
_xlpm.受入+_xlpm.充当受入-_xlpm.払出))</f>
        <v/>
      </c>
      <c r="M296" s="8" t="str">
        <f>IF($B296="","",_xlfn.LET(
_xlpm.受入,SUMIFS(tbl_ledger[数量],tbl_ledger[ロットID],$B296,tbl_ledger[イベント種類],"不良発生"),
_xlpm.充当受入,SUMIFS(tbl_ledger[数量],tbl_ledger[充当先ロットID],$B296,tbl_ledger[イベント種類],"充当",tbl_ledger[元状態],M$1),
_xlpm.払出,SUMIFS(tbl_ledger[数量],tbl_ledger[ロットID],$B296,tbl_ledger[元状態],M$1),
_xlpm.受入+_xlpm.充当受入-_xlpm.払出))</f>
        <v/>
      </c>
      <c r="N296" s="8" t="str">
        <f t="shared" si="9"/>
        <v/>
      </c>
    </row>
    <row r="297" spans="1:14" ht="15" customHeight="1" x14ac:dyDescent="0.25">
      <c r="A297" s="4" t="str">
        <f t="shared" si="8"/>
        <v/>
      </c>
      <c r="B297" s="4" t="str">
        <f>IFERROR(IF(COUNTIF($B$1:$B296,INDEX(tbl_plan[ロットID],ROW()-1))&gt;0,"",INDEX(tbl_plan[ロットID],ROW()-1)),"")</f>
        <v/>
      </c>
      <c r="C297" s="4" t="str">
        <f>IF($B297="","",INDEX(tbl_plan[localId],ROW()-1))</f>
        <v/>
      </c>
      <c r="D297" s="8" t="str">
        <f>IF($B297="","",_xlfn.LET(
_xlpm.割当受入,SUMIF(V_充足確認!$A$2:$A$301,$B297,V_充足確認!$F$2:$F$301),
_xlpm.充当受入,SUMIFS(tbl_ledger[数量],tbl_ledger[充当先ロットID],$B297,tbl_ledger[イベント種類],"充当",tbl_ledger[元状態],D$1),
_xlpm.払出,SUMIFS(tbl_ledger[数量],tbl_ledger[ロットID],$B297,tbl_ledger[元状態],D$1),
_xlpm.割当受入+_xlpm.充当受入-_xlpm.払出))</f>
        <v/>
      </c>
      <c r="E297" s="8" t="str">
        <f>IF($B297="","",_xlfn.LET(
_xlpm.受入,SUMIFS(tbl_ledger[数量],tbl_ledger[ロットID],$B297,tbl_ledger[イベント種類],"アニール開始"),
_xlpm.充当受入,SUMIFS(tbl_ledger[数量],tbl_ledger[充当先ロットID],$B297,tbl_ledger[イベント種類],"充当",tbl_ledger[元状態],E$1),
_xlpm.払出,SUMIFS(tbl_ledger[数量],tbl_ledger[ロットID],$B297,tbl_ledger[元状態],E$1),
_xlpm.受入+_xlpm.充当受入-_xlpm.払出))</f>
        <v/>
      </c>
      <c r="F297" s="8" t="str">
        <f>IF($B297="","",_xlfn.LET(
_xlpm.受入,SUMIFS(tbl_ledger[数量],tbl_ledger[ロットID],$B297,tbl_ledger[イベント種類],"アニール完了"),
_xlpm.充当受入,SUMIFS(tbl_ledger[数量],tbl_ledger[充当先ロットID],$B297,tbl_ledger[イベント種類],"充当",tbl_ledger[元状態],F$1),
_xlpm.払出,SUMIFS(tbl_ledger[数量],tbl_ledger[ロットID],$B297,tbl_ledger[元状態],F$1),
_xlpm.受入+_xlpm.充当受入-_xlpm.払出))</f>
        <v/>
      </c>
      <c r="G297" s="8" t="str">
        <f>IF($B297="","",_xlfn.LET(
_xlpm.受入,SUMIFS(tbl_ledger[数量],tbl_ledger[ロットID],$B297,tbl_ledger[イベント種類],"アセンブリ開始"),
_xlpm.充当受入,SUMIFS(tbl_ledger[数量],tbl_ledger[充当先ロットID],$B297,tbl_ledger[イベント種類],"充当",tbl_ledger[元状態],G$1),
_xlpm.払出,SUMIFS(tbl_ledger[数量],tbl_ledger[ロットID],$B297,tbl_ledger[元状態],G$1),
_xlpm.受入+_xlpm.充当受入-_xlpm.払出))</f>
        <v/>
      </c>
      <c r="H297" s="8" t="str">
        <f>IF($B297="","",_xlfn.LET(
_xlpm.受入,SUMIFS(tbl_ledger[数量],tbl_ledger[ロットID],$B297,tbl_ledger[イベント種類],"アセンブリ完了"),
_xlpm.充当受入,SUMIFS(tbl_ledger[数量],tbl_ledger[充当先ロットID],$B297,tbl_ledger[イベント種類],"充当",tbl_ledger[元状態],H$1),
_xlpm.払出,SUMIFS(tbl_ledger[数量],tbl_ledger[ロットID],$B297,tbl_ledger[元状態],H$1),
_xlpm.受入+_xlpm.充当受入-_xlpm.払出))</f>
        <v/>
      </c>
      <c r="I297" s="8" t="str">
        <f>IF($B297="","",_xlfn.LET(
_xlpm.受入,SUMIFS(tbl_ledger[数量],tbl_ledger[ロットID],$B297,tbl_ledger[イベント種類],"梱包開始"),
_xlpm.充当受入,SUMIFS(tbl_ledger[数量],tbl_ledger[充当先ロットID],$B297,tbl_ledger[イベント種類],"充当",tbl_ledger[元状態],I$1),
_xlpm.払出,SUMIFS(tbl_ledger[数量],tbl_ledger[ロットID],$B297,tbl_ledger[元状態],I$1),
_xlpm.受入+_xlpm.充当受入-_xlpm.払出))</f>
        <v/>
      </c>
      <c r="J297" s="8" t="str">
        <f>IF($B297="","",_xlfn.LET(
_xlpm.受入,SUMIFS(tbl_ledger[数量],tbl_ledger[ロットID],$B297,tbl_ledger[イベント種類],"梱包完了"),
_xlpm.充当受入,SUMIFS(tbl_ledger[数量],tbl_ledger[充当先ロットID],$B297,tbl_ledger[イベント種類],"充当",tbl_ledger[元状態],J$1),
_xlpm.払出,SUMIFS(tbl_ledger[数量],tbl_ledger[ロットID],$B297,tbl_ledger[元状態],J$1),
_xlpm.受入+_xlpm.充当受入-_xlpm.払出))</f>
        <v/>
      </c>
      <c r="K297" s="8" t="str">
        <f>IF($B297="","",_xlfn.LET(
_xlpm.受入,SUMIFS(tbl_ledger[数量],tbl_ledger[ロットID],$B297,tbl_ledger[イベント種類],"発送準備開始"),
_xlpm.充当受入,SUMIFS(tbl_ledger[数量],tbl_ledger[充当先ロットID],$B297,tbl_ledger[イベント種類],"充当",tbl_ledger[元状態],K$1),
_xlpm.払出,SUMIFS(tbl_ledger[数量],tbl_ledger[ロットID],$B297,tbl_ledger[元状態],K$1),
_xlpm.受入+_xlpm.充当受入-_xlpm.払出))</f>
        <v/>
      </c>
      <c r="L297" s="8" t="str">
        <f>IF($B297="","",_xlfn.LET(
_xlpm.受入,SUMIFS(tbl_ledger[数量],tbl_ledger[ロットID],$B297,tbl_ledger[イベント種類],"発送準備完了"),
_xlpm.充当受入,SUMIFS(tbl_ledger[数量],tbl_ledger[充当先ロットID],$B297,tbl_ledger[イベント種類],"充当",tbl_ledger[元状態],L$1),
_xlpm.払出,SUMIFS(tbl_ledger[数量],tbl_ledger[ロットID],$B297,tbl_ledger[元状態],L$1),
_xlpm.受入+_xlpm.充当受入-_xlpm.払出))</f>
        <v/>
      </c>
      <c r="M297" s="8" t="str">
        <f>IF($B297="","",_xlfn.LET(
_xlpm.受入,SUMIFS(tbl_ledger[数量],tbl_ledger[ロットID],$B297,tbl_ledger[イベント種類],"不良発生"),
_xlpm.充当受入,SUMIFS(tbl_ledger[数量],tbl_ledger[充当先ロットID],$B297,tbl_ledger[イベント種類],"充当",tbl_ledger[元状態],M$1),
_xlpm.払出,SUMIFS(tbl_ledger[数量],tbl_ledger[ロットID],$B297,tbl_ledger[元状態],M$1),
_xlpm.受入+_xlpm.充当受入-_xlpm.払出))</f>
        <v/>
      </c>
      <c r="N297" s="8" t="str">
        <f t="shared" si="9"/>
        <v/>
      </c>
    </row>
    <row r="298" spans="1:14" ht="15" customHeight="1" x14ac:dyDescent="0.25">
      <c r="A298" s="4" t="str">
        <f t="shared" si="8"/>
        <v/>
      </c>
      <c r="B298" s="4" t="str">
        <f>IFERROR(IF(COUNTIF($B$1:$B297,INDEX(tbl_plan[ロットID],ROW()-1))&gt;0,"",INDEX(tbl_plan[ロットID],ROW()-1)),"")</f>
        <v/>
      </c>
      <c r="C298" s="4" t="str">
        <f>IF($B298="","",INDEX(tbl_plan[localId],ROW()-1))</f>
        <v/>
      </c>
      <c r="D298" s="8" t="str">
        <f>IF($B298="","",_xlfn.LET(
_xlpm.割当受入,SUMIF(V_充足確認!$A$2:$A$301,$B298,V_充足確認!$F$2:$F$301),
_xlpm.充当受入,SUMIFS(tbl_ledger[数量],tbl_ledger[充当先ロットID],$B298,tbl_ledger[イベント種類],"充当",tbl_ledger[元状態],D$1),
_xlpm.払出,SUMIFS(tbl_ledger[数量],tbl_ledger[ロットID],$B298,tbl_ledger[元状態],D$1),
_xlpm.割当受入+_xlpm.充当受入-_xlpm.払出))</f>
        <v/>
      </c>
      <c r="E298" s="8" t="str">
        <f>IF($B298="","",_xlfn.LET(
_xlpm.受入,SUMIFS(tbl_ledger[数量],tbl_ledger[ロットID],$B298,tbl_ledger[イベント種類],"アニール開始"),
_xlpm.充当受入,SUMIFS(tbl_ledger[数量],tbl_ledger[充当先ロットID],$B298,tbl_ledger[イベント種類],"充当",tbl_ledger[元状態],E$1),
_xlpm.払出,SUMIFS(tbl_ledger[数量],tbl_ledger[ロットID],$B298,tbl_ledger[元状態],E$1),
_xlpm.受入+_xlpm.充当受入-_xlpm.払出))</f>
        <v/>
      </c>
      <c r="F298" s="8" t="str">
        <f>IF($B298="","",_xlfn.LET(
_xlpm.受入,SUMIFS(tbl_ledger[数量],tbl_ledger[ロットID],$B298,tbl_ledger[イベント種類],"アニール完了"),
_xlpm.充当受入,SUMIFS(tbl_ledger[数量],tbl_ledger[充当先ロットID],$B298,tbl_ledger[イベント種類],"充当",tbl_ledger[元状態],F$1),
_xlpm.払出,SUMIFS(tbl_ledger[数量],tbl_ledger[ロットID],$B298,tbl_ledger[元状態],F$1),
_xlpm.受入+_xlpm.充当受入-_xlpm.払出))</f>
        <v/>
      </c>
      <c r="G298" s="8" t="str">
        <f>IF($B298="","",_xlfn.LET(
_xlpm.受入,SUMIFS(tbl_ledger[数量],tbl_ledger[ロットID],$B298,tbl_ledger[イベント種類],"アセンブリ開始"),
_xlpm.充当受入,SUMIFS(tbl_ledger[数量],tbl_ledger[充当先ロットID],$B298,tbl_ledger[イベント種類],"充当",tbl_ledger[元状態],G$1),
_xlpm.払出,SUMIFS(tbl_ledger[数量],tbl_ledger[ロットID],$B298,tbl_ledger[元状態],G$1),
_xlpm.受入+_xlpm.充当受入-_xlpm.払出))</f>
        <v/>
      </c>
      <c r="H298" s="8" t="str">
        <f>IF($B298="","",_xlfn.LET(
_xlpm.受入,SUMIFS(tbl_ledger[数量],tbl_ledger[ロットID],$B298,tbl_ledger[イベント種類],"アセンブリ完了"),
_xlpm.充当受入,SUMIFS(tbl_ledger[数量],tbl_ledger[充当先ロットID],$B298,tbl_ledger[イベント種類],"充当",tbl_ledger[元状態],H$1),
_xlpm.払出,SUMIFS(tbl_ledger[数量],tbl_ledger[ロットID],$B298,tbl_ledger[元状態],H$1),
_xlpm.受入+_xlpm.充当受入-_xlpm.払出))</f>
        <v/>
      </c>
      <c r="I298" s="8" t="str">
        <f>IF($B298="","",_xlfn.LET(
_xlpm.受入,SUMIFS(tbl_ledger[数量],tbl_ledger[ロットID],$B298,tbl_ledger[イベント種類],"梱包開始"),
_xlpm.充当受入,SUMIFS(tbl_ledger[数量],tbl_ledger[充当先ロットID],$B298,tbl_ledger[イベント種類],"充当",tbl_ledger[元状態],I$1),
_xlpm.払出,SUMIFS(tbl_ledger[数量],tbl_ledger[ロットID],$B298,tbl_ledger[元状態],I$1),
_xlpm.受入+_xlpm.充当受入-_xlpm.払出))</f>
        <v/>
      </c>
      <c r="J298" s="8" t="str">
        <f>IF($B298="","",_xlfn.LET(
_xlpm.受入,SUMIFS(tbl_ledger[数量],tbl_ledger[ロットID],$B298,tbl_ledger[イベント種類],"梱包完了"),
_xlpm.充当受入,SUMIFS(tbl_ledger[数量],tbl_ledger[充当先ロットID],$B298,tbl_ledger[イベント種類],"充当",tbl_ledger[元状態],J$1),
_xlpm.払出,SUMIFS(tbl_ledger[数量],tbl_ledger[ロットID],$B298,tbl_ledger[元状態],J$1),
_xlpm.受入+_xlpm.充当受入-_xlpm.払出))</f>
        <v/>
      </c>
      <c r="K298" s="8" t="str">
        <f>IF($B298="","",_xlfn.LET(
_xlpm.受入,SUMIFS(tbl_ledger[数量],tbl_ledger[ロットID],$B298,tbl_ledger[イベント種類],"発送準備開始"),
_xlpm.充当受入,SUMIFS(tbl_ledger[数量],tbl_ledger[充当先ロットID],$B298,tbl_ledger[イベント種類],"充当",tbl_ledger[元状態],K$1),
_xlpm.払出,SUMIFS(tbl_ledger[数量],tbl_ledger[ロットID],$B298,tbl_ledger[元状態],K$1),
_xlpm.受入+_xlpm.充当受入-_xlpm.払出))</f>
        <v/>
      </c>
      <c r="L298" s="8" t="str">
        <f>IF($B298="","",_xlfn.LET(
_xlpm.受入,SUMIFS(tbl_ledger[数量],tbl_ledger[ロットID],$B298,tbl_ledger[イベント種類],"発送準備完了"),
_xlpm.充当受入,SUMIFS(tbl_ledger[数量],tbl_ledger[充当先ロットID],$B298,tbl_ledger[イベント種類],"充当",tbl_ledger[元状態],L$1),
_xlpm.払出,SUMIFS(tbl_ledger[数量],tbl_ledger[ロットID],$B298,tbl_ledger[元状態],L$1),
_xlpm.受入+_xlpm.充当受入-_xlpm.払出))</f>
        <v/>
      </c>
      <c r="M298" s="8" t="str">
        <f>IF($B298="","",_xlfn.LET(
_xlpm.受入,SUMIFS(tbl_ledger[数量],tbl_ledger[ロットID],$B298,tbl_ledger[イベント種類],"不良発生"),
_xlpm.充当受入,SUMIFS(tbl_ledger[数量],tbl_ledger[充当先ロットID],$B298,tbl_ledger[イベント種類],"充当",tbl_ledger[元状態],M$1),
_xlpm.払出,SUMIFS(tbl_ledger[数量],tbl_ledger[ロットID],$B298,tbl_ledger[元状態],M$1),
_xlpm.受入+_xlpm.充当受入-_xlpm.払出))</f>
        <v/>
      </c>
      <c r="N298" s="8" t="str">
        <f t="shared" si="9"/>
        <v/>
      </c>
    </row>
    <row r="299" spans="1:14" ht="15" customHeight="1" x14ac:dyDescent="0.25">
      <c r="A299" s="4" t="str">
        <f t="shared" si="8"/>
        <v/>
      </c>
      <c r="B299" s="4" t="str">
        <f>IFERROR(IF(COUNTIF($B$1:$B298,INDEX(tbl_plan[ロットID],ROW()-1))&gt;0,"",INDEX(tbl_plan[ロットID],ROW()-1)),"")</f>
        <v/>
      </c>
      <c r="C299" s="4" t="str">
        <f>IF($B299="","",INDEX(tbl_plan[localId],ROW()-1))</f>
        <v/>
      </c>
      <c r="D299" s="8" t="str">
        <f>IF($B299="","",_xlfn.LET(
_xlpm.割当受入,SUMIF(V_充足確認!$A$2:$A$301,$B299,V_充足確認!$F$2:$F$301),
_xlpm.充当受入,SUMIFS(tbl_ledger[数量],tbl_ledger[充当先ロットID],$B299,tbl_ledger[イベント種類],"充当",tbl_ledger[元状態],D$1),
_xlpm.払出,SUMIFS(tbl_ledger[数量],tbl_ledger[ロットID],$B299,tbl_ledger[元状態],D$1),
_xlpm.割当受入+_xlpm.充当受入-_xlpm.払出))</f>
        <v/>
      </c>
      <c r="E299" s="8" t="str">
        <f>IF($B299="","",_xlfn.LET(
_xlpm.受入,SUMIFS(tbl_ledger[数量],tbl_ledger[ロットID],$B299,tbl_ledger[イベント種類],"アニール開始"),
_xlpm.充当受入,SUMIFS(tbl_ledger[数量],tbl_ledger[充当先ロットID],$B299,tbl_ledger[イベント種類],"充当",tbl_ledger[元状態],E$1),
_xlpm.払出,SUMIFS(tbl_ledger[数量],tbl_ledger[ロットID],$B299,tbl_ledger[元状態],E$1),
_xlpm.受入+_xlpm.充当受入-_xlpm.払出))</f>
        <v/>
      </c>
      <c r="F299" s="8" t="str">
        <f>IF($B299="","",_xlfn.LET(
_xlpm.受入,SUMIFS(tbl_ledger[数量],tbl_ledger[ロットID],$B299,tbl_ledger[イベント種類],"アニール完了"),
_xlpm.充当受入,SUMIFS(tbl_ledger[数量],tbl_ledger[充当先ロットID],$B299,tbl_ledger[イベント種類],"充当",tbl_ledger[元状態],F$1),
_xlpm.払出,SUMIFS(tbl_ledger[数量],tbl_ledger[ロットID],$B299,tbl_ledger[元状態],F$1),
_xlpm.受入+_xlpm.充当受入-_xlpm.払出))</f>
        <v/>
      </c>
      <c r="G299" s="8" t="str">
        <f>IF($B299="","",_xlfn.LET(
_xlpm.受入,SUMIFS(tbl_ledger[数量],tbl_ledger[ロットID],$B299,tbl_ledger[イベント種類],"アセンブリ開始"),
_xlpm.充当受入,SUMIFS(tbl_ledger[数量],tbl_ledger[充当先ロットID],$B299,tbl_ledger[イベント種類],"充当",tbl_ledger[元状態],G$1),
_xlpm.払出,SUMIFS(tbl_ledger[数量],tbl_ledger[ロットID],$B299,tbl_ledger[元状態],G$1),
_xlpm.受入+_xlpm.充当受入-_xlpm.払出))</f>
        <v/>
      </c>
      <c r="H299" s="8" t="str">
        <f>IF($B299="","",_xlfn.LET(
_xlpm.受入,SUMIFS(tbl_ledger[数量],tbl_ledger[ロットID],$B299,tbl_ledger[イベント種類],"アセンブリ完了"),
_xlpm.充当受入,SUMIFS(tbl_ledger[数量],tbl_ledger[充当先ロットID],$B299,tbl_ledger[イベント種類],"充当",tbl_ledger[元状態],H$1),
_xlpm.払出,SUMIFS(tbl_ledger[数量],tbl_ledger[ロットID],$B299,tbl_ledger[元状態],H$1),
_xlpm.受入+_xlpm.充当受入-_xlpm.払出))</f>
        <v/>
      </c>
      <c r="I299" s="8" t="str">
        <f>IF($B299="","",_xlfn.LET(
_xlpm.受入,SUMIFS(tbl_ledger[数量],tbl_ledger[ロットID],$B299,tbl_ledger[イベント種類],"梱包開始"),
_xlpm.充当受入,SUMIFS(tbl_ledger[数量],tbl_ledger[充当先ロットID],$B299,tbl_ledger[イベント種類],"充当",tbl_ledger[元状態],I$1),
_xlpm.払出,SUMIFS(tbl_ledger[数量],tbl_ledger[ロットID],$B299,tbl_ledger[元状態],I$1),
_xlpm.受入+_xlpm.充当受入-_xlpm.払出))</f>
        <v/>
      </c>
      <c r="J299" s="8" t="str">
        <f>IF($B299="","",_xlfn.LET(
_xlpm.受入,SUMIFS(tbl_ledger[数量],tbl_ledger[ロットID],$B299,tbl_ledger[イベント種類],"梱包完了"),
_xlpm.充当受入,SUMIFS(tbl_ledger[数量],tbl_ledger[充当先ロットID],$B299,tbl_ledger[イベント種類],"充当",tbl_ledger[元状態],J$1),
_xlpm.払出,SUMIFS(tbl_ledger[数量],tbl_ledger[ロットID],$B299,tbl_ledger[元状態],J$1),
_xlpm.受入+_xlpm.充当受入-_xlpm.払出))</f>
        <v/>
      </c>
      <c r="K299" s="8" t="str">
        <f>IF($B299="","",_xlfn.LET(
_xlpm.受入,SUMIFS(tbl_ledger[数量],tbl_ledger[ロットID],$B299,tbl_ledger[イベント種類],"発送準備開始"),
_xlpm.充当受入,SUMIFS(tbl_ledger[数量],tbl_ledger[充当先ロットID],$B299,tbl_ledger[イベント種類],"充当",tbl_ledger[元状態],K$1),
_xlpm.払出,SUMIFS(tbl_ledger[数量],tbl_ledger[ロットID],$B299,tbl_ledger[元状態],K$1),
_xlpm.受入+_xlpm.充当受入-_xlpm.払出))</f>
        <v/>
      </c>
      <c r="L299" s="8" t="str">
        <f>IF($B299="","",_xlfn.LET(
_xlpm.受入,SUMIFS(tbl_ledger[数量],tbl_ledger[ロットID],$B299,tbl_ledger[イベント種類],"発送準備完了"),
_xlpm.充当受入,SUMIFS(tbl_ledger[数量],tbl_ledger[充当先ロットID],$B299,tbl_ledger[イベント種類],"充当",tbl_ledger[元状態],L$1),
_xlpm.払出,SUMIFS(tbl_ledger[数量],tbl_ledger[ロットID],$B299,tbl_ledger[元状態],L$1),
_xlpm.受入+_xlpm.充当受入-_xlpm.払出))</f>
        <v/>
      </c>
      <c r="M299" s="8" t="str">
        <f>IF($B299="","",_xlfn.LET(
_xlpm.受入,SUMIFS(tbl_ledger[数量],tbl_ledger[ロットID],$B299,tbl_ledger[イベント種類],"不良発生"),
_xlpm.充当受入,SUMIFS(tbl_ledger[数量],tbl_ledger[充当先ロットID],$B299,tbl_ledger[イベント種類],"充当",tbl_ledger[元状態],M$1),
_xlpm.払出,SUMIFS(tbl_ledger[数量],tbl_ledger[ロットID],$B299,tbl_ledger[元状態],M$1),
_xlpm.受入+_xlpm.充当受入-_xlpm.払出))</f>
        <v/>
      </c>
      <c r="N299" s="8" t="str">
        <f t="shared" si="9"/>
        <v/>
      </c>
    </row>
    <row r="300" spans="1:14" ht="15" customHeight="1" x14ac:dyDescent="0.25">
      <c r="A300" s="4" t="str">
        <f t="shared" si="8"/>
        <v/>
      </c>
      <c r="B300" s="4" t="str">
        <f>IFERROR(IF(COUNTIF($B$1:$B299,INDEX(tbl_plan[ロットID],ROW()-1))&gt;0,"",INDEX(tbl_plan[ロットID],ROW()-1)),"")</f>
        <v/>
      </c>
      <c r="C300" s="4" t="str">
        <f>IF($B300="","",INDEX(tbl_plan[localId],ROW()-1))</f>
        <v/>
      </c>
      <c r="D300" s="8" t="str">
        <f>IF($B300="","",_xlfn.LET(
_xlpm.割当受入,SUMIF(V_充足確認!$A$2:$A$301,$B300,V_充足確認!$F$2:$F$301),
_xlpm.充当受入,SUMIFS(tbl_ledger[数量],tbl_ledger[充当先ロットID],$B300,tbl_ledger[イベント種類],"充当",tbl_ledger[元状態],D$1),
_xlpm.払出,SUMIFS(tbl_ledger[数量],tbl_ledger[ロットID],$B300,tbl_ledger[元状態],D$1),
_xlpm.割当受入+_xlpm.充当受入-_xlpm.払出))</f>
        <v/>
      </c>
      <c r="E300" s="8" t="str">
        <f>IF($B300="","",_xlfn.LET(
_xlpm.受入,SUMIFS(tbl_ledger[数量],tbl_ledger[ロットID],$B300,tbl_ledger[イベント種類],"アニール開始"),
_xlpm.充当受入,SUMIFS(tbl_ledger[数量],tbl_ledger[充当先ロットID],$B300,tbl_ledger[イベント種類],"充当",tbl_ledger[元状態],E$1),
_xlpm.払出,SUMIFS(tbl_ledger[数量],tbl_ledger[ロットID],$B300,tbl_ledger[元状態],E$1),
_xlpm.受入+_xlpm.充当受入-_xlpm.払出))</f>
        <v/>
      </c>
      <c r="F300" s="8" t="str">
        <f>IF($B300="","",_xlfn.LET(
_xlpm.受入,SUMIFS(tbl_ledger[数量],tbl_ledger[ロットID],$B300,tbl_ledger[イベント種類],"アニール完了"),
_xlpm.充当受入,SUMIFS(tbl_ledger[数量],tbl_ledger[充当先ロットID],$B300,tbl_ledger[イベント種類],"充当",tbl_ledger[元状態],F$1),
_xlpm.払出,SUMIFS(tbl_ledger[数量],tbl_ledger[ロットID],$B300,tbl_ledger[元状態],F$1),
_xlpm.受入+_xlpm.充当受入-_xlpm.払出))</f>
        <v/>
      </c>
      <c r="G300" s="8" t="str">
        <f>IF($B300="","",_xlfn.LET(
_xlpm.受入,SUMIFS(tbl_ledger[数量],tbl_ledger[ロットID],$B300,tbl_ledger[イベント種類],"アセンブリ開始"),
_xlpm.充当受入,SUMIFS(tbl_ledger[数量],tbl_ledger[充当先ロットID],$B300,tbl_ledger[イベント種類],"充当",tbl_ledger[元状態],G$1),
_xlpm.払出,SUMIFS(tbl_ledger[数量],tbl_ledger[ロットID],$B300,tbl_ledger[元状態],G$1),
_xlpm.受入+_xlpm.充当受入-_xlpm.払出))</f>
        <v/>
      </c>
      <c r="H300" s="8" t="str">
        <f>IF($B300="","",_xlfn.LET(
_xlpm.受入,SUMIFS(tbl_ledger[数量],tbl_ledger[ロットID],$B300,tbl_ledger[イベント種類],"アセンブリ完了"),
_xlpm.充当受入,SUMIFS(tbl_ledger[数量],tbl_ledger[充当先ロットID],$B300,tbl_ledger[イベント種類],"充当",tbl_ledger[元状態],H$1),
_xlpm.払出,SUMIFS(tbl_ledger[数量],tbl_ledger[ロットID],$B300,tbl_ledger[元状態],H$1),
_xlpm.受入+_xlpm.充当受入-_xlpm.払出))</f>
        <v/>
      </c>
      <c r="I300" s="8" t="str">
        <f>IF($B300="","",_xlfn.LET(
_xlpm.受入,SUMIFS(tbl_ledger[数量],tbl_ledger[ロットID],$B300,tbl_ledger[イベント種類],"梱包開始"),
_xlpm.充当受入,SUMIFS(tbl_ledger[数量],tbl_ledger[充当先ロットID],$B300,tbl_ledger[イベント種類],"充当",tbl_ledger[元状態],I$1),
_xlpm.払出,SUMIFS(tbl_ledger[数量],tbl_ledger[ロットID],$B300,tbl_ledger[元状態],I$1),
_xlpm.受入+_xlpm.充当受入-_xlpm.払出))</f>
        <v/>
      </c>
      <c r="J300" s="8" t="str">
        <f>IF($B300="","",_xlfn.LET(
_xlpm.受入,SUMIFS(tbl_ledger[数量],tbl_ledger[ロットID],$B300,tbl_ledger[イベント種類],"梱包完了"),
_xlpm.充当受入,SUMIFS(tbl_ledger[数量],tbl_ledger[充当先ロットID],$B300,tbl_ledger[イベント種類],"充当",tbl_ledger[元状態],J$1),
_xlpm.払出,SUMIFS(tbl_ledger[数量],tbl_ledger[ロットID],$B300,tbl_ledger[元状態],J$1),
_xlpm.受入+_xlpm.充当受入-_xlpm.払出))</f>
        <v/>
      </c>
      <c r="K300" s="8" t="str">
        <f>IF($B300="","",_xlfn.LET(
_xlpm.受入,SUMIFS(tbl_ledger[数量],tbl_ledger[ロットID],$B300,tbl_ledger[イベント種類],"発送準備開始"),
_xlpm.充当受入,SUMIFS(tbl_ledger[数量],tbl_ledger[充当先ロットID],$B300,tbl_ledger[イベント種類],"充当",tbl_ledger[元状態],K$1),
_xlpm.払出,SUMIFS(tbl_ledger[数量],tbl_ledger[ロットID],$B300,tbl_ledger[元状態],K$1),
_xlpm.受入+_xlpm.充当受入-_xlpm.払出))</f>
        <v/>
      </c>
      <c r="L300" s="8" t="str">
        <f>IF($B300="","",_xlfn.LET(
_xlpm.受入,SUMIFS(tbl_ledger[数量],tbl_ledger[ロットID],$B300,tbl_ledger[イベント種類],"発送準備完了"),
_xlpm.充当受入,SUMIFS(tbl_ledger[数量],tbl_ledger[充当先ロットID],$B300,tbl_ledger[イベント種類],"充当",tbl_ledger[元状態],L$1),
_xlpm.払出,SUMIFS(tbl_ledger[数量],tbl_ledger[ロットID],$B300,tbl_ledger[元状態],L$1),
_xlpm.受入+_xlpm.充当受入-_xlpm.払出))</f>
        <v/>
      </c>
      <c r="M300" s="8" t="str">
        <f>IF($B300="","",_xlfn.LET(
_xlpm.受入,SUMIFS(tbl_ledger[数量],tbl_ledger[ロットID],$B300,tbl_ledger[イベント種類],"不良発生"),
_xlpm.充当受入,SUMIFS(tbl_ledger[数量],tbl_ledger[充当先ロットID],$B300,tbl_ledger[イベント種類],"充当",tbl_ledger[元状態],M$1),
_xlpm.払出,SUMIFS(tbl_ledger[数量],tbl_ledger[ロットID],$B300,tbl_ledger[元状態],M$1),
_xlpm.受入+_xlpm.充当受入-_xlpm.払出))</f>
        <v/>
      </c>
      <c r="N300" s="8" t="str">
        <f t="shared" si="9"/>
        <v/>
      </c>
    </row>
    <row r="301" spans="1:14" ht="15" customHeight="1" x14ac:dyDescent="0.25">
      <c r="A301" s="4" t="str">
        <f t="shared" si="8"/>
        <v/>
      </c>
      <c r="B301" s="4" t="str">
        <f>IFERROR(IF(COUNTIF($B$1:$B300,INDEX(tbl_plan[ロットID],ROW()-1))&gt;0,"",INDEX(tbl_plan[ロットID],ROW()-1)),"")</f>
        <v/>
      </c>
      <c r="C301" s="4" t="str">
        <f>IF($B301="","",INDEX(tbl_plan[localId],ROW()-1))</f>
        <v/>
      </c>
      <c r="D301" s="8" t="str">
        <f>IF($B301="","",_xlfn.LET(
_xlpm.割当受入,SUMIF(V_充足確認!$A$2:$A$301,$B301,V_充足確認!$F$2:$F$301),
_xlpm.充当受入,SUMIFS(tbl_ledger[数量],tbl_ledger[充当先ロットID],$B301,tbl_ledger[イベント種類],"充当",tbl_ledger[元状態],D$1),
_xlpm.払出,SUMIFS(tbl_ledger[数量],tbl_ledger[ロットID],$B301,tbl_ledger[元状態],D$1),
_xlpm.割当受入+_xlpm.充当受入-_xlpm.払出))</f>
        <v/>
      </c>
      <c r="E301" s="8" t="str">
        <f>IF($B301="","",_xlfn.LET(
_xlpm.受入,SUMIFS(tbl_ledger[数量],tbl_ledger[ロットID],$B301,tbl_ledger[イベント種類],"アニール開始"),
_xlpm.充当受入,SUMIFS(tbl_ledger[数量],tbl_ledger[充当先ロットID],$B301,tbl_ledger[イベント種類],"充当",tbl_ledger[元状態],E$1),
_xlpm.払出,SUMIFS(tbl_ledger[数量],tbl_ledger[ロットID],$B301,tbl_ledger[元状態],E$1),
_xlpm.受入+_xlpm.充当受入-_xlpm.払出))</f>
        <v/>
      </c>
      <c r="F301" s="8" t="str">
        <f>IF($B301="","",_xlfn.LET(
_xlpm.受入,SUMIFS(tbl_ledger[数量],tbl_ledger[ロットID],$B301,tbl_ledger[イベント種類],"アニール完了"),
_xlpm.充当受入,SUMIFS(tbl_ledger[数量],tbl_ledger[充当先ロットID],$B301,tbl_ledger[イベント種類],"充当",tbl_ledger[元状態],F$1),
_xlpm.払出,SUMIFS(tbl_ledger[数量],tbl_ledger[ロットID],$B301,tbl_ledger[元状態],F$1),
_xlpm.受入+_xlpm.充当受入-_xlpm.払出))</f>
        <v/>
      </c>
      <c r="G301" s="8" t="str">
        <f>IF($B301="","",_xlfn.LET(
_xlpm.受入,SUMIFS(tbl_ledger[数量],tbl_ledger[ロットID],$B301,tbl_ledger[イベント種類],"アセンブリ開始"),
_xlpm.充当受入,SUMIFS(tbl_ledger[数量],tbl_ledger[充当先ロットID],$B301,tbl_ledger[イベント種類],"充当",tbl_ledger[元状態],G$1),
_xlpm.払出,SUMIFS(tbl_ledger[数量],tbl_ledger[ロットID],$B301,tbl_ledger[元状態],G$1),
_xlpm.受入+_xlpm.充当受入-_xlpm.払出))</f>
        <v/>
      </c>
      <c r="H301" s="8" t="str">
        <f>IF($B301="","",_xlfn.LET(
_xlpm.受入,SUMIFS(tbl_ledger[数量],tbl_ledger[ロットID],$B301,tbl_ledger[イベント種類],"アセンブリ完了"),
_xlpm.充当受入,SUMIFS(tbl_ledger[数量],tbl_ledger[充当先ロットID],$B301,tbl_ledger[イベント種類],"充当",tbl_ledger[元状態],H$1),
_xlpm.払出,SUMIFS(tbl_ledger[数量],tbl_ledger[ロットID],$B301,tbl_ledger[元状態],H$1),
_xlpm.受入+_xlpm.充当受入-_xlpm.払出))</f>
        <v/>
      </c>
      <c r="I301" s="8" t="str">
        <f>IF($B301="","",_xlfn.LET(
_xlpm.受入,SUMIFS(tbl_ledger[数量],tbl_ledger[ロットID],$B301,tbl_ledger[イベント種類],"梱包開始"),
_xlpm.充当受入,SUMIFS(tbl_ledger[数量],tbl_ledger[充当先ロットID],$B301,tbl_ledger[イベント種類],"充当",tbl_ledger[元状態],I$1),
_xlpm.払出,SUMIFS(tbl_ledger[数量],tbl_ledger[ロットID],$B301,tbl_ledger[元状態],I$1),
_xlpm.受入+_xlpm.充当受入-_xlpm.払出))</f>
        <v/>
      </c>
      <c r="J301" s="8" t="str">
        <f>IF($B301="","",_xlfn.LET(
_xlpm.受入,SUMIFS(tbl_ledger[数量],tbl_ledger[ロットID],$B301,tbl_ledger[イベント種類],"梱包完了"),
_xlpm.充当受入,SUMIFS(tbl_ledger[数量],tbl_ledger[充当先ロットID],$B301,tbl_ledger[イベント種類],"充当",tbl_ledger[元状態],J$1),
_xlpm.払出,SUMIFS(tbl_ledger[数量],tbl_ledger[ロットID],$B301,tbl_ledger[元状態],J$1),
_xlpm.受入+_xlpm.充当受入-_xlpm.払出))</f>
        <v/>
      </c>
      <c r="K301" s="8" t="str">
        <f>IF($B301="","",_xlfn.LET(
_xlpm.受入,SUMIFS(tbl_ledger[数量],tbl_ledger[ロットID],$B301,tbl_ledger[イベント種類],"発送準備開始"),
_xlpm.充当受入,SUMIFS(tbl_ledger[数量],tbl_ledger[充当先ロットID],$B301,tbl_ledger[イベント種類],"充当",tbl_ledger[元状態],K$1),
_xlpm.払出,SUMIFS(tbl_ledger[数量],tbl_ledger[ロットID],$B301,tbl_ledger[元状態],K$1),
_xlpm.受入+_xlpm.充当受入-_xlpm.払出))</f>
        <v/>
      </c>
      <c r="L301" s="8" t="str">
        <f>IF($B301="","",_xlfn.LET(
_xlpm.受入,SUMIFS(tbl_ledger[数量],tbl_ledger[ロットID],$B301,tbl_ledger[イベント種類],"発送準備完了"),
_xlpm.充当受入,SUMIFS(tbl_ledger[数量],tbl_ledger[充当先ロットID],$B301,tbl_ledger[イベント種類],"充当",tbl_ledger[元状態],L$1),
_xlpm.払出,SUMIFS(tbl_ledger[数量],tbl_ledger[ロットID],$B301,tbl_ledger[元状態],L$1),
_xlpm.受入+_xlpm.充当受入-_xlpm.払出))</f>
        <v/>
      </c>
      <c r="M301" s="8" t="str">
        <f>IF($B301="","",_xlfn.LET(
_xlpm.受入,SUMIFS(tbl_ledger[数量],tbl_ledger[ロットID],$B301,tbl_ledger[イベント種類],"不良発生"),
_xlpm.充当受入,SUMIFS(tbl_ledger[数量],tbl_ledger[充当先ロットID],$B301,tbl_ledger[イベント種類],"充当",tbl_ledger[元状態],M$1),
_xlpm.払出,SUMIFS(tbl_ledger[数量],tbl_ledger[ロットID],$B301,tbl_ledger[元状態],M$1),
_xlpm.受入+_xlpm.充当受入-_xlpm.払出))</f>
        <v/>
      </c>
      <c r="N301" s="8" t="str">
        <f t="shared" si="9"/>
        <v/>
      </c>
    </row>
    <row r="303" spans="1:14" ht="15" customHeight="1" x14ac:dyDescent="0.25">
      <c r="A303" s="1" t="s">
        <v>135</v>
      </c>
    </row>
    <row r="304" spans="1:14" ht="15" customHeight="1" x14ac:dyDescent="0.25">
      <c r="A304" s="10" t="s">
        <v>126</v>
      </c>
      <c r="B304" s="10"/>
      <c r="C304" s="10" t="s">
        <v>3</v>
      </c>
      <c r="D304" s="10" t="s">
        <v>24</v>
      </c>
      <c r="E304" s="10" t="s">
        <v>127</v>
      </c>
      <c r="F304" s="10" t="s">
        <v>128</v>
      </c>
      <c r="G304" s="10" t="s">
        <v>27</v>
      </c>
      <c r="H304" s="10" t="s">
        <v>30</v>
      </c>
      <c r="I304" s="10" t="s">
        <v>129</v>
      </c>
      <c r="J304" s="10" t="s">
        <v>130</v>
      </c>
      <c r="K304" s="10" t="s">
        <v>131</v>
      </c>
      <c r="L304" s="10" t="s">
        <v>132</v>
      </c>
      <c r="M304" s="10" t="s">
        <v>133</v>
      </c>
      <c r="N304" s="10" t="s">
        <v>134</v>
      </c>
    </row>
    <row r="305" spans="1:14" ht="15" customHeight="1" x14ac:dyDescent="0.25">
      <c r="A305" s="4" t="str">
        <f t="shared" ref="A305:A336" si="10">IF($C305="","","未割当")</f>
        <v>未割当</v>
      </c>
      <c r="B305" s="4"/>
      <c r="C305" s="4" t="str">
        <f>IFERROR(INDEX(tbl_master[localId],ROW()-304),"")</f>
        <v>a_001</v>
      </c>
      <c r="D305" s="8">
        <f>IF($C305="","",_xlfn.LET(
_xlpm.搬入計,SUMIFS(tbl_ledger[数量],tbl_ledger[localId],$C305,tbl_ledger[イベント種類],"搬入"),
_xlpm.割当計,SUMIF(V_充足確認!$B$2:$B$301,$C305,V_充足確認!$F$2:$F$301),
_xlpm.余剰化受入,SUMIFS(tbl_ledger[数量],tbl_ledger[localId],$C305,tbl_ledger[イベント種類],"余剰化",tbl_ledger[元状態],D$304),
_xlpm.払出,SUMIFS(tbl_ledger[数量],tbl_ledger[localId],$C305,tbl_ledger[ロットID],"=",tbl_ledger[元状態],D$304),
_xlpm.搬入計-_xlpm.割当計+_xlpm.余剰化受入-_xlpm.払出))</f>
        <v>2</v>
      </c>
      <c r="E305" s="8">
        <f>IF($C305="","",_xlfn.LET(
_xlpm.受入,SUMIFS(tbl_ledger[数量],tbl_ledger[localId],$C305,tbl_ledger[イベント種類],"アニール開始",tbl_ledger[ロットID],"="),
_xlpm.余剰化受入,SUMIFS(tbl_ledger[数量],tbl_ledger[localId],$C305,tbl_ledger[イベント種類],"余剰化",tbl_ledger[元状態],E$304),
_xlpm.払出,SUMIFS(tbl_ledger[数量],tbl_ledger[localId],$C305,tbl_ledger[ロットID],"=",tbl_ledger[元状態],E$304),
_xlpm.受入+_xlpm.余剰化受入-_xlpm.払出))</f>
        <v>0</v>
      </c>
      <c r="F305" s="8">
        <f>IF($C305="","",_xlfn.LET(
_xlpm.受入,SUMIFS(tbl_ledger[数量],tbl_ledger[localId],$C305,tbl_ledger[イベント種類],"アニール完了",tbl_ledger[ロットID],"="),
_xlpm.余剰化受入,SUMIFS(tbl_ledger[数量],tbl_ledger[localId],$C305,tbl_ledger[イベント種類],"余剰化",tbl_ledger[元状態],F$304),
_xlpm.払出,SUMIFS(tbl_ledger[数量],tbl_ledger[localId],$C305,tbl_ledger[ロットID],"=",tbl_ledger[元状態],F$304),
_xlpm.受入+_xlpm.余剰化受入-_xlpm.払出))</f>
        <v>0</v>
      </c>
      <c r="G305" s="8">
        <f>IF($C305="","",_xlfn.LET(
_xlpm.受入,SUMIFS(tbl_ledger[数量],tbl_ledger[localId],$C305,tbl_ledger[イベント種類],"アセンブリ開始",tbl_ledger[ロットID],"="),
_xlpm.余剰化受入,SUMIFS(tbl_ledger[数量],tbl_ledger[localId],$C305,tbl_ledger[イベント種類],"余剰化",tbl_ledger[元状態],G$304),
_xlpm.払出,SUMIFS(tbl_ledger[数量],tbl_ledger[localId],$C305,tbl_ledger[ロットID],"=",tbl_ledger[元状態],G$304),
_xlpm.受入+_xlpm.余剰化受入-_xlpm.払出))</f>
        <v>0</v>
      </c>
      <c r="H305" s="8">
        <f>IF($C305="","",_xlfn.LET(
_xlpm.受入,SUMIFS(tbl_ledger[数量],tbl_ledger[localId],$C305,tbl_ledger[イベント種類],"アセンブリ完了",tbl_ledger[ロットID],"="),
_xlpm.余剰化受入,SUMIFS(tbl_ledger[数量],tbl_ledger[localId],$C305,tbl_ledger[イベント種類],"余剰化",tbl_ledger[元状態],H$304),
_xlpm.払出,SUMIFS(tbl_ledger[数量],tbl_ledger[localId],$C305,tbl_ledger[ロットID],"=",tbl_ledger[元状態],H$304),
_xlpm.受入+_xlpm.余剰化受入-_xlpm.払出))</f>
        <v>0</v>
      </c>
      <c r="I305" s="8">
        <f>IF($C305="","",_xlfn.LET(
_xlpm.受入,SUMIFS(tbl_ledger[数量],tbl_ledger[localId],$C305,tbl_ledger[イベント種類],"梱包開始",tbl_ledger[ロットID],"="),
_xlpm.余剰化受入,SUMIFS(tbl_ledger[数量],tbl_ledger[localId],$C305,tbl_ledger[イベント種類],"余剰化",tbl_ledger[元状態],I$304),
_xlpm.払出,SUMIFS(tbl_ledger[数量],tbl_ledger[localId],$C305,tbl_ledger[ロットID],"=",tbl_ledger[元状態],I$304),
_xlpm.受入+_xlpm.余剰化受入-_xlpm.払出))</f>
        <v>0</v>
      </c>
      <c r="J305" s="8">
        <f>IF($C305="","",_xlfn.LET(
_xlpm.受入,SUMIFS(tbl_ledger[数量],tbl_ledger[localId],$C305,tbl_ledger[イベント種類],"梱包完了",tbl_ledger[ロットID],"="),
_xlpm.余剰化受入,SUMIFS(tbl_ledger[数量],tbl_ledger[localId],$C305,tbl_ledger[イベント種類],"余剰化",tbl_ledger[元状態],J$304),
_xlpm.払出,SUMIFS(tbl_ledger[数量],tbl_ledger[localId],$C305,tbl_ledger[ロットID],"=",tbl_ledger[元状態],J$304),
_xlpm.受入+_xlpm.余剰化受入-_xlpm.払出))</f>
        <v>0</v>
      </c>
      <c r="K305" s="8">
        <f>IF($C305="","",_xlfn.LET(
_xlpm.受入,SUMIFS(tbl_ledger[数量],tbl_ledger[localId],$C305,tbl_ledger[イベント種類],"発送準備開始",tbl_ledger[ロットID],"="),
_xlpm.余剰化受入,SUMIFS(tbl_ledger[数量],tbl_ledger[localId],$C305,tbl_ledger[イベント種類],"余剰化",tbl_ledger[元状態],K$304),
_xlpm.払出,SUMIFS(tbl_ledger[数量],tbl_ledger[localId],$C305,tbl_ledger[ロットID],"=",tbl_ledger[元状態],K$304),
_xlpm.受入+_xlpm.余剰化受入-_xlpm.払出))</f>
        <v>0</v>
      </c>
      <c r="L305" s="8">
        <f>IF($C305="","",_xlfn.LET(
_xlpm.受入,SUMIFS(tbl_ledger[数量],tbl_ledger[localId],$C305,tbl_ledger[イベント種類],"発送準備完了",tbl_ledger[ロットID],"="),
_xlpm.余剰化受入,SUMIFS(tbl_ledger[数量],tbl_ledger[localId],$C305,tbl_ledger[イベント種類],"余剰化",tbl_ledger[元状態],L$304),
_xlpm.払出,SUMIFS(tbl_ledger[数量],tbl_ledger[localId],$C305,tbl_ledger[ロットID],"=",tbl_ledger[元状態],L$304),
_xlpm.受入+_xlpm.余剰化受入-_xlpm.払出))</f>
        <v>0</v>
      </c>
      <c r="M305" s="8">
        <f>IF($C305="","",_xlfn.LET(
_xlpm.受入,SUMIFS(tbl_ledger[数量],tbl_ledger[localId],$C305,tbl_ledger[イベント種類],"不良発生",tbl_ledger[ロットID],"="),
_xlpm.余剰化受入,SUMIFS(tbl_ledger[数量],tbl_ledger[localId],$C305,tbl_ledger[イベント種類],"余剰化",tbl_ledger[元状態],M$304),
_xlpm.払出,SUMIFS(tbl_ledger[数量],tbl_ledger[localId],$C305,tbl_ledger[ロットID],"=",tbl_ledger[元状態],M$304),
_xlpm.受入+_xlpm.余剰化受入-_xlpm.払出))</f>
        <v>0</v>
      </c>
      <c r="N305" s="8">
        <f t="shared" ref="N305:N336" si="11">IF($C305="","",SUM(D305:M305))</f>
        <v>2</v>
      </c>
    </row>
    <row r="306" spans="1:14" ht="15" customHeight="1" x14ac:dyDescent="0.25">
      <c r="A306" s="4" t="str">
        <f t="shared" si="10"/>
        <v>未割当</v>
      </c>
      <c r="B306" s="4"/>
      <c r="C306" s="4" t="str">
        <f>IFERROR(INDEX(tbl_master[localId],ROW()-304),"")</f>
        <v>a_002</v>
      </c>
      <c r="D306" s="8">
        <f>IF($C306="","",_xlfn.LET(
_xlpm.搬入計,SUMIFS(tbl_ledger[数量],tbl_ledger[localId],$C306,tbl_ledger[イベント種類],"搬入"),
_xlpm.割当計,SUMIF(V_充足確認!$B$2:$B$301,$C306,V_充足確認!$F$2:$F$301),
_xlpm.余剰化受入,SUMIFS(tbl_ledger[数量],tbl_ledger[localId],$C306,tbl_ledger[イベント種類],"余剰化",tbl_ledger[元状態],D$304),
_xlpm.払出,SUMIFS(tbl_ledger[数量],tbl_ledger[localId],$C306,tbl_ledger[ロットID],"=",tbl_ledger[元状態],D$304),
_xlpm.搬入計-_xlpm.割当計+_xlpm.余剰化受入-_xlpm.払出))</f>
        <v>9</v>
      </c>
      <c r="E306" s="8">
        <f>IF($C306="","",_xlfn.LET(
_xlpm.受入,SUMIFS(tbl_ledger[数量],tbl_ledger[localId],$C306,tbl_ledger[イベント種類],"アニール開始",tbl_ledger[ロットID],"="),
_xlpm.余剰化受入,SUMIFS(tbl_ledger[数量],tbl_ledger[localId],$C306,tbl_ledger[イベント種類],"余剰化",tbl_ledger[元状態],E$304),
_xlpm.払出,SUMIFS(tbl_ledger[数量],tbl_ledger[localId],$C306,tbl_ledger[ロットID],"=",tbl_ledger[元状態],E$304),
_xlpm.受入+_xlpm.余剰化受入-_xlpm.払出))</f>
        <v>0</v>
      </c>
      <c r="F306" s="8">
        <f>IF($C306="","",_xlfn.LET(
_xlpm.受入,SUMIFS(tbl_ledger[数量],tbl_ledger[localId],$C306,tbl_ledger[イベント種類],"アニール完了",tbl_ledger[ロットID],"="),
_xlpm.余剰化受入,SUMIFS(tbl_ledger[数量],tbl_ledger[localId],$C306,tbl_ledger[イベント種類],"余剰化",tbl_ledger[元状態],F$304),
_xlpm.払出,SUMIFS(tbl_ledger[数量],tbl_ledger[localId],$C306,tbl_ledger[ロットID],"=",tbl_ledger[元状態],F$304),
_xlpm.受入+_xlpm.余剰化受入-_xlpm.払出))</f>
        <v>0</v>
      </c>
      <c r="G306" s="8">
        <f>IF($C306="","",_xlfn.LET(
_xlpm.受入,SUMIFS(tbl_ledger[数量],tbl_ledger[localId],$C306,tbl_ledger[イベント種類],"アセンブリ開始",tbl_ledger[ロットID],"="),
_xlpm.余剰化受入,SUMIFS(tbl_ledger[数量],tbl_ledger[localId],$C306,tbl_ledger[イベント種類],"余剰化",tbl_ledger[元状態],G$304),
_xlpm.払出,SUMIFS(tbl_ledger[数量],tbl_ledger[localId],$C306,tbl_ledger[ロットID],"=",tbl_ledger[元状態],G$304),
_xlpm.受入+_xlpm.余剰化受入-_xlpm.払出))</f>
        <v>0</v>
      </c>
      <c r="H306" s="8">
        <f>IF($C306="","",_xlfn.LET(
_xlpm.受入,SUMIFS(tbl_ledger[数量],tbl_ledger[localId],$C306,tbl_ledger[イベント種類],"アセンブリ完了",tbl_ledger[ロットID],"="),
_xlpm.余剰化受入,SUMIFS(tbl_ledger[数量],tbl_ledger[localId],$C306,tbl_ledger[イベント種類],"余剰化",tbl_ledger[元状態],H$304),
_xlpm.払出,SUMIFS(tbl_ledger[数量],tbl_ledger[localId],$C306,tbl_ledger[ロットID],"=",tbl_ledger[元状態],H$304),
_xlpm.受入+_xlpm.余剰化受入-_xlpm.払出))</f>
        <v>0</v>
      </c>
      <c r="I306" s="8">
        <f>IF($C306="","",_xlfn.LET(
_xlpm.受入,SUMIFS(tbl_ledger[数量],tbl_ledger[localId],$C306,tbl_ledger[イベント種類],"梱包開始",tbl_ledger[ロットID],"="),
_xlpm.余剰化受入,SUMIFS(tbl_ledger[数量],tbl_ledger[localId],$C306,tbl_ledger[イベント種類],"余剰化",tbl_ledger[元状態],I$304),
_xlpm.払出,SUMIFS(tbl_ledger[数量],tbl_ledger[localId],$C306,tbl_ledger[ロットID],"=",tbl_ledger[元状態],I$304),
_xlpm.受入+_xlpm.余剰化受入-_xlpm.払出))</f>
        <v>0</v>
      </c>
      <c r="J306" s="8">
        <f>IF($C306="","",_xlfn.LET(
_xlpm.受入,SUMIFS(tbl_ledger[数量],tbl_ledger[localId],$C306,tbl_ledger[イベント種類],"梱包完了",tbl_ledger[ロットID],"="),
_xlpm.余剰化受入,SUMIFS(tbl_ledger[数量],tbl_ledger[localId],$C306,tbl_ledger[イベント種類],"余剰化",tbl_ledger[元状態],J$304),
_xlpm.払出,SUMIFS(tbl_ledger[数量],tbl_ledger[localId],$C306,tbl_ledger[ロットID],"=",tbl_ledger[元状態],J$304),
_xlpm.受入+_xlpm.余剰化受入-_xlpm.払出))</f>
        <v>0</v>
      </c>
      <c r="K306" s="8">
        <f>IF($C306="","",_xlfn.LET(
_xlpm.受入,SUMIFS(tbl_ledger[数量],tbl_ledger[localId],$C306,tbl_ledger[イベント種類],"発送準備開始",tbl_ledger[ロットID],"="),
_xlpm.余剰化受入,SUMIFS(tbl_ledger[数量],tbl_ledger[localId],$C306,tbl_ledger[イベント種類],"余剰化",tbl_ledger[元状態],K$304),
_xlpm.払出,SUMIFS(tbl_ledger[数量],tbl_ledger[localId],$C306,tbl_ledger[ロットID],"=",tbl_ledger[元状態],K$304),
_xlpm.受入+_xlpm.余剰化受入-_xlpm.払出))</f>
        <v>0</v>
      </c>
      <c r="L306" s="8">
        <f>IF($C306="","",_xlfn.LET(
_xlpm.受入,SUMIFS(tbl_ledger[数量],tbl_ledger[localId],$C306,tbl_ledger[イベント種類],"発送準備完了",tbl_ledger[ロットID],"="),
_xlpm.余剰化受入,SUMIFS(tbl_ledger[数量],tbl_ledger[localId],$C306,tbl_ledger[イベント種類],"余剰化",tbl_ledger[元状態],L$304),
_xlpm.払出,SUMIFS(tbl_ledger[数量],tbl_ledger[localId],$C306,tbl_ledger[ロットID],"=",tbl_ledger[元状態],L$304),
_xlpm.受入+_xlpm.余剰化受入-_xlpm.払出))</f>
        <v>0</v>
      </c>
      <c r="M306" s="8">
        <f>IF($C306="","",_xlfn.LET(
_xlpm.受入,SUMIFS(tbl_ledger[数量],tbl_ledger[localId],$C306,tbl_ledger[イベント種類],"不良発生",tbl_ledger[ロットID],"="),
_xlpm.余剰化受入,SUMIFS(tbl_ledger[数量],tbl_ledger[localId],$C306,tbl_ledger[イベント種類],"余剰化",tbl_ledger[元状態],M$304),
_xlpm.払出,SUMIFS(tbl_ledger[数量],tbl_ledger[localId],$C306,tbl_ledger[ロットID],"=",tbl_ledger[元状態],M$304),
_xlpm.受入+_xlpm.余剰化受入-_xlpm.払出))</f>
        <v>0</v>
      </c>
      <c r="N306" s="8">
        <f t="shared" si="11"/>
        <v>9</v>
      </c>
    </row>
    <row r="307" spans="1:14" ht="15" customHeight="1" x14ac:dyDescent="0.25">
      <c r="A307" s="4" t="str">
        <f t="shared" si="10"/>
        <v>未割当</v>
      </c>
      <c r="B307" s="4"/>
      <c r="C307" s="4" t="str">
        <f>IFERROR(INDEX(tbl_master[localId],ROW()-304),"")</f>
        <v>b_001</v>
      </c>
      <c r="D307" s="8">
        <f>IF($C307="","",_xlfn.LET(
_xlpm.搬入計,SUMIFS(tbl_ledger[数量],tbl_ledger[localId],$C307,tbl_ledger[イベント種類],"搬入"),
_xlpm.割当計,SUMIF(V_充足確認!$B$2:$B$301,$C307,V_充足確認!$F$2:$F$301),
_xlpm.余剰化受入,SUMIFS(tbl_ledger[数量],tbl_ledger[localId],$C307,tbl_ledger[イベント種類],"余剰化",tbl_ledger[元状態],D$304),
_xlpm.払出,SUMIFS(tbl_ledger[数量],tbl_ledger[localId],$C307,tbl_ledger[ロットID],"=",tbl_ledger[元状態],D$304),
_xlpm.搬入計-_xlpm.割当計+_xlpm.余剰化受入-_xlpm.払出))</f>
        <v>0</v>
      </c>
      <c r="E307" s="8">
        <f>IF($C307="","",_xlfn.LET(
_xlpm.受入,SUMIFS(tbl_ledger[数量],tbl_ledger[localId],$C307,tbl_ledger[イベント種類],"アニール開始",tbl_ledger[ロットID],"="),
_xlpm.余剰化受入,SUMIFS(tbl_ledger[数量],tbl_ledger[localId],$C307,tbl_ledger[イベント種類],"余剰化",tbl_ledger[元状態],E$304),
_xlpm.払出,SUMIFS(tbl_ledger[数量],tbl_ledger[localId],$C307,tbl_ledger[ロットID],"=",tbl_ledger[元状態],E$304),
_xlpm.受入+_xlpm.余剰化受入-_xlpm.払出))</f>
        <v>0</v>
      </c>
      <c r="F307" s="8">
        <f>IF($C307="","",_xlfn.LET(
_xlpm.受入,SUMIFS(tbl_ledger[数量],tbl_ledger[localId],$C307,tbl_ledger[イベント種類],"アニール完了",tbl_ledger[ロットID],"="),
_xlpm.余剰化受入,SUMIFS(tbl_ledger[数量],tbl_ledger[localId],$C307,tbl_ledger[イベント種類],"余剰化",tbl_ledger[元状態],F$304),
_xlpm.払出,SUMIFS(tbl_ledger[数量],tbl_ledger[localId],$C307,tbl_ledger[ロットID],"=",tbl_ledger[元状態],F$304),
_xlpm.受入+_xlpm.余剰化受入-_xlpm.払出))</f>
        <v>0</v>
      </c>
      <c r="G307" s="8">
        <f>IF($C307="","",_xlfn.LET(
_xlpm.受入,SUMIFS(tbl_ledger[数量],tbl_ledger[localId],$C307,tbl_ledger[イベント種類],"アセンブリ開始",tbl_ledger[ロットID],"="),
_xlpm.余剰化受入,SUMIFS(tbl_ledger[数量],tbl_ledger[localId],$C307,tbl_ledger[イベント種類],"余剰化",tbl_ledger[元状態],G$304),
_xlpm.払出,SUMIFS(tbl_ledger[数量],tbl_ledger[localId],$C307,tbl_ledger[ロットID],"=",tbl_ledger[元状態],G$304),
_xlpm.受入+_xlpm.余剰化受入-_xlpm.払出))</f>
        <v>0</v>
      </c>
      <c r="H307" s="8">
        <f>IF($C307="","",_xlfn.LET(
_xlpm.受入,SUMIFS(tbl_ledger[数量],tbl_ledger[localId],$C307,tbl_ledger[イベント種類],"アセンブリ完了",tbl_ledger[ロットID],"="),
_xlpm.余剰化受入,SUMIFS(tbl_ledger[数量],tbl_ledger[localId],$C307,tbl_ledger[イベント種類],"余剰化",tbl_ledger[元状態],H$304),
_xlpm.払出,SUMIFS(tbl_ledger[数量],tbl_ledger[localId],$C307,tbl_ledger[ロットID],"=",tbl_ledger[元状態],H$304),
_xlpm.受入+_xlpm.余剰化受入-_xlpm.払出))</f>
        <v>0</v>
      </c>
      <c r="I307" s="8">
        <f>IF($C307="","",_xlfn.LET(
_xlpm.受入,SUMIFS(tbl_ledger[数量],tbl_ledger[localId],$C307,tbl_ledger[イベント種類],"梱包開始",tbl_ledger[ロットID],"="),
_xlpm.余剰化受入,SUMIFS(tbl_ledger[数量],tbl_ledger[localId],$C307,tbl_ledger[イベント種類],"余剰化",tbl_ledger[元状態],I$304),
_xlpm.払出,SUMIFS(tbl_ledger[数量],tbl_ledger[localId],$C307,tbl_ledger[ロットID],"=",tbl_ledger[元状態],I$304),
_xlpm.受入+_xlpm.余剰化受入-_xlpm.払出))</f>
        <v>0</v>
      </c>
      <c r="J307" s="8">
        <f>IF($C307="","",_xlfn.LET(
_xlpm.受入,SUMIFS(tbl_ledger[数量],tbl_ledger[localId],$C307,tbl_ledger[イベント種類],"梱包完了",tbl_ledger[ロットID],"="),
_xlpm.余剰化受入,SUMIFS(tbl_ledger[数量],tbl_ledger[localId],$C307,tbl_ledger[イベント種類],"余剰化",tbl_ledger[元状態],J$304),
_xlpm.払出,SUMIFS(tbl_ledger[数量],tbl_ledger[localId],$C307,tbl_ledger[ロットID],"=",tbl_ledger[元状態],J$304),
_xlpm.受入+_xlpm.余剰化受入-_xlpm.払出))</f>
        <v>0</v>
      </c>
      <c r="K307" s="8">
        <f>IF($C307="","",_xlfn.LET(
_xlpm.受入,SUMIFS(tbl_ledger[数量],tbl_ledger[localId],$C307,tbl_ledger[イベント種類],"発送準備開始",tbl_ledger[ロットID],"="),
_xlpm.余剰化受入,SUMIFS(tbl_ledger[数量],tbl_ledger[localId],$C307,tbl_ledger[イベント種類],"余剰化",tbl_ledger[元状態],K$304),
_xlpm.払出,SUMIFS(tbl_ledger[数量],tbl_ledger[localId],$C307,tbl_ledger[ロットID],"=",tbl_ledger[元状態],K$304),
_xlpm.受入+_xlpm.余剰化受入-_xlpm.払出))</f>
        <v>0</v>
      </c>
      <c r="L307" s="8">
        <f>IF($C307="","",_xlfn.LET(
_xlpm.受入,SUMIFS(tbl_ledger[数量],tbl_ledger[localId],$C307,tbl_ledger[イベント種類],"発送準備完了",tbl_ledger[ロットID],"="),
_xlpm.余剰化受入,SUMIFS(tbl_ledger[数量],tbl_ledger[localId],$C307,tbl_ledger[イベント種類],"余剰化",tbl_ledger[元状態],L$304),
_xlpm.払出,SUMIFS(tbl_ledger[数量],tbl_ledger[localId],$C307,tbl_ledger[ロットID],"=",tbl_ledger[元状態],L$304),
_xlpm.受入+_xlpm.余剰化受入-_xlpm.払出))</f>
        <v>0</v>
      </c>
      <c r="M307" s="8">
        <f>IF($C307="","",_xlfn.LET(
_xlpm.受入,SUMIFS(tbl_ledger[数量],tbl_ledger[localId],$C307,tbl_ledger[イベント種類],"不良発生",tbl_ledger[ロットID],"="),
_xlpm.余剰化受入,SUMIFS(tbl_ledger[数量],tbl_ledger[localId],$C307,tbl_ledger[イベント種類],"余剰化",tbl_ledger[元状態],M$304),
_xlpm.払出,SUMIFS(tbl_ledger[数量],tbl_ledger[localId],$C307,tbl_ledger[ロットID],"=",tbl_ledger[元状態],M$304),
_xlpm.受入+_xlpm.余剰化受入-_xlpm.払出))</f>
        <v>0</v>
      </c>
      <c r="N307" s="8">
        <f t="shared" si="11"/>
        <v>0</v>
      </c>
    </row>
    <row r="308" spans="1:14" ht="15" customHeight="1" x14ac:dyDescent="0.25">
      <c r="A308" s="4" t="str">
        <f t="shared" si="10"/>
        <v>未割当</v>
      </c>
      <c r="B308" s="4"/>
      <c r="C308" s="4" t="str">
        <f>IFERROR(INDEX(tbl_master[localId],ROW()-304),"")</f>
        <v>b_002</v>
      </c>
      <c r="D308" s="8">
        <f>IF($C308="","",_xlfn.LET(
_xlpm.搬入計,SUMIFS(tbl_ledger[数量],tbl_ledger[localId],$C308,tbl_ledger[イベント種類],"搬入"),
_xlpm.割当計,SUMIF(V_充足確認!$B$2:$B$301,$C308,V_充足確認!$F$2:$F$301),
_xlpm.余剰化受入,SUMIFS(tbl_ledger[数量],tbl_ledger[localId],$C308,tbl_ledger[イベント種類],"余剰化",tbl_ledger[元状態],D$304),
_xlpm.払出,SUMIFS(tbl_ledger[数量],tbl_ledger[localId],$C308,tbl_ledger[ロットID],"=",tbl_ledger[元状態],D$304),
_xlpm.搬入計-_xlpm.割当計+_xlpm.余剰化受入-_xlpm.払出))</f>
        <v>0</v>
      </c>
      <c r="E308" s="8">
        <f>IF($C308="","",_xlfn.LET(
_xlpm.受入,SUMIFS(tbl_ledger[数量],tbl_ledger[localId],$C308,tbl_ledger[イベント種類],"アニール開始",tbl_ledger[ロットID],"="),
_xlpm.余剰化受入,SUMIFS(tbl_ledger[数量],tbl_ledger[localId],$C308,tbl_ledger[イベント種類],"余剰化",tbl_ledger[元状態],E$304),
_xlpm.払出,SUMIFS(tbl_ledger[数量],tbl_ledger[localId],$C308,tbl_ledger[ロットID],"=",tbl_ledger[元状態],E$304),
_xlpm.受入+_xlpm.余剰化受入-_xlpm.払出))</f>
        <v>0</v>
      </c>
      <c r="F308" s="8">
        <f>IF($C308="","",_xlfn.LET(
_xlpm.受入,SUMIFS(tbl_ledger[数量],tbl_ledger[localId],$C308,tbl_ledger[イベント種類],"アニール完了",tbl_ledger[ロットID],"="),
_xlpm.余剰化受入,SUMIFS(tbl_ledger[数量],tbl_ledger[localId],$C308,tbl_ledger[イベント種類],"余剰化",tbl_ledger[元状態],F$304),
_xlpm.払出,SUMIFS(tbl_ledger[数量],tbl_ledger[localId],$C308,tbl_ledger[ロットID],"=",tbl_ledger[元状態],F$304),
_xlpm.受入+_xlpm.余剰化受入-_xlpm.払出))</f>
        <v>0</v>
      </c>
      <c r="G308" s="8">
        <f>IF($C308="","",_xlfn.LET(
_xlpm.受入,SUMIFS(tbl_ledger[数量],tbl_ledger[localId],$C308,tbl_ledger[イベント種類],"アセンブリ開始",tbl_ledger[ロットID],"="),
_xlpm.余剰化受入,SUMIFS(tbl_ledger[数量],tbl_ledger[localId],$C308,tbl_ledger[イベント種類],"余剰化",tbl_ledger[元状態],G$304),
_xlpm.払出,SUMIFS(tbl_ledger[数量],tbl_ledger[localId],$C308,tbl_ledger[ロットID],"=",tbl_ledger[元状態],G$304),
_xlpm.受入+_xlpm.余剰化受入-_xlpm.払出))</f>
        <v>0</v>
      </c>
      <c r="H308" s="8">
        <f>IF($C308="","",_xlfn.LET(
_xlpm.受入,SUMIFS(tbl_ledger[数量],tbl_ledger[localId],$C308,tbl_ledger[イベント種類],"アセンブリ完了",tbl_ledger[ロットID],"="),
_xlpm.余剰化受入,SUMIFS(tbl_ledger[数量],tbl_ledger[localId],$C308,tbl_ledger[イベント種類],"余剰化",tbl_ledger[元状態],H$304),
_xlpm.払出,SUMIFS(tbl_ledger[数量],tbl_ledger[localId],$C308,tbl_ledger[ロットID],"=",tbl_ledger[元状態],H$304),
_xlpm.受入+_xlpm.余剰化受入-_xlpm.払出))</f>
        <v>0</v>
      </c>
      <c r="I308" s="8">
        <f>IF($C308="","",_xlfn.LET(
_xlpm.受入,SUMIFS(tbl_ledger[数量],tbl_ledger[localId],$C308,tbl_ledger[イベント種類],"梱包開始",tbl_ledger[ロットID],"="),
_xlpm.余剰化受入,SUMIFS(tbl_ledger[数量],tbl_ledger[localId],$C308,tbl_ledger[イベント種類],"余剰化",tbl_ledger[元状態],I$304),
_xlpm.払出,SUMIFS(tbl_ledger[数量],tbl_ledger[localId],$C308,tbl_ledger[ロットID],"=",tbl_ledger[元状態],I$304),
_xlpm.受入+_xlpm.余剰化受入-_xlpm.払出))</f>
        <v>0</v>
      </c>
      <c r="J308" s="8">
        <f>IF($C308="","",_xlfn.LET(
_xlpm.受入,SUMIFS(tbl_ledger[数量],tbl_ledger[localId],$C308,tbl_ledger[イベント種類],"梱包完了",tbl_ledger[ロットID],"="),
_xlpm.余剰化受入,SUMIFS(tbl_ledger[数量],tbl_ledger[localId],$C308,tbl_ledger[イベント種類],"余剰化",tbl_ledger[元状態],J$304),
_xlpm.払出,SUMIFS(tbl_ledger[数量],tbl_ledger[localId],$C308,tbl_ledger[ロットID],"=",tbl_ledger[元状態],J$304),
_xlpm.受入+_xlpm.余剰化受入-_xlpm.払出))</f>
        <v>0</v>
      </c>
      <c r="K308" s="8">
        <f>IF($C308="","",_xlfn.LET(
_xlpm.受入,SUMIFS(tbl_ledger[数量],tbl_ledger[localId],$C308,tbl_ledger[イベント種類],"発送準備開始",tbl_ledger[ロットID],"="),
_xlpm.余剰化受入,SUMIFS(tbl_ledger[数量],tbl_ledger[localId],$C308,tbl_ledger[イベント種類],"余剰化",tbl_ledger[元状態],K$304),
_xlpm.払出,SUMIFS(tbl_ledger[数量],tbl_ledger[localId],$C308,tbl_ledger[ロットID],"=",tbl_ledger[元状態],K$304),
_xlpm.受入+_xlpm.余剰化受入-_xlpm.払出))</f>
        <v>0</v>
      </c>
      <c r="L308" s="8">
        <f>IF($C308="","",_xlfn.LET(
_xlpm.受入,SUMIFS(tbl_ledger[数量],tbl_ledger[localId],$C308,tbl_ledger[イベント種類],"発送準備完了",tbl_ledger[ロットID],"="),
_xlpm.余剰化受入,SUMIFS(tbl_ledger[数量],tbl_ledger[localId],$C308,tbl_ledger[イベント種類],"余剰化",tbl_ledger[元状態],L$304),
_xlpm.払出,SUMIFS(tbl_ledger[数量],tbl_ledger[localId],$C308,tbl_ledger[ロットID],"=",tbl_ledger[元状態],L$304),
_xlpm.受入+_xlpm.余剰化受入-_xlpm.払出))</f>
        <v>0</v>
      </c>
      <c r="M308" s="8">
        <f>IF($C308="","",_xlfn.LET(
_xlpm.受入,SUMIFS(tbl_ledger[数量],tbl_ledger[localId],$C308,tbl_ledger[イベント種類],"不良発生",tbl_ledger[ロットID],"="),
_xlpm.余剰化受入,SUMIFS(tbl_ledger[数量],tbl_ledger[localId],$C308,tbl_ledger[イベント種類],"余剰化",tbl_ledger[元状態],M$304),
_xlpm.払出,SUMIFS(tbl_ledger[数量],tbl_ledger[localId],$C308,tbl_ledger[ロットID],"=",tbl_ledger[元状態],M$304),
_xlpm.受入+_xlpm.余剰化受入-_xlpm.払出))</f>
        <v>0</v>
      </c>
      <c r="N308" s="8">
        <f t="shared" si="11"/>
        <v>0</v>
      </c>
    </row>
    <row r="309" spans="1:14" ht="15" customHeight="1" x14ac:dyDescent="0.25">
      <c r="A309" s="4" t="str">
        <f t="shared" si="10"/>
        <v/>
      </c>
      <c r="B309" s="4"/>
      <c r="C309" s="4" t="str">
        <f>IFERROR(INDEX(tbl_master[localId],ROW()-304),"")</f>
        <v/>
      </c>
      <c r="D309" s="8" t="str">
        <f>IF($C309="","",_xlfn.LET(
_xlpm.搬入計,SUMIFS(tbl_ledger[数量],tbl_ledger[localId],$C309,tbl_ledger[イベント種類],"搬入"),
_xlpm.割当計,SUMIF(V_充足確認!$B$2:$B$301,$C309,V_充足確認!$F$2:$F$301),
_xlpm.余剰化受入,SUMIFS(tbl_ledger[数量],tbl_ledger[localId],$C309,tbl_ledger[イベント種類],"余剰化",tbl_ledger[元状態],D$304),
_xlpm.払出,SUMIFS(tbl_ledger[数量],tbl_ledger[localId],$C309,tbl_ledger[ロットID],"=",tbl_ledger[元状態],D$304),
_xlpm.搬入計-_xlpm.割当計+_xlpm.余剰化受入-_xlpm.払出))</f>
        <v/>
      </c>
      <c r="E309" s="8" t="str">
        <f>IF($C309="","",_xlfn.LET(
_xlpm.受入,SUMIFS(tbl_ledger[数量],tbl_ledger[localId],$C309,tbl_ledger[イベント種類],"アニール開始",tbl_ledger[ロットID],"="),
_xlpm.余剰化受入,SUMIFS(tbl_ledger[数量],tbl_ledger[localId],$C309,tbl_ledger[イベント種類],"余剰化",tbl_ledger[元状態],E$304),
_xlpm.払出,SUMIFS(tbl_ledger[数量],tbl_ledger[localId],$C309,tbl_ledger[ロットID],"=",tbl_ledger[元状態],E$304),
_xlpm.受入+_xlpm.余剰化受入-_xlpm.払出))</f>
        <v/>
      </c>
      <c r="F309" s="8" t="str">
        <f>IF($C309="","",_xlfn.LET(
_xlpm.受入,SUMIFS(tbl_ledger[数量],tbl_ledger[localId],$C309,tbl_ledger[イベント種類],"アニール完了",tbl_ledger[ロットID],"="),
_xlpm.余剰化受入,SUMIFS(tbl_ledger[数量],tbl_ledger[localId],$C309,tbl_ledger[イベント種類],"余剰化",tbl_ledger[元状態],F$304),
_xlpm.払出,SUMIFS(tbl_ledger[数量],tbl_ledger[localId],$C309,tbl_ledger[ロットID],"=",tbl_ledger[元状態],F$304),
_xlpm.受入+_xlpm.余剰化受入-_xlpm.払出))</f>
        <v/>
      </c>
      <c r="G309" s="8" t="str">
        <f>IF($C309="","",_xlfn.LET(
_xlpm.受入,SUMIFS(tbl_ledger[数量],tbl_ledger[localId],$C309,tbl_ledger[イベント種類],"アセンブリ開始",tbl_ledger[ロットID],"="),
_xlpm.余剰化受入,SUMIFS(tbl_ledger[数量],tbl_ledger[localId],$C309,tbl_ledger[イベント種類],"余剰化",tbl_ledger[元状態],G$304),
_xlpm.払出,SUMIFS(tbl_ledger[数量],tbl_ledger[localId],$C309,tbl_ledger[ロットID],"=",tbl_ledger[元状態],G$304),
_xlpm.受入+_xlpm.余剰化受入-_xlpm.払出))</f>
        <v/>
      </c>
      <c r="H309" s="8" t="str">
        <f>IF($C309="","",_xlfn.LET(
_xlpm.受入,SUMIFS(tbl_ledger[数量],tbl_ledger[localId],$C309,tbl_ledger[イベント種類],"アセンブリ完了",tbl_ledger[ロットID],"="),
_xlpm.余剰化受入,SUMIFS(tbl_ledger[数量],tbl_ledger[localId],$C309,tbl_ledger[イベント種類],"余剰化",tbl_ledger[元状態],H$304),
_xlpm.払出,SUMIFS(tbl_ledger[数量],tbl_ledger[localId],$C309,tbl_ledger[ロットID],"=",tbl_ledger[元状態],H$304),
_xlpm.受入+_xlpm.余剰化受入-_xlpm.払出))</f>
        <v/>
      </c>
      <c r="I309" s="8" t="str">
        <f>IF($C309="","",_xlfn.LET(
_xlpm.受入,SUMIFS(tbl_ledger[数量],tbl_ledger[localId],$C309,tbl_ledger[イベント種類],"梱包開始",tbl_ledger[ロットID],"="),
_xlpm.余剰化受入,SUMIFS(tbl_ledger[数量],tbl_ledger[localId],$C309,tbl_ledger[イベント種類],"余剰化",tbl_ledger[元状態],I$304),
_xlpm.払出,SUMIFS(tbl_ledger[数量],tbl_ledger[localId],$C309,tbl_ledger[ロットID],"=",tbl_ledger[元状態],I$304),
_xlpm.受入+_xlpm.余剰化受入-_xlpm.払出))</f>
        <v/>
      </c>
      <c r="J309" s="8" t="str">
        <f>IF($C309="","",_xlfn.LET(
_xlpm.受入,SUMIFS(tbl_ledger[数量],tbl_ledger[localId],$C309,tbl_ledger[イベント種類],"梱包完了",tbl_ledger[ロットID],"="),
_xlpm.余剰化受入,SUMIFS(tbl_ledger[数量],tbl_ledger[localId],$C309,tbl_ledger[イベント種類],"余剰化",tbl_ledger[元状態],J$304),
_xlpm.払出,SUMIFS(tbl_ledger[数量],tbl_ledger[localId],$C309,tbl_ledger[ロットID],"=",tbl_ledger[元状態],J$304),
_xlpm.受入+_xlpm.余剰化受入-_xlpm.払出))</f>
        <v/>
      </c>
      <c r="K309" s="8" t="str">
        <f>IF($C309="","",_xlfn.LET(
_xlpm.受入,SUMIFS(tbl_ledger[数量],tbl_ledger[localId],$C309,tbl_ledger[イベント種類],"発送準備開始",tbl_ledger[ロットID],"="),
_xlpm.余剰化受入,SUMIFS(tbl_ledger[数量],tbl_ledger[localId],$C309,tbl_ledger[イベント種類],"余剰化",tbl_ledger[元状態],K$304),
_xlpm.払出,SUMIFS(tbl_ledger[数量],tbl_ledger[localId],$C309,tbl_ledger[ロットID],"=",tbl_ledger[元状態],K$304),
_xlpm.受入+_xlpm.余剰化受入-_xlpm.払出))</f>
        <v/>
      </c>
      <c r="L309" s="8" t="str">
        <f>IF($C309="","",_xlfn.LET(
_xlpm.受入,SUMIFS(tbl_ledger[数量],tbl_ledger[localId],$C309,tbl_ledger[イベント種類],"発送準備完了",tbl_ledger[ロットID],"="),
_xlpm.余剰化受入,SUMIFS(tbl_ledger[数量],tbl_ledger[localId],$C309,tbl_ledger[イベント種類],"余剰化",tbl_ledger[元状態],L$304),
_xlpm.払出,SUMIFS(tbl_ledger[数量],tbl_ledger[localId],$C309,tbl_ledger[ロットID],"=",tbl_ledger[元状態],L$304),
_xlpm.受入+_xlpm.余剰化受入-_xlpm.払出))</f>
        <v/>
      </c>
      <c r="M309" s="8" t="str">
        <f>IF($C309="","",_xlfn.LET(
_xlpm.受入,SUMIFS(tbl_ledger[数量],tbl_ledger[localId],$C309,tbl_ledger[イベント種類],"不良発生",tbl_ledger[ロットID],"="),
_xlpm.余剰化受入,SUMIFS(tbl_ledger[数量],tbl_ledger[localId],$C309,tbl_ledger[イベント種類],"余剰化",tbl_ledger[元状態],M$304),
_xlpm.払出,SUMIFS(tbl_ledger[数量],tbl_ledger[localId],$C309,tbl_ledger[ロットID],"=",tbl_ledger[元状態],M$304),
_xlpm.受入+_xlpm.余剰化受入-_xlpm.払出))</f>
        <v/>
      </c>
      <c r="N309" s="8" t="str">
        <f t="shared" si="11"/>
        <v/>
      </c>
    </row>
    <row r="310" spans="1:14" ht="15" customHeight="1" x14ac:dyDescent="0.25">
      <c r="A310" s="4" t="str">
        <f t="shared" si="10"/>
        <v/>
      </c>
      <c r="B310" s="4"/>
      <c r="C310" s="4" t="str">
        <f>IFERROR(INDEX(tbl_master[localId],ROW()-304),"")</f>
        <v/>
      </c>
      <c r="D310" s="8" t="str">
        <f>IF($C310="","",_xlfn.LET(
_xlpm.搬入計,SUMIFS(tbl_ledger[数量],tbl_ledger[localId],$C310,tbl_ledger[イベント種類],"搬入"),
_xlpm.割当計,SUMIF(V_充足確認!$B$2:$B$301,$C310,V_充足確認!$F$2:$F$301),
_xlpm.余剰化受入,SUMIFS(tbl_ledger[数量],tbl_ledger[localId],$C310,tbl_ledger[イベント種類],"余剰化",tbl_ledger[元状態],D$304),
_xlpm.払出,SUMIFS(tbl_ledger[数量],tbl_ledger[localId],$C310,tbl_ledger[ロットID],"=",tbl_ledger[元状態],D$304),
_xlpm.搬入計-_xlpm.割当計+_xlpm.余剰化受入-_xlpm.払出))</f>
        <v/>
      </c>
      <c r="E310" s="8" t="str">
        <f>IF($C310="","",_xlfn.LET(
_xlpm.受入,SUMIFS(tbl_ledger[数量],tbl_ledger[localId],$C310,tbl_ledger[イベント種類],"アニール開始",tbl_ledger[ロットID],"="),
_xlpm.余剰化受入,SUMIFS(tbl_ledger[数量],tbl_ledger[localId],$C310,tbl_ledger[イベント種類],"余剰化",tbl_ledger[元状態],E$304),
_xlpm.払出,SUMIFS(tbl_ledger[数量],tbl_ledger[localId],$C310,tbl_ledger[ロットID],"=",tbl_ledger[元状態],E$304),
_xlpm.受入+_xlpm.余剰化受入-_xlpm.払出))</f>
        <v/>
      </c>
      <c r="F310" s="8" t="str">
        <f>IF($C310="","",_xlfn.LET(
_xlpm.受入,SUMIFS(tbl_ledger[数量],tbl_ledger[localId],$C310,tbl_ledger[イベント種類],"アニール完了",tbl_ledger[ロットID],"="),
_xlpm.余剰化受入,SUMIFS(tbl_ledger[数量],tbl_ledger[localId],$C310,tbl_ledger[イベント種類],"余剰化",tbl_ledger[元状態],F$304),
_xlpm.払出,SUMIFS(tbl_ledger[数量],tbl_ledger[localId],$C310,tbl_ledger[ロットID],"=",tbl_ledger[元状態],F$304),
_xlpm.受入+_xlpm.余剰化受入-_xlpm.払出))</f>
        <v/>
      </c>
      <c r="G310" s="8" t="str">
        <f>IF($C310="","",_xlfn.LET(
_xlpm.受入,SUMIFS(tbl_ledger[数量],tbl_ledger[localId],$C310,tbl_ledger[イベント種類],"アセンブリ開始",tbl_ledger[ロットID],"="),
_xlpm.余剰化受入,SUMIFS(tbl_ledger[数量],tbl_ledger[localId],$C310,tbl_ledger[イベント種類],"余剰化",tbl_ledger[元状態],G$304),
_xlpm.払出,SUMIFS(tbl_ledger[数量],tbl_ledger[localId],$C310,tbl_ledger[ロットID],"=",tbl_ledger[元状態],G$304),
_xlpm.受入+_xlpm.余剰化受入-_xlpm.払出))</f>
        <v/>
      </c>
      <c r="H310" s="8" t="str">
        <f>IF($C310="","",_xlfn.LET(
_xlpm.受入,SUMIFS(tbl_ledger[数量],tbl_ledger[localId],$C310,tbl_ledger[イベント種類],"アセンブリ完了",tbl_ledger[ロットID],"="),
_xlpm.余剰化受入,SUMIFS(tbl_ledger[数量],tbl_ledger[localId],$C310,tbl_ledger[イベント種類],"余剰化",tbl_ledger[元状態],H$304),
_xlpm.払出,SUMIFS(tbl_ledger[数量],tbl_ledger[localId],$C310,tbl_ledger[ロットID],"=",tbl_ledger[元状態],H$304),
_xlpm.受入+_xlpm.余剰化受入-_xlpm.払出))</f>
        <v/>
      </c>
      <c r="I310" s="8" t="str">
        <f>IF($C310="","",_xlfn.LET(
_xlpm.受入,SUMIFS(tbl_ledger[数量],tbl_ledger[localId],$C310,tbl_ledger[イベント種類],"梱包開始",tbl_ledger[ロットID],"="),
_xlpm.余剰化受入,SUMIFS(tbl_ledger[数量],tbl_ledger[localId],$C310,tbl_ledger[イベント種類],"余剰化",tbl_ledger[元状態],I$304),
_xlpm.払出,SUMIFS(tbl_ledger[数量],tbl_ledger[localId],$C310,tbl_ledger[ロットID],"=",tbl_ledger[元状態],I$304),
_xlpm.受入+_xlpm.余剰化受入-_xlpm.払出))</f>
        <v/>
      </c>
      <c r="J310" s="8" t="str">
        <f>IF($C310="","",_xlfn.LET(
_xlpm.受入,SUMIFS(tbl_ledger[数量],tbl_ledger[localId],$C310,tbl_ledger[イベント種類],"梱包完了",tbl_ledger[ロットID],"="),
_xlpm.余剰化受入,SUMIFS(tbl_ledger[数量],tbl_ledger[localId],$C310,tbl_ledger[イベント種類],"余剰化",tbl_ledger[元状態],J$304),
_xlpm.払出,SUMIFS(tbl_ledger[数量],tbl_ledger[localId],$C310,tbl_ledger[ロットID],"=",tbl_ledger[元状態],J$304),
_xlpm.受入+_xlpm.余剰化受入-_xlpm.払出))</f>
        <v/>
      </c>
      <c r="K310" s="8" t="str">
        <f>IF($C310="","",_xlfn.LET(
_xlpm.受入,SUMIFS(tbl_ledger[数量],tbl_ledger[localId],$C310,tbl_ledger[イベント種類],"発送準備開始",tbl_ledger[ロットID],"="),
_xlpm.余剰化受入,SUMIFS(tbl_ledger[数量],tbl_ledger[localId],$C310,tbl_ledger[イベント種類],"余剰化",tbl_ledger[元状態],K$304),
_xlpm.払出,SUMIFS(tbl_ledger[数量],tbl_ledger[localId],$C310,tbl_ledger[ロットID],"=",tbl_ledger[元状態],K$304),
_xlpm.受入+_xlpm.余剰化受入-_xlpm.払出))</f>
        <v/>
      </c>
      <c r="L310" s="8" t="str">
        <f>IF($C310="","",_xlfn.LET(
_xlpm.受入,SUMIFS(tbl_ledger[数量],tbl_ledger[localId],$C310,tbl_ledger[イベント種類],"発送準備完了",tbl_ledger[ロットID],"="),
_xlpm.余剰化受入,SUMIFS(tbl_ledger[数量],tbl_ledger[localId],$C310,tbl_ledger[イベント種類],"余剰化",tbl_ledger[元状態],L$304),
_xlpm.払出,SUMIFS(tbl_ledger[数量],tbl_ledger[localId],$C310,tbl_ledger[ロットID],"=",tbl_ledger[元状態],L$304),
_xlpm.受入+_xlpm.余剰化受入-_xlpm.払出))</f>
        <v/>
      </c>
      <c r="M310" s="8" t="str">
        <f>IF($C310="","",_xlfn.LET(
_xlpm.受入,SUMIFS(tbl_ledger[数量],tbl_ledger[localId],$C310,tbl_ledger[イベント種類],"不良発生",tbl_ledger[ロットID],"="),
_xlpm.余剰化受入,SUMIFS(tbl_ledger[数量],tbl_ledger[localId],$C310,tbl_ledger[イベント種類],"余剰化",tbl_ledger[元状態],M$304),
_xlpm.払出,SUMIFS(tbl_ledger[数量],tbl_ledger[localId],$C310,tbl_ledger[ロットID],"=",tbl_ledger[元状態],M$304),
_xlpm.受入+_xlpm.余剰化受入-_xlpm.払出))</f>
        <v/>
      </c>
      <c r="N310" s="8" t="str">
        <f t="shared" si="11"/>
        <v/>
      </c>
    </row>
    <row r="311" spans="1:14" ht="15" customHeight="1" x14ac:dyDescent="0.25">
      <c r="A311" s="4" t="str">
        <f t="shared" si="10"/>
        <v/>
      </c>
      <c r="B311" s="4"/>
      <c r="C311" s="4" t="str">
        <f>IFERROR(INDEX(tbl_master[localId],ROW()-304),"")</f>
        <v/>
      </c>
      <c r="D311" s="8" t="str">
        <f>IF($C311="","",_xlfn.LET(
_xlpm.搬入計,SUMIFS(tbl_ledger[数量],tbl_ledger[localId],$C311,tbl_ledger[イベント種類],"搬入"),
_xlpm.割当計,SUMIF(V_充足確認!$B$2:$B$301,$C311,V_充足確認!$F$2:$F$301),
_xlpm.余剰化受入,SUMIFS(tbl_ledger[数量],tbl_ledger[localId],$C311,tbl_ledger[イベント種類],"余剰化",tbl_ledger[元状態],D$304),
_xlpm.払出,SUMIFS(tbl_ledger[数量],tbl_ledger[localId],$C311,tbl_ledger[ロットID],"=",tbl_ledger[元状態],D$304),
_xlpm.搬入計-_xlpm.割当計+_xlpm.余剰化受入-_xlpm.払出))</f>
        <v/>
      </c>
      <c r="E311" s="8" t="str">
        <f>IF($C311="","",_xlfn.LET(
_xlpm.受入,SUMIFS(tbl_ledger[数量],tbl_ledger[localId],$C311,tbl_ledger[イベント種類],"アニール開始",tbl_ledger[ロットID],"="),
_xlpm.余剰化受入,SUMIFS(tbl_ledger[数量],tbl_ledger[localId],$C311,tbl_ledger[イベント種類],"余剰化",tbl_ledger[元状態],E$304),
_xlpm.払出,SUMIFS(tbl_ledger[数量],tbl_ledger[localId],$C311,tbl_ledger[ロットID],"=",tbl_ledger[元状態],E$304),
_xlpm.受入+_xlpm.余剰化受入-_xlpm.払出))</f>
        <v/>
      </c>
      <c r="F311" s="8" t="str">
        <f>IF($C311="","",_xlfn.LET(
_xlpm.受入,SUMIFS(tbl_ledger[数量],tbl_ledger[localId],$C311,tbl_ledger[イベント種類],"アニール完了",tbl_ledger[ロットID],"="),
_xlpm.余剰化受入,SUMIFS(tbl_ledger[数量],tbl_ledger[localId],$C311,tbl_ledger[イベント種類],"余剰化",tbl_ledger[元状態],F$304),
_xlpm.払出,SUMIFS(tbl_ledger[数量],tbl_ledger[localId],$C311,tbl_ledger[ロットID],"=",tbl_ledger[元状態],F$304),
_xlpm.受入+_xlpm.余剰化受入-_xlpm.払出))</f>
        <v/>
      </c>
      <c r="G311" s="8" t="str">
        <f>IF($C311="","",_xlfn.LET(
_xlpm.受入,SUMIFS(tbl_ledger[数量],tbl_ledger[localId],$C311,tbl_ledger[イベント種類],"アセンブリ開始",tbl_ledger[ロットID],"="),
_xlpm.余剰化受入,SUMIFS(tbl_ledger[数量],tbl_ledger[localId],$C311,tbl_ledger[イベント種類],"余剰化",tbl_ledger[元状態],G$304),
_xlpm.払出,SUMIFS(tbl_ledger[数量],tbl_ledger[localId],$C311,tbl_ledger[ロットID],"=",tbl_ledger[元状態],G$304),
_xlpm.受入+_xlpm.余剰化受入-_xlpm.払出))</f>
        <v/>
      </c>
      <c r="H311" s="8" t="str">
        <f>IF($C311="","",_xlfn.LET(
_xlpm.受入,SUMIFS(tbl_ledger[数量],tbl_ledger[localId],$C311,tbl_ledger[イベント種類],"アセンブリ完了",tbl_ledger[ロットID],"="),
_xlpm.余剰化受入,SUMIFS(tbl_ledger[数量],tbl_ledger[localId],$C311,tbl_ledger[イベント種類],"余剰化",tbl_ledger[元状態],H$304),
_xlpm.払出,SUMIFS(tbl_ledger[数量],tbl_ledger[localId],$C311,tbl_ledger[ロットID],"=",tbl_ledger[元状態],H$304),
_xlpm.受入+_xlpm.余剰化受入-_xlpm.払出))</f>
        <v/>
      </c>
      <c r="I311" s="8" t="str">
        <f>IF($C311="","",_xlfn.LET(
_xlpm.受入,SUMIFS(tbl_ledger[数量],tbl_ledger[localId],$C311,tbl_ledger[イベント種類],"梱包開始",tbl_ledger[ロットID],"="),
_xlpm.余剰化受入,SUMIFS(tbl_ledger[数量],tbl_ledger[localId],$C311,tbl_ledger[イベント種類],"余剰化",tbl_ledger[元状態],I$304),
_xlpm.払出,SUMIFS(tbl_ledger[数量],tbl_ledger[localId],$C311,tbl_ledger[ロットID],"=",tbl_ledger[元状態],I$304),
_xlpm.受入+_xlpm.余剰化受入-_xlpm.払出))</f>
        <v/>
      </c>
      <c r="J311" s="8" t="str">
        <f>IF($C311="","",_xlfn.LET(
_xlpm.受入,SUMIFS(tbl_ledger[数量],tbl_ledger[localId],$C311,tbl_ledger[イベント種類],"梱包完了",tbl_ledger[ロットID],"="),
_xlpm.余剰化受入,SUMIFS(tbl_ledger[数量],tbl_ledger[localId],$C311,tbl_ledger[イベント種類],"余剰化",tbl_ledger[元状態],J$304),
_xlpm.払出,SUMIFS(tbl_ledger[数量],tbl_ledger[localId],$C311,tbl_ledger[ロットID],"=",tbl_ledger[元状態],J$304),
_xlpm.受入+_xlpm.余剰化受入-_xlpm.払出))</f>
        <v/>
      </c>
      <c r="K311" s="8" t="str">
        <f>IF($C311="","",_xlfn.LET(
_xlpm.受入,SUMIFS(tbl_ledger[数量],tbl_ledger[localId],$C311,tbl_ledger[イベント種類],"発送準備開始",tbl_ledger[ロットID],"="),
_xlpm.余剰化受入,SUMIFS(tbl_ledger[数量],tbl_ledger[localId],$C311,tbl_ledger[イベント種類],"余剰化",tbl_ledger[元状態],K$304),
_xlpm.払出,SUMIFS(tbl_ledger[数量],tbl_ledger[localId],$C311,tbl_ledger[ロットID],"=",tbl_ledger[元状態],K$304),
_xlpm.受入+_xlpm.余剰化受入-_xlpm.払出))</f>
        <v/>
      </c>
      <c r="L311" s="8" t="str">
        <f>IF($C311="","",_xlfn.LET(
_xlpm.受入,SUMIFS(tbl_ledger[数量],tbl_ledger[localId],$C311,tbl_ledger[イベント種類],"発送準備完了",tbl_ledger[ロットID],"="),
_xlpm.余剰化受入,SUMIFS(tbl_ledger[数量],tbl_ledger[localId],$C311,tbl_ledger[イベント種類],"余剰化",tbl_ledger[元状態],L$304),
_xlpm.払出,SUMIFS(tbl_ledger[数量],tbl_ledger[localId],$C311,tbl_ledger[ロットID],"=",tbl_ledger[元状態],L$304),
_xlpm.受入+_xlpm.余剰化受入-_xlpm.払出))</f>
        <v/>
      </c>
      <c r="M311" s="8" t="str">
        <f>IF($C311="","",_xlfn.LET(
_xlpm.受入,SUMIFS(tbl_ledger[数量],tbl_ledger[localId],$C311,tbl_ledger[イベント種類],"不良発生",tbl_ledger[ロットID],"="),
_xlpm.余剰化受入,SUMIFS(tbl_ledger[数量],tbl_ledger[localId],$C311,tbl_ledger[イベント種類],"余剰化",tbl_ledger[元状態],M$304),
_xlpm.払出,SUMIFS(tbl_ledger[数量],tbl_ledger[localId],$C311,tbl_ledger[ロットID],"=",tbl_ledger[元状態],M$304),
_xlpm.受入+_xlpm.余剰化受入-_xlpm.払出))</f>
        <v/>
      </c>
      <c r="N311" s="8" t="str">
        <f t="shared" si="11"/>
        <v/>
      </c>
    </row>
    <row r="312" spans="1:14" ht="15" customHeight="1" x14ac:dyDescent="0.25">
      <c r="A312" s="4" t="str">
        <f t="shared" si="10"/>
        <v/>
      </c>
      <c r="B312" s="4"/>
      <c r="C312" s="4" t="str">
        <f>IFERROR(INDEX(tbl_master[localId],ROW()-304),"")</f>
        <v/>
      </c>
      <c r="D312" s="8" t="str">
        <f>IF($C312="","",_xlfn.LET(
_xlpm.搬入計,SUMIFS(tbl_ledger[数量],tbl_ledger[localId],$C312,tbl_ledger[イベント種類],"搬入"),
_xlpm.割当計,SUMIF(V_充足確認!$B$2:$B$301,$C312,V_充足確認!$F$2:$F$301),
_xlpm.余剰化受入,SUMIFS(tbl_ledger[数量],tbl_ledger[localId],$C312,tbl_ledger[イベント種類],"余剰化",tbl_ledger[元状態],D$304),
_xlpm.払出,SUMIFS(tbl_ledger[数量],tbl_ledger[localId],$C312,tbl_ledger[ロットID],"=",tbl_ledger[元状態],D$304),
_xlpm.搬入計-_xlpm.割当計+_xlpm.余剰化受入-_xlpm.払出))</f>
        <v/>
      </c>
      <c r="E312" s="8" t="str">
        <f>IF($C312="","",_xlfn.LET(
_xlpm.受入,SUMIFS(tbl_ledger[数量],tbl_ledger[localId],$C312,tbl_ledger[イベント種類],"アニール開始",tbl_ledger[ロットID],"="),
_xlpm.余剰化受入,SUMIFS(tbl_ledger[数量],tbl_ledger[localId],$C312,tbl_ledger[イベント種類],"余剰化",tbl_ledger[元状態],E$304),
_xlpm.払出,SUMIFS(tbl_ledger[数量],tbl_ledger[localId],$C312,tbl_ledger[ロットID],"=",tbl_ledger[元状態],E$304),
_xlpm.受入+_xlpm.余剰化受入-_xlpm.払出))</f>
        <v/>
      </c>
      <c r="F312" s="8" t="str">
        <f>IF($C312="","",_xlfn.LET(
_xlpm.受入,SUMIFS(tbl_ledger[数量],tbl_ledger[localId],$C312,tbl_ledger[イベント種類],"アニール完了",tbl_ledger[ロットID],"="),
_xlpm.余剰化受入,SUMIFS(tbl_ledger[数量],tbl_ledger[localId],$C312,tbl_ledger[イベント種類],"余剰化",tbl_ledger[元状態],F$304),
_xlpm.払出,SUMIFS(tbl_ledger[数量],tbl_ledger[localId],$C312,tbl_ledger[ロットID],"=",tbl_ledger[元状態],F$304),
_xlpm.受入+_xlpm.余剰化受入-_xlpm.払出))</f>
        <v/>
      </c>
      <c r="G312" s="8" t="str">
        <f>IF($C312="","",_xlfn.LET(
_xlpm.受入,SUMIFS(tbl_ledger[数量],tbl_ledger[localId],$C312,tbl_ledger[イベント種類],"アセンブリ開始",tbl_ledger[ロットID],"="),
_xlpm.余剰化受入,SUMIFS(tbl_ledger[数量],tbl_ledger[localId],$C312,tbl_ledger[イベント種類],"余剰化",tbl_ledger[元状態],G$304),
_xlpm.払出,SUMIFS(tbl_ledger[数量],tbl_ledger[localId],$C312,tbl_ledger[ロットID],"=",tbl_ledger[元状態],G$304),
_xlpm.受入+_xlpm.余剰化受入-_xlpm.払出))</f>
        <v/>
      </c>
      <c r="H312" s="8" t="str">
        <f>IF($C312="","",_xlfn.LET(
_xlpm.受入,SUMIFS(tbl_ledger[数量],tbl_ledger[localId],$C312,tbl_ledger[イベント種類],"アセンブリ完了",tbl_ledger[ロットID],"="),
_xlpm.余剰化受入,SUMIFS(tbl_ledger[数量],tbl_ledger[localId],$C312,tbl_ledger[イベント種類],"余剰化",tbl_ledger[元状態],H$304),
_xlpm.払出,SUMIFS(tbl_ledger[数量],tbl_ledger[localId],$C312,tbl_ledger[ロットID],"=",tbl_ledger[元状態],H$304),
_xlpm.受入+_xlpm.余剰化受入-_xlpm.払出))</f>
        <v/>
      </c>
      <c r="I312" s="8" t="str">
        <f>IF($C312="","",_xlfn.LET(
_xlpm.受入,SUMIFS(tbl_ledger[数量],tbl_ledger[localId],$C312,tbl_ledger[イベント種類],"梱包開始",tbl_ledger[ロットID],"="),
_xlpm.余剰化受入,SUMIFS(tbl_ledger[数量],tbl_ledger[localId],$C312,tbl_ledger[イベント種類],"余剰化",tbl_ledger[元状態],I$304),
_xlpm.払出,SUMIFS(tbl_ledger[数量],tbl_ledger[localId],$C312,tbl_ledger[ロットID],"=",tbl_ledger[元状態],I$304),
_xlpm.受入+_xlpm.余剰化受入-_xlpm.払出))</f>
        <v/>
      </c>
      <c r="J312" s="8" t="str">
        <f>IF($C312="","",_xlfn.LET(
_xlpm.受入,SUMIFS(tbl_ledger[数量],tbl_ledger[localId],$C312,tbl_ledger[イベント種類],"梱包完了",tbl_ledger[ロットID],"="),
_xlpm.余剰化受入,SUMIFS(tbl_ledger[数量],tbl_ledger[localId],$C312,tbl_ledger[イベント種類],"余剰化",tbl_ledger[元状態],J$304),
_xlpm.払出,SUMIFS(tbl_ledger[数量],tbl_ledger[localId],$C312,tbl_ledger[ロットID],"=",tbl_ledger[元状態],J$304),
_xlpm.受入+_xlpm.余剰化受入-_xlpm.払出))</f>
        <v/>
      </c>
      <c r="K312" s="8" t="str">
        <f>IF($C312="","",_xlfn.LET(
_xlpm.受入,SUMIFS(tbl_ledger[数量],tbl_ledger[localId],$C312,tbl_ledger[イベント種類],"発送準備開始",tbl_ledger[ロットID],"="),
_xlpm.余剰化受入,SUMIFS(tbl_ledger[数量],tbl_ledger[localId],$C312,tbl_ledger[イベント種類],"余剰化",tbl_ledger[元状態],K$304),
_xlpm.払出,SUMIFS(tbl_ledger[数量],tbl_ledger[localId],$C312,tbl_ledger[ロットID],"=",tbl_ledger[元状態],K$304),
_xlpm.受入+_xlpm.余剰化受入-_xlpm.払出))</f>
        <v/>
      </c>
      <c r="L312" s="8" t="str">
        <f>IF($C312="","",_xlfn.LET(
_xlpm.受入,SUMIFS(tbl_ledger[数量],tbl_ledger[localId],$C312,tbl_ledger[イベント種類],"発送準備完了",tbl_ledger[ロットID],"="),
_xlpm.余剰化受入,SUMIFS(tbl_ledger[数量],tbl_ledger[localId],$C312,tbl_ledger[イベント種類],"余剰化",tbl_ledger[元状態],L$304),
_xlpm.払出,SUMIFS(tbl_ledger[数量],tbl_ledger[localId],$C312,tbl_ledger[ロットID],"=",tbl_ledger[元状態],L$304),
_xlpm.受入+_xlpm.余剰化受入-_xlpm.払出))</f>
        <v/>
      </c>
      <c r="M312" s="8" t="str">
        <f>IF($C312="","",_xlfn.LET(
_xlpm.受入,SUMIFS(tbl_ledger[数量],tbl_ledger[localId],$C312,tbl_ledger[イベント種類],"不良発生",tbl_ledger[ロットID],"="),
_xlpm.余剰化受入,SUMIFS(tbl_ledger[数量],tbl_ledger[localId],$C312,tbl_ledger[イベント種類],"余剰化",tbl_ledger[元状態],M$304),
_xlpm.払出,SUMIFS(tbl_ledger[数量],tbl_ledger[localId],$C312,tbl_ledger[ロットID],"=",tbl_ledger[元状態],M$304),
_xlpm.受入+_xlpm.余剰化受入-_xlpm.払出))</f>
        <v/>
      </c>
      <c r="N312" s="8" t="str">
        <f t="shared" si="11"/>
        <v/>
      </c>
    </row>
    <row r="313" spans="1:14" ht="15" customHeight="1" x14ac:dyDescent="0.25">
      <c r="A313" s="4" t="str">
        <f t="shared" si="10"/>
        <v/>
      </c>
      <c r="B313" s="4"/>
      <c r="C313" s="4" t="str">
        <f>IFERROR(INDEX(tbl_master[localId],ROW()-304),"")</f>
        <v/>
      </c>
      <c r="D313" s="8" t="str">
        <f>IF($C313="","",_xlfn.LET(
_xlpm.搬入計,SUMIFS(tbl_ledger[数量],tbl_ledger[localId],$C313,tbl_ledger[イベント種類],"搬入"),
_xlpm.割当計,SUMIF(V_充足確認!$B$2:$B$301,$C313,V_充足確認!$F$2:$F$301),
_xlpm.余剰化受入,SUMIFS(tbl_ledger[数量],tbl_ledger[localId],$C313,tbl_ledger[イベント種類],"余剰化",tbl_ledger[元状態],D$304),
_xlpm.払出,SUMIFS(tbl_ledger[数量],tbl_ledger[localId],$C313,tbl_ledger[ロットID],"=",tbl_ledger[元状態],D$304),
_xlpm.搬入計-_xlpm.割当計+_xlpm.余剰化受入-_xlpm.払出))</f>
        <v/>
      </c>
      <c r="E313" s="8" t="str">
        <f>IF($C313="","",_xlfn.LET(
_xlpm.受入,SUMIFS(tbl_ledger[数量],tbl_ledger[localId],$C313,tbl_ledger[イベント種類],"アニール開始",tbl_ledger[ロットID],"="),
_xlpm.余剰化受入,SUMIFS(tbl_ledger[数量],tbl_ledger[localId],$C313,tbl_ledger[イベント種類],"余剰化",tbl_ledger[元状態],E$304),
_xlpm.払出,SUMIFS(tbl_ledger[数量],tbl_ledger[localId],$C313,tbl_ledger[ロットID],"=",tbl_ledger[元状態],E$304),
_xlpm.受入+_xlpm.余剰化受入-_xlpm.払出))</f>
        <v/>
      </c>
      <c r="F313" s="8" t="str">
        <f>IF($C313="","",_xlfn.LET(
_xlpm.受入,SUMIFS(tbl_ledger[数量],tbl_ledger[localId],$C313,tbl_ledger[イベント種類],"アニール完了",tbl_ledger[ロットID],"="),
_xlpm.余剰化受入,SUMIFS(tbl_ledger[数量],tbl_ledger[localId],$C313,tbl_ledger[イベント種類],"余剰化",tbl_ledger[元状態],F$304),
_xlpm.払出,SUMIFS(tbl_ledger[数量],tbl_ledger[localId],$C313,tbl_ledger[ロットID],"=",tbl_ledger[元状態],F$304),
_xlpm.受入+_xlpm.余剰化受入-_xlpm.払出))</f>
        <v/>
      </c>
      <c r="G313" s="8" t="str">
        <f>IF($C313="","",_xlfn.LET(
_xlpm.受入,SUMIFS(tbl_ledger[数量],tbl_ledger[localId],$C313,tbl_ledger[イベント種類],"アセンブリ開始",tbl_ledger[ロットID],"="),
_xlpm.余剰化受入,SUMIFS(tbl_ledger[数量],tbl_ledger[localId],$C313,tbl_ledger[イベント種類],"余剰化",tbl_ledger[元状態],G$304),
_xlpm.払出,SUMIFS(tbl_ledger[数量],tbl_ledger[localId],$C313,tbl_ledger[ロットID],"=",tbl_ledger[元状態],G$304),
_xlpm.受入+_xlpm.余剰化受入-_xlpm.払出))</f>
        <v/>
      </c>
      <c r="H313" s="8" t="str">
        <f>IF($C313="","",_xlfn.LET(
_xlpm.受入,SUMIFS(tbl_ledger[数量],tbl_ledger[localId],$C313,tbl_ledger[イベント種類],"アセンブリ完了",tbl_ledger[ロットID],"="),
_xlpm.余剰化受入,SUMIFS(tbl_ledger[数量],tbl_ledger[localId],$C313,tbl_ledger[イベント種類],"余剰化",tbl_ledger[元状態],H$304),
_xlpm.払出,SUMIFS(tbl_ledger[数量],tbl_ledger[localId],$C313,tbl_ledger[ロットID],"=",tbl_ledger[元状態],H$304),
_xlpm.受入+_xlpm.余剰化受入-_xlpm.払出))</f>
        <v/>
      </c>
      <c r="I313" s="8" t="str">
        <f>IF($C313="","",_xlfn.LET(
_xlpm.受入,SUMIFS(tbl_ledger[数量],tbl_ledger[localId],$C313,tbl_ledger[イベント種類],"梱包開始",tbl_ledger[ロットID],"="),
_xlpm.余剰化受入,SUMIFS(tbl_ledger[数量],tbl_ledger[localId],$C313,tbl_ledger[イベント種類],"余剰化",tbl_ledger[元状態],I$304),
_xlpm.払出,SUMIFS(tbl_ledger[数量],tbl_ledger[localId],$C313,tbl_ledger[ロットID],"=",tbl_ledger[元状態],I$304),
_xlpm.受入+_xlpm.余剰化受入-_xlpm.払出))</f>
        <v/>
      </c>
      <c r="J313" s="8" t="str">
        <f>IF($C313="","",_xlfn.LET(
_xlpm.受入,SUMIFS(tbl_ledger[数量],tbl_ledger[localId],$C313,tbl_ledger[イベント種類],"梱包完了",tbl_ledger[ロットID],"="),
_xlpm.余剰化受入,SUMIFS(tbl_ledger[数量],tbl_ledger[localId],$C313,tbl_ledger[イベント種類],"余剰化",tbl_ledger[元状態],J$304),
_xlpm.払出,SUMIFS(tbl_ledger[数量],tbl_ledger[localId],$C313,tbl_ledger[ロットID],"=",tbl_ledger[元状態],J$304),
_xlpm.受入+_xlpm.余剰化受入-_xlpm.払出))</f>
        <v/>
      </c>
      <c r="K313" s="8" t="str">
        <f>IF($C313="","",_xlfn.LET(
_xlpm.受入,SUMIFS(tbl_ledger[数量],tbl_ledger[localId],$C313,tbl_ledger[イベント種類],"発送準備開始",tbl_ledger[ロットID],"="),
_xlpm.余剰化受入,SUMIFS(tbl_ledger[数量],tbl_ledger[localId],$C313,tbl_ledger[イベント種類],"余剰化",tbl_ledger[元状態],K$304),
_xlpm.払出,SUMIFS(tbl_ledger[数量],tbl_ledger[localId],$C313,tbl_ledger[ロットID],"=",tbl_ledger[元状態],K$304),
_xlpm.受入+_xlpm.余剰化受入-_xlpm.払出))</f>
        <v/>
      </c>
      <c r="L313" s="8" t="str">
        <f>IF($C313="","",_xlfn.LET(
_xlpm.受入,SUMIFS(tbl_ledger[数量],tbl_ledger[localId],$C313,tbl_ledger[イベント種類],"発送準備完了",tbl_ledger[ロットID],"="),
_xlpm.余剰化受入,SUMIFS(tbl_ledger[数量],tbl_ledger[localId],$C313,tbl_ledger[イベント種類],"余剰化",tbl_ledger[元状態],L$304),
_xlpm.払出,SUMIFS(tbl_ledger[数量],tbl_ledger[localId],$C313,tbl_ledger[ロットID],"=",tbl_ledger[元状態],L$304),
_xlpm.受入+_xlpm.余剰化受入-_xlpm.払出))</f>
        <v/>
      </c>
      <c r="M313" s="8" t="str">
        <f>IF($C313="","",_xlfn.LET(
_xlpm.受入,SUMIFS(tbl_ledger[数量],tbl_ledger[localId],$C313,tbl_ledger[イベント種類],"不良発生",tbl_ledger[ロットID],"="),
_xlpm.余剰化受入,SUMIFS(tbl_ledger[数量],tbl_ledger[localId],$C313,tbl_ledger[イベント種類],"余剰化",tbl_ledger[元状態],M$304),
_xlpm.払出,SUMIFS(tbl_ledger[数量],tbl_ledger[localId],$C313,tbl_ledger[ロットID],"=",tbl_ledger[元状態],M$304),
_xlpm.受入+_xlpm.余剰化受入-_xlpm.払出))</f>
        <v/>
      </c>
      <c r="N313" s="8" t="str">
        <f t="shared" si="11"/>
        <v/>
      </c>
    </row>
    <row r="314" spans="1:14" ht="15" customHeight="1" x14ac:dyDescent="0.25">
      <c r="A314" s="4" t="str">
        <f t="shared" si="10"/>
        <v/>
      </c>
      <c r="B314" s="4"/>
      <c r="C314" s="4" t="str">
        <f>IFERROR(INDEX(tbl_master[localId],ROW()-304),"")</f>
        <v/>
      </c>
      <c r="D314" s="8" t="str">
        <f>IF($C314="","",_xlfn.LET(
_xlpm.搬入計,SUMIFS(tbl_ledger[数量],tbl_ledger[localId],$C314,tbl_ledger[イベント種類],"搬入"),
_xlpm.割当計,SUMIF(V_充足確認!$B$2:$B$301,$C314,V_充足確認!$F$2:$F$301),
_xlpm.余剰化受入,SUMIFS(tbl_ledger[数量],tbl_ledger[localId],$C314,tbl_ledger[イベント種類],"余剰化",tbl_ledger[元状態],D$304),
_xlpm.払出,SUMIFS(tbl_ledger[数量],tbl_ledger[localId],$C314,tbl_ledger[ロットID],"=",tbl_ledger[元状態],D$304),
_xlpm.搬入計-_xlpm.割当計+_xlpm.余剰化受入-_xlpm.払出))</f>
        <v/>
      </c>
      <c r="E314" s="8" t="str">
        <f>IF($C314="","",_xlfn.LET(
_xlpm.受入,SUMIFS(tbl_ledger[数量],tbl_ledger[localId],$C314,tbl_ledger[イベント種類],"アニール開始",tbl_ledger[ロットID],"="),
_xlpm.余剰化受入,SUMIFS(tbl_ledger[数量],tbl_ledger[localId],$C314,tbl_ledger[イベント種類],"余剰化",tbl_ledger[元状態],E$304),
_xlpm.払出,SUMIFS(tbl_ledger[数量],tbl_ledger[localId],$C314,tbl_ledger[ロットID],"=",tbl_ledger[元状態],E$304),
_xlpm.受入+_xlpm.余剰化受入-_xlpm.払出))</f>
        <v/>
      </c>
      <c r="F314" s="8" t="str">
        <f>IF($C314="","",_xlfn.LET(
_xlpm.受入,SUMIFS(tbl_ledger[数量],tbl_ledger[localId],$C314,tbl_ledger[イベント種類],"アニール完了",tbl_ledger[ロットID],"="),
_xlpm.余剰化受入,SUMIFS(tbl_ledger[数量],tbl_ledger[localId],$C314,tbl_ledger[イベント種類],"余剰化",tbl_ledger[元状態],F$304),
_xlpm.払出,SUMIFS(tbl_ledger[数量],tbl_ledger[localId],$C314,tbl_ledger[ロットID],"=",tbl_ledger[元状態],F$304),
_xlpm.受入+_xlpm.余剰化受入-_xlpm.払出))</f>
        <v/>
      </c>
      <c r="G314" s="8" t="str">
        <f>IF($C314="","",_xlfn.LET(
_xlpm.受入,SUMIFS(tbl_ledger[数量],tbl_ledger[localId],$C314,tbl_ledger[イベント種類],"アセンブリ開始",tbl_ledger[ロットID],"="),
_xlpm.余剰化受入,SUMIFS(tbl_ledger[数量],tbl_ledger[localId],$C314,tbl_ledger[イベント種類],"余剰化",tbl_ledger[元状態],G$304),
_xlpm.払出,SUMIFS(tbl_ledger[数量],tbl_ledger[localId],$C314,tbl_ledger[ロットID],"=",tbl_ledger[元状態],G$304),
_xlpm.受入+_xlpm.余剰化受入-_xlpm.払出))</f>
        <v/>
      </c>
      <c r="H314" s="8" t="str">
        <f>IF($C314="","",_xlfn.LET(
_xlpm.受入,SUMIFS(tbl_ledger[数量],tbl_ledger[localId],$C314,tbl_ledger[イベント種類],"アセンブリ完了",tbl_ledger[ロットID],"="),
_xlpm.余剰化受入,SUMIFS(tbl_ledger[数量],tbl_ledger[localId],$C314,tbl_ledger[イベント種類],"余剰化",tbl_ledger[元状態],H$304),
_xlpm.払出,SUMIFS(tbl_ledger[数量],tbl_ledger[localId],$C314,tbl_ledger[ロットID],"=",tbl_ledger[元状態],H$304),
_xlpm.受入+_xlpm.余剰化受入-_xlpm.払出))</f>
        <v/>
      </c>
      <c r="I314" s="8" t="str">
        <f>IF($C314="","",_xlfn.LET(
_xlpm.受入,SUMIFS(tbl_ledger[数量],tbl_ledger[localId],$C314,tbl_ledger[イベント種類],"梱包開始",tbl_ledger[ロットID],"="),
_xlpm.余剰化受入,SUMIFS(tbl_ledger[数量],tbl_ledger[localId],$C314,tbl_ledger[イベント種類],"余剰化",tbl_ledger[元状態],I$304),
_xlpm.払出,SUMIFS(tbl_ledger[数量],tbl_ledger[localId],$C314,tbl_ledger[ロットID],"=",tbl_ledger[元状態],I$304),
_xlpm.受入+_xlpm.余剰化受入-_xlpm.払出))</f>
        <v/>
      </c>
      <c r="J314" s="8" t="str">
        <f>IF($C314="","",_xlfn.LET(
_xlpm.受入,SUMIFS(tbl_ledger[数量],tbl_ledger[localId],$C314,tbl_ledger[イベント種類],"梱包完了",tbl_ledger[ロットID],"="),
_xlpm.余剰化受入,SUMIFS(tbl_ledger[数量],tbl_ledger[localId],$C314,tbl_ledger[イベント種類],"余剰化",tbl_ledger[元状態],J$304),
_xlpm.払出,SUMIFS(tbl_ledger[数量],tbl_ledger[localId],$C314,tbl_ledger[ロットID],"=",tbl_ledger[元状態],J$304),
_xlpm.受入+_xlpm.余剰化受入-_xlpm.払出))</f>
        <v/>
      </c>
      <c r="K314" s="8" t="str">
        <f>IF($C314="","",_xlfn.LET(
_xlpm.受入,SUMIFS(tbl_ledger[数量],tbl_ledger[localId],$C314,tbl_ledger[イベント種類],"発送準備開始",tbl_ledger[ロットID],"="),
_xlpm.余剰化受入,SUMIFS(tbl_ledger[数量],tbl_ledger[localId],$C314,tbl_ledger[イベント種類],"余剰化",tbl_ledger[元状態],K$304),
_xlpm.払出,SUMIFS(tbl_ledger[数量],tbl_ledger[localId],$C314,tbl_ledger[ロットID],"=",tbl_ledger[元状態],K$304),
_xlpm.受入+_xlpm.余剰化受入-_xlpm.払出))</f>
        <v/>
      </c>
      <c r="L314" s="8" t="str">
        <f>IF($C314="","",_xlfn.LET(
_xlpm.受入,SUMIFS(tbl_ledger[数量],tbl_ledger[localId],$C314,tbl_ledger[イベント種類],"発送準備完了",tbl_ledger[ロットID],"="),
_xlpm.余剰化受入,SUMIFS(tbl_ledger[数量],tbl_ledger[localId],$C314,tbl_ledger[イベント種類],"余剰化",tbl_ledger[元状態],L$304),
_xlpm.払出,SUMIFS(tbl_ledger[数量],tbl_ledger[localId],$C314,tbl_ledger[ロットID],"=",tbl_ledger[元状態],L$304),
_xlpm.受入+_xlpm.余剰化受入-_xlpm.払出))</f>
        <v/>
      </c>
      <c r="M314" s="8" t="str">
        <f>IF($C314="","",_xlfn.LET(
_xlpm.受入,SUMIFS(tbl_ledger[数量],tbl_ledger[localId],$C314,tbl_ledger[イベント種類],"不良発生",tbl_ledger[ロットID],"="),
_xlpm.余剰化受入,SUMIFS(tbl_ledger[数量],tbl_ledger[localId],$C314,tbl_ledger[イベント種類],"余剰化",tbl_ledger[元状態],M$304),
_xlpm.払出,SUMIFS(tbl_ledger[数量],tbl_ledger[localId],$C314,tbl_ledger[ロットID],"=",tbl_ledger[元状態],M$304),
_xlpm.受入+_xlpm.余剰化受入-_xlpm.払出))</f>
        <v/>
      </c>
      <c r="N314" s="8" t="str">
        <f t="shared" si="11"/>
        <v/>
      </c>
    </row>
    <row r="315" spans="1:14" ht="15" customHeight="1" x14ac:dyDescent="0.25">
      <c r="A315" s="4" t="str">
        <f t="shared" si="10"/>
        <v/>
      </c>
      <c r="B315" s="4"/>
      <c r="C315" s="4" t="str">
        <f>IFERROR(INDEX(tbl_master[localId],ROW()-304),"")</f>
        <v/>
      </c>
      <c r="D315" s="8" t="str">
        <f>IF($C315="","",_xlfn.LET(
_xlpm.搬入計,SUMIFS(tbl_ledger[数量],tbl_ledger[localId],$C315,tbl_ledger[イベント種類],"搬入"),
_xlpm.割当計,SUMIF(V_充足確認!$B$2:$B$301,$C315,V_充足確認!$F$2:$F$301),
_xlpm.余剰化受入,SUMIFS(tbl_ledger[数量],tbl_ledger[localId],$C315,tbl_ledger[イベント種類],"余剰化",tbl_ledger[元状態],D$304),
_xlpm.払出,SUMIFS(tbl_ledger[数量],tbl_ledger[localId],$C315,tbl_ledger[ロットID],"=",tbl_ledger[元状態],D$304),
_xlpm.搬入計-_xlpm.割当計+_xlpm.余剰化受入-_xlpm.払出))</f>
        <v/>
      </c>
      <c r="E315" s="8" t="str">
        <f>IF($C315="","",_xlfn.LET(
_xlpm.受入,SUMIFS(tbl_ledger[数量],tbl_ledger[localId],$C315,tbl_ledger[イベント種類],"アニール開始",tbl_ledger[ロットID],"="),
_xlpm.余剰化受入,SUMIFS(tbl_ledger[数量],tbl_ledger[localId],$C315,tbl_ledger[イベント種類],"余剰化",tbl_ledger[元状態],E$304),
_xlpm.払出,SUMIFS(tbl_ledger[数量],tbl_ledger[localId],$C315,tbl_ledger[ロットID],"=",tbl_ledger[元状態],E$304),
_xlpm.受入+_xlpm.余剰化受入-_xlpm.払出))</f>
        <v/>
      </c>
      <c r="F315" s="8" t="str">
        <f>IF($C315="","",_xlfn.LET(
_xlpm.受入,SUMIFS(tbl_ledger[数量],tbl_ledger[localId],$C315,tbl_ledger[イベント種類],"アニール完了",tbl_ledger[ロットID],"="),
_xlpm.余剰化受入,SUMIFS(tbl_ledger[数量],tbl_ledger[localId],$C315,tbl_ledger[イベント種類],"余剰化",tbl_ledger[元状態],F$304),
_xlpm.払出,SUMIFS(tbl_ledger[数量],tbl_ledger[localId],$C315,tbl_ledger[ロットID],"=",tbl_ledger[元状態],F$304),
_xlpm.受入+_xlpm.余剰化受入-_xlpm.払出))</f>
        <v/>
      </c>
      <c r="G315" s="8" t="str">
        <f>IF($C315="","",_xlfn.LET(
_xlpm.受入,SUMIFS(tbl_ledger[数量],tbl_ledger[localId],$C315,tbl_ledger[イベント種類],"アセンブリ開始",tbl_ledger[ロットID],"="),
_xlpm.余剰化受入,SUMIFS(tbl_ledger[数量],tbl_ledger[localId],$C315,tbl_ledger[イベント種類],"余剰化",tbl_ledger[元状態],G$304),
_xlpm.払出,SUMIFS(tbl_ledger[数量],tbl_ledger[localId],$C315,tbl_ledger[ロットID],"=",tbl_ledger[元状態],G$304),
_xlpm.受入+_xlpm.余剰化受入-_xlpm.払出))</f>
        <v/>
      </c>
      <c r="H315" s="8" t="str">
        <f>IF($C315="","",_xlfn.LET(
_xlpm.受入,SUMIFS(tbl_ledger[数量],tbl_ledger[localId],$C315,tbl_ledger[イベント種類],"アセンブリ完了",tbl_ledger[ロットID],"="),
_xlpm.余剰化受入,SUMIFS(tbl_ledger[数量],tbl_ledger[localId],$C315,tbl_ledger[イベント種類],"余剰化",tbl_ledger[元状態],H$304),
_xlpm.払出,SUMIFS(tbl_ledger[数量],tbl_ledger[localId],$C315,tbl_ledger[ロットID],"=",tbl_ledger[元状態],H$304),
_xlpm.受入+_xlpm.余剰化受入-_xlpm.払出))</f>
        <v/>
      </c>
      <c r="I315" s="8" t="str">
        <f>IF($C315="","",_xlfn.LET(
_xlpm.受入,SUMIFS(tbl_ledger[数量],tbl_ledger[localId],$C315,tbl_ledger[イベント種類],"梱包開始",tbl_ledger[ロットID],"="),
_xlpm.余剰化受入,SUMIFS(tbl_ledger[数量],tbl_ledger[localId],$C315,tbl_ledger[イベント種類],"余剰化",tbl_ledger[元状態],I$304),
_xlpm.払出,SUMIFS(tbl_ledger[数量],tbl_ledger[localId],$C315,tbl_ledger[ロットID],"=",tbl_ledger[元状態],I$304),
_xlpm.受入+_xlpm.余剰化受入-_xlpm.払出))</f>
        <v/>
      </c>
      <c r="J315" s="8" t="str">
        <f>IF($C315="","",_xlfn.LET(
_xlpm.受入,SUMIFS(tbl_ledger[数量],tbl_ledger[localId],$C315,tbl_ledger[イベント種類],"梱包完了",tbl_ledger[ロットID],"="),
_xlpm.余剰化受入,SUMIFS(tbl_ledger[数量],tbl_ledger[localId],$C315,tbl_ledger[イベント種類],"余剰化",tbl_ledger[元状態],J$304),
_xlpm.払出,SUMIFS(tbl_ledger[数量],tbl_ledger[localId],$C315,tbl_ledger[ロットID],"=",tbl_ledger[元状態],J$304),
_xlpm.受入+_xlpm.余剰化受入-_xlpm.払出))</f>
        <v/>
      </c>
      <c r="K315" s="8" t="str">
        <f>IF($C315="","",_xlfn.LET(
_xlpm.受入,SUMIFS(tbl_ledger[数量],tbl_ledger[localId],$C315,tbl_ledger[イベント種類],"発送準備開始",tbl_ledger[ロットID],"="),
_xlpm.余剰化受入,SUMIFS(tbl_ledger[数量],tbl_ledger[localId],$C315,tbl_ledger[イベント種類],"余剰化",tbl_ledger[元状態],K$304),
_xlpm.払出,SUMIFS(tbl_ledger[数量],tbl_ledger[localId],$C315,tbl_ledger[ロットID],"=",tbl_ledger[元状態],K$304),
_xlpm.受入+_xlpm.余剰化受入-_xlpm.払出))</f>
        <v/>
      </c>
      <c r="L315" s="8" t="str">
        <f>IF($C315="","",_xlfn.LET(
_xlpm.受入,SUMIFS(tbl_ledger[数量],tbl_ledger[localId],$C315,tbl_ledger[イベント種類],"発送準備完了",tbl_ledger[ロットID],"="),
_xlpm.余剰化受入,SUMIFS(tbl_ledger[数量],tbl_ledger[localId],$C315,tbl_ledger[イベント種類],"余剰化",tbl_ledger[元状態],L$304),
_xlpm.払出,SUMIFS(tbl_ledger[数量],tbl_ledger[localId],$C315,tbl_ledger[ロットID],"=",tbl_ledger[元状態],L$304),
_xlpm.受入+_xlpm.余剰化受入-_xlpm.払出))</f>
        <v/>
      </c>
      <c r="M315" s="8" t="str">
        <f>IF($C315="","",_xlfn.LET(
_xlpm.受入,SUMIFS(tbl_ledger[数量],tbl_ledger[localId],$C315,tbl_ledger[イベント種類],"不良発生",tbl_ledger[ロットID],"="),
_xlpm.余剰化受入,SUMIFS(tbl_ledger[数量],tbl_ledger[localId],$C315,tbl_ledger[イベント種類],"余剰化",tbl_ledger[元状態],M$304),
_xlpm.払出,SUMIFS(tbl_ledger[数量],tbl_ledger[localId],$C315,tbl_ledger[ロットID],"=",tbl_ledger[元状態],M$304),
_xlpm.受入+_xlpm.余剰化受入-_xlpm.払出))</f>
        <v/>
      </c>
      <c r="N315" s="8" t="str">
        <f t="shared" si="11"/>
        <v/>
      </c>
    </row>
    <row r="316" spans="1:14" ht="15" customHeight="1" x14ac:dyDescent="0.25">
      <c r="A316" s="4" t="str">
        <f t="shared" si="10"/>
        <v/>
      </c>
      <c r="B316" s="4"/>
      <c r="C316" s="4" t="str">
        <f>IFERROR(INDEX(tbl_master[localId],ROW()-304),"")</f>
        <v/>
      </c>
      <c r="D316" s="8" t="str">
        <f>IF($C316="","",_xlfn.LET(
_xlpm.搬入計,SUMIFS(tbl_ledger[数量],tbl_ledger[localId],$C316,tbl_ledger[イベント種類],"搬入"),
_xlpm.割当計,SUMIF(V_充足確認!$B$2:$B$301,$C316,V_充足確認!$F$2:$F$301),
_xlpm.余剰化受入,SUMIFS(tbl_ledger[数量],tbl_ledger[localId],$C316,tbl_ledger[イベント種類],"余剰化",tbl_ledger[元状態],D$304),
_xlpm.払出,SUMIFS(tbl_ledger[数量],tbl_ledger[localId],$C316,tbl_ledger[ロットID],"=",tbl_ledger[元状態],D$304),
_xlpm.搬入計-_xlpm.割当計+_xlpm.余剰化受入-_xlpm.払出))</f>
        <v/>
      </c>
      <c r="E316" s="8" t="str">
        <f>IF($C316="","",_xlfn.LET(
_xlpm.受入,SUMIFS(tbl_ledger[数量],tbl_ledger[localId],$C316,tbl_ledger[イベント種類],"アニール開始",tbl_ledger[ロットID],"="),
_xlpm.余剰化受入,SUMIFS(tbl_ledger[数量],tbl_ledger[localId],$C316,tbl_ledger[イベント種類],"余剰化",tbl_ledger[元状態],E$304),
_xlpm.払出,SUMIFS(tbl_ledger[数量],tbl_ledger[localId],$C316,tbl_ledger[ロットID],"=",tbl_ledger[元状態],E$304),
_xlpm.受入+_xlpm.余剰化受入-_xlpm.払出))</f>
        <v/>
      </c>
      <c r="F316" s="8" t="str">
        <f>IF($C316="","",_xlfn.LET(
_xlpm.受入,SUMIFS(tbl_ledger[数量],tbl_ledger[localId],$C316,tbl_ledger[イベント種類],"アニール完了",tbl_ledger[ロットID],"="),
_xlpm.余剰化受入,SUMIFS(tbl_ledger[数量],tbl_ledger[localId],$C316,tbl_ledger[イベント種類],"余剰化",tbl_ledger[元状態],F$304),
_xlpm.払出,SUMIFS(tbl_ledger[数量],tbl_ledger[localId],$C316,tbl_ledger[ロットID],"=",tbl_ledger[元状態],F$304),
_xlpm.受入+_xlpm.余剰化受入-_xlpm.払出))</f>
        <v/>
      </c>
      <c r="G316" s="8" t="str">
        <f>IF($C316="","",_xlfn.LET(
_xlpm.受入,SUMIFS(tbl_ledger[数量],tbl_ledger[localId],$C316,tbl_ledger[イベント種類],"アセンブリ開始",tbl_ledger[ロットID],"="),
_xlpm.余剰化受入,SUMIFS(tbl_ledger[数量],tbl_ledger[localId],$C316,tbl_ledger[イベント種類],"余剰化",tbl_ledger[元状態],G$304),
_xlpm.払出,SUMIFS(tbl_ledger[数量],tbl_ledger[localId],$C316,tbl_ledger[ロットID],"=",tbl_ledger[元状態],G$304),
_xlpm.受入+_xlpm.余剰化受入-_xlpm.払出))</f>
        <v/>
      </c>
      <c r="H316" s="8" t="str">
        <f>IF($C316="","",_xlfn.LET(
_xlpm.受入,SUMIFS(tbl_ledger[数量],tbl_ledger[localId],$C316,tbl_ledger[イベント種類],"アセンブリ完了",tbl_ledger[ロットID],"="),
_xlpm.余剰化受入,SUMIFS(tbl_ledger[数量],tbl_ledger[localId],$C316,tbl_ledger[イベント種類],"余剰化",tbl_ledger[元状態],H$304),
_xlpm.払出,SUMIFS(tbl_ledger[数量],tbl_ledger[localId],$C316,tbl_ledger[ロットID],"=",tbl_ledger[元状態],H$304),
_xlpm.受入+_xlpm.余剰化受入-_xlpm.払出))</f>
        <v/>
      </c>
      <c r="I316" s="8" t="str">
        <f>IF($C316="","",_xlfn.LET(
_xlpm.受入,SUMIFS(tbl_ledger[数量],tbl_ledger[localId],$C316,tbl_ledger[イベント種類],"梱包開始",tbl_ledger[ロットID],"="),
_xlpm.余剰化受入,SUMIFS(tbl_ledger[数量],tbl_ledger[localId],$C316,tbl_ledger[イベント種類],"余剰化",tbl_ledger[元状態],I$304),
_xlpm.払出,SUMIFS(tbl_ledger[数量],tbl_ledger[localId],$C316,tbl_ledger[ロットID],"=",tbl_ledger[元状態],I$304),
_xlpm.受入+_xlpm.余剰化受入-_xlpm.払出))</f>
        <v/>
      </c>
      <c r="J316" s="8" t="str">
        <f>IF($C316="","",_xlfn.LET(
_xlpm.受入,SUMIFS(tbl_ledger[数量],tbl_ledger[localId],$C316,tbl_ledger[イベント種類],"梱包完了",tbl_ledger[ロットID],"="),
_xlpm.余剰化受入,SUMIFS(tbl_ledger[数量],tbl_ledger[localId],$C316,tbl_ledger[イベント種類],"余剰化",tbl_ledger[元状態],J$304),
_xlpm.払出,SUMIFS(tbl_ledger[数量],tbl_ledger[localId],$C316,tbl_ledger[ロットID],"=",tbl_ledger[元状態],J$304),
_xlpm.受入+_xlpm.余剰化受入-_xlpm.払出))</f>
        <v/>
      </c>
      <c r="K316" s="8" t="str">
        <f>IF($C316="","",_xlfn.LET(
_xlpm.受入,SUMIFS(tbl_ledger[数量],tbl_ledger[localId],$C316,tbl_ledger[イベント種類],"発送準備開始",tbl_ledger[ロットID],"="),
_xlpm.余剰化受入,SUMIFS(tbl_ledger[数量],tbl_ledger[localId],$C316,tbl_ledger[イベント種類],"余剰化",tbl_ledger[元状態],K$304),
_xlpm.払出,SUMIFS(tbl_ledger[数量],tbl_ledger[localId],$C316,tbl_ledger[ロットID],"=",tbl_ledger[元状態],K$304),
_xlpm.受入+_xlpm.余剰化受入-_xlpm.払出))</f>
        <v/>
      </c>
      <c r="L316" s="8" t="str">
        <f>IF($C316="","",_xlfn.LET(
_xlpm.受入,SUMIFS(tbl_ledger[数量],tbl_ledger[localId],$C316,tbl_ledger[イベント種類],"発送準備完了",tbl_ledger[ロットID],"="),
_xlpm.余剰化受入,SUMIFS(tbl_ledger[数量],tbl_ledger[localId],$C316,tbl_ledger[イベント種類],"余剰化",tbl_ledger[元状態],L$304),
_xlpm.払出,SUMIFS(tbl_ledger[数量],tbl_ledger[localId],$C316,tbl_ledger[ロットID],"=",tbl_ledger[元状態],L$304),
_xlpm.受入+_xlpm.余剰化受入-_xlpm.払出))</f>
        <v/>
      </c>
      <c r="M316" s="8" t="str">
        <f>IF($C316="","",_xlfn.LET(
_xlpm.受入,SUMIFS(tbl_ledger[数量],tbl_ledger[localId],$C316,tbl_ledger[イベント種類],"不良発生",tbl_ledger[ロットID],"="),
_xlpm.余剰化受入,SUMIFS(tbl_ledger[数量],tbl_ledger[localId],$C316,tbl_ledger[イベント種類],"余剰化",tbl_ledger[元状態],M$304),
_xlpm.払出,SUMIFS(tbl_ledger[数量],tbl_ledger[localId],$C316,tbl_ledger[ロットID],"=",tbl_ledger[元状態],M$304),
_xlpm.受入+_xlpm.余剰化受入-_xlpm.払出))</f>
        <v/>
      </c>
      <c r="N316" s="8" t="str">
        <f t="shared" si="11"/>
        <v/>
      </c>
    </row>
    <row r="317" spans="1:14" ht="15" customHeight="1" x14ac:dyDescent="0.25">
      <c r="A317" s="4" t="str">
        <f t="shared" si="10"/>
        <v/>
      </c>
      <c r="B317" s="4"/>
      <c r="C317" s="4" t="str">
        <f>IFERROR(INDEX(tbl_master[localId],ROW()-304),"")</f>
        <v/>
      </c>
      <c r="D317" s="8" t="str">
        <f>IF($C317="","",_xlfn.LET(
_xlpm.搬入計,SUMIFS(tbl_ledger[数量],tbl_ledger[localId],$C317,tbl_ledger[イベント種類],"搬入"),
_xlpm.割当計,SUMIF(V_充足確認!$B$2:$B$301,$C317,V_充足確認!$F$2:$F$301),
_xlpm.余剰化受入,SUMIFS(tbl_ledger[数量],tbl_ledger[localId],$C317,tbl_ledger[イベント種類],"余剰化",tbl_ledger[元状態],D$304),
_xlpm.払出,SUMIFS(tbl_ledger[数量],tbl_ledger[localId],$C317,tbl_ledger[ロットID],"=",tbl_ledger[元状態],D$304),
_xlpm.搬入計-_xlpm.割当計+_xlpm.余剰化受入-_xlpm.払出))</f>
        <v/>
      </c>
      <c r="E317" s="8" t="str">
        <f>IF($C317="","",_xlfn.LET(
_xlpm.受入,SUMIFS(tbl_ledger[数量],tbl_ledger[localId],$C317,tbl_ledger[イベント種類],"アニール開始",tbl_ledger[ロットID],"="),
_xlpm.余剰化受入,SUMIFS(tbl_ledger[数量],tbl_ledger[localId],$C317,tbl_ledger[イベント種類],"余剰化",tbl_ledger[元状態],E$304),
_xlpm.払出,SUMIFS(tbl_ledger[数量],tbl_ledger[localId],$C317,tbl_ledger[ロットID],"=",tbl_ledger[元状態],E$304),
_xlpm.受入+_xlpm.余剰化受入-_xlpm.払出))</f>
        <v/>
      </c>
      <c r="F317" s="8" t="str">
        <f>IF($C317="","",_xlfn.LET(
_xlpm.受入,SUMIFS(tbl_ledger[数量],tbl_ledger[localId],$C317,tbl_ledger[イベント種類],"アニール完了",tbl_ledger[ロットID],"="),
_xlpm.余剰化受入,SUMIFS(tbl_ledger[数量],tbl_ledger[localId],$C317,tbl_ledger[イベント種類],"余剰化",tbl_ledger[元状態],F$304),
_xlpm.払出,SUMIFS(tbl_ledger[数量],tbl_ledger[localId],$C317,tbl_ledger[ロットID],"=",tbl_ledger[元状態],F$304),
_xlpm.受入+_xlpm.余剰化受入-_xlpm.払出))</f>
        <v/>
      </c>
      <c r="G317" s="8" t="str">
        <f>IF($C317="","",_xlfn.LET(
_xlpm.受入,SUMIFS(tbl_ledger[数量],tbl_ledger[localId],$C317,tbl_ledger[イベント種類],"アセンブリ開始",tbl_ledger[ロットID],"="),
_xlpm.余剰化受入,SUMIFS(tbl_ledger[数量],tbl_ledger[localId],$C317,tbl_ledger[イベント種類],"余剰化",tbl_ledger[元状態],G$304),
_xlpm.払出,SUMIFS(tbl_ledger[数量],tbl_ledger[localId],$C317,tbl_ledger[ロットID],"=",tbl_ledger[元状態],G$304),
_xlpm.受入+_xlpm.余剰化受入-_xlpm.払出))</f>
        <v/>
      </c>
      <c r="H317" s="8" t="str">
        <f>IF($C317="","",_xlfn.LET(
_xlpm.受入,SUMIFS(tbl_ledger[数量],tbl_ledger[localId],$C317,tbl_ledger[イベント種類],"アセンブリ完了",tbl_ledger[ロットID],"="),
_xlpm.余剰化受入,SUMIFS(tbl_ledger[数量],tbl_ledger[localId],$C317,tbl_ledger[イベント種類],"余剰化",tbl_ledger[元状態],H$304),
_xlpm.払出,SUMIFS(tbl_ledger[数量],tbl_ledger[localId],$C317,tbl_ledger[ロットID],"=",tbl_ledger[元状態],H$304),
_xlpm.受入+_xlpm.余剰化受入-_xlpm.払出))</f>
        <v/>
      </c>
      <c r="I317" s="8" t="str">
        <f>IF($C317="","",_xlfn.LET(
_xlpm.受入,SUMIFS(tbl_ledger[数量],tbl_ledger[localId],$C317,tbl_ledger[イベント種類],"梱包開始",tbl_ledger[ロットID],"="),
_xlpm.余剰化受入,SUMIFS(tbl_ledger[数量],tbl_ledger[localId],$C317,tbl_ledger[イベント種類],"余剰化",tbl_ledger[元状態],I$304),
_xlpm.払出,SUMIFS(tbl_ledger[数量],tbl_ledger[localId],$C317,tbl_ledger[ロットID],"=",tbl_ledger[元状態],I$304),
_xlpm.受入+_xlpm.余剰化受入-_xlpm.払出))</f>
        <v/>
      </c>
      <c r="J317" s="8" t="str">
        <f>IF($C317="","",_xlfn.LET(
_xlpm.受入,SUMIFS(tbl_ledger[数量],tbl_ledger[localId],$C317,tbl_ledger[イベント種類],"梱包完了",tbl_ledger[ロットID],"="),
_xlpm.余剰化受入,SUMIFS(tbl_ledger[数量],tbl_ledger[localId],$C317,tbl_ledger[イベント種類],"余剰化",tbl_ledger[元状態],J$304),
_xlpm.払出,SUMIFS(tbl_ledger[数量],tbl_ledger[localId],$C317,tbl_ledger[ロットID],"=",tbl_ledger[元状態],J$304),
_xlpm.受入+_xlpm.余剰化受入-_xlpm.払出))</f>
        <v/>
      </c>
      <c r="K317" s="8" t="str">
        <f>IF($C317="","",_xlfn.LET(
_xlpm.受入,SUMIFS(tbl_ledger[数量],tbl_ledger[localId],$C317,tbl_ledger[イベント種類],"発送準備開始",tbl_ledger[ロットID],"="),
_xlpm.余剰化受入,SUMIFS(tbl_ledger[数量],tbl_ledger[localId],$C317,tbl_ledger[イベント種類],"余剰化",tbl_ledger[元状態],K$304),
_xlpm.払出,SUMIFS(tbl_ledger[数量],tbl_ledger[localId],$C317,tbl_ledger[ロットID],"=",tbl_ledger[元状態],K$304),
_xlpm.受入+_xlpm.余剰化受入-_xlpm.払出))</f>
        <v/>
      </c>
      <c r="L317" s="8" t="str">
        <f>IF($C317="","",_xlfn.LET(
_xlpm.受入,SUMIFS(tbl_ledger[数量],tbl_ledger[localId],$C317,tbl_ledger[イベント種類],"発送準備完了",tbl_ledger[ロットID],"="),
_xlpm.余剰化受入,SUMIFS(tbl_ledger[数量],tbl_ledger[localId],$C317,tbl_ledger[イベント種類],"余剰化",tbl_ledger[元状態],L$304),
_xlpm.払出,SUMIFS(tbl_ledger[数量],tbl_ledger[localId],$C317,tbl_ledger[ロットID],"=",tbl_ledger[元状態],L$304),
_xlpm.受入+_xlpm.余剰化受入-_xlpm.払出))</f>
        <v/>
      </c>
      <c r="M317" s="8" t="str">
        <f>IF($C317="","",_xlfn.LET(
_xlpm.受入,SUMIFS(tbl_ledger[数量],tbl_ledger[localId],$C317,tbl_ledger[イベント種類],"不良発生",tbl_ledger[ロットID],"="),
_xlpm.余剰化受入,SUMIFS(tbl_ledger[数量],tbl_ledger[localId],$C317,tbl_ledger[イベント種類],"余剰化",tbl_ledger[元状態],M$304),
_xlpm.払出,SUMIFS(tbl_ledger[数量],tbl_ledger[localId],$C317,tbl_ledger[ロットID],"=",tbl_ledger[元状態],M$304),
_xlpm.受入+_xlpm.余剰化受入-_xlpm.払出))</f>
        <v/>
      </c>
      <c r="N317" s="8" t="str">
        <f t="shared" si="11"/>
        <v/>
      </c>
    </row>
    <row r="318" spans="1:14" ht="15" customHeight="1" x14ac:dyDescent="0.25">
      <c r="A318" s="4" t="str">
        <f t="shared" si="10"/>
        <v/>
      </c>
      <c r="B318" s="4"/>
      <c r="C318" s="4" t="str">
        <f>IFERROR(INDEX(tbl_master[localId],ROW()-304),"")</f>
        <v/>
      </c>
      <c r="D318" s="8" t="str">
        <f>IF($C318="","",_xlfn.LET(
_xlpm.搬入計,SUMIFS(tbl_ledger[数量],tbl_ledger[localId],$C318,tbl_ledger[イベント種類],"搬入"),
_xlpm.割当計,SUMIF(V_充足確認!$B$2:$B$301,$C318,V_充足確認!$F$2:$F$301),
_xlpm.余剰化受入,SUMIFS(tbl_ledger[数量],tbl_ledger[localId],$C318,tbl_ledger[イベント種類],"余剰化",tbl_ledger[元状態],D$304),
_xlpm.払出,SUMIFS(tbl_ledger[数量],tbl_ledger[localId],$C318,tbl_ledger[ロットID],"=",tbl_ledger[元状態],D$304),
_xlpm.搬入計-_xlpm.割当計+_xlpm.余剰化受入-_xlpm.払出))</f>
        <v/>
      </c>
      <c r="E318" s="8" t="str">
        <f>IF($C318="","",_xlfn.LET(
_xlpm.受入,SUMIFS(tbl_ledger[数量],tbl_ledger[localId],$C318,tbl_ledger[イベント種類],"アニール開始",tbl_ledger[ロットID],"="),
_xlpm.余剰化受入,SUMIFS(tbl_ledger[数量],tbl_ledger[localId],$C318,tbl_ledger[イベント種類],"余剰化",tbl_ledger[元状態],E$304),
_xlpm.払出,SUMIFS(tbl_ledger[数量],tbl_ledger[localId],$C318,tbl_ledger[ロットID],"=",tbl_ledger[元状態],E$304),
_xlpm.受入+_xlpm.余剰化受入-_xlpm.払出))</f>
        <v/>
      </c>
      <c r="F318" s="8" t="str">
        <f>IF($C318="","",_xlfn.LET(
_xlpm.受入,SUMIFS(tbl_ledger[数量],tbl_ledger[localId],$C318,tbl_ledger[イベント種類],"アニール完了",tbl_ledger[ロットID],"="),
_xlpm.余剰化受入,SUMIFS(tbl_ledger[数量],tbl_ledger[localId],$C318,tbl_ledger[イベント種類],"余剰化",tbl_ledger[元状態],F$304),
_xlpm.払出,SUMIFS(tbl_ledger[数量],tbl_ledger[localId],$C318,tbl_ledger[ロットID],"=",tbl_ledger[元状態],F$304),
_xlpm.受入+_xlpm.余剰化受入-_xlpm.払出))</f>
        <v/>
      </c>
      <c r="G318" s="8" t="str">
        <f>IF($C318="","",_xlfn.LET(
_xlpm.受入,SUMIFS(tbl_ledger[数量],tbl_ledger[localId],$C318,tbl_ledger[イベント種類],"アセンブリ開始",tbl_ledger[ロットID],"="),
_xlpm.余剰化受入,SUMIFS(tbl_ledger[数量],tbl_ledger[localId],$C318,tbl_ledger[イベント種類],"余剰化",tbl_ledger[元状態],G$304),
_xlpm.払出,SUMIFS(tbl_ledger[数量],tbl_ledger[localId],$C318,tbl_ledger[ロットID],"=",tbl_ledger[元状態],G$304),
_xlpm.受入+_xlpm.余剰化受入-_xlpm.払出))</f>
        <v/>
      </c>
      <c r="H318" s="8" t="str">
        <f>IF($C318="","",_xlfn.LET(
_xlpm.受入,SUMIFS(tbl_ledger[数量],tbl_ledger[localId],$C318,tbl_ledger[イベント種類],"アセンブリ完了",tbl_ledger[ロットID],"="),
_xlpm.余剰化受入,SUMIFS(tbl_ledger[数量],tbl_ledger[localId],$C318,tbl_ledger[イベント種類],"余剰化",tbl_ledger[元状態],H$304),
_xlpm.払出,SUMIFS(tbl_ledger[数量],tbl_ledger[localId],$C318,tbl_ledger[ロットID],"=",tbl_ledger[元状態],H$304),
_xlpm.受入+_xlpm.余剰化受入-_xlpm.払出))</f>
        <v/>
      </c>
      <c r="I318" s="8" t="str">
        <f>IF($C318="","",_xlfn.LET(
_xlpm.受入,SUMIFS(tbl_ledger[数量],tbl_ledger[localId],$C318,tbl_ledger[イベント種類],"梱包開始",tbl_ledger[ロットID],"="),
_xlpm.余剰化受入,SUMIFS(tbl_ledger[数量],tbl_ledger[localId],$C318,tbl_ledger[イベント種類],"余剰化",tbl_ledger[元状態],I$304),
_xlpm.払出,SUMIFS(tbl_ledger[数量],tbl_ledger[localId],$C318,tbl_ledger[ロットID],"=",tbl_ledger[元状態],I$304),
_xlpm.受入+_xlpm.余剰化受入-_xlpm.払出))</f>
        <v/>
      </c>
      <c r="J318" s="8" t="str">
        <f>IF($C318="","",_xlfn.LET(
_xlpm.受入,SUMIFS(tbl_ledger[数量],tbl_ledger[localId],$C318,tbl_ledger[イベント種類],"梱包完了",tbl_ledger[ロットID],"="),
_xlpm.余剰化受入,SUMIFS(tbl_ledger[数量],tbl_ledger[localId],$C318,tbl_ledger[イベント種類],"余剰化",tbl_ledger[元状態],J$304),
_xlpm.払出,SUMIFS(tbl_ledger[数量],tbl_ledger[localId],$C318,tbl_ledger[ロットID],"=",tbl_ledger[元状態],J$304),
_xlpm.受入+_xlpm.余剰化受入-_xlpm.払出))</f>
        <v/>
      </c>
      <c r="K318" s="8" t="str">
        <f>IF($C318="","",_xlfn.LET(
_xlpm.受入,SUMIFS(tbl_ledger[数量],tbl_ledger[localId],$C318,tbl_ledger[イベント種類],"発送準備開始",tbl_ledger[ロットID],"="),
_xlpm.余剰化受入,SUMIFS(tbl_ledger[数量],tbl_ledger[localId],$C318,tbl_ledger[イベント種類],"余剰化",tbl_ledger[元状態],K$304),
_xlpm.払出,SUMIFS(tbl_ledger[数量],tbl_ledger[localId],$C318,tbl_ledger[ロットID],"=",tbl_ledger[元状態],K$304),
_xlpm.受入+_xlpm.余剰化受入-_xlpm.払出))</f>
        <v/>
      </c>
      <c r="L318" s="8" t="str">
        <f>IF($C318="","",_xlfn.LET(
_xlpm.受入,SUMIFS(tbl_ledger[数量],tbl_ledger[localId],$C318,tbl_ledger[イベント種類],"発送準備完了",tbl_ledger[ロットID],"="),
_xlpm.余剰化受入,SUMIFS(tbl_ledger[数量],tbl_ledger[localId],$C318,tbl_ledger[イベント種類],"余剰化",tbl_ledger[元状態],L$304),
_xlpm.払出,SUMIFS(tbl_ledger[数量],tbl_ledger[localId],$C318,tbl_ledger[ロットID],"=",tbl_ledger[元状態],L$304),
_xlpm.受入+_xlpm.余剰化受入-_xlpm.払出))</f>
        <v/>
      </c>
      <c r="M318" s="8" t="str">
        <f>IF($C318="","",_xlfn.LET(
_xlpm.受入,SUMIFS(tbl_ledger[数量],tbl_ledger[localId],$C318,tbl_ledger[イベント種類],"不良発生",tbl_ledger[ロットID],"="),
_xlpm.余剰化受入,SUMIFS(tbl_ledger[数量],tbl_ledger[localId],$C318,tbl_ledger[イベント種類],"余剰化",tbl_ledger[元状態],M$304),
_xlpm.払出,SUMIFS(tbl_ledger[数量],tbl_ledger[localId],$C318,tbl_ledger[ロットID],"=",tbl_ledger[元状態],M$304),
_xlpm.受入+_xlpm.余剰化受入-_xlpm.払出))</f>
        <v/>
      </c>
      <c r="N318" s="8" t="str">
        <f t="shared" si="11"/>
        <v/>
      </c>
    </row>
    <row r="319" spans="1:14" ht="15" customHeight="1" x14ac:dyDescent="0.25">
      <c r="A319" s="4" t="str">
        <f t="shared" si="10"/>
        <v/>
      </c>
      <c r="B319" s="4"/>
      <c r="C319" s="4" t="str">
        <f>IFERROR(INDEX(tbl_master[localId],ROW()-304),"")</f>
        <v/>
      </c>
      <c r="D319" s="8" t="str">
        <f>IF($C319="","",_xlfn.LET(
_xlpm.搬入計,SUMIFS(tbl_ledger[数量],tbl_ledger[localId],$C319,tbl_ledger[イベント種類],"搬入"),
_xlpm.割当計,SUMIF(V_充足確認!$B$2:$B$301,$C319,V_充足確認!$F$2:$F$301),
_xlpm.余剰化受入,SUMIFS(tbl_ledger[数量],tbl_ledger[localId],$C319,tbl_ledger[イベント種類],"余剰化",tbl_ledger[元状態],D$304),
_xlpm.払出,SUMIFS(tbl_ledger[数量],tbl_ledger[localId],$C319,tbl_ledger[ロットID],"=",tbl_ledger[元状態],D$304),
_xlpm.搬入計-_xlpm.割当計+_xlpm.余剰化受入-_xlpm.払出))</f>
        <v/>
      </c>
      <c r="E319" s="8" t="str">
        <f>IF($C319="","",_xlfn.LET(
_xlpm.受入,SUMIFS(tbl_ledger[数量],tbl_ledger[localId],$C319,tbl_ledger[イベント種類],"アニール開始",tbl_ledger[ロットID],"="),
_xlpm.余剰化受入,SUMIFS(tbl_ledger[数量],tbl_ledger[localId],$C319,tbl_ledger[イベント種類],"余剰化",tbl_ledger[元状態],E$304),
_xlpm.払出,SUMIFS(tbl_ledger[数量],tbl_ledger[localId],$C319,tbl_ledger[ロットID],"=",tbl_ledger[元状態],E$304),
_xlpm.受入+_xlpm.余剰化受入-_xlpm.払出))</f>
        <v/>
      </c>
      <c r="F319" s="8" t="str">
        <f>IF($C319="","",_xlfn.LET(
_xlpm.受入,SUMIFS(tbl_ledger[数量],tbl_ledger[localId],$C319,tbl_ledger[イベント種類],"アニール完了",tbl_ledger[ロットID],"="),
_xlpm.余剰化受入,SUMIFS(tbl_ledger[数量],tbl_ledger[localId],$C319,tbl_ledger[イベント種類],"余剰化",tbl_ledger[元状態],F$304),
_xlpm.払出,SUMIFS(tbl_ledger[数量],tbl_ledger[localId],$C319,tbl_ledger[ロットID],"=",tbl_ledger[元状態],F$304),
_xlpm.受入+_xlpm.余剰化受入-_xlpm.払出))</f>
        <v/>
      </c>
      <c r="G319" s="8" t="str">
        <f>IF($C319="","",_xlfn.LET(
_xlpm.受入,SUMIFS(tbl_ledger[数量],tbl_ledger[localId],$C319,tbl_ledger[イベント種類],"アセンブリ開始",tbl_ledger[ロットID],"="),
_xlpm.余剰化受入,SUMIFS(tbl_ledger[数量],tbl_ledger[localId],$C319,tbl_ledger[イベント種類],"余剰化",tbl_ledger[元状態],G$304),
_xlpm.払出,SUMIFS(tbl_ledger[数量],tbl_ledger[localId],$C319,tbl_ledger[ロットID],"=",tbl_ledger[元状態],G$304),
_xlpm.受入+_xlpm.余剰化受入-_xlpm.払出))</f>
        <v/>
      </c>
      <c r="H319" s="8" t="str">
        <f>IF($C319="","",_xlfn.LET(
_xlpm.受入,SUMIFS(tbl_ledger[数量],tbl_ledger[localId],$C319,tbl_ledger[イベント種類],"アセンブリ完了",tbl_ledger[ロットID],"="),
_xlpm.余剰化受入,SUMIFS(tbl_ledger[数量],tbl_ledger[localId],$C319,tbl_ledger[イベント種類],"余剰化",tbl_ledger[元状態],H$304),
_xlpm.払出,SUMIFS(tbl_ledger[数量],tbl_ledger[localId],$C319,tbl_ledger[ロットID],"=",tbl_ledger[元状態],H$304),
_xlpm.受入+_xlpm.余剰化受入-_xlpm.払出))</f>
        <v/>
      </c>
      <c r="I319" s="8" t="str">
        <f>IF($C319="","",_xlfn.LET(
_xlpm.受入,SUMIFS(tbl_ledger[数量],tbl_ledger[localId],$C319,tbl_ledger[イベント種類],"梱包開始",tbl_ledger[ロットID],"="),
_xlpm.余剰化受入,SUMIFS(tbl_ledger[数量],tbl_ledger[localId],$C319,tbl_ledger[イベント種類],"余剰化",tbl_ledger[元状態],I$304),
_xlpm.払出,SUMIFS(tbl_ledger[数量],tbl_ledger[localId],$C319,tbl_ledger[ロットID],"=",tbl_ledger[元状態],I$304),
_xlpm.受入+_xlpm.余剰化受入-_xlpm.払出))</f>
        <v/>
      </c>
      <c r="J319" s="8" t="str">
        <f>IF($C319="","",_xlfn.LET(
_xlpm.受入,SUMIFS(tbl_ledger[数量],tbl_ledger[localId],$C319,tbl_ledger[イベント種類],"梱包完了",tbl_ledger[ロットID],"="),
_xlpm.余剰化受入,SUMIFS(tbl_ledger[数量],tbl_ledger[localId],$C319,tbl_ledger[イベント種類],"余剰化",tbl_ledger[元状態],J$304),
_xlpm.払出,SUMIFS(tbl_ledger[数量],tbl_ledger[localId],$C319,tbl_ledger[ロットID],"=",tbl_ledger[元状態],J$304),
_xlpm.受入+_xlpm.余剰化受入-_xlpm.払出))</f>
        <v/>
      </c>
      <c r="K319" s="8" t="str">
        <f>IF($C319="","",_xlfn.LET(
_xlpm.受入,SUMIFS(tbl_ledger[数量],tbl_ledger[localId],$C319,tbl_ledger[イベント種類],"発送準備開始",tbl_ledger[ロットID],"="),
_xlpm.余剰化受入,SUMIFS(tbl_ledger[数量],tbl_ledger[localId],$C319,tbl_ledger[イベント種類],"余剰化",tbl_ledger[元状態],K$304),
_xlpm.払出,SUMIFS(tbl_ledger[数量],tbl_ledger[localId],$C319,tbl_ledger[ロットID],"=",tbl_ledger[元状態],K$304),
_xlpm.受入+_xlpm.余剰化受入-_xlpm.払出))</f>
        <v/>
      </c>
      <c r="L319" s="8" t="str">
        <f>IF($C319="","",_xlfn.LET(
_xlpm.受入,SUMIFS(tbl_ledger[数量],tbl_ledger[localId],$C319,tbl_ledger[イベント種類],"発送準備完了",tbl_ledger[ロットID],"="),
_xlpm.余剰化受入,SUMIFS(tbl_ledger[数量],tbl_ledger[localId],$C319,tbl_ledger[イベント種類],"余剰化",tbl_ledger[元状態],L$304),
_xlpm.払出,SUMIFS(tbl_ledger[数量],tbl_ledger[localId],$C319,tbl_ledger[ロットID],"=",tbl_ledger[元状態],L$304),
_xlpm.受入+_xlpm.余剰化受入-_xlpm.払出))</f>
        <v/>
      </c>
      <c r="M319" s="8" t="str">
        <f>IF($C319="","",_xlfn.LET(
_xlpm.受入,SUMIFS(tbl_ledger[数量],tbl_ledger[localId],$C319,tbl_ledger[イベント種類],"不良発生",tbl_ledger[ロットID],"="),
_xlpm.余剰化受入,SUMIFS(tbl_ledger[数量],tbl_ledger[localId],$C319,tbl_ledger[イベント種類],"余剰化",tbl_ledger[元状態],M$304),
_xlpm.払出,SUMIFS(tbl_ledger[数量],tbl_ledger[localId],$C319,tbl_ledger[ロットID],"=",tbl_ledger[元状態],M$304),
_xlpm.受入+_xlpm.余剰化受入-_xlpm.払出))</f>
        <v/>
      </c>
      <c r="N319" s="8" t="str">
        <f t="shared" si="11"/>
        <v/>
      </c>
    </row>
    <row r="320" spans="1:14" ht="15" customHeight="1" x14ac:dyDescent="0.25">
      <c r="A320" s="4" t="str">
        <f t="shared" si="10"/>
        <v/>
      </c>
      <c r="B320" s="4"/>
      <c r="C320" s="4" t="str">
        <f>IFERROR(INDEX(tbl_master[localId],ROW()-304),"")</f>
        <v/>
      </c>
      <c r="D320" s="8" t="str">
        <f>IF($C320="","",_xlfn.LET(
_xlpm.搬入計,SUMIFS(tbl_ledger[数量],tbl_ledger[localId],$C320,tbl_ledger[イベント種類],"搬入"),
_xlpm.割当計,SUMIF(V_充足確認!$B$2:$B$301,$C320,V_充足確認!$F$2:$F$301),
_xlpm.余剰化受入,SUMIFS(tbl_ledger[数量],tbl_ledger[localId],$C320,tbl_ledger[イベント種類],"余剰化",tbl_ledger[元状態],D$304),
_xlpm.払出,SUMIFS(tbl_ledger[数量],tbl_ledger[localId],$C320,tbl_ledger[ロットID],"=",tbl_ledger[元状態],D$304),
_xlpm.搬入計-_xlpm.割当計+_xlpm.余剰化受入-_xlpm.払出))</f>
        <v/>
      </c>
      <c r="E320" s="8" t="str">
        <f>IF($C320="","",_xlfn.LET(
_xlpm.受入,SUMIFS(tbl_ledger[数量],tbl_ledger[localId],$C320,tbl_ledger[イベント種類],"アニール開始",tbl_ledger[ロットID],"="),
_xlpm.余剰化受入,SUMIFS(tbl_ledger[数量],tbl_ledger[localId],$C320,tbl_ledger[イベント種類],"余剰化",tbl_ledger[元状態],E$304),
_xlpm.払出,SUMIFS(tbl_ledger[数量],tbl_ledger[localId],$C320,tbl_ledger[ロットID],"=",tbl_ledger[元状態],E$304),
_xlpm.受入+_xlpm.余剰化受入-_xlpm.払出))</f>
        <v/>
      </c>
      <c r="F320" s="8" t="str">
        <f>IF($C320="","",_xlfn.LET(
_xlpm.受入,SUMIFS(tbl_ledger[数量],tbl_ledger[localId],$C320,tbl_ledger[イベント種類],"アニール完了",tbl_ledger[ロットID],"="),
_xlpm.余剰化受入,SUMIFS(tbl_ledger[数量],tbl_ledger[localId],$C320,tbl_ledger[イベント種類],"余剰化",tbl_ledger[元状態],F$304),
_xlpm.払出,SUMIFS(tbl_ledger[数量],tbl_ledger[localId],$C320,tbl_ledger[ロットID],"=",tbl_ledger[元状態],F$304),
_xlpm.受入+_xlpm.余剰化受入-_xlpm.払出))</f>
        <v/>
      </c>
      <c r="G320" s="8" t="str">
        <f>IF($C320="","",_xlfn.LET(
_xlpm.受入,SUMIFS(tbl_ledger[数量],tbl_ledger[localId],$C320,tbl_ledger[イベント種類],"アセンブリ開始",tbl_ledger[ロットID],"="),
_xlpm.余剰化受入,SUMIFS(tbl_ledger[数量],tbl_ledger[localId],$C320,tbl_ledger[イベント種類],"余剰化",tbl_ledger[元状態],G$304),
_xlpm.払出,SUMIFS(tbl_ledger[数量],tbl_ledger[localId],$C320,tbl_ledger[ロットID],"=",tbl_ledger[元状態],G$304),
_xlpm.受入+_xlpm.余剰化受入-_xlpm.払出))</f>
        <v/>
      </c>
      <c r="H320" s="8" t="str">
        <f>IF($C320="","",_xlfn.LET(
_xlpm.受入,SUMIFS(tbl_ledger[数量],tbl_ledger[localId],$C320,tbl_ledger[イベント種類],"アセンブリ完了",tbl_ledger[ロットID],"="),
_xlpm.余剰化受入,SUMIFS(tbl_ledger[数量],tbl_ledger[localId],$C320,tbl_ledger[イベント種類],"余剰化",tbl_ledger[元状態],H$304),
_xlpm.払出,SUMIFS(tbl_ledger[数量],tbl_ledger[localId],$C320,tbl_ledger[ロットID],"=",tbl_ledger[元状態],H$304),
_xlpm.受入+_xlpm.余剰化受入-_xlpm.払出))</f>
        <v/>
      </c>
      <c r="I320" s="8" t="str">
        <f>IF($C320="","",_xlfn.LET(
_xlpm.受入,SUMIFS(tbl_ledger[数量],tbl_ledger[localId],$C320,tbl_ledger[イベント種類],"梱包開始",tbl_ledger[ロットID],"="),
_xlpm.余剰化受入,SUMIFS(tbl_ledger[数量],tbl_ledger[localId],$C320,tbl_ledger[イベント種類],"余剰化",tbl_ledger[元状態],I$304),
_xlpm.払出,SUMIFS(tbl_ledger[数量],tbl_ledger[localId],$C320,tbl_ledger[ロットID],"=",tbl_ledger[元状態],I$304),
_xlpm.受入+_xlpm.余剰化受入-_xlpm.払出))</f>
        <v/>
      </c>
      <c r="J320" s="8" t="str">
        <f>IF($C320="","",_xlfn.LET(
_xlpm.受入,SUMIFS(tbl_ledger[数量],tbl_ledger[localId],$C320,tbl_ledger[イベント種類],"梱包完了",tbl_ledger[ロットID],"="),
_xlpm.余剰化受入,SUMIFS(tbl_ledger[数量],tbl_ledger[localId],$C320,tbl_ledger[イベント種類],"余剰化",tbl_ledger[元状態],J$304),
_xlpm.払出,SUMIFS(tbl_ledger[数量],tbl_ledger[localId],$C320,tbl_ledger[ロットID],"=",tbl_ledger[元状態],J$304),
_xlpm.受入+_xlpm.余剰化受入-_xlpm.払出))</f>
        <v/>
      </c>
      <c r="K320" s="8" t="str">
        <f>IF($C320="","",_xlfn.LET(
_xlpm.受入,SUMIFS(tbl_ledger[数量],tbl_ledger[localId],$C320,tbl_ledger[イベント種類],"発送準備開始",tbl_ledger[ロットID],"="),
_xlpm.余剰化受入,SUMIFS(tbl_ledger[数量],tbl_ledger[localId],$C320,tbl_ledger[イベント種類],"余剰化",tbl_ledger[元状態],K$304),
_xlpm.払出,SUMIFS(tbl_ledger[数量],tbl_ledger[localId],$C320,tbl_ledger[ロットID],"=",tbl_ledger[元状態],K$304),
_xlpm.受入+_xlpm.余剰化受入-_xlpm.払出))</f>
        <v/>
      </c>
      <c r="L320" s="8" t="str">
        <f>IF($C320="","",_xlfn.LET(
_xlpm.受入,SUMIFS(tbl_ledger[数量],tbl_ledger[localId],$C320,tbl_ledger[イベント種類],"発送準備完了",tbl_ledger[ロットID],"="),
_xlpm.余剰化受入,SUMIFS(tbl_ledger[数量],tbl_ledger[localId],$C320,tbl_ledger[イベント種類],"余剰化",tbl_ledger[元状態],L$304),
_xlpm.払出,SUMIFS(tbl_ledger[数量],tbl_ledger[localId],$C320,tbl_ledger[ロットID],"=",tbl_ledger[元状態],L$304),
_xlpm.受入+_xlpm.余剰化受入-_xlpm.払出))</f>
        <v/>
      </c>
      <c r="M320" s="8" t="str">
        <f>IF($C320="","",_xlfn.LET(
_xlpm.受入,SUMIFS(tbl_ledger[数量],tbl_ledger[localId],$C320,tbl_ledger[イベント種類],"不良発生",tbl_ledger[ロットID],"="),
_xlpm.余剰化受入,SUMIFS(tbl_ledger[数量],tbl_ledger[localId],$C320,tbl_ledger[イベント種類],"余剰化",tbl_ledger[元状態],M$304),
_xlpm.払出,SUMIFS(tbl_ledger[数量],tbl_ledger[localId],$C320,tbl_ledger[ロットID],"=",tbl_ledger[元状態],M$304),
_xlpm.受入+_xlpm.余剰化受入-_xlpm.払出))</f>
        <v/>
      </c>
      <c r="N320" s="8" t="str">
        <f t="shared" si="11"/>
        <v/>
      </c>
    </row>
    <row r="321" spans="1:14" ht="15" customHeight="1" x14ac:dyDescent="0.25">
      <c r="A321" s="4" t="str">
        <f t="shared" si="10"/>
        <v/>
      </c>
      <c r="B321" s="4"/>
      <c r="C321" s="4" t="str">
        <f>IFERROR(INDEX(tbl_master[localId],ROW()-304),"")</f>
        <v/>
      </c>
      <c r="D321" s="8" t="str">
        <f>IF($C321="","",_xlfn.LET(
_xlpm.搬入計,SUMIFS(tbl_ledger[数量],tbl_ledger[localId],$C321,tbl_ledger[イベント種類],"搬入"),
_xlpm.割当計,SUMIF(V_充足確認!$B$2:$B$301,$C321,V_充足確認!$F$2:$F$301),
_xlpm.余剰化受入,SUMIFS(tbl_ledger[数量],tbl_ledger[localId],$C321,tbl_ledger[イベント種類],"余剰化",tbl_ledger[元状態],D$304),
_xlpm.払出,SUMIFS(tbl_ledger[数量],tbl_ledger[localId],$C321,tbl_ledger[ロットID],"=",tbl_ledger[元状態],D$304),
_xlpm.搬入計-_xlpm.割当計+_xlpm.余剰化受入-_xlpm.払出))</f>
        <v/>
      </c>
      <c r="E321" s="8" t="str">
        <f>IF($C321="","",_xlfn.LET(
_xlpm.受入,SUMIFS(tbl_ledger[数量],tbl_ledger[localId],$C321,tbl_ledger[イベント種類],"アニール開始",tbl_ledger[ロットID],"="),
_xlpm.余剰化受入,SUMIFS(tbl_ledger[数量],tbl_ledger[localId],$C321,tbl_ledger[イベント種類],"余剰化",tbl_ledger[元状態],E$304),
_xlpm.払出,SUMIFS(tbl_ledger[数量],tbl_ledger[localId],$C321,tbl_ledger[ロットID],"=",tbl_ledger[元状態],E$304),
_xlpm.受入+_xlpm.余剰化受入-_xlpm.払出))</f>
        <v/>
      </c>
      <c r="F321" s="8" t="str">
        <f>IF($C321="","",_xlfn.LET(
_xlpm.受入,SUMIFS(tbl_ledger[数量],tbl_ledger[localId],$C321,tbl_ledger[イベント種類],"アニール完了",tbl_ledger[ロットID],"="),
_xlpm.余剰化受入,SUMIFS(tbl_ledger[数量],tbl_ledger[localId],$C321,tbl_ledger[イベント種類],"余剰化",tbl_ledger[元状態],F$304),
_xlpm.払出,SUMIFS(tbl_ledger[数量],tbl_ledger[localId],$C321,tbl_ledger[ロットID],"=",tbl_ledger[元状態],F$304),
_xlpm.受入+_xlpm.余剰化受入-_xlpm.払出))</f>
        <v/>
      </c>
      <c r="G321" s="8" t="str">
        <f>IF($C321="","",_xlfn.LET(
_xlpm.受入,SUMIFS(tbl_ledger[数量],tbl_ledger[localId],$C321,tbl_ledger[イベント種類],"アセンブリ開始",tbl_ledger[ロットID],"="),
_xlpm.余剰化受入,SUMIFS(tbl_ledger[数量],tbl_ledger[localId],$C321,tbl_ledger[イベント種類],"余剰化",tbl_ledger[元状態],G$304),
_xlpm.払出,SUMIFS(tbl_ledger[数量],tbl_ledger[localId],$C321,tbl_ledger[ロットID],"=",tbl_ledger[元状態],G$304),
_xlpm.受入+_xlpm.余剰化受入-_xlpm.払出))</f>
        <v/>
      </c>
      <c r="H321" s="8" t="str">
        <f>IF($C321="","",_xlfn.LET(
_xlpm.受入,SUMIFS(tbl_ledger[数量],tbl_ledger[localId],$C321,tbl_ledger[イベント種類],"アセンブリ完了",tbl_ledger[ロットID],"="),
_xlpm.余剰化受入,SUMIFS(tbl_ledger[数量],tbl_ledger[localId],$C321,tbl_ledger[イベント種類],"余剰化",tbl_ledger[元状態],H$304),
_xlpm.払出,SUMIFS(tbl_ledger[数量],tbl_ledger[localId],$C321,tbl_ledger[ロットID],"=",tbl_ledger[元状態],H$304),
_xlpm.受入+_xlpm.余剰化受入-_xlpm.払出))</f>
        <v/>
      </c>
      <c r="I321" s="8" t="str">
        <f>IF($C321="","",_xlfn.LET(
_xlpm.受入,SUMIFS(tbl_ledger[数量],tbl_ledger[localId],$C321,tbl_ledger[イベント種類],"梱包開始",tbl_ledger[ロットID],"="),
_xlpm.余剰化受入,SUMIFS(tbl_ledger[数量],tbl_ledger[localId],$C321,tbl_ledger[イベント種類],"余剰化",tbl_ledger[元状態],I$304),
_xlpm.払出,SUMIFS(tbl_ledger[数量],tbl_ledger[localId],$C321,tbl_ledger[ロットID],"=",tbl_ledger[元状態],I$304),
_xlpm.受入+_xlpm.余剰化受入-_xlpm.払出))</f>
        <v/>
      </c>
      <c r="J321" s="8" t="str">
        <f>IF($C321="","",_xlfn.LET(
_xlpm.受入,SUMIFS(tbl_ledger[数量],tbl_ledger[localId],$C321,tbl_ledger[イベント種類],"梱包完了",tbl_ledger[ロットID],"="),
_xlpm.余剰化受入,SUMIFS(tbl_ledger[数量],tbl_ledger[localId],$C321,tbl_ledger[イベント種類],"余剰化",tbl_ledger[元状態],J$304),
_xlpm.払出,SUMIFS(tbl_ledger[数量],tbl_ledger[localId],$C321,tbl_ledger[ロットID],"=",tbl_ledger[元状態],J$304),
_xlpm.受入+_xlpm.余剰化受入-_xlpm.払出))</f>
        <v/>
      </c>
      <c r="K321" s="8" t="str">
        <f>IF($C321="","",_xlfn.LET(
_xlpm.受入,SUMIFS(tbl_ledger[数量],tbl_ledger[localId],$C321,tbl_ledger[イベント種類],"発送準備開始",tbl_ledger[ロットID],"="),
_xlpm.余剰化受入,SUMIFS(tbl_ledger[数量],tbl_ledger[localId],$C321,tbl_ledger[イベント種類],"余剰化",tbl_ledger[元状態],K$304),
_xlpm.払出,SUMIFS(tbl_ledger[数量],tbl_ledger[localId],$C321,tbl_ledger[ロットID],"=",tbl_ledger[元状態],K$304),
_xlpm.受入+_xlpm.余剰化受入-_xlpm.払出))</f>
        <v/>
      </c>
      <c r="L321" s="8" t="str">
        <f>IF($C321="","",_xlfn.LET(
_xlpm.受入,SUMIFS(tbl_ledger[数量],tbl_ledger[localId],$C321,tbl_ledger[イベント種類],"発送準備完了",tbl_ledger[ロットID],"="),
_xlpm.余剰化受入,SUMIFS(tbl_ledger[数量],tbl_ledger[localId],$C321,tbl_ledger[イベント種類],"余剰化",tbl_ledger[元状態],L$304),
_xlpm.払出,SUMIFS(tbl_ledger[数量],tbl_ledger[localId],$C321,tbl_ledger[ロットID],"=",tbl_ledger[元状態],L$304),
_xlpm.受入+_xlpm.余剰化受入-_xlpm.払出))</f>
        <v/>
      </c>
      <c r="M321" s="8" t="str">
        <f>IF($C321="","",_xlfn.LET(
_xlpm.受入,SUMIFS(tbl_ledger[数量],tbl_ledger[localId],$C321,tbl_ledger[イベント種類],"不良発生",tbl_ledger[ロットID],"="),
_xlpm.余剰化受入,SUMIFS(tbl_ledger[数量],tbl_ledger[localId],$C321,tbl_ledger[イベント種類],"余剰化",tbl_ledger[元状態],M$304),
_xlpm.払出,SUMIFS(tbl_ledger[数量],tbl_ledger[localId],$C321,tbl_ledger[ロットID],"=",tbl_ledger[元状態],M$304),
_xlpm.受入+_xlpm.余剰化受入-_xlpm.払出))</f>
        <v/>
      </c>
      <c r="N321" s="8" t="str">
        <f t="shared" si="11"/>
        <v/>
      </c>
    </row>
    <row r="322" spans="1:14" ht="15" customHeight="1" x14ac:dyDescent="0.25">
      <c r="A322" s="4" t="str">
        <f t="shared" si="10"/>
        <v/>
      </c>
      <c r="B322" s="4"/>
      <c r="C322" s="4" t="str">
        <f>IFERROR(INDEX(tbl_master[localId],ROW()-304),"")</f>
        <v/>
      </c>
      <c r="D322" s="8" t="str">
        <f>IF($C322="","",_xlfn.LET(
_xlpm.搬入計,SUMIFS(tbl_ledger[数量],tbl_ledger[localId],$C322,tbl_ledger[イベント種類],"搬入"),
_xlpm.割当計,SUMIF(V_充足確認!$B$2:$B$301,$C322,V_充足確認!$F$2:$F$301),
_xlpm.余剰化受入,SUMIFS(tbl_ledger[数量],tbl_ledger[localId],$C322,tbl_ledger[イベント種類],"余剰化",tbl_ledger[元状態],D$304),
_xlpm.払出,SUMIFS(tbl_ledger[数量],tbl_ledger[localId],$C322,tbl_ledger[ロットID],"=",tbl_ledger[元状態],D$304),
_xlpm.搬入計-_xlpm.割当計+_xlpm.余剰化受入-_xlpm.払出))</f>
        <v/>
      </c>
      <c r="E322" s="8" t="str">
        <f>IF($C322="","",_xlfn.LET(
_xlpm.受入,SUMIFS(tbl_ledger[数量],tbl_ledger[localId],$C322,tbl_ledger[イベント種類],"アニール開始",tbl_ledger[ロットID],"="),
_xlpm.余剰化受入,SUMIFS(tbl_ledger[数量],tbl_ledger[localId],$C322,tbl_ledger[イベント種類],"余剰化",tbl_ledger[元状態],E$304),
_xlpm.払出,SUMIFS(tbl_ledger[数量],tbl_ledger[localId],$C322,tbl_ledger[ロットID],"=",tbl_ledger[元状態],E$304),
_xlpm.受入+_xlpm.余剰化受入-_xlpm.払出))</f>
        <v/>
      </c>
      <c r="F322" s="8" t="str">
        <f>IF($C322="","",_xlfn.LET(
_xlpm.受入,SUMIFS(tbl_ledger[数量],tbl_ledger[localId],$C322,tbl_ledger[イベント種類],"アニール完了",tbl_ledger[ロットID],"="),
_xlpm.余剰化受入,SUMIFS(tbl_ledger[数量],tbl_ledger[localId],$C322,tbl_ledger[イベント種類],"余剰化",tbl_ledger[元状態],F$304),
_xlpm.払出,SUMIFS(tbl_ledger[数量],tbl_ledger[localId],$C322,tbl_ledger[ロットID],"=",tbl_ledger[元状態],F$304),
_xlpm.受入+_xlpm.余剰化受入-_xlpm.払出))</f>
        <v/>
      </c>
      <c r="G322" s="8" t="str">
        <f>IF($C322="","",_xlfn.LET(
_xlpm.受入,SUMIFS(tbl_ledger[数量],tbl_ledger[localId],$C322,tbl_ledger[イベント種類],"アセンブリ開始",tbl_ledger[ロットID],"="),
_xlpm.余剰化受入,SUMIFS(tbl_ledger[数量],tbl_ledger[localId],$C322,tbl_ledger[イベント種類],"余剰化",tbl_ledger[元状態],G$304),
_xlpm.払出,SUMIFS(tbl_ledger[数量],tbl_ledger[localId],$C322,tbl_ledger[ロットID],"=",tbl_ledger[元状態],G$304),
_xlpm.受入+_xlpm.余剰化受入-_xlpm.払出))</f>
        <v/>
      </c>
      <c r="H322" s="8" t="str">
        <f>IF($C322="","",_xlfn.LET(
_xlpm.受入,SUMIFS(tbl_ledger[数量],tbl_ledger[localId],$C322,tbl_ledger[イベント種類],"アセンブリ完了",tbl_ledger[ロットID],"="),
_xlpm.余剰化受入,SUMIFS(tbl_ledger[数量],tbl_ledger[localId],$C322,tbl_ledger[イベント種類],"余剰化",tbl_ledger[元状態],H$304),
_xlpm.払出,SUMIFS(tbl_ledger[数量],tbl_ledger[localId],$C322,tbl_ledger[ロットID],"=",tbl_ledger[元状態],H$304),
_xlpm.受入+_xlpm.余剰化受入-_xlpm.払出))</f>
        <v/>
      </c>
      <c r="I322" s="8" t="str">
        <f>IF($C322="","",_xlfn.LET(
_xlpm.受入,SUMIFS(tbl_ledger[数量],tbl_ledger[localId],$C322,tbl_ledger[イベント種類],"梱包開始",tbl_ledger[ロットID],"="),
_xlpm.余剰化受入,SUMIFS(tbl_ledger[数量],tbl_ledger[localId],$C322,tbl_ledger[イベント種類],"余剰化",tbl_ledger[元状態],I$304),
_xlpm.払出,SUMIFS(tbl_ledger[数量],tbl_ledger[localId],$C322,tbl_ledger[ロットID],"=",tbl_ledger[元状態],I$304),
_xlpm.受入+_xlpm.余剰化受入-_xlpm.払出))</f>
        <v/>
      </c>
      <c r="J322" s="8" t="str">
        <f>IF($C322="","",_xlfn.LET(
_xlpm.受入,SUMIFS(tbl_ledger[数量],tbl_ledger[localId],$C322,tbl_ledger[イベント種類],"梱包完了",tbl_ledger[ロットID],"="),
_xlpm.余剰化受入,SUMIFS(tbl_ledger[数量],tbl_ledger[localId],$C322,tbl_ledger[イベント種類],"余剰化",tbl_ledger[元状態],J$304),
_xlpm.払出,SUMIFS(tbl_ledger[数量],tbl_ledger[localId],$C322,tbl_ledger[ロットID],"=",tbl_ledger[元状態],J$304),
_xlpm.受入+_xlpm.余剰化受入-_xlpm.払出))</f>
        <v/>
      </c>
      <c r="K322" s="8" t="str">
        <f>IF($C322="","",_xlfn.LET(
_xlpm.受入,SUMIFS(tbl_ledger[数量],tbl_ledger[localId],$C322,tbl_ledger[イベント種類],"発送準備開始",tbl_ledger[ロットID],"="),
_xlpm.余剰化受入,SUMIFS(tbl_ledger[数量],tbl_ledger[localId],$C322,tbl_ledger[イベント種類],"余剰化",tbl_ledger[元状態],K$304),
_xlpm.払出,SUMIFS(tbl_ledger[数量],tbl_ledger[localId],$C322,tbl_ledger[ロットID],"=",tbl_ledger[元状態],K$304),
_xlpm.受入+_xlpm.余剰化受入-_xlpm.払出))</f>
        <v/>
      </c>
      <c r="L322" s="8" t="str">
        <f>IF($C322="","",_xlfn.LET(
_xlpm.受入,SUMIFS(tbl_ledger[数量],tbl_ledger[localId],$C322,tbl_ledger[イベント種類],"発送準備完了",tbl_ledger[ロットID],"="),
_xlpm.余剰化受入,SUMIFS(tbl_ledger[数量],tbl_ledger[localId],$C322,tbl_ledger[イベント種類],"余剰化",tbl_ledger[元状態],L$304),
_xlpm.払出,SUMIFS(tbl_ledger[数量],tbl_ledger[localId],$C322,tbl_ledger[ロットID],"=",tbl_ledger[元状態],L$304),
_xlpm.受入+_xlpm.余剰化受入-_xlpm.払出))</f>
        <v/>
      </c>
      <c r="M322" s="8" t="str">
        <f>IF($C322="","",_xlfn.LET(
_xlpm.受入,SUMIFS(tbl_ledger[数量],tbl_ledger[localId],$C322,tbl_ledger[イベント種類],"不良発生",tbl_ledger[ロットID],"="),
_xlpm.余剰化受入,SUMIFS(tbl_ledger[数量],tbl_ledger[localId],$C322,tbl_ledger[イベント種類],"余剰化",tbl_ledger[元状態],M$304),
_xlpm.払出,SUMIFS(tbl_ledger[数量],tbl_ledger[localId],$C322,tbl_ledger[ロットID],"=",tbl_ledger[元状態],M$304),
_xlpm.受入+_xlpm.余剰化受入-_xlpm.払出))</f>
        <v/>
      </c>
      <c r="N322" s="8" t="str">
        <f t="shared" si="11"/>
        <v/>
      </c>
    </row>
    <row r="323" spans="1:14" ht="15" customHeight="1" x14ac:dyDescent="0.25">
      <c r="A323" s="4" t="str">
        <f t="shared" si="10"/>
        <v/>
      </c>
      <c r="B323" s="4"/>
      <c r="C323" s="4" t="str">
        <f>IFERROR(INDEX(tbl_master[localId],ROW()-304),"")</f>
        <v/>
      </c>
      <c r="D323" s="8" t="str">
        <f>IF($C323="","",_xlfn.LET(
_xlpm.搬入計,SUMIFS(tbl_ledger[数量],tbl_ledger[localId],$C323,tbl_ledger[イベント種類],"搬入"),
_xlpm.割当計,SUMIF(V_充足確認!$B$2:$B$301,$C323,V_充足確認!$F$2:$F$301),
_xlpm.余剰化受入,SUMIFS(tbl_ledger[数量],tbl_ledger[localId],$C323,tbl_ledger[イベント種類],"余剰化",tbl_ledger[元状態],D$304),
_xlpm.払出,SUMIFS(tbl_ledger[数量],tbl_ledger[localId],$C323,tbl_ledger[ロットID],"=",tbl_ledger[元状態],D$304),
_xlpm.搬入計-_xlpm.割当計+_xlpm.余剰化受入-_xlpm.払出))</f>
        <v/>
      </c>
      <c r="E323" s="8" t="str">
        <f>IF($C323="","",_xlfn.LET(
_xlpm.受入,SUMIFS(tbl_ledger[数量],tbl_ledger[localId],$C323,tbl_ledger[イベント種類],"アニール開始",tbl_ledger[ロットID],"="),
_xlpm.余剰化受入,SUMIFS(tbl_ledger[数量],tbl_ledger[localId],$C323,tbl_ledger[イベント種類],"余剰化",tbl_ledger[元状態],E$304),
_xlpm.払出,SUMIFS(tbl_ledger[数量],tbl_ledger[localId],$C323,tbl_ledger[ロットID],"=",tbl_ledger[元状態],E$304),
_xlpm.受入+_xlpm.余剰化受入-_xlpm.払出))</f>
        <v/>
      </c>
      <c r="F323" s="8" t="str">
        <f>IF($C323="","",_xlfn.LET(
_xlpm.受入,SUMIFS(tbl_ledger[数量],tbl_ledger[localId],$C323,tbl_ledger[イベント種類],"アニール完了",tbl_ledger[ロットID],"="),
_xlpm.余剰化受入,SUMIFS(tbl_ledger[数量],tbl_ledger[localId],$C323,tbl_ledger[イベント種類],"余剰化",tbl_ledger[元状態],F$304),
_xlpm.払出,SUMIFS(tbl_ledger[数量],tbl_ledger[localId],$C323,tbl_ledger[ロットID],"=",tbl_ledger[元状態],F$304),
_xlpm.受入+_xlpm.余剰化受入-_xlpm.払出))</f>
        <v/>
      </c>
      <c r="G323" s="8" t="str">
        <f>IF($C323="","",_xlfn.LET(
_xlpm.受入,SUMIFS(tbl_ledger[数量],tbl_ledger[localId],$C323,tbl_ledger[イベント種類],"アセンブリ開始",tbl_ledger[ロットID],"="),
_xlpm.余剰化受入,SUMIFS(tbl_ledger[数量],tbl_ledger[localId],$C323,tbl_ledger[イベント種類],"余剰化",tbl_ledger[元状態],G$304),
_xlpm.払出,SUMIFS(tbl_ledger[数量],tbl_ledger[localId],$C323,tbl_ledger[ロットID],"=",tbl_ledger[元状態],G$304),
_xlpm.受入+_xlpm.余剰化受入-_xlpm.払出))</f>
        <v/>
      </c>
      <c r="H323" s="8" t="str">
        <f>IF($C323="","",_xlfn.LET(
_xlpm.受入,SUMIFS(tbl_ledger[数量],tbl_ledger[localId],$C323,tbl_ledger[イベント種類],"アセンブリ完了",tbl_ledger[ロットID],"="),
_xlpm.余剰化受入,SUMIFS(tbl_ledger[数量],tbl_ledger[localId],$C323,tbl_ledger[イベント種類],"余剰化",tbl_ledger[元状態],H$304),
_xlpm.払出,SUMIFS(tbl_ledger[数量],tbl_ledger[localId],$C323,tbl_ledger[ロットID],"=",tbl_ledger[元状態],H$304),
_xlpm.受入+_xlpm.余剰化受入-_xlpm.払出))</f>
        <v/>
      </c>
      <c r="I323" s="8" t="str">
        <f>IF($C323="","",_xlfn.LET(
_xlpm.受入,SUMIFS(tbl_ledger[数量],tbl_ledger[localId],$C323,tbl_ledger[イベント種類],"梱包開始",tbl_ledger[ロットID],"="),
_xlpm.余剰化受入,SUMIFS(tbl_ledger[数量],tbl_ledger[localId],$C323,tbl_ledger[イベント種類],"余剰化",tbl_ledger[元状態],I$304),
_xlpm.払出,SUMIFS(tbl_ledger[数量],tbl_ledger[localId],$C323,tbl_ledger[ロットID],"=",tbl_ledger[元状態],I$304),
_xlpm.受入+_xlpm.余剰化受入-_xlpm.払出))</f>
        <v/>
      </c>
      <c r="J323" s="8" t="str">
        <f>IF($C323="","",_xlfn.LET(
_xlpm.受入,SUMIFS(tbl_ledger[数量],tbl_ledger[localId],$C323,tbl_ledger[イベント種類],"梱包完了",tbl_ledger[ロットID],"="),
_xlpm.余剰化受入,SUMIFS(tbl_ledger[数量],tbl_ledger[localId],$C323,tbl_ledger[イベント種類],"余剰化",tbl_ledger[元状態],J$304),
_xlpm.払出,SUMIFS(tbl_ledger[数量],tbl_ledger[localId],$C323,tbl_ledger[ロットID],"=",tbl_ledger[元状態],J$304),
_xlpm.受入+_xlpm.余剰化受入-_xlpm.払出))</f>
        <v/>
      </c>
      <c r="K323" s="8" t="str">
        <f>IF($C323="","",_xlfn.LET(
_xlpm.受入,SUMIFS(tbl_ledger[数量],tbl_ledger[localId],$C323,tbl_ledger[イベント種類],"発送準備開始",tbl_ledger[ロットID],"="),
_xlpm.余剰化受入,SUMIFS(tbl_ledger[数量],tbl_ledger[localId],$C323,tbl_ledger[イベント種類],"余剰化",tbl_ledger[元状態],K$304),
_xlpm.払出,SUMIFS(tbl_ledger[数量],tbl_ledger[localId],$C323,tbl_ledger[ロットID],"=",tbl_ledger[元状態],K$304),
_xlpm.受入+_xlpm.余剰化受入-_xlpm.払出))</f>
        <v/>
      </c>
      <c r="L323" s="8" t="str">
        <f>IF($C323="","",_xlfn.LET(
_xlpm.受入,SUMIFS(tbl_ledger[数量],tbl_ledger[localId],$C323,tbl_ledger[イベント種類],"発送準備完了",tbl_ledger[ロットID],"="),
_xlpm.余剰化受入,SUMIFS(tbl_ledger[数量],tbl_ledger[localId],$C323,tbl_ledger[イベント種類],"余剰化",tbl_ledger[元状態],L$304),
_xlpm.払出,SUMIFS(tbl_ledger[数量],tbl_ledger[localId],$C323,tbl_ledger[ロットID],"=",tbl_ledger[元状態],L$304),
_xlpm.受入+_xlpm.余剰化受入-_xlpm.払出))</f>
        <v/>
      </c>
      <c r="M323" s="8" t="str">
        <f>IF($C323="","",_xlfn.LET(
_xlpm.受入,SUMIFS(tbl_ledger[数量],tbl_ledger[localId],$C323,tbl_ledger[イベント種類],"不良発生",tbl_ledger[ロットID],"="),
_xlpm.余剰化受入,SUMIFS(tbl_ledger[数量],tbl_ledger[localId],$C323,tbl_ledger[イベント種類],"余剰化",tbl_ledger[元状態],M$304),
_xlpm.払出,SUMIFS(tbl_ledger[数量],tbl_ledger[localId],$C323,tbl_ledger[ロットID],"=",tbl_ledger[元状態],M$304),
_xlpm.受入+_xlpm.余剰化受入-_xlpm.払出))</f>
        <v/>
      </c>
      <c r="N323" s="8" t="str">
        <f t="shared" si="11"/>
        <v/>
      </c>
    </row>
    <row r="324" spans="1:14" ht="15" customHeight="1" x14ac:dyDescent="0.25">
      <c r="A324" s="4" t="str">
        <f t="shared" si="10"/>
        <v/>
      </c>
      <c r="B324" s="4"/>
      <c r="C324" s="4" t="str">
        <f>IFERROR(INDEX(tbl_master[localId],ROW()-304),"")</f>
        <v/>
      </c>
      <c r="D324" s="8" t="str">
        <f>IF($C324="","",_xlfn.LET(
_xlpm.搬入計,SUMIFS(tbl_ledger[数量],tbl_ledger[localId],$C324,tbl_ledger[イベント種類],"搬入"),
_xlpm.割当計,SUMIF(V_充足確認!$B$2:$B$301,$C324,V_充足確認!$F$2:$F$301),
_xlpm.余剰化受入,SUMIFS(tbl_ledger[数量],tbl_ledger[localId],$C324,tbl_ledger[イベント種類],"余剰化",tbl_ledger[元状態],D$304),
_xlpm.払出,SUMIFS(tbl_ledger[数量],tbl_ledger[localId],$C324,tbl_ledger[ロットID],"=",tbl_ledger[元状態],D$304),
_xlpm.搬入計-_xlpm.割当計+_xlpm.余剰化受入-_xlpm.払出))</f>
        <v/>
      </c>
      <c r="E324" s="8" t="str">
        <f>IF($C324="","",_xlfn.LET(
_xlpm.受入,SUMIFS(tbl_ledger[数量],tbl_ledger[localId],$C324,tbl_ledger[イベント種類],"アニール開始",tbl_ledger[ロットID],"="),
_xlpm.余剰化受入,SUMIFS(tbl_ledger[数量],tbl_ledger[localId],$C324,tbl_ledger[イベント種類],"余剰化",tbl_ledger[元状態],E$304),
_xlpm.払出,SUMIFS(tbl_ledger[数量],tbl_ledger[localId],$C324,tbl_ledger[ロットID],"=",tbl_ledger[元状態],E$304),
_xlpm.受入+_xlpm.余剰化受入-_xlpm.払出))</f>
        <v/>
      </c>
      <c r="F324" s="8" t="str">
        <f>IF($C324="","",_xlfn.LET(
_xlpm.受入,SUMIFS(tbl_ledger[数量],tbl_ledger[localId],$C324,tbl_ledger[イベント種類],"アニール完了",tbl_ledger[ロットID],"="),
_xlpm.余剰化受入,SUMIFS(tbl_ledger[数量],tbl_ledger[localId],$C324,tbl_ledger[イベント種類],"余剰化",tbl_ledger[元状態],F$304),
_xlpm.払出,SUMIFS(tbl_ledger[数量],tbl_ledger[localId],$C324,tbl_ledger[ロットID],"=",tbl_ledger[元状態],F$304),
_xlpm.受入+_xlpm.余剰化受入-_xlpm.払出))</f>
        <v/>
      </c>
      <c r="G324" s="8" t="str">
        <f>IF($C324="","",_xlfn.LET(
_xlpm.受入,SUMIFS(tbl_ledger[数量],tbl_ledger[localId],$C324,tbl_ledger[イベント種類],"アセンブリ開始",tbl_ledger[ロットID],"="),
_xlpm.余剰化受入,SUMIFS(tbl_ledger[数量],tbl_ledger[localId],$C324,tbl_ledger[イベント種類],"余剰化",tbl_ledger[元状態],G$304),
_xlpm.払出,SUMIFS(tbl_ledger[数量],tbl_ledger[localId],$C324,tbl_ledger[ロットID],"=",tbl_ledger[元状態],G$304),
_xlpm.受入+_xlpm.余剰化受入-_xlpm.払出))</f>
        <v/>
      </c>
      <c r="H324" s="8" t="str">
        <f>IF($C324="","",_xlfn.LET(
_xlpm.受入,SUMIFS(tbl_ledger[数量],tbl_ledger[localId],$C324,tbl_ledger[イベント種類],"アセンブリ完了",tbl_ledger[ロットID],"="),
_xlpm.余剰化受入,SUMIFS(tbl_ledger[数量],tbl_ledger[localId],$C324,tbl_ledger[イベント種類],"余剰化",tbl_ledger[元状態],H$304),
_xlpm.払出,SUMIFS(tbl_ledger[数量],tbl_ledger[localId],$C324,tbl_ledger[ロットID],"=",tbl_ledger[元状態],H$304),
_xlpm.受入+_xlpm.余剰化受入-_xlpm.払出))</f>
        <v/>
      </c>
      <c r="I324" s="8" t="str">
        <f>IF($C324="","",_xlfn.LET(
_xlpm.受入,SUMIFS(tbl_ledger[数量],tbl_ledger[localId],$C324,tbl_ledger[イベント種類],"梱包開始",tbl_ledger[ロットID],"="),
_xlpm.余剰化受入,SUMIFS(tbl_ledger[数量],tbl_ledger[localId],$C324,tbl_ledger[イベント種類],"余剰化",tbl_ledger[元状態],I$304),
_xlpm.払出,SUMIFS(tbl_ledger[数量],tbl_ledger[localId],$C324,tbl_ledger[ロットID],"=",tbl_ledger[元状態],I$304),
_xlpm.受入+_xlpm.余剰化受入-_xlpm.払出))</f>
        <v/>
      </c>
      <c r="J324" s="8" t="str">
        <f>IF($C324="","",_xlfn.LET(
_xlpm.受入,SUMIFS(tbl_ledger[数量],tbl_ledger[localId],$C324,tbl_ledger[イベント種類],"梱包完了",tbl_ledger[ロットID],"="),
_xlpm.余剰化受入,SUMIFS(tbl_ledger[数量],tbl_ledger[localId],$C324,tbl_ledger[イベント種類],"余剰化",tbl_ledger[元状態],J$304),
_xlpm.払出,SUMIFS(tbl_ledger[数量],tbl_ledger[localId],$C324,tbl_ledger[ロットID],"=",tbl_ledger[元状態],J$304),
_xlpm.受入+_xlpm.余剰化受入-_xlpm.払出))</f>
        <v/>
      </c>
      <c r="K324" s="8" t="str">
        <f>IF($C324="","",_xlfn.LET(
_xlpm.受入,SUMIFS(tbl_ledger[数量],tbl_ledger[localId],$C324,tbl_ledger[イベント種類],"発送準備開始",tbl_ledger[ロットID],"="),
_xlpm.余剰化受入,SUMIFS(tbl_ledger[数量],tbl_ledger[localId],$C324,tbl_ledger[イベント種類],"余剰化",tbl_ledger[元状態],K$304),
_xlpm.払出,SUMIFS(tbl_ledger[数量],tbl_ledger[localId],$C324,tbl_ledger[ロットID],"=",tbl_ledger[元状態],K$304),
_xlpm.受入+_xlpm.余剰化受入-_xlpm.払出))</f>
        <v/>
      </c>
      <c r="L324" s="8" t="str">
        <f>IF($C324="","",_xlfn.LET(
_xlpm.受入,SUMIFS(tbl_ledger[数量],tbl_ledger[localId],$C324,tbl_ledger[イベント種類],"発送準備完了",tbl_ledger[ロットID],"="),
_xlpm.余剰化受入,SUMIFS(tbl_ledger[数量],tbl_ledger[localId],$C324,tbl_ledger[イベント種類],"余剰化",tbl_ledger[元状態],L$304),
_xlpm.払出,SUMIFS(tbl_ledger[数量],tbl_ledger[localId],$C324,tbl_ledger[ロットID],"=",tbl_ledger[元状態],L$304),
_xlpm.受入+_xlpm.余剰化受入-_xlpm.払出))</f>
        <v/>
      </c>
      <c r="M324" s="8" t="str">
        <f>IF($C324="","",_xlfn.LET(
_xlpm.受入,SUMIFS(tbl_ledger[数量],tbl_ledger[localId],$C324,tbl_ledger[イベント種類],"不良発生",tbl_ledger[ロットID],"="),
_xlpm.余剰化受入,SUMIFS(tbl_ledger[数量],tbl_ledger[localId],$C324,tbl_ledger[イベント種類],"余剰化",tbl_ledger[元状態],M$304),
_xlpm.払出,SUMIFS(tbl_ledger[数量],tbl_ledger[localId],$C324,tbl_ledger[ロットID],"=",tbl_ledger[元状態],M$304),
_xlpm.受入+_xlpm.余剰化受入-_xlpm.払出))</f>
        <v/>
      </c>
      <c r="N324" s="8" t="str">
        <f t="shared" si="11"/>
        <v/>
      </c>
    </row>
    <row r="325" spans="1:14" ht="15" customHeight="1" x14ac:dyDescent="0.25">
      <c r="A325" s="4" t="str">
        <f t="shared" si="10"/>
        <v/>
      </c>
      <c r="B325" s="4"/>
      <c r="C325" s="4" t="str">
        <f>IFERROR(INDEX(tbl_master[localId],ROW()-304),"")</f>
        <v/>
      </c>
      <c r="D325" s="8" t="str">
        <f>IF($C325="","",_xlfn.LET(
_xlpm.搬入計,SUMIFS(tbl_ledger[数量],tbl_ledger[localId],$C325,tbl_ledger[イベント種類],"搬入"),
_xlpm.割当計,SUMIF(V_充足確認!$B$2:$B$301,$C325,V_充足確認!$F$2:$F$301),
_xlpm.余剰化受入,SUMIFS(tbl_ledger[数量],tbl_ledger[localId],$C325,tbl_ledger[イベント種類],"余剰化",tbl_ledger[元状態],D$304),
_xlpm.払出,SUMIFS(tbl_ledger[数量],tbl_ledger[localId],$C325,tbl_ledger[ロットID],"=",tbl_ledger[元状態],D$304),
_xlpm.搬入計-_xlpm.割当計+_xlpm.余剰化受入-_xlpm.払出))</f>
        <v/>
      </c>
      <c r="E325" s="8" t="str">
        <f>IF($C325="","",_xlfn.LET(
_xlpm.受入,SUMIFS(tbl_ledger[数量],tbl_ledger[localId],$C325,tbl_ledger[イベント種類],"アニール開始",tbl_ledger[ロットID],"="),
_xlpm.余剰化受入,SUMIFS(tbl_ledger[数量],tbl_ledger[localId],$C325,tbl_ledger[イベント種類],"余剰化",tbl_ledger[元状態],E$304),
_xlpm.払出,SUMIFS(tbl_ledger[数量],tbl_ledger[localId],$C325,tbl_ledger[ロットID],"=",tbl_ledger[元状態],E$304),
_xlpm.受入+_xlpm.余剰化受入-_xlpm.払出))</f>
        <v/>
      </c>
      <c r="F325" s="8" t="str">
        <f>IF($C325="","",_xlfn.LET(
_xlpm.受入,SUMIFS(tbl_ledger[数量],tbl_ledger[localId],$C325,tbl_ledger[イベント種類],"アニール完了",tbl_ledger[ロットID],"="),
_xlpm.余剰化受入,SUMIFS(tbl_ledger[数量],tbl_ledger[localId],$C325,tbl_ledger[イベント種類],"余剰化",tbl_ledger[元状態],F$304),
_xlpm.払出,SUMIFS(tbl_ledger[数量],tbl_ledger[localId],$C325,tbl_ledger[ロットID],"=",tbl_ledger[元状態],F$304),
_xlpm.受入+_xlpm.余剰化受入-_xlpm.払出))</f>
        <v/>
      </c>
      <c r="G325" s="8" t="str">
        <f>IF($C325="","",_xlfn.LET(
_xlpm.受入,SUMIFS(tbl_ledger[数量],tbl_ledger[localId],$C325,tbl_ledger[イベント種類],"アセンブリ開始",tbl_ledger[ロットID],"="),
_xlpm.余剰化受入,SUMIFS(tbl_ledger[数量],tbl_ledger[localId],$C325,tbl_ledger[イベント種類],"余剰化",tbl_ledger[元状態],G$304),
_xlpm.払出,SUMIFS(tbl_ledger[数量],tbl_ledger[localId],$C325,tbl_ledger[ロットID],"=",tbl_ledger[元状態],G$304),
_xlpm.受入+_xlpm.余剰化受入-_xlpm.払出))</f>
        <v/>
      </c>
      <c r="H325" s="8" t="str">
        <f>IF($C325="","",_xlfn.LET(
_xlpm.受入,SUMIFS(tbl_ledger[数量],tbl_ledger[localId],$C325,tbl_ledger[イベント種類],"アセンブリ完了",tbl_ledger[ロットID],"="),
_xlpm.余剰化受入,SUMIFS(tbl_ledger[数量],tbl_ledger[localId],$C325,tbl_ledger[イベント種類],"余剰化",tbl_ledger[元状態],H$304),
_xlpm.払出,SUMIFS(tbl_ledger[数量],tbl_ledger[localId],$C325,tbl_ledger[ロットID],"=",tbl_ledger[元状態],H$304),
_xlpm.受入+_xlpm.余剰化受入-_xlpm.払出))</f>
        <v/>
      </c>
      <c r="I325" s="8" t="str">
        <f>IF($C325="","",_xlfn.LET(
_xlpm.受入,SUMIFS(tbl_ledger[数量],tbl_ledger[localId],$C325,tbl_ledger[イベント種類],"梱包開始",tbl_ledger[ロットID],"="),
_xlpm.余剰化受入,SUMIFS(tbl_ledger[数量],tbl_ledger[localId],$C325,tbl_ledger[イベント種類],"余剰化",tbl_ledger[元状態],I$304),
_xlpm.払出,SUMIFS(tbl_ledger[数量],tbl_ledger[localId],$C325,tbl_ledger[ロットID],"=",tbl_ledger[元状態],I$304),
_xlpm.受入+_xlpm.余剰化受入-_xlpm.払出))</f>
        <v/>
      </c>
      <c r="J325" s="8" t="str">
        <f>IF($C325="","",_xlfn.LET(
_xlpm.受入,SUMIFS(tbl_ledger[数量],tbl_ledger[localId],$C325,tbl_ledger[イベント種類],"梱包完了",tbl_ledger[ロットID],"="),
_xlpm.余剰化受入,SUMIFS(tbl_ledger[数量],tbl_ledger[localId],$C325,tbl_ledger[イベント種類],"余剰化",tbl_ledger[元状態],J$304),
_xlpm.払出,SUMIFS(tbl_ledger[数量],tbl_ledger[localId],$C325,tbl_ledger[ロットID],"=",tbl_ledger[元状態],J$304),
_xlpm.受入+_xlpm.余剰化受入-_xlpm.払出))</f>
        <v/>
      </c>
      <c r="K325" s="8" t="str">
        <f>IF($C325="","",_xlfn.LET(
_xlpm.受入,SUMIFS(tbl_ledger[数量],tbl_ledger[localId],$C325,tbl_ledger[イベント種類],"発送準備開始",tbl_ledger[ロットID],"="),
_xlpm.余剰化受入,SUMIFS(tbl_ledger[数量],tbl_ledger[localId],$C325,tbl_ledger[イベント種類],"余剰化",tbl_ledger[元状態],K$304),
_xlpm.払出,SUMIFS(tbl_ledger[数量],tbl_ledger[localId],$C325,tbl_ledger[ロットID],"=",tbl_ledger[元状態],K$304),
_xlpm.受入+_xlpm.余剰化受入-_xlpm.払出))</f>
        <v/>
      </c>
      <c r="L325" s="8" t="str">
        <f>IF($C325="","",_xlfn.LET(
_xlpm.受入,SUMIFS(tbl_ledger[数量],tbl_ledger[localId],$C325,tbl_ledger[イベント種類],"発送準備完了",tbl_ledger[ロットID],"="),
_xlpm.余剰化受入,SUMIFS(tbl_ledger[数量],tbl_ledger[localId],$C325,tbl_ledger[イベント種類],"余剰化",tbl_ledger[元状態],L$304),
_xlpm.払出,SUMIFS(tbl_ledger[数量],tbl_ledger[localId],$C325,tbl_ledger[ロットID],"=",tbl_ledger[元状態],L$304),
_xlpm.受入+_xlpm.余剰化受入-_xlpm.払出))</f>
        <v/>
      </c>
      <c r="M325" s="8" t="str">
        <f>IF($C325="","",_xlfn.LET(
_xlpm.受入,SUMIFS(tbl_ledger[数量],tbl_ledger[localId],$C325,tbl_ledger[イベント種類],"不良発生",tbl_ledger[ロットID],"="),
_xlpm.余剰化受入,SUMIFS(tbl_ledger[数量],tbl_ledger[localId],$C325,tbl_ledger[イベント種類],"余剰化",tbl_ledger[元状態],M$304),
_xlpm.払出,SUMIFS(tbl_ledger[数量],tbl_ledger[localId],$C325,tbl_ledger[ロットID],"=",tbl_ledger[元状態],M$304),
_xlpm.受入+_xlpm.余剰化受入-_xlpm.払出))</f>
        <v/>
      </c>
      <c r="N325" s="8" t="str">
        <f t="shared" si="11"/>
        <v/>
      </c>
    </row>
    <row r="326" spans="1:14" ht="15" customHeight="1" x14ac:dyDescent="0.25">
      <c r="A326" s="4" t="str">
        <f t="shared" si="10"/>
        <v/>
      </c>
      <c r="B326" s="4"/>
      <c r="C326" s="4" t="str">
        <f>IFERROR(INDEX(tbl_master[localId],ROW()-304),"")</f>
        <v/>
      </c>
      <c r="D326" s="8" t="str">
        <f>IF($C326="","",_xlfn.LET(
_xlpm.搬入計,SUMIFS(tbl_ledger[数量],tbl_ledger[localId],$C326,tbl_ledger[イベント種類],"搬入"),
_xlpm.割当計,SUMIF(V_充足確認!$B$2:$B$301,$C326,V_充足確認!$F$2:$F$301),
_xlpm.余剰化受入,SUMIFS(tbl_ledger[数量],tbl_ledger[localId],$C326,tbl_ledger[イベント種類],"余剰化",tbl_ledger[元状態],D$304),
_xlpm.払出,SUMIFS(tbl_ledger[数量],tbl_ledger[localId],$C326,tbl_ledger[ロットID],"=",tbl_ledger[元状態],D$304),
_xlpm.搬入計-_xlpm.割当計+_xlpm.余剰化受入-_xlpm.払出))</f>
        <v/>
      </c>
      <c r="E326" s="8" t="str">
        <f>IF($C326="","",_xlfn.LET(
_xlpm.受入,SUMIFS(tbl_ledger[数量],tbl_ledger[localId],$C326,tbl_ledger[イベント種類],"アニール開始",tbl_ledger[ロットID],"="),
_xlpm.余剰化受入,SUMIFS(tbl_ledger[数量],tbl_ledger[localId],$C326,tbl_ledger[イベント種類],"余剰化",tbl_ledger[元状態],E$304),
_xlpm.払出,SUMIFS(tbl_ledger[数量],tbl_ledger[localId],$C326,tbl_ledger[ロットID],"=",tbl_ledger[元状態],E$304),
_xlpm.受入+_xlpm.余剰化受入-_xlpm.払出))</f>
        <v/>
      </c>
      <c r="F326" s="8" t="str">
        <f>IF($C326="","",_xlfn.LET(
_xlpm.受入,SUMIFS(tbl_ledger[数量],tbl_ledger[localId],$C326,tbl_ledger[イベント種類],"アニール完了",tbl_ledger[ロットID],"="),
_xlpm.余剰化受入,SUMIFS(tbl_ledger[数量],tbl_ledger[localId],$C326,tbl_ledger[イベント種類],"余剰化",tbl_ledger[元状態],F$304),
_xlpm.払出,SUMIFS(tbl_ledger[数量],tbl_ledger[localId],$C326,tbl_ledger[ロットID],"=",tbl_ledger[元状態],F$304),
_xlpm.受入+_xlpm.余剰化受入-_xlpm.払出))</f>
        <v/>
      </c>
      <c r="G326" s="8" t="str">
        <f>IF($C326="","",_xlfn.LET(
_xlpm.受入,SUMIFS(tbl_ledger[数量],tbl_ledger[localId],$C326,tbl_ledger[イベント種類],"アセンブリ開始",tbl_ledger[ロットID],"="),
_xlpm.余剰化受入,SUMIFS(tbl_ledger[数量],tbl_ledger[localId],$C326,tbl_ledger[イベント種類],"余剰化",tbl_ledger[元状態],G$304),
_xlpm.払出,SUMIFS(tbl_ledger[数量],tbl_ledger[localId],$C326,tbl_ledger[ロットID],"=",tbl_ledger[元状態],G$304),
_xlpm.受入+_xlpm.余剰化受入-_xlpm.払出))</f>
        <v/>
      </c>
      <c r="H326" s="8" t="str">
        <f>IF($C326="","",_xlfn.LET(
_xlpm.受入,SUMIFS(tbl_ledger[数量],tbl_ledger[localId],$C326,tbl_ledger[イベント種類],"アセンブリ完了",tbl_ledger[ロットID],"="),
_xlpm.余剰化受入,SUMIFS(tbl_ledger[数量],tbl_ledger[localId],$C326,tbl_ledger[イベント種類],"余剰化",tbl_ledger[元状態],H$304),
_xlpm.払出,SUMIFS(tbl_ledger[数量],tbl_ledger[localId],$C326,tbl_ledger[ロットID],"=",tbl_ledger[元状態],H$304),
_xlpm.受入+_xlpm.余剰化受入-_xlpm.払出))</f>
        <v/>
      </c>
      <c r="I326" s="8" t="str">
        <f>IF($C326="","",_xlfn.LET(
_xlpm.受入,SUMIFS(tbl_ledger[数量],tbl_ledger[localId],$C326,tbl_ledger[イベント種類],"梱包開始",tbl_ledger[ロットID],"="),
_xlpm.余剰化受入,SUMIFS(tbl_ledger[数量],tbl_ledger[localId],$C326,tbl_ledger[イベント種類],"余剰化",tbl_ledger[元状態],I$304),
_xlpm.払出,SUMIFS(tbl_ledger[数量],tbl_ledger[localId],$C326,tbl_ledger[ロットID],"=",tbl_ledger[元状態],I$304),
_xlpm.受入+_xlpm.余剰化受入-_xlpm.払出))</f>
        <v/>
      </c>
      <c r="J326" s="8" t="str">
        <f>IF($C326="","",_xlfn.LET(
_xlpm.受入,SUMIFS(tbl_ledger[数量],tbl_ledger[localId],$C326,tbl_ledger[イベント種類],"梱包完了",tbl_ledger[ロットID],"="),
_xlpm.余剰化受入,SUMIFS(tbl_ledger[数量],tbl_ledger[localId],$C326,tbl_ledger[イベント種類],"余剰化",tbl_ledger[元状態],J$304),
_xlpm.払出,SUMIFS(tbl_ledger[数量],tbl_ledger[localId],$C326,tbl_ledger[ロットID],"=",tbl_ledger[元状態],J$304),
_xlpm.受入+_xlpm.余剰化受入-_xlpm.払出))</f>
        <v/>
      </c>
      <c r="K326" s="8" t="str">
        <f>IF($C326="","",_xlfn.LET(
_xlpm.受入,SUMIFS(tbl_ledger[数量],tbl_ledger[localId],$C326,tbl_ledger[イベント種類],"発送準備開始",tbl_ledger[ロットID],"="),
_xlpm.余剰化受入,SUMIFS(tbl_ledger[数量],tbl_ledger[localId],$C326,tbl_ledger[イベント種類],"余剰化",tbl_ledger[元状態],K$304),
_xlpm.払出,SUMIFS(tbl_ledger[数量],tbl_ledger[localId],$C326,tbl_ledger[ロットID],"=",tbl_ledger[元状態],K$304),
_xlpm.受入+_xlpm.余剰化受入-_xlpm.払出))</f>
        <v/>
      </c>
      <c r="L326" s="8" t="str">
        <f>IF($C326="","",_xlfn.LET(
_xlpm.受入,SUMIFS(tbl_ledger[数量],tbl_ledger[localId],$C326,tbl_ledger[イベント種類],"発送準備完了",tbl_ledger[ロットID],"="),
_xlpm.余剰化受入,SUMIFS(tbl_ledger[数量],tbl_ledger[localId],$C326,tbl_ledger[イベント種類],"余剰化",tbl_ledger[元状態],L$304),
_xlpm.払出,SUMIFS(tbl_ledger[数量],tbl_ledger[localId],$C326,tbl_ledger[ロットID],"=",tbl_ledger[元状態],L$304),
_xlpm.受入+_xlpm.余剰化受入-_xlpm.払出))</f>
        <v/>
      </c>
      <c r="M326" s="8" t="str">
        <f>IF($C326="","",_xlfn.LET(
_xlpm.受入,SUMIFS(tbl_ledger[数量],tbl_ledger[localId],$C326,tbl_ledger[イベント種類],"不良発生",tbl_ledger[ロットID],"="),
_xlpm.余剰化受入,SUMIFS(tbl_ledger[数量],tbl_ledger[localId],$C326,tbl_ledger[イベント種類],"余剰化",tbl_ledger[元状態],M$304),
_xlpm.払出,SUMIFS(tbl_ledger[数量],tbl_ledger[localId],$C326,tbl_ledger[ロットID],"=",tbl_ledger[元状態],M$304),
_xlpm.受入+_xlpm.余剰化受入-_xlpm.払出))</f>
        <v/>
      </c>
      <c r="N326" s="8" t="str">
        <f t="shared" si="11"/>
        <v/>
      </c>
    </row>
    <row r="327" spans="1:14" ht="15" customHeight="1" x14ac:dyDescent="0.25">
      <c r="A327" s="4" t="str">
        <f t="shared" si="10"/>
        <v/>
      </c>
      <c r="B327" s="4"/>
      <c r="C327" s="4" t="str">
        <f>IFERROR(INDEX(tbl_master[localId],ROW()-304),"")</f>
        <v/>
      </c>
      <c r="D327" s="8" t="str">
        <f>IF($C327="","",_xlfn.LET(
_xlpm.搬入計,SUMIFS(tbl_ledger[数量],tbl_ledger[localId],$C327,tbl_ledger[イベント種類],"搬入"),
_xlpm.割当計,SUMIF(V_充足確認!$B$2:$B$301,$C327,V_充足確認!$F$2:$F$301),
_xlpm.余剰化受入,SUMIFS(tbl_ledger[数量],tbl_ledger[localId],$C327,tbl_ledger[イベント種類],"余剰化",tbl_ledger[元状態],D$304),
_xlpm.払出,SUMIFS(tbl_ledger[数量],tbl_ledger[localId],$C327,tbl_ledger[ロットID],"=",tbl_ledger[元状態],D$304),
_xlpm.搬入計-_xlpm.割当計+_xlpm.余剰化受入-_xlpm.払出))</f>
        <v/>
      </c>
      <c r="E327" s="8" t="str">
        <f>IF($C327="","",_xlfn.LET(
_xlpm.受入,SUMIFS(tbl_ledger[数量],tbl_ledger[localId],$C327,tbl_ledger[イベント種類],"アニール開始",tbl_ledger[ロットID],"="),
_xlpm.余剰化受入,SUMIFS(tbl_ledger[数量],tbl_ledger[localId],$C327,tbl_ledger[イベント種類],"余剰化",tbl_ledger[元状態],E$304),
_xlpm.払出,SUMIFS(tbl_ledger[数量],tbl_ledger[localId],$C327,tbl_ledger[ロットID],"=",tbl_ledger[元状態],E$304),
_xlpm.受入+_xlpm.余剰化受入-_xlpm.払出))</f>
        <v/>
      </c>
      <c r="F327" s="8" t="str">
        <f>IF($C327="","",_xlfn.LET(
_xlpm.受入,SUMIFS(tbl_ledger[数量],tbl_ledger[localId],$C327,tbl_ledger[イベント種類],"アニール完了",tbl_ledger[ロットID],"="),
_xlpm.余剰化受入,SUMIFS(tbl_ledger[数量],tbl_ledger[localId],$C327,tbl_ledger[イベント種類],"余剰化",tbl_ledger[元状態],F$304),
_xlpm.払出,SUMIFS(tbl_ledger[数量],tbl_ledger[localId],$C327,tbl_ledger[ロットID],"=",tbl_ledger[元状態],F$304),
_xlpm.受入+_xlpm.余剰化受入-_xlpm.払出))</f>
        <v/>
      </c>
      <c r="G327" s="8" t="str">
        <f>IF($C327="","",_xlfn.LET(
_xlpm.受入,SUMIFS(tbl_ledger[数量],tbl_ledger[localId],$C327,tbl_ledger[イベント種類],"アセンブリ開始",tbl_ledger[ロットID],"="),
_xlpm.余剰化受入,SUMIFS(tbl_ledger[数量],tbl_ledger[localId],$C327,tbl_ledger[イベント種類],"余剰化",tbl_ledger[元状態],G$304),
_xlpm.払出,SUMIFS(tbl_ledger[数量],tbl_ledger[localId],$C327,tbl_ledger[ロットID],"=",tbl_ledger[元状態],G$304),
_xlpm.受入+_xlpm.余剰化受入-_xlpm.払出))</f>
        <v/>
      </c>
      <c r="H327" s="8" t="str">
        <f>IF($C327="","",_xlfn.LET(
_xlpm.受入,SUMIFS(tbl_ledger[数量],tbl_ledger[localId],$C327,tbl_ledger[イベント種類],"アセンブリ完了",tbl_ledger[ロットID],"="),
_xlpm.余剰化受入,SUMIFS(tbl_ledger[数量],tbl_ledger[localId],$C327,tbl_ledger[イベント種類],"余剰化",tbl_ledger[元状態],H$304),
_xlpm.払出,SUMIFS(tbl_ledger[数量],tbl_ledger[localId],$C327,tbl_ledger[ロットID],"=",tbl_ledger[元状態],H$304),
_xlpm.受入+_xlpm.余剰化受入-_xlpm.払出))</f>
        <v/>
      </c>
      <c r="I327" s="8" t="str">
        <f>IF($C327="","",_xlfn.LET(
_xlpm.受入,SUMIFS(tbl_ledger[数量],tbl_ledger[localId],$C327,tbl_ledger[イベント種類],"梱包開始",tbl_ledger[ロットID],"="),
_xlpm.余剰化受入,SUMIFS(tbl_ledger[数量],tbl_ledger[localId],$C327,tbl_ledger[イベント種類],"余剰化",tbl_ledger[元状態],I$304),
_xlpm.払出,SUMIFS(tbl_ledger[数量],tbl_ledger[localId],$C327,tbl_ledger[ロットID],"=",tbl_ledger[元状態],I$304),
_xlpm.受入+_xlpm.余剰化受入-_xlpm.払出))</f>
        <v/>
      </c>
      <c r="J327" s="8" t="str">
        <f>IF($C327="","",_xlfn.LET(
_xlpm.受入,SUMIFS(tbl_ledger[数量],tbl_ledger[localId],$C327,tbl_ledger[イベント種類],"梱包完了",tbl_ledger[ロットID],"="),
_xlpm.余剰化受入,SUMIFS(tbl_ledger[数量],tbl_ledger[localId],$C327,tbl_ledger[イベント種類],"余剰化",tbl_ledger[元状態],J$304),
_xlpm.払出,SUMIFS(tbl_ledger[数量],tbl_ledger[localId],$C327,tbl_ledger[ロットID],"=",tbl_ledger[元状態],J$304),
_xlpm.受入+_xlpm.余剰化受入-_xlpm.払出))</f>
        <v/>
      </c>
      <c r="K327" s="8" t="str">
        <f>IF($C327="","",_xlfn.LET(
_xlpm.受入,SUMIFS(tbl_ledger[数量],tbl_ledger[localId],$C327,tbl_ledger[イベント種類],"発送準備開始",tbl_ledger[ロットID],"="),
_xlpm.余剰化受入,SUMIFS(tbl_ledger[数量],tbl_ledger[localId],$C327,tbl_ledger[イベント種類],"余剰化",tbl_ledger[元状態],K$304),
_xlpm.払出,SUMIFS(tbl_ledger[数量],tbl_ledger[localId],$C327,tbl_ledger[ロットID],"=",tbl_ledger[元状態],K$304),
_xlpm.受入+_xlpm.余剰化受入-_xlpm.払出))</f>
        <v/>
      </c>
      <c r="L327" s="8" t="str">
        <f>IF($C327="","",_xlfn.LET(
_xlpm.受入,SUMIFS(tbl_ledger[数量],tbl_ledger[localId],$C327,tbl_ledger[イベント種類],"発送準備完了",tbl_ledger[ロットID],"="),
_xlpm.余剰化受入,SUMIFS(tbl_ledger[数量],tbl_ledger[localId],$C327,tbl_ledger[イベント種類],"余剰化",tbl_ledger[元状態],L$304),
_xlpm.払出,SUMIFS(tbl_ledger[数量],tbl_ledger[localId],$C327,tbl_ledger[ロットID],"=",tbl_ledger[元状態],L$304),
_xlpm.受入+_xlpm.余剰化受入-_xlpm.払出))</f>
        <v/>
      </c>
      <c r="M327" s="8" t="str">
        <f>IF($C327="","",_xlfn.LET(
_xlpm.受入,SUMIFS(tbl_ledger[数量],tbl_ledger[localId],$C327,tbl_ledger[イベント種類],"不良発生",tbl_ledger[ロットID],"="),
_xlpm.余剰化受入,SUMIFS(tbl_ledger[数量],tbl_ledger[localId],$C327,tbl_ledger[イベント種類],"余剰化",tbl_ledger[元状態],M$304),
_xlpm.払出,SUMIFS(tbl_ledger[数量],tbl_ledger[localId],$C327,tbl_ledger[ロットID],"=",tbl_ledger[元状態],M$304),
_xlpm.受入+_xlpm.余剰化受入-_xlpm.払出))</f>
        <v/>
      </c>
      <c r="N327" s="8" t="str">
        <f t="shared" si="11"/>
        <v/>
      </c>
    </row>
    <row r="328" spans="1:14" ht="15" customHeight="1" x14ac:dyDescent="0.25">
      <c r="A328" s="4" t="str">
        <f t="shared" si="10"/>
        <v/>
      </c>
      <c r="B328" s="4"/>
      <c r="C328" s="4" t="str">
        <f>IFERROR(INDEX(tbl_master[localId],ROW()-304),"")</f>
        <v/>
      </c>
      <c r="D328" s="8" t="str">
        <f>IF($C328="","",_xlfn.LET(
_xlpm.搬入計,SUMIFS(tbl_ledger[数量],tbl_ledger[localId],$C328,tbl_ledger[イベント種類],"搬入"),
_xlpm.割当計,SUMIF(V_充足確認!$B$2:$B$301,$C328,V_充足確認!$F$2:$F$301),
_xlpm.余剰化受入,SUMIFS(tbl_ledger[数量],tbl_ledger[localId],$C328,tbl_ledger[イベント種類],"余剰化",tbl_ledger[元状態],D$304),
_xlpm.払出,SUMIFS(tbl_ledger[数量],tbl_ledger[localId],$C328,tbl_ledger[ロットID],"=",tbl_ledger[元状態],D$304),
_xlpm.搬入計-_xlpm.割当計+_xlpm.余剰化受入-_xlpm.払出))</f>
        <v/>
      </c>
      <c r="E328" s="8" t="str">
        <f>IF($C328="","",_xlfn.LET(
_xlpm.受入,SUMIFS(tbl_ledger[数量],tbl_ledger[localId],$C328,tbl_ledger[イベント種類],"アニール開始",tbl_ledger[ロットID],"="),
_xlpm.余剰化受入,SUMIFS(tbl_ledger[数量],tbl_ledger[localId],$C328,tbl_ledger[イベント種類],"余剰化",tbl_ledger[元状態],E$304),
_xlpm.払出,SUMIFS(tbl_ledger[数量],tbl_ledger[localId],$C328,tbl_ledger[ロットID],"=",tbl_ledger[元状態],E$304),
_xlpm.受入+_xlpm.余剰化受入-_xlpm.払出))</f>
        <v/>
      </c>
      <c r="F328" s="8" t="str">
        <f>IF($C328="","",_xlfn.LET(
_xlpm.受入,SUMIFS(tbl_ledger[数量],tbl_ledger[localId],$C328,tbl_ledger[イベント種類],"アニール完了",tbl_ledger[ロットID],"="),
_xlpm.余剰化受入,SUMIFS(tbl_ledger[数量],tbl_ledger[localId],$C328,tbl_ledger[イベント種類],"余剰化",tbl_ledger[元状態],F$304),
_xlpm.払出,SUMIFS(tbl_ledger[数量],tbl_ledger[localId],$C328,tbl_ledger[ロットID],"=",tbl_ledger[元状態],F$304),
_xlpm.受入+_xlpm.余剰化受入-_xlpm.払出))</f>
        <v/>
      </c>
      <c r="G328" s="8" t="str">
        <f>IF($C328="","",_xlfn.LET(
_xlpm.受入,SUMIFS(tbl_ledger[数量],tbl_ledger[localId],$C328,tbl_ledger[イベント種類],"アセンブリ開始",tbl_ledger[ロットID],"="),
_xlpm.余剰化受入,SUMIFS(tbl_ledger[数量],tbl_ledger[localId],$C328,tbl_ledger[イベント種類],"余剰化",tbl_ledger[元状態],G$304),
_xlpm.払出,SUMIFS(tbl_ledger[数量],tbl_ledger[localId],$C328,tbl_ledger[ロットID],"=",tbl_ledger[元状態],G$304),
_xlpm.受入+_xlpm.余剰化受入-_xlpm.払出))</f>
        <v/>
      </c>
      <c r="H328" s="8" t="str">
        <f>IF($C328="","",_xlfn.LET(
_xlpm.受入,SUMIFS(tbl_ledger[数量],tbl_ledger[localId],$C328,tbl_ledger[イベント種類],"アセンブリ完了",tbl_ledger[ロットID],"="),
_xlpm.余剰化受入,SUMIFS(tbl_ledger[数量],tbl_ledger[localId],$C328,tbl_ledger[イベント種類],"余剰化",tbl_ledger[元状態],H$304),
_xlpm.払出,SUMIFS(tbl_ledger[数量],tbl_ledger[localId],$C328,tbl_ledger[ロットID],"=",tbl_ledger[元状態],H$304),
_xlpm.受入+_xlpm.余剰化受入-_xlpm.払出))</f>
        <v/>
      </c>
      <c r="I328" s="8" t="str">
        <f>IF($C328="","",_xlfn.LET(
_xlpm.受入,SUMIFS(tbl_ledger[数量],tbl_ledger[localId],$C328,tbl_ledger[イベント種類],"梱包開始",tbl_ledger[ロットID],"="),
_xlpm.余剰化受入,SUMIFS(tbl_ledger[数量],tbl_ledger[localId],$C328,tbl_ledger[イベント種類],"余剰化",tbl_ledger[元状態],I$304),
_xlpm.払出,SUMIFS(tbl_ledger[数量],tbl_ledger[localId],$C328,tbl_ledger[ロットID],"=",tbl_ledger[元状態],I$304),
_xlpm.受入+_xlpm.余剰化受入-_xlpm.払出))</f>
        <v/>
      </c>
      <c r="J328" s="8" t="str">
        <f>IF($C328="","",_xlfn.LET(
_xlpm.受入,SUMIFS(tbl_ledger[数量],tbl_ledger[localId],$C328,tbl_ledger[イベント種類],"梱包完了",tbl_ledger[ロットID],"="),
_xlpm.余剰化受入,SUMIFS(tbl_ledger[数量],tbl_ledger[localId],$C328,tbl_ledger[イベント種類],"余剰化",tbl_ledger[元状態],J$304),
_xlpm.払出,SUMIFS(tbl_ledger[数量],tbl_ledger[localId],$C328,tbl_ledger[ロットID],"=",tbl_ledger[元状態],J$304),
_xlpm.受入+_xlpm.余剰化受入-_xlpm.払出))</f>
        <v/>
      </c>
      <c r="K328" s="8" t="str">
        <f>IF($C328="","",_xlfn.LET(
_xlpm.受入,SUMIFS(tbl_ledger[数量],tbl_ledger[localId],$C328,tbl_ledger[イベント種類],"発送準備開始",tbl_ledger[ロットID],"="),
_xlpm.余剰化受入,SUMIFS(tbl_ledger[数量],tbl_ledger[localId],$C328,tbl_ledger[イベント種類],"余剰化",tbl_ledger[元状態],K$304),
_xlpm.払出,SUMIFS(tbl_ledger[数量],tbl_ledger[localId],$C328,tbl_ledger[ロットID],"=",tbl_ledger[元状態],K$304),
_xlpm.受入+_xlpm.余剰化受入-_xlpm.払出))</f>
        <v/>
      </c>
      <c r="L328" s="8" t="str">
        <f>IF($C328="","",_xlfn.LET(
_xlpm.受入,SUMIFS(tbl_ledger[数量],tbl_ledger[localId],$C328,tbl_ledger[イベント種類],"発送準備完了",tbl_ledger[ロットID],"="),
_xlpm.余剰化受入,SUMIFS(tbl_ledger[数量],tbl_ledger[localId],$C328,tbl_ledger[イベント種類],"余剰化",tbl_ledger[元状態],L$304),
_xlpm.払出,SUMIFS(tbl_ledger[数量],tbl_ledger[localId],$C328,tbl_ledger[ロットID],"=",tbl_ledger[元状態],L$304),
_xlpm.受入+_xlpm.余剰化受入-_xlpm.払出))</f>
        <v/>
      </c>
      <c r="M328" s="8" t="str">
        <f>IF($C328="","",_xlfn.LET(
_xlpm.受入,SUMIFS(tbl_ledger[数量],tbl_ledger[localId],$C328,tbl_ledger[イベント種類],"不良発生",tbl_ledger[ロットID],"="),
_xlpm.余剰化受入,SUMIFS(tbl_ledger[数量],tbl_ledger[localId],$C328,tbl_ledger[イベント種類],"余剰化",tbl_ledger[元状態],M$304),
_xlpm.払出,SUMIFS(tbl_ledger[数量],tbl_ledger[localId],$C328,tbl_ledger[ロットID],"=",tbl_ledger[元状態],M$304),
_xlpm.受入+_xlpm.余剰化受入-_xlpm.払出))</f>
        <v/>
      </c>
      <c r="N328" s="8" t="str">
        <f t="shared" si="11"/>
        <v/>
      </c>
    </row>
    <row r="329" spans="1:14" ht="15" customHeight="1" x14ac:dyDescent="0.25">
      <c r="A329" s="4" t="str">
        <f t="shared" si="10"/>
        <v/>
      </c>
      <c r="B329" s="4"/>
      <c r="C329" s="4" t="str">
        <f>IFERROR(INDEX(tbl_master[localId],ROW()-304),"")</f>
        <v/>
      </c>
      <c r="D329" s="8" t="str">
        <f>IF($C329="","",_xlfn.LET(
_xlpm.搬入計,SUMIFS(tbl_ledger[数量],tbl_ledger[localId],$C329,tbl_ledger[イベント種類],"搬入"),
_xlpm.割当計,SUMIF(V_充足確認!$B$2:$B$301,$C329,V_充足確認!$F$2:$F$301),
_xlpm.余剰化受入,SUMIFS(tbl_ledger[数量],tbl_ledger[localId],$C329,tbl_ledger[イベント種類],"余剰化",tbl_ledger[元状態],D$304),
_xlpm.払出,SUMIFS(tbl_ledger[数量],tbl_ledger[localId],$C329,tbl_ledger[ロットID],"=",tbl_ledger[元状態],D$304),
_xlpm.搬入計-_xlpm.割当計+_xlpm.余剰化受入-_xlpm.払出))</f>
        <v/>
      </c>
      <c r="E329" s="8" t="str">
        <f>IF($C329="","",_xlfn.LET(
_xlpm.受入,SUMIFS(tbl_ledger[数量],tbl_ledger[localId],$C329,tbl_ledger[イベント種類],"アニール開始",tbl_ledger[ロットID],"="),
_xlpm.余剰化受入,SUMIFS(tbl_ledger[数量],tbl_ledger[localId],$C329,tbl_ledger[イベント種類],"余剰化",tbl_ledger[元状態],E$304),
_xlpm.払出,SUMIFS(tbl_ledger[数量],tbl_ledger[localId],$C329,tbl_ledger[ロットID],"=",tbl_ledger[元状態],E$304),
_xlpm.受入+_xlpm.余剰化受入-_xlpm.払出))</f>
        <v/>
      </c>
      <c r="F329" s="8" t="str">
        <f>IF($C329="","",_xlfn.LET(
_xlpm.受入,SUMIFS(tbl_ledger[数量],tbl_ledger[localId],$C329,tbl_ledger[イベント種類],"アニール完了",tbl_ledger[ロットID],"="),
_xlpm.余剰化受入,SUMIFS(tbl_ledger[数量],tbl_ledger[localId],$C329,tbl_ledger[イベント種類],"余剰化",tbl_ledger[元状態],F$304),
_xlpm.払出,SUMIFS(tbl_ledger[数量],tbl_ledger[localId],$C329,tbl_ledger[ロットID],"=",tbl_ledger[元状態],F$304),
_xlpm.受入+_xlpm.余剰化受入-_xlpm.払出))</f>
        <v/>
      </c>
      <c r="G329" s="8" t="str">
        <f>IF($C329="","",_xlfn.LET(
_xlpm.受入,SUMIFS(tbl_ledger[数量],tbl_ledger[localId],$C329,tbl_ledger[イベント種類],"アセンブリ開始",tbl_ledger[ロットID],"="),
_xlpm.余剰化受入,SUMIFS(tbl_ledger[数量],tbl_ledger[localId],$C329,tbl_ledger[イベント種類],"余剰化",tbl_ledger[元状態],G$304),
_xlpm.払出,SUMIFS(tbl_ledger[数量],tbl_ledger[localId],$C329,tbl_ledger[ロットID],"=",tbl_ledger[元状態],G$304),
_xlpm.受入+_xlpm.余剰化受入-_xlpm.払出))</f>
        <v/>
      </c>
      <c r="H329" s="8" t="str">
        <f>IF($C329="","",_xlfn.LET(
_xlpm.受入,SUMIFS(tbl_ledger[数量],tbl_ledger[localId],$C329,tbl_ledger[イベント種類],"アセンブリ完了",tbl_ledger[ロットID],"="),
_xlpm.余剰化受入,SUMIFS(tbl_ledger[数量],tbl_ledger[localId],$C329,tbl_ledger[イベント種類],"余剰化",tbl_ledger[元状態],H$304),
_xlpm.払出,SUMIFS(tbl_ledger[数量],tbl_ledger[localId],$C329,tbl_ledger[ロットID],"=",tbl_ledger[元状態],H$304),
_xlpm.受入+_xlpm.余剰化受入-_xlpm.払出))</f>
        <v/>
      </c>
      <c r="I329" s="8" t="str">
        <f>IF($C329="","",_xlfn.LET(
_xlpm.受入,SUMIFS(tbl_ledger[数量],tbl_ledger[localId],$C329,tbl_ledger[イベント種類],"梱包開始",tbl_ledger[ロットID],"="),
_xlpm.余剰化受入,SUMIFS(tbl_ledger[数量],tbl_ledger[localId],$C329,tbl_ledger[イベント種類],"余剰化",tbl_ledger[元状態],I$304),
_xlpm.払出,SUMIFS(tbl_ledger[数量],tbl_ledger[localId],$C329,tbl_ledger[ロットID],"=",tbl_ledger[元状態],I$304),
_xlpm.受入+_xlpm.余剰化受入-_xlpm.払出))</f>
        <v/>
      </c>
      <c r="J329" s="8" t="str">
        <f>IF($C329="","",_xlfn.LET(
_xlpm.受入,SUMIFS(tbl_ledger[数量],tbl_ledger[localId],$C329,tbl_ledger[イベント種類],"梱包完了",tbl_ledger[ロットID],"="),
_xlpm.余剰化受入,SUMIFS(tbl_ledger[数量],tbl_ledger[localId],$C329,tbl_ledger[イベント種類],"余剰化",tbl_ledger[元状態],J$304),
_xlpm.払出,SUMIFS(tbl_ledger[数量],tbl_ledger[localId],$C329,tbl_ledger[ロットID],"=",tbl_ledger[元状態],J$304),
_xlpm.受入+_xlpm.余剰化受入-_xlpm.払出))</f>
        <v/>
      </c>
      <c r="K329" s="8" t="str">
        <f>IF($C329="","",_xlfn.LET(
_xlpm.受入,SUMIFS(tbl_ledger[数量],tbl_ledger[localId],$C329,tbl_ledger[イベント種類],"発送準備開始",tbl_ledger[ロットID],"="),
_xlpm.余剰化受入,SUMIFS(tbl_ledger[数量],tbl_ledger[localId],$C329,tbl_ledger[イベント種類],"余剰化",tbl_ledger[元状態],K$304),
_xlpm.払出,SUMIFS(tbl_ledger[数量],tbl_ledger[localId],$C329,tbl_ledger[ロットID],"=",tbl_ledger[元状態],K$304),
_xlpm.受入+_xlpm.余剰化受入-_xlpm.払出))</f>
        <v/>
      </c>
      <c r="L329" s="8" t="str">
        <f>IF($C329="","",_xlfn.LET(
_xlpm.受入,SUMIFS(tbl_ledger[数量],tbl_ledger[localId],$C329,tbl_ledger[イベント種類],"発送準備完了",tbl_ledger[ロットID],"="),
_xlpm.余剰化受入,SUMIFS(tbl_ledger[数量],tbl_ledger[localId],$C329,tbl_ledger[イベント種類],"余剰化",tbl_ledger[元状態],L$304),
_xlpm.払出,SUMIFS(tbl_ledger[数量],tbl_ledger[localId],$C329,tbl_ledger[ロットID],"=",tbl_ledger[元状態],L$304),
_xlpm.受入+_xlpm.余剰化受入-_xlpm.払出))</f>
        <v/>
      </c>
      <c r="M329" s="8" t="str">
        <f>IF($C329="","",_xlfn.LET(
_xlpm.受入,SUMIFS(tbl_ledger[数量],tbl_ledger[localId],$C329,tbl_ledger[イベント種類],"不良発生",tbl_ledger[ロットID],"="),
_xlpm.余剰化受入,SUMIFS(tbl_ledger[数量],tbl_ledger[localId],$C329,tbl_ledger[イベント種類],"余剰化",tbl_ledger[元状態],M$304),
_xlpm.払出,SUMIFS(tbl_ledger[数量],tbl_ledger[localId],$C329,tbl_ledger[ロットID],"=",tbl_ledger[元状態],M$304),
_xlpm.受入+_xlpm.余剰化受入-_xlpm.払出))</f>
        <v/>
      </c>
      <c r="N329" s="8" t="str">
        <f t="shared" si="11"/>
        <v/>
      </c>
    </row>
    <row r="330" spans="1:14" ht="15" customHeight="1" x14ac:dyDescent="0.25">
      <c r="A330" s="4" t="str">
        <f t="shared" si="10"/>
        <v/>
      </c>
      <c r="B330" s="4"/>
      <c r="C330" s="4" t="str">
        <f>IFERROR(INDEX(tbl_master[localId],ROW()-304),"")</f>
        <v/>
      </c>
      <c r="D330" s="8" t="str">
        <f>IF($C330="","",_xlfn.LET(
_xlpm.搬入計,SUMIFS(tbl_ledger[数量],tbl_ledger[localId],$C330,tbl_ledger[イベント種類],"搬入"),
_xlpm.割当計,SUMIF(V_充足確認!$B$2:$B$301,$C330,V_充足確認!$F$2:$F$301),
_xlpm.余剰化受入,SUMIFS(tbl_ledger[数量],tbl_ledger[localId],$C330,tbl_ledger[イベント種類],"余剰化",tbl_ledger[元状態],D$304),
_xlpm.払出,SUMIFS(tbl_ledger[数量],tbl_ledger[localId],$C330,tbl_ledger[ロットID],"=",tbl_ledger[元状態],D$304),
_xlpm.搬入計-_xlpm.割当計+_xlpm.余剰化受入-_xlpm.払出))</f>
        <v/>
      </c>
      <c r="E330" s="8" t="str">
        <f>IF($C330="","",_xlfn.LET(
_xlpm.受入,SUMIFS(tbl_ledger[数量],tbl_ledger[localId],$C330,tbl_ledger[イベント種類],"アニール開始",tbl_ledger[ロットID],"="),
_xlpm.余剰化受入,SUMIFS(tbl_ledger[数量],tbl_ledger[localId],$C330,tbl_ledger[イベント種類],"余剰化",tbl_ledger[元状態],E$304),
_xlpm.払出,SUMIFS(tbl_ledger[数量],tbl_ledger[localId],$C330,tbl_ledger[ロットID],"=",tbl_ledger[元状態],E$304),
_xlpm.受入+_xlpm.余剰化受入-_xlpm.払出))</f>
        <v/>
      </c>
      <c r="F330" s="8" t="str">
        <f>IF($C330="","",_xlfn.LET(
_xlpm.受入,SUMIFS(tbl_ledger[数量],tbl_ledger[localId],$C330,tbl_ledger[イベント種類],"アニール完了",tbl_ledger[ロットID],"="),
_xlpm.余剰化受入,SUMIFS(tbl_ledger[数量],tbl_ledger[localId],$C330,tbl_ledger[イベント種類],"余剰化",tbl_ledger[元状態],F$304),
_xlpm.払出,SUMIFS(tbl_ledger[数量],tbl_ledger[localId],$C330,tbl_ledger[ロットID],"=",tbl_ledger[元状態],F$304),
_xlpm.受入+_xlpm.余剰化受入-_xlpm.払出))</f>
        <v/>
      </c>
      <c r="G330" s="8" t="str">
        <f>IF($C330="","",_xlfn.LET(
_xlpm.受入,SUMIFS(tbl_ledger[数量],tbl_ledger[localId],$C330,tbl_ledger[イベント種類],"アセンブリ開始",tbl_ledger[ロットID],"="),
_xlpm.余剰化受入,SUMIFS(tbl_ledger[数量],tbl_ledger[localId],$C330,tbl_ledger[イベント種類],"余剰化",tbl_ledger[元状態],G$304),
_xlpm.払出,SUMIFS(tbl_ledger[数量],tbl_ledger[localId],$C330,tbl_ledger[ロットID],"=",tbl_ledger[元状態],G$304),
_xlpm.受入+_xlpm.余剰化受入-_xlpm.払出))</f>
        <v/>
      </c>
      <c r="H330" s="8" t="str">
        <f>IF($C330="","",_xlfn.LET(
_xlpm.受入,SUMIFS(tbl_ledger[数量],tbl_ledger[localId],$C330,tbl_ledger[イベント種類],"アセンブリ完了",tbl_ledger[ロットID],"="),
_xlpm.余剰化受入,SUMIFS(tbl_ledger[数量],tbl_ledger[localId],$C330,tbl_ledger[イベント種類],"余剰化",tbl_ledger[元状態],H$304),
_xlpm.払出,SUMIFS(tbl_ledger[数量],tbl_ledger[localId],$C330,tbl_ledger[ロットID],"=",tbl_ledger[元状態],H$304),
_xlpm.受入+_xlpm.余剰化受入-_xlpm.払出))</f>
        <v/>
      </c>
      <c r="I330" s="8" t="str">
        <f>IF($C330="","",_xlfn.LET(
_xlpm.受入,SUMIFS(tbl_ledger[数量],tbl_ledger[localId],$C330,tbl_ledger[イベント種類],"梱包開始",tbl_ledger[ロットID],"="),
_xlpm.余剰化受入,SUMIFS(tbl_ledger[数量],tbl_ledger[localId],$C330,tbl_ledger[イベント種類],"余剰化",tbl_ledger[元状態],I$304),
_xlpm.払出,SUMIFS(tbl_ledger[数量],tbl_ledger[localId],$C330,tbl_ledger[ロットID],"=",tbl_ledger[元状態],I$304),
_xlpm.受入+_xlpm.余剰化受入-_xlpm.払出))</f>
        <v/>
      </c>
      <c r="J330" s="8" t="str">
        <f>IF($C330="","",_xlfn.LET(
_xlpm.受入,SUMIFS(tbl_ledger[数量],tbl_ledger[localId],$C330,tbl_ledger[イベント種類],"梱包完了",tbl_ledger[ロットID],"="),
_xlpm.余剰化受入,SUMIFS(tbl_ledger[数量],tbl_ledger[localId],$C330,tbl_ledger[イベント種類],"余剰化",tbl_ledger[元状態],J$304),
_xlpm.払出,SUMIFS(tbl_ledger[数量],tbl_ledger[localId],$C330,tbl_ledger[ロットID],"=",tbl_ledger[元状態],J$304),
_xlpm.受入+_xlpm.余剰化受入-_xlpm.払出))</f>
        <v/>
      </c>
      <c r="K330" s="8" t="str">
        <f>IF($C330="","",_xlfn.LET(
_xlpm.受入,SUMIFS(tbl_ledger[数量],tbl_ledger[localId],$C330,tbl_ledger[イベント種類],"発送準備開始",tbl_ledger[ロットID],"="),
_xlpm.余剰化受入,SUMIFS(tbl_ledger[数量],tbl_ledger[localId],$C330,tbl_ledger[イベント種類],"余剰化",tbl_ledger[元状態],K$304),
_xlpm.払出,SUMIFS(tbl_ledger[数量],tbl_ledger[localId],$C330,tbl_ledger[ロットID],"=",tbl_ledger[元状態],K$304),
_xlpm.受入+_xlpm.余剰化受入-_xlpm.払出))</f>
        <v/>
      </c>
      <c r="L330" s="8" t="str">
        <f>IF($C330="","",_xlfn.LET(
_xlpm.受入,SUMIFS(tbl_ledger[数量],tbl_ledger[localId],$C330,tbl_ledger[イベント種類],"発送準備完了",tbl_ledger[ロットID],"="),
_xlpm.余剰化受入,SUMIFS(tbl_ledger[数量],tbl_ledger[localId],$C330,tbl_ledger[イベント種類],"余剰化",tbl_ledger[元状態],L$304),
_xlpm.払出,SUMIFS(tbl_ledger[数量],tbl_ledger[localId],$C330,tbl_ledger[ロットID],"=",tbl_ledger[元状態],L$304),
_xlpm.受入+_xlpm.余剰化受入-_xlpm.払出))</f>
        <v/>
      </c>
      <c r="M330" s="8" t="str">
        <f>IF($C330="","",_xlfn.LET(
_xlpm.受入,SUMIFS(tbl_ledger[数量],tbl_ledger[localId],$C330,tbl_ledger[イベント種類],"不良発生",tbl_ledger[ロットID],"="),
_xlpm.余剰化受入,SUMIFS(tbl_ledger[数量],tbl_ledger[localId],$C330,tbl_ledger[イベント種類],"余剰化",tbl_ledger[元状態],M$304),
_xlpm.払出,SUMIFS(tbl_ledger[数量],tbl_ledger[localId],$C330,tbl_ledger[ロットID],"=",tbl_ledger[元状態],M$304),
_xlpm.受入+_xlpm.余剰化受入-_xlpm.払出))</f>
        <v/>
      </c>
      <c r="N330" s="8" t="str">
        <f t="shared" si="11"/>
        <v/>
      </c>
    </row>
    <row r="331" spans="1:14" ht="15" customHeight="1" x14ac:dyDescent="0.25">
      <c r="A331" s="4" t="str">
        <f t="shared" si="10"/>
        <v/>
      </c>
      <c r="B331" s="4"/>
      <c r="C331" s="4" t="str">
        <f>IFERROR(INDEX(tbl_master[localId],ROW()-304),"")</f>
        <v/>
      </c>
      <c r="D331" s="8" t="str">
        <f>IF($C331="","",_xlfn.LET(
_xlpm.搬入計,SUMIFS(tbl_ledger[数量],tbl_ledger[localId],$C331,tbl_ledger[イベント種類],"搬入"),
_xlpm.割当計,SUMIF(V_充足確認!$B$2:$B$301,$C331,V_充足確認!$F$2:$F$301),
_xlpm.余剰化受入,SUMIFS(tbl_ledger[数量],tbl_ledger[localId],$C331,tbl_ledger[イベント種類],"余剰化",tbl_ledger[元状態],D$304),
_xlpm.払出,SUMIFS(tbl_ledger[数量],tbl_ledger[localId],$C331,tbl_ledger[ロットID],"=",tbl_ledger[元状態],D$304),
_xlpm.搬入計-_xlpm.割当計+_xlpm.余剰化受入-_xlpm.払出))</f>
        <v/>
      </c>
      <c r="E331" s="8" t="str">
        <f>IF($C331="","",_xlfn.LET(
_xlpm.受入,SUMIFS(tbl_ledger[数量],tbl_ledger[localId],$C331,tbl_ledger[イベント種類],"アニール開始",tbl_ledger[ロットID],"="),
_xlpm.余剰化受入,SUMIFS(tbl_ledger[数量],tbl_ledger[localId],$C331,tbl_ledger[イベント種類],"余剰化",tbl_ledger[元状態],E$304),
_xlpm.払出,SUMIFS(tbl_ledger[数量],tbl_ledger[localId],$C331,tbl_ledger[ロットID],"=",tbl_ledger[元状態],E$304),
_xlpm.受入+_xlpm.余剰化受入-_xlpm.払出))</f>
        <v/>
      </c>
      <c r="F331" s="8" t="str">
        <f>IF($C331="","",_xlfn.LET(
_xlpm.受入,SUMIFS(tbl_ledger[数量],tbl_ledger[localId],$C331,tbl_ledger[イベント種類],"アニール完了",tbl_ledger[ロットID],"="),
_xlpm.余剰化受入,SUMIFS(tbl_ledger[数量],tbl_ledger[localId],$C331,tbl_ledger[イベント種類],"余剰化",tbl_ledger[元状態],F$304),
_xlpm.払出,SUMIFS(tbl_ledger[数量],tbl_ledger[localId],$C331,tbl_ledger[ロットID],"=",tbl_ledger[元状態],F$304),
_xlpm.受入+_xlpm.余剰化受入-_xlpm.払出))</f>
        <v/>
      </c>
      <c r="G331" s="8" t="str">
        <f>IF($C331="","",_xlfn.LET(
_xlpm.受入,SUMIFS(tbl_ledger[数量],tbl_ledger[localId],$C331,tbl_ledger[イベント種類],"アセンブリ開始",tbl_ledger[ロットID],"="),
_xlpm.余剰化受入,SUMIFS(tbl_ledger[数量],tbl_ledger[localId],$C331,tbl_ledger[イベント種類],"余剰化",tbl_ledger[元状態],G$304),
_xlpm.払出,SUMIFS(tbl_ledger[数量],tbl_ledger[localId],$C331,tbl_ledger[ロットID],"=",tbl_ledger[元状態],G$304),
_xlpm.受入+_xlpm.余剰化受入-_xlpm.払出))</f>
        <v/>
      </c>
      <c r="H331" s="8" t="str">
        <f>IF($C331="","",_xlfn.LET(
_xlpm.受入,SUMIFS(tbl_ledger[数量],tbl_ledger[localId],$C331,tbl_ledger[イベント種類],"アセンブリ完了",tbl_ledger[ロットID],"="),
_xlpm.余剰化受入,SUMIFS(tbl_ledger[数量],tbl_ledger[localId],$C331,tbl_ledger[イベント種類],"余剰化",tbl_ledger[元状態],H$304),
_xlpm.払出,SUMIFS(tbl_ledger[数量],tbl_ledger[localId],$C331,tbl_ledger[ロットID],"=",tbl_ledger[元状態],H$304),
_xlpm.受入+_xlpm.余剰化受入-_xlpm.払出))</f>
        <v/>
      </c>
      <c r="I331" s="8" t="str">
        <f>IF($C331="","",_xlfn.LET(
_xlpm.受入,SUMIFS(tbl_ledger[数量],tbl_ledger[localId],$C331,tbl_ledger[イベント種類],"梱包開始",tbl_ledger[ロットID],"="),
_xlpm.余剰化受入,SUMIFS(tbl_ledger[数量],tbl_ledger[localId],$C331,tbl_ledger[イベント種類],"余剰化",tbl_ledger[元状態],I$304),
_xlpm.払出,SUMIFS(tbl_ledger[数量],tbl_ledger[localId],$C331,tbl_ledger[ロットID],"=",tbl_ledger[元状態],I$304),
_xlpm.受入+_xlpm.余剰化受入-_xlpm.払出))</f>
        <v/>
      </c>
      <c r="J331" s="8" t="str">
        <f>IF($C331="","",_xlfn.LET(
_xlpm.受入,SUMIFS(tbl_ledger[数量],tbl_ledger[localId],$C331,tbl_ledger[イベント種類],"梱包完了",tbl_ledger[ロットID],"="),
_xlpm.余剰化受入,SUMIFS(tbl_ledger[数量],tbl_ledger[localId],$C331,tbl_ledger[イベント種類],"余剰化",tbl_ledger[元状態],J$304),
_xlpm.払出,SUMIFS(tbl_ledger[数量],tbl_ledger[localId],$C331,tbl_ledger[ロットID],"=",tbl_ledger[元状態],J$304),
_xlpm.受入+_xlpm.余剰化受入-_xlpm.払出))</f>
        <v/>
      </c>
      <c r="K331" s="8" t="str">
        <f>IF($C331="","",_xlfn.LET(
_xlpm.受入,SUMIFS(tbl_ledger[数量],tbl_ledger[localId],$C331,tbl_ledger[イベント種類],"発送準備開始",tbl_ledger[ロットID],"="),
_xlpm.余剰化受入,SUMIFS(tbl_ledger[数量],tbl_ledger[localId],$C331,tbl_ledger[イベント種類],"余剰化",tbl_ledger[元状態],K$304),
_xlpm.払出,SUMIFS(tbl_ledger[数量],tbl_ledger[localId],$C331,tbl_ledger[ロットID],"=",tbl_ledger[元状態],K$304),
_xlpm.受入+_xlpm.余剰化受入-_xlpm.払出))</f>
        <v/>
      </c>
      <c r="L331" s="8" t="str">
        <f>IF($C331="","",_xlfn.LET(
_xlpm.受入,SUMIFS(tbl_ledger[数量],tbl_ledger[localId],$C331,tbl_ledger[イベント種類],"発送準備完了",tbl_ledger[ロットID],"="),
_xlpm.余剰化受入,SUMIFS(tbl_ledger[数量],tbl_ledger[localId],$C331,tbl_ledger[イベント種類],"余剰化",tbl_ledger[元状態],L$304),
_xlpm.払出,SUMIFS(tbl_ledger[数量],tbl_ledger[localId],$C331,tbl_ledger[ロットID],"=",tbl_ledger[元状態],L$304),
_xlpm.受入+_xlpm.余剰化受入-_xlpm.払出))</f>
        <v/>
      </c>
      <c r="M331" s="8" t="str">
        <f>IF($C331="","",_xlfn.LET(
_xlpm.受入,SUMIFS(tbl_ledger[数量],tbl_ledger[localId],$C331,tbl_ledger[イベント種類],"不良発生",tbl_ledger[ロットID],"="),
_xlpm.余剰化受入,SUMIFS(tbl_ledger[数量],tbl_ledger[localId],$C331,tbl_ledger[イベント種類],"余剰化",tbl_ledger[元状態],M$304),
_xlpm.払出,SUMIFS(tbl_ledger[数量],tbl_ledger[localId],$C331,tbl_ledger[ロットID],"=",tbl_ledger[元状態],M$304),
_xlpm.受入+_xlpm.余剰化受入-_xlpm.払出))</f>
        <v/>
      </c>
      <c r="N331" s="8" t="str">
        <f t="shared" si="11"/>
        <v/>
      </c>
    </row>
    <row r="332" spans="1:14" ht="15" customHeight="1" x14ac:dyDescent="0.25">
      <c r="A332" s="4" t="str">
        <f t="shared" si="10"/>
        <v/>
      </c>
      <c r="B332" s="4"/>
      <c r="C332" s="4" t="str">
        <f>IFERROR(INDEX(tbl_master[localId],ROW()-304),"")</f>
        <v/>
      </c>
      <c r="D332" s="8" t="str">
        <f>IF($C332="","",_xlfn.LET(
_xlpm.搬入計,SUMIFS(tbl_ledger[数量],tbl_ledger[localId],$C332,tbl_ledger[イベント種類],"搬入"),
_xlpm.割当計,SUMIF(V_充足確認!$B$2:$B$301,$C332,V_充足確認!$F$2:$F$301),
_xlpm.余剰化受入,SUMIFS(tbl_ledger[数量],tbl_ledger[localId],$C332,tbl_ledger[イベント種類],"余剰化",tbl_ledger[元状態],D$304),
_xlpm.払出,SUMIFS(tbl_ledger[数量],tbl_ledger[localId],$C332,tbl_ledger[ロットID],"=",tbl_ledger[元状態],D$304),
_xlpm.搬入計-_xlpm.割当計+_xlpm.余剰化受入-_xlpm.払出))</f>
        <v/>
      </c>
      <c r="E332" s="8" t="str">
        <f>IF($C332="","",_xlfn.LET(
_xlpm.受入,SUMIFS(tbl_ledger[数量],tbl_ledger[localId],$C332,tbl_ledger[イベント種類],"アニール開始",tbl_ledger[ロットID],"="),
_xlpm.余剰化受入,SUMIFS(tbl_ledger[数量],tbl_ledger[localId],$C332,tbl_ledger[イベント種類],"余剰化",tbl_ledger[元状態],E$304),
_xlpm.払出,SUMIFS(tbl_ledger[数量],tbl_ledger[localId],$C332,tbl_ledger[ロットID],"=",tbl_ledger[元状態],E$304),
_xlpm.受入+_xlpm.余剰化受入-_xlpm.払出))</f>
        <v/>
      </c>
      <c r="F332" s="8" t="str">
        <f>IF($C332="","",_xlfn.LET(
_xlpm.受入,SUMIFS(tbl_ledger[数量],tbl_ledger[localId],$C332,tbl_ledger[イベント種類],"アニール完了",tbl_ledger[ロットID],"="),
_xlpm.余剰化受入,SUMIFS(tbl_ledger[数量],tbl_ledger[localId],$C332,tbl_ledger[イベント種類],"余剰化",tbl_ledger[元状態],F$304),
_xlpm.払出,SUMIFS(tbl_ledger[数量],tbl_ledger[localId],$C332,tbl_ledger[ロットID],"=",tbl_ledger[元状態],F$304),
_xlpm.受入+_xlpm.余剰化受入-_xlpm.払出))</f>
        <v/>
      </c>
      <c r="G332" s="8" t="str">
        <f>IF($C332="","",_xlfn.LET(
_xlpm.受入,SUMIFS(tbl_ledger[数量],tbl_ledger[localId],$C332,tbl_ledger[イベント種類],"アセンブリ開始",tbl_ledger[ロットID],"="),
_xlpm.余剰化受入,SUMIFS(tbl_ledger[数量],tbl_ledger[localId],$C332,tbl_ledger[イベント種類],"余剰化",tbl_ledger[元状態],G$304),
_xlpm.払出,SUMIFS(tbl_ledger[数量],tbl_ledger[localId],$C332,tbl_ledger[ロットID],"=",tbl_ledger[元状態],G$304),
_xlpm.受入+_xlpm.余剰化受入-_xlpm.払出))</f>
        <v/>
      </c>
      <c r="H332" s="8" t="str">
        <f>IF($C332="","",_xlfn.LET(
_xlpm.受入,SUMIFS(tbl_ledger[数量],tbl_ledger[localId],$C332,tbl_ledger[イベント種類],"アセンブリ完了",tbl_ledger[ロットID],"="),
_xlpm.余剰化受入,SUMIFS(tbl_ledger[数量],tbl_ledger[localId],$C332,tbl_ledger[イベント種類],"余剰化",tbl_ledger[元状態],H$304),
_xlpm.払出,SUMIFS(tbl_ledger[数量],tbl_ledger[localId],$C332,tbl_ledger[ロットID],"=",tbl_ledger[元状態],H$304),
_xlpm.受入+_xlpm.余剰化受入-_xlpm.払出))</f>
        <v/>
      </c>
      <c r="I332" s="8" t="str">
        <f>IF($C332="","",_xlfn.LET(
_xlpm.受入,SUMIFS(tbl_ledger[数量],tbl_ledger[localId],$C332,tbl_ledger[イベント種類],"梱包開始",tbl_ledger[ロットID],"="),
_xlpm.余剰化受入,SUMIFS(tbl_ledger[数量],tbl_ledger[localId],$C332,tbl_ledger[イベント種類],"余剰化",tbl_ledger[元状態],I$304),
_xlpm.払出,SUMIFS(tbl_ledger[数量],tbl_ledger[localId],$C332,tbl_ledger[ロットID],"=",tbl_ledger[元状態],I$304),
_xlpm.受入+_xlpm.余剰化受入-_xlpm.払出))</f>
        <v/>
      </c>
      <c r="J332" s="8" t="str">
        <f>IF($C332="","",_xlfn.LET(
_xlpm.受入,SUMIFS(tbl_ledger[数量],tbl_ledger[localId],$C332,tbl_ledger[イベント種類],"梱包完了",tbl_ledger[ロットID],"="),
_xlpm.余剰化受入,SUMIFS(tbl_ledger[数量],tbl_ledger[localId],$C332,tbl_ledger[イベント種類],"余剰化",tbl_ledger[元状態],J$304),
_xlpm.払出,SUMIFS(tbl_ledger[数量],tbl_ledger[localId],$C332,tbl_ledger[ロットID],"=",tbl_ledger[元状態],J$304),
_xlpm.受入+_xlpm.余剰化受入-_xlpm.払出))</f>
        <v/>
      </c>
      <c r="K332" s="8" t="str">
        <f>IF($C332="","",_xlfn.LET(
_xlpm.受入,SUMIFS(tbl_ledger[数量],tbl_ledger[localId],$C332,tbl_ledger[イベント種類],"発送準備開始",tbl_ledger[ロットID],"="),
_xlpm.余剰化受入,SUMIFS(tbl_ledger[数量],tbl_ledger[localId],$C332,tbl_ledger[イベント種類],"余剰化",tbl_ledger[元状態],K$304),
_xlpm.払出,SUMIFS(tbl_ledger[数量],tbl_ledger[localId],$C332,tbl_ledger[ロットID],"=",tbl_ledger[元状態],K$304),
_xlpm.受入+_xlpm.余剰化受入-_xlpm.払出))</f>
        <v/>
      </c>
      <c r="L332" s="8" t="str">
        <f>IF($C332="","",_xlfn.LET(
_xlpm.受入,SUMIFS(tbl_ledger[数量],tbl_ledger[localId],$C332,tbl_ledger[イベント種類],"発送準備完了",tbl_ledger[ロットID],"="),
_xlpm.余剰化受入,SUMIFS(tbl_ledger[数量],tbl_ledger[localId],$C332,tbl_ledger[イベント種類],"余剰化",tbl_ledger[元状態],L$304),
_xlpm.払出,SUMIFS(tbl_ledger[数量],tbl_ledger[localId],$C332,tbl_ledger[ロットID],"=",tbl_ledger[元状態],L$304),
_xlpm.受入+_xlpm.余剰化受入-_xlpm.払出))</f>
        <v/>
      </c>
      <c r="M332" s="8" t="str">
        <f>IF($C332="","",_xlfn.LET(
_xlpm.受入,SUMIFS(tbl_ledger[数量],tbl_ledger[localId],$C332,tbl_ledger[イベント種類],"不良発生",tbl_ledger[ロットID],"="),
_xlpm.余剰化受入,SUMIFS(tbl_ledger[数量],tbl_ledger[localId],$C332,tbl_ledger[イベント種類],"余剰化",tbl_ledger[元状態],M$304),
_xlpm.払出,SUMIFS(tbl_ledger[数量],tbl_ledger[localId],$C332,tbl_ledger[ロットID],"=",tbl_ledger[元状態],M$304),
_xlpm.受入+_xlpm.余剰化受入-_xlpm.払出))</f>
        <v/>
      </c>
      <c r="N332" s="8" t="str">
        <f t="shared" si="11"/>
        <v/>
      </c>
    </row>
    <row r="333" spans="1:14" ht="15" customHeight="1" x14ac:dyDescent="0.25">
      <c r="A333" s="4" t="str">
        <f t="shared" si="10"/>
        <v/>
      </c>
      <c r="B333" s="4"/>
      <c r="C333" s="4" t="str">
        <f>IFERROR(INDEX(tbl_master[localId],ROW()-304),"")</f>
        <v/>
      </c>
      <c r="D333" s="8" t="str">
        <f>IF($C333="","",_xlfn.LET(
_xlpm.搬入計,SUMIFS(tbl_ledger[数量],tbl_ledger[localId],$C333,tbl_ledger[イベント種類],"搬入"),
_xlpm.割当計,SUMIF(V_充足確認!$B$2:$B$301,$C333,V_充足確認!$F$2:$F$301),
_xlpm.余剰化受入,SUMIFS(tbl_ledger[数量],tbl_ledger[localId],$C333,tbl_ledger[イベント種類],"余剰化",tbl_ledger[元状態],D$304),
_xlpm.払出,SUMIFS(tbl_ledger[数量],tbl_ledger[localId],$C333,tbl_ledger[ロットID],"=",tbl_ledger[元状態],D$304),
_xlpm.搬入計-_xlpm.割当計+_xlpm.余剰化受入-_xlpm.払出))</f>
        <v/>
      </c>
      <c r="E333" s="8" t="str">
        <f>IF($C333="","",_xlfn.LET(
_xlpm.受入,SUMIFS(tbl_ledger[数量],tbl_ledger[localId],$C333,tbl_ledger[イベント種類],"アニール開始",tbl_ledger[ロットID],"="),
_xlpm.余剰化受入,SUMIFS(tbl_ledger[数量],tbl_ledger[localId],$C333,tbl_ledger[イベント種類],"余剰化",tbl_ledger[元状態],E$304),
_xlpm.払出,SUMIFS(tbl_ledger[数量],tbl_ledger[localId],$C333,tbl_ledger[ロットID],"=",tbl_ledger[元状態],E$304),
_xlpm.受入+_xlpm.余剰化受入-_xlpm.払出))</f>
        <v/>
      </c>
      <c r="F333" s="8" t="str">
        <f>IF($C333="","",_xlfn.LET(
_xlpm.受入,SUMIFS(tbl_ledger[数量],tbl_ledger[localId],$C333,tbl_ledger[イベント種類],"アニール完了",tbl_ledger[ロットID],"="),
_xlpm.余剰化受入,SUMIFS(tbl_ledger[数量],tbl_ledger[localId],$C333,tbl_ledger[イベント種類],"余剰化",tbl_ledger[元状態],F$304),
_xlpm.払出,SUMIFS(tbl_ledger[数量],tbl_ledger[localId],$C333,tbl_ledger[ロットID],"=",tbl_ledger[元状態],F$304),
_xlpm.受入+_xlpm.余剰化受入-_xlpm.払出))</f>
        <v/>
      </c>
      <c r="G333" s="8" t="str">
        <f>IF($C333="","",_xlfn.LET(
_xlpm.受入,SUMIFS(tbl_ledger[数量],tbl_ledger[localId],$C333,tbl_ledger[イベント種類],"アセンブリ開始",tbl_ledger[ロットID],"="),
_xlpm.余剰化受入,SUMIFS(tbl_ledger[数量],tbl_ledger[localId],$C333,tbl_ledger[イベント種類],"余剰化",tbl_ledger[元状態],G$304),
_xlpm.払出,SUMIFS(tbl_ledger[数量],tbl_ledger[localId],$C333,tbl_ledger[ロットID],"=",tbl_ledger[元状態],G$304),
_xlpm.受入+_xlpm.余剰化受入-_xlpm.払出))</f>
        <v/>
      </c>
      <c r="H333" s="8" t="str">
        <f>IF($C333="","",_xlfn.LET(
_xlpm.受入,SUMIFS(tbl_ledger[数量],tbl_ledger[localId],$C333,tbl_ledger[イベント種類],"アセンブリ完了",tbl_ledger[ロットID],"="),
_xlpm.余剰化受入,SUMIFS(tbl_ledger[数量],tbl_ledger[localId],$C333,tbl_ledger[イベント種類],"余剰化",tbl_ledger[元状態],H$304),
_xlpm.払出,SUMIFS(tbl_ledger[数量],tbl_ledger[localId],$C333,tbl_ledger[ロットID],"=",tbl_ledger[元状態],H$304),
_xlpm.受入+_xlpm.余剰化受入-_xlpm.払出))</f>
        <v/>
      </c>
      <c r="I333" s="8" t="str">
        <f>IF($C333="","",_xlfn.LET(
_xlpm.受入,SUMIFS(tbl_ledger[数量],tbl_ledger[localId],$C333,tbl_ledger[イベント種類],"梱包開始",tbl_ledger[ロットID],"="),
_xlpm.余剰化受入,SUMIFS(tbl_ledger[数量],tbl_ledger[localId],$C333,tbl_ledger[イベント種類],"余剰化",tbl_ledger[元状態],I$304),
_xlpm.払出,SUMIFS(tbl_ledger[数量],tbl_ledger[localId],$C333,tbl_ledger[ロットID],"=",tbl_ledger[元状態],I$304),
_xlpm.受入+_xlpm.余剰化受入-_xlpm.払出))</f>
        <v/>
      </c>
      <c r="J333" s="8" t="str">
        <f>IF($C333="","",_xlfn.LET(
_xlpm.受入,SUMIFS(tbl_ledger[数量],tbl_ledger[localId],$C333,tbl_ledger[イベント種類],"梱包完了",tbl_ledger[ロットID],"="),
_xlpm.余剰化受入,SUMIFS(tbl_ledger[数量],tbl_ledger[localId],$C333,tbl_ledger[イベント種類],"余剰化",tbl_ledger[元状態],J$304),
_xlpm.払出,SUMIFS(tbl_ledger[数量],tbl_ledger[localId],$C333,tbl_ledger[ロットID],"=",tbl_ledger[元状態],J$304),
_xlpm.受入+_xlpm.余剰化受入-_xlpm.払出))</f>
        <v/>
      </c>
      <c r="K333" s="8" t="str">
        <f>IF($C333="","",_xlfn.LET(
_xlpm.受入,SUMIFS(tbl_ledger[数量],tbl_ledger[localId],$C333,tbl_ledger[イベント種類],"発送準備開始",tbl_ledger[ロットID],"="),
_xlpm.余剰化受入,SUMIFS(tbl_ledger[数量],tbl_ledger[localId],$C333,tbl_ledger[イベント種類],"余剰化",tbl_ledger[元状態],K$304),
_xlpm.払出,SUMIFS(tbl_ledger[数量],tbl_ledger[localId],$C333,tbl_ledger[ロットID],"=",tbl_ledger[元状態],K$304),
_xlpm.受入+_xlpm.余剰化受入-_xlpm.払出))</f>
        <v/>
      </c>
      <c r="L333" s="8" t="str">
        <f>IF($C333="","",_xlfn.LET(
_xlpm.受入,SUMIFS(tbl_ledger[数量],tbl_ledger[localId],$C333,tbl_ledger[イベント種類],"発送準備完了",tbl_ledger[ロットID],"="),
_xlpm.余剰化受入,SUMIFS(tbl_ledger[数量],tbl_ledger[localId],$C333,tbl_ledger[イベント種類],"余剰化",tbl_ledger[元状態],L$304),
_xlpm.払出,SUMIFS(tbl_ledger[数量],tbl_ledger[localId],$C333,tbl_ledger[ロットID],"=",tbl_ledger[元状態],L$304),
_xlpm.受入+_xlpm.余剰化受入-_xlpm.払出))</f>
        <v/>
      </c>
      <c r="M333" s="8" t="str">
        <f>IF($C333="","",_xlfn.LET(
_xlpm.受入,SUMIFS(tbl_ledger[数量],tbl_ledger[localId],$C333,tbl_ledger[イベント種類],"不良発生",tbl_ledger[ロットID],"="),
_xlpm.余剰化受入,SUMIFS(tbl_ledger[数量],tbl_ledger[localId],$C333,tbl_ledger[イベント種類],"余剰化",tbl_ledger[元状態],M$304),
_xlpm.払出,SUMIFS(tbl_ledger[数量],tbl_ledger[localId],$C333,tbl_ledger[ロットID],"=",tbl_ledger[元状態],M$304),
_xlpm.受入+_xlpm.余剰化受入-_xlpm.払出))</f>
        <v/>
      </c>
      <c r="N333" s="8" t="str">
        <f t="shared" si="11"/>
        <v/>
      </c>
    </row>
    <row r="334" spans="1:14" ht="15" customHeight="1" x14ac:dyDescent="0.25">
      <c r="A334" s="4" t="str">
        <f t="shared" si="10"/>
        <v/>
      </c>
      <c r="B334" s="4"/>
      <c r="C334" s="4" t="str">
        <f>IFERROR(INDEX(tbl_master[localId],ROW()-304),"")</f>
        <v/>
      </c>
      <c r="D334" s="8" t="str">
        <f>IF($C334="","",_xlfn.LET(
_xlpm.搬入計,SUMIFS(tbl_ledger[数量],tbl_ledger[localId],$C334,tbl_ledger[イベント種類],"搬入"),
_xlpm.割当計,SUMIF(V_充足確認!$B$2:$B$301,$C334,V_充足確認!$F$2:$F$301),
_xlpm.余剰化受入,SUMIFS(tbl_ledger[数量],tbl_ledger[localId],$C334,tbl_ledger[イベント種類],"余剰化",tbl_ledger[元状態],D$304),
_xlpm.払出,SUMIFS(tbl_ledger[数量],tbl_ledger[localId],$C334,tbl_ledger[ロットID],"=",tbl_ledger[元状態],D$304),
_xlpm.搬入計-_xlpm.割当計+_xlpm.余剰化受入-_xlpm.払出))</f>
        <v/>
      </c>
      <c r="E334" s="8" t="str">
        <f>IF($C334="","",_xlfn.LET(
_xlpm.受入,SUMIFS(tbl_ledger[数量],tbl_ledger[localId],$C334,tbl_ledger[イベント種類],"アニール開始",tbl_ledger[ロットID],"="),
_xlpm.余剰化受入,SUMIFS(tbl_ledger[数量],tbl_ledger[localId],$C334,tbl_ledger[イベント種類],"余剰化",tbl_ledger[元状態],E$304),
_xlpm.払出,SUMIFS(tbl_ledger[数量],tbl_ledger[localId],$C334,tbl_ledger[ロットID],"=",tbl_ledger[元状態],E$304),
_xlpm.受入+_xlpm.余剰化受入-_xlpm.払出))</f>
        <v/>
      </c>
      <c r="F334" s="8" t="str">
        <f>IF($C334="","",_xlfn.LET(
_xlpm.受入,SUMIFS(tbl_ledger[数量],tbl_ledger[localId],$C334,tbl_ledger[イベント種類],"アニール完了",tbl_ledger[ロットID],"="),
_xlpm.余剰化受入,SUMIFS(tbl_ledger[数量],tbl_ledger[localId],$C334,tbl_ledger[イベント種類],"余剰化",tbl_ledger[元状態],F$304),
_xlpm.払出,SUMIFS(tbl_ledger[数量],tbl_ledger[localId],$C334,tbl_ledger[ロットID],"=",tbl_ledger[元状態],F$304),
_xlpm.受入+_xlpm.余剰化受入-_xlpm.払出))</f>
        <v/>
      </c>
      <c r="G334" s="8" t="str">
        <f>IF($C334="","",_xlfn.LET(
_xlpm.受入,SUMIFS(tbl_ledger[数量],tbl_ledger[localId],$C334,tbl_ledger[イベント種類],"アセンブリ開始",tbl_ledger[ロットID],"="),
_xlpm.余剰化受入,SUMIFS(tbl_ledger[数量],tbl_ledger[localId],$C334,tbl_ledger[イベント種類],"余剰化",tbl_ledger[元状態],G$304),
_xlpm.払出,SUMIFS(tbl_ledger[数量],tbl_ledger[localId],$C334,tbl_ledger[ロットID],"=",tbl_ledger[元状態],G$304),
_xlpm.受入+_xlpm.余剰化受入-_xlpm.払出))</f>
        <v/>
      </c>
      <c r="H334" s="8" t="str">
        <f>IF($C334="","",_xlfn.LET(
_xlpm.受入,SUMIFS(tbl_ledger[数量],tbl_ledger[localId],$C334,tbl_ledger[イベント種類],"アセンブリ完了",tbl_ledger[ロットID],"="),
_xlpm.余剰化受入,SUMIFS(tbl_ledger[数量],tbl_ledger[localId],$C334,tbl_ledger[イベント種類],"余剰化",tbl_ledger[元状態],H$304),
_xlpm.払出,SUMIFS(tbl_ledger[数量],tbl_ledger[localId],$C334,tbl_ledger[ロットID],"=",tbl_ledger[元状態],H$304),
_xlpm.受入+_xlpm.余剰化受入-_xlpm.払出))</f>
        <v/>
      </c>
      <c r="I334" s="8" t="str">
        <f>IF($C334="","",_xlfn.LET(
_xlpm.受入,SUMIFS(tbl_ledger[数量],tbl_ledger[localId],$C334,tbl_ledger[イベント種類],"梱包開始",tbl_ledger[ロットID],"="),
_xlpm.余剰化受入,SUMIFS(tbl_ledger[数量],tbl_ledger[localId],$C334,tbl_ledger[イベント種類],"余剰化",tbl_ledger[元状態],I$304),
_xlpm.払出,SUMIFS(tbl_ledger[数量],tbl_ledger[localId],$C334,tbl_ledger[ロットID],"=",tbl_ledger[元状態],I$304),
_xlpm.受入+_xlpm.余剰化受入-_xlpm.払出))</f>
        <v/>
      </c>
      <c r="J334" s="8" t="str">
        <f>IF($C334="","",_xlfn.LET(
_xlpm.受入,SUMIFS(tbl_ledger[数量],tbl_ledger[localId],$C334,tbl_ledger[イベント種類],"梱包完了",tbl_ledger[ロットID],"="),
_xlpm.余剰化受入,SUMIFS(tbl_ledger[数量],tbl_ledger[localId],$C334,tbl_ledger[イベント種類],"余剰化",tbl_ledger[元状態],J$304),
_xlpm.払出,SUMIFS(tbl_ledger[数量],tbl_ledger[localId],$C334,tbl_ledger[ロットID],"=",tbl_ledger[元状態],J$304),
_xlpm.受入+_xlpm.余剰化受入-_xlpm.払出))</f>
        <v/>
      </c>
      <c r="K334" s="8" t="str">
        <f>IF($C334="","",_xlfn.LET(
_xlpm.受入,SUMIFS(tbl_ledger[数量],tbl_ledger[localId],$C334,tbl_ledger[イベント種類],"発送準備開始",tbl_ledger[ロットID],"="),
_xlpm.余剰化受入,SUMIFS(tbl_ledger[数量],tbl_ledger[localId],$C334,tbl_ledger[イベント種類],"余剰化",tbl_ledger[元状態],K$304),
_xlpm.払出,SUMIFS(tbl_ledger[数量],tbl_ledger[localId],$C334,tbl_ledger[ロットID],"=",tbl_ledger[元状態],K$304),
_xlpm.受入+_xlpm.余剰化受入-_xlpm.払出))</f>
        <v/>
      </c>
      <c r="L334" s="8" t="str">
        <f>IF($C334="","",_xlfn.LET(
_xlpm.受入,SUMIFS(tbl_ledger[数量],tbl_ledger[localId],$C334,tbl_ledger[イベント種類],"発送準備完了",tbl_ledger[ロットID],"="),
_xlpm.余剰化受入,SUMIFS(tbl_ledger[数量],tbl_ledger[localId],$C334,tbl_ledger[イベント種類],"余剰化",tbl_ledger[元状態],L$304),
_xlpm.払出,SUMIFS(tbl_ledger[数量],tbl_ledger[localId],$C334,tbl_ledger[ロットID],"=",tbl_ledger[元状態],L$304),
_xlpm.受入+_xlpm.余剰化受入-_xlpm.払出))</f>
        <v/>
      </c>
      <c r="M334" s="8" t="str">
        <f>IF($C334="","",_xlfn.LET(
_xlpm.受入,SUMIFS(tbl_ledger[数量],tbl_ledger[localId],$C334,tbl_ledger[イベント種類],"不良発生",tbl_ledger[ロットID],"="),
_xlpm.余剰化受入,SUMIFS(tbl_ledger[数量],tbl_ledger[localId],$C334,tbl_ledger[イベント種類],"余剰化",tbl_ledger[元状態],M$304),
_xlpm.払出,SUMIFS(tbl_ledger[数量],tbl_ledger[localId],$C334,tbl_ledger[ロットID],"=",tbl_ledger[元状態],M$304),
_xlpm.受入+_xlpm.余剰化受入-_xlpm.払出))</f>
        <v/>
      </c>
      <c r="N334" s="8" t="str">
        <f t="shared" si="11"/>
        <v/>
      </c>
    </row>
    <row r="335" spans="1:14" ht="15" customHeight="1" x14ac:dyDescent="0.25">
      <c r="A335" s="4" t="str">
        <f t="shared" si="10"/>
        <v/>
      </c>
      <c r="B335" s="4"/>
      <c r="C335" s="4" t="str">
        <f>IFERROR(INDEX(tbl_master[localId],ROW()-304),"")</f>
        <v/>
      </c>
      <c r="D335" s="8" t="str">
        <f>IF($C335="","",_xlfn.LET(
_xlpm.搬入計,SUMIFS(tbl_ledger[数量],tbl_ledger[localId],$C335,tbl_ledger[イベント種類],"搬入"),
_xlpm.割当計,SUMIF(V_充足確認!$B$2:$B$301,$C335,V_充足確認!$F$2:$F$301),
_xlpm.余剰化受入,SUMIFS(tbl_ledger[数量],tbl_ledger[localId],$C335,tbl_ledger[イベント種類],"余剰化",tbl_ledger[元状態],D$304),
_xlpm.払出,SUMIFS(tbl_ledger[数量],tbl_ledger[localId],$C335,tbl_ledger[ロットID],"=",tbl_ledger[元状態],D$304),
_xlpm.搬入計-_xlpm.割当計+_xlpm.余剰化受入-_xlpm.払出))</f>
        <v/>
      </c>
      <c r="E335" s="8" t="str">
        <f>IF($C335="","",_xlfn.LET(
_xlpm.受入,SUMIFS(tbl_ledger[数量],tbl_ledger[localId],$C335,tbl_ledger[イベント種類],"アニール開始",tbl_ledger[ロットID],"="),
_xlpm.余剰化受入,SUMIFS(tbl_ledger[数量],tbl_ledger[localId],$C335,tbl_ledger[イベント種類],"余剰化",tbl_ledger[元状態],E$304),
_xlpm.払出,SUMIFS(tbl_ledger[数量],tbl_ledger[localId],$C335,tbl_ledger[ロットID],"=",tbl_ledger[元状態],E$304),
_xlpm.受入+_xlpm.余剰化受入-_xlpm.払出))</f>
        <v/>
      </c>
      <c r="F335" s="8" t="str">
        <f>IF($C335="","",_xlfn.LET(
_xlpm.受入,SUMIFS(tbl_ledger[数量],tbl_ledger[localId],$C335,tbl_ledger[イベント種類],"アニール完了",tbl_ledger[ロットID],"="),
_xlpm.余剰化受入,SUMIFS(tbl_ledger[数量],tbl_ledger[localId],$C335,tbl_ledger[イベント種類],"余剰化",tbl_ledger[元状態],F$304),
_xlpm.払出,SUMIFS(tbl_ledger[数量],tbl_ledger[localId],$C335,tbl_ledger[ロットID],"=",tbl_ledger[元状態],F$304),
_xlpm.受入+_xlpm.余剰化受入-_xlpm.払出))</f>
        <v/>
      </c>
      <c r="G335" s="8" t="str">
        <f>IF($C335="","",_xlfn.LET(
_xlpm.受入,SUMIFS(tbl_ledger[数量],tbl_ledger[localId],$C335,tbl_ledger[イベント種類],"アセンブリ開始",tbl_ledger[ロットID],"="),
_xlpm.余剰化受入,SUMIFS(tbl_ledger[数量],tbl_ledger[localId],$C335,tbl_ledger[イベント種類],"余剰化",tbl_ledger[元状態],G$304),
_xlpm.払出,SUMIFS(tbl_ledger[数量],tbl_ledger[localId],$C335,tbl_ledger[ロットID],"=",tbl_ledger[元状態],G$304),
_xlpm.受入+_xlpm.余剰化受入-_xlpm.払出))</f>
        <v/>
      </c>
      <c r="H335" s="8" t="str">
        <f>IF($C335="","",_xlfn.LET(
_xlpm.受入,SUMIFS(tbl_ledger[数量],tbl_ledger[localId],$C335,tbl_ledger[イベント種類],"アセンブリ完了",tbl_ledger[ロットID],"="),
_xlpm.余剰化受入,SUMIFS(tbl_ledger[数量],tbl_ledger[localId],$C335,tbl_ledger[イベント種類],"余剰化",tbl_ledger[元状態],H$304),
_xlpm.払出,SUMIFS(tbl_ledger[数量],tbl_ledger[localId],$C335,tbl_ledger[ロットID],"=",tbl_ledger[元状態],H$304),
_xlpm.受入+_xlpm.余剰化受入-_xlpm.払出))</f>
        <v/>
      </c>
      <c r="I335" s="8" t="str">
        <f>IF($C335="","",_xlfn.LET(
_xlpm.受入,SUMIFS(tbl_ledger[数量],tbl_ledger[localId],$C335,tbl_ledger[イベント種類],"梱包開始",tbl_ledger[ロットID],"="),
_xlpm.余剰化受入,SUMIFS(tbl_ledger[数量],tbl_ledger[localId],$C335,tbl_ledger[イベント種類],"余剰化",tbl_ledger[元状態],I$304),
_xlpm.払出,SUMIFS(tbl_ledger[数量],tbl_ledger[localId],$C335,tbl_ledger[ロットID],"=",tbl_ledger[元状態],I$304),
_xlpm.受入+_xlpm.余剰化受入-_xlpm.払出))</f>
        <v/>
      </c>
      <c r="J335" s="8" t="str">
        <f>IF($C335="","",_xlfn.LET(
_xlpm.受入,SUMIFS(tbl_ledger[数量],tbl_ledger[localId],$C335,tbl_ledger[イベント種類],"梱包完了",tbl_ledger[ロットID],"="),
_xlpm.余剰化受入,SUMIFS(tbl_ledger[数量],tbl_ledger[localId],$C335,tbl_ledger[イベント種類],"余剰化",tbl_ledger[元状態],J$304),
_xlpm.払出,SUMIFS(tbl_ledger[数量],tbl_ledger[localId],$C335,tbl_ledger[ロットID],"=",tbl_ledger[元状態],J$304),
_xlpm.受入+_xlpm.余剰化受入-_xlpm.払出))</f>
        <v/>
      </c>
      <c r="K335" s="8" t="str">
        <f>IF($C335="","",_xlfn.LET(
_xlpm.受入,SUMIFS(tbl_ledger[数量],tbl_ledger[localId],$C335,tbl_ledger[イベント種類],"発送準備開始",tbl_ledger[ロットID],"="),
_xlpm.余剰化受入,SUMIFS(tbl_ledger[数量],tbl_ledger[localId],$C335,tbl_ledger[イベント種類],"余剰化",tbl_ledger[元状態],K$304),
_xlpm.払出,SUMIFS(tbl_ledger[数量],tbl_ledger[localId],$C335,tbl_ledger[ロットID],"=",tbl_ledger[元状態],K$304),
_xlpm.受入+_xlpm.余剰化受入-_xlpm.払出))</f>
        <v/>
      </c>
      <c r="L335" s="8" t="str">
        <f>IF($C335="","",_xlfn.LET(
_xlpm.受入,SUMIFS(tbl_ledger[数量],tbl_ledger[localId],$C335,tbl_ledger[イベント種類],"発送準備完了",tbl_ledger[ロットID],"="),
_xlpm.余剰化受入,SUMIFS(tbl_ledger[数量],tbl_ledger[localId],$C335,tbl_ledger[イベント種類],"余剰化",tbl_ledger[元状態],L$304),
_xlpm.払出,SUMIFS(tbl_ledger[数量],tbl_ledger[localId],$C335,tbl_ledger[ロットID],"=",tbl_ledger[元状態],L$304),
_xlpm.受入+_xlpm.余剰化受入-_xlpm.払出))</f>
        <v/>
      </c>
      <c r="M335" s="8" t="str">
        <f>IF($C335="","",_xlfn.LET(
_xlpm.受入,SUMIFS(tbl_ledger[数量],tbl_ledger[localId],$C335,tbl_ledger[イベント種類],"不良発生",tbl_ledger[ロットID],"="),
_xlpm.余剰化受入,SUMIFS(tbl_ledger[数量],tbl_ledger[localId],$C335,tbl_ledger[イベント種類],"余剰化",tbl_ledger[元状態],M$304),
_xlpm.払出,SUMIFS(tbl_ledger[数量],tbl_ledger[localId],$C335,tbl_ledger[ロットID],"=",tbl_ledger[元状態],M$304),
_xlpm.受入+_xlpm.余剰化受入-_xlpm.払出))</f>
        <v/>
      </c>
      <c r="N335" s="8" t="str">
        <f t="shared" si="11"/>
        <v/>
      </c>
    </row>
    <row r="336" spans="1:14" ht="15" customHeight="1" x14ac:dyDescent="0.25">
      <c r="A336" s="4" t="str">
        <f t="shared" si="10"/>
        <v/>
      </c>
      <c r="B336" s="4"/>
      <c r="C336" s="4" t="str">
        <f>IFERROR(INDEX(tbl_master[localId],ROW()-304),"")</f>
        <v/>
      </c>
      <c r="D336" s="8" t="str">
        <f>IF($C336="","",_xlfn.LET(
_xlpm.搬入計,SUMIFS(tbl_ledger[数量],tbl_ledger[localId],$C336,tbl_ledger[イベント種類],"搬入"),
_xlpm.割当計,SUMIF(V_充足確認!$B$2:$B$301,$C336,V_充足確認!$F$2:$F$301),
_xlpm.余剰化受入,SUMIFS(tbl_ledger[数量],tbl_ledger[localId],$C336,tbl_ledger[イベント種類],"余剰化",tbl_ledger[元状態],D$304),
_xlpm.払出,SUMIFS(tbl_ledger[数量],tbl_ledger[localId],$C336,tbl_ledger[ロットID],"=",tbl_ledger[元状態],D$304),
_xlpm.搬入計-_xlpm.割当計+_xlpm.余剰化受入-_xlpm.払出))</f>
        <v/>
      </c>
      <c r="E336" s="8" t="str">
        <f>IF($C336="","",_xlfn.LET(
_xlpm.受入,SUMIFS(tbl_ledger[数量],tbl_ledger[localId],$C336,tbl_ledger[イベント種類],"アニール開始",tbl_ledger[ロットID],"="),
_xlpm.余剰化受入,SUMIFS(tbl_ledger[数量],tbl_ledger[localId],$C336,tbl_ledger[イベント種類],"余剰化",tbl_ledger[元状態],E$304),
_xlpm.払出,SUMIFS(tbl_ledger[数量],tbl_ledger[localId],$C336,tbl_ledger[ロットID],"=",tbl_ledger[元状態],E$304),
_xlpm.受入+_xlpm.余剰化受入-_xlpm.払出))</f>
        <v/>
      </c>
      <c r="F336" s="8" t="str">
        <f>IF($C336="","",_xlfn.LET(
_xlpm.受入,SUMIFS(tbl_ledger[数量],tbl_ledger[localId],$C336,tbl_ledger[イベント種類],"アニール完了",tbl_ledger[ロットID],"="),
_xlpm.余剰化受入,SUMIFS(tbl_ledger[数量],tbl_ledger[localId],$C336,tbl_ledger[イベント種類],"余剰化",tbl_ledger[元状態],F$304),
_xlpm.払出,SUMIFS(tbl_ledger[数量],tbl_ledger[localId],$C336,tbl_ledger[ロットID],"=",tbl_ledger[元状態],F$304),
_xlpm.受入+_xlpm.余剰化受入-_xlpm.払出))</f>
        <v/>
      </c>
      <c r="G336" s="8" t="str">
        <f>IF($C336="","",_xlfn.LET(
_xlpm.受入,SUMIFS(tbl_ledger[数量],tbl_ledger[localId],$C336,tbl_ledger[イベント種類],"アセンブリ開始",tbl_ledger[ロットID],"="),
_xlpm.余剰化受入,SUMIFS(tbl_ledger[数量],tbl_ledger[localId],$C336,tbl_ledger[イベント種類],"余剰化",tbl_ledger[元状態],G$304),
_xlpm.払出,SUMIFS(tbl_ledger[数量],tbl_ledger[localId],$C336,tbl_ledger[ロットID],"=",tbl_ledger[元状態],G$304),
_xlpm.受入+_xlpm.余剰化受入-_xlpm.払出))</f>
        <v/>
      </c>
      <c r="H336" s="8" t="str">
        <f>IF($C336="","",_xlfn.LET(
_xlpm.受入,SUMIFS(tbl_ledger[数量],tbl_ledger[localId],$C336,tbl_ledger[イベント種類],"アセンブリ完了",tbl_ledger[ロットID],"="),
_xlpm.余剰化受入,SUMIFS(tbl_ledger[数量],tbl_ledger[localId],$C336,tbl_ledger[イベント種類],"余剰化",tbl_ledger[元状態],H$304),
_xlpm.払出,SUMIFS(tbl_ledger[数量],tbl_ledger[localId],$C336,tbl_ledger[ロットID],"=",tbl_ledger[元状態],H$304),
_xlpm.受入+_xlpm.余剰化受入-_xlpm.払出))</f>
        <v/>
      </c>
      <c r="I336" s="8" t="str">
        <f>IF($C336="","",_xlfn.LET(
_xlpm.受入,SUMIFS(tbl_ledger[数量],tbl_ledger[localId],$C336,tbl_ledger[イベント種類],"梱包開始",tbl_ledger[ロットID],"="),
_xlpm.余剰化受入,SUMIFS(tbl_ledger[数量],tbl_ledger[localId],$C336,tbl_ledger[イベント種類],"余剰化",tbl_ledger[元状態],I$304),
_xlpm.払出,SUMIFS(tbl_ledger[数量],tbl_ledger[localId],$C336,tbl_ledger[ロットID],"=",tbl_ledger[元状態],I$304),
_xlpm.受入+_xlpm.余剰化受入-_xlpm.払出))</f>
        <v/>
      </c>
      <c r="J336" s="8" t="str">
        <f>IF($C336="","",_xlfn.LET(
_xlpm.受入,SUMIFS(tbl_ledger[数量],tbl_ledger[localId],$C336,tbl_ledger[イベント種類],"梱包完了",tbl_ledger[ロットID],"="),
_xlpm.余剰化受入,SUMIFS(tbl_ledger[数量],tbl_ledger[localId],$C336,tbl_ledger[イベント種類],"余剰化",tbl_ledger[元状態],J$304),
_xlpm.払出,SUMIFS(tbl_ledger[数量],tbl_ledger[localId],$C336,tbl_ledger[ロットID],"=",tbl_ledger[元状態],J$304),
_xlpm.受入+_xlpm.余剰化受入-_xlpm.払出))</f>
        <v/>
      </c>
      <c r="K336" s="8" t="str">
        <f>IF($C336="","",_xlfn.LET(
_xlpm.受入,SUMIFS(tbl_ledger[数量],tbl_ledger[localId],$C336,tbl_ledger[イベント種類],"発送準備開始",tbl_ledger[ロットID],"="),
_xlpm.余剰化受入,SUMIFS(tbl_ledger[数量],tbl_ledger[localId],$C336,tbl_ledger[イベント種類],"余剰化",tbl_ledger[元状態],K$304),
_xlpm.払出,SUMIFS(tbl_ledger[数量],tbl_ledger[localId],$C336,tbl_ledger[ロットID],"=",tbl_ledger[元状態],K$304),
_xlpm.受入+_xlpm.余剰化受入-_xlpm.払出))</f>
        <v/>
      </c>
      <c r="L336" s="8" t="str">
        <f>IF($C336="","",_xlfn.LET(
_xlpm.受入,SUMIFS(tbl_ledger[数量],tbl_ledger[localId],$C336,tbl_ledger[イベント種類],"発送準備完了",tbl_ledger[ロットID],"="),
_xlpm.余剰化受入,SUMIFS(tbl_ledger[数量],tbl_ledger[localId],$C336,tbl_ledger[イベント種類],"余剰化",tbl_ledger[元状態],L$304),
_xlpm.払出,SUMIFS(tbl_ledger[数量],tbl_ledger[localId],$C336,tbl_ledger[ロットID],"=",tbl_ledger[元状態],L$304),
_xlpm.受入+_xlpm.余剰化受入-_xlpm.払出))</f>
        <v/>
      </c>
      <c r="M336" s="8" t="str">
        <f>IF($C336="","",_xlfn.LET(
_xlpm.受入,SUMIFS(tbl_ledger[数量],tbl_ledger[localId],$C336,tbl_ledger[イベント種類],"不良発生",tbl_ledger[ロットID],"="),
_xlpm.余剰化受入,SUMIFS(tbl_ledger[数量],tbl_ledger[localId],$C336,tbl_ledger[イベント種類],"余剰化",tbl_ledger[元状態],M$304),
_xlpm.払出,SUMIFS(tbl_ledger[数量],tbl_ledger[localId],$C336,tbl_ledger[ロットID],"=",tbl_ledger[元状態],M$304),
_xlpm.受入+_xlpm.余剰化受入-_xlpm.払出))</f>
        <v/>
      </c>
      <c r="N336" s="8" t="str">
        <f t="shared" si="11"/>
        <v/>
      </c>
    </row>
    <row r="337" spans="1:14" ht="15" customHeight="1" x14ac:dyDescent="0.25">
      <c r="A337" s="4" t="str">
        <f t="shared" ref="A337:A368" si="12">IF($C337="","","未割当")</f>
        <v/>
      </c>
      <c r="B337" s="4"/>
      <c r="C337" s="4" t="str">
        <f>IFERROR(INDEX(tbl_master[localId],ROW()-304),"")</f>
        <v/>
      </c>
      <c r="D337" s="8" t="str">
        <f>IF($C337="","",_xlfn.LET(
_xlpm.搬入計,SUMIFS(tbl_ledger[数量],tbl_ledger[localId],$C337,tbl_ledger[イベント種類],"搬入"),
_xlpm.割当計,SUMIF(V_充足確認!$B$2:$B$301,$C337,V_充足確認!$F$2:$F$301),
_xlpm.余剰化受入,SUMIFS(tbl_ledger[数量],tbl_ledger[localId],$C337,tbl_ledger[イベント種類],"余剰化",tbl_ledger[元状態],D$304),
_xlpm.払出,SUMIFS(tbl_ledger[数量],tbl_ledger[localId],$C337,tbl_ledger[ロットID],"=",tbl_ledger[元状態],D$304),
_xlpm.搬入計-_xlpm.割当計+_xlpm.余剰化受入-_xlpm.払出))</f>
        <v/>
      </c>
      <c r="E337" s="8" t="str">
        <f>IF($C337="","",_xlfn.LET(
_xlpm.受入,SUMIFS(tbl_ledger[数量],tbl_ledger[localId],$C337,tbl_ledger[イベント種類],"アニール開始",tbl_ledger[ロットID],"="),
_xlpm.余剰化受入,SUMIFS(tbl_ledger[数量],tbl_ledger[localId],$C337,tbl_ledger[イベント種類],"余剰化",tbl_ledger[元状態],E$304),
_xlpm.払出,SUMIFS(tbl_ledger[数量],tbl_ledger[localId],$C337,tbl_ledger[ロットID],"=",tbl_ledger[元状態],E$304),
_xlpm.受入+_xlpm.余剰化受入-_xlpm.払出))</f>
        <v/>
      </c>
      <c r="F337" s="8" t="str">
        <f>IF($C337="","",_xlfn.LET(
_xlpm.受入,SUMIFS(tbl_ledger[数量],tbl_ledger[localId],$C337,tbl_ledger[イベント種類],"アニール完了",tbl_ledger[ロットID],"="),
_xlpm.余剰化受入,SUMIFS(tbl_ledger[数量],tbl_ledger[localId],$C337,tbl_ledger[イベント種類],"余剰化",tbl_ledger[元状態],F$304),
_xlpm.払出,SUMIFS(tbl_ledger[数量],tbl_ledger[localId],$C337,tbl_ledger[ロットID],"=",tbl_ledger[元状態],F$304),
_xlpm.受入+_xlpm.余剰化受入-_xlpm.払出))</f>
        <v/>
      </c>
      <c r="G337" s="8" t="str">
        <f>IF($C337="","",_xlfn.LET(
_xlpm.受入,SUMIFS(tbl_ledger[数量],tbl_ledger[localId],$C337,tbl_ledger[イベント種類],"アセンブリ開始",tbl_ledger[ロットID],"="),
_xlpm.余剰化受入,SUMIFS(tbl_ledger[数量],tbl_ledger[localId],$C337,tbl_ledger[イベント種類],"余剰化",tbl_ledger[元状態],G$304),
_xlpm.払出,SUMIFS(tbl_ledger[数量],tbl_ledger[localId],$C337,tbl_ledger[ロットID],"=",tbl_ledger[元状態],G$304),
_xlpm.受入+_xlpm.余剰化受入-_xlpm.払出))</f>
        <v/>
      </c>
      <c r="H337" s="8" t="str">
        <f>IF($C337="","",_xlfn.LET(
_xlpm.受入,SUMIFS(tbl_ledger[数量],tbl_ledger[localId],$C337,tbl_ledger[イベント種類],"アセンブリ完了",tbl_ledger[ロットID],"="),
_xlpm.余剰化受入,SUMIFS(tbl_ledger[数量],tbl_ledger[localId],$C337,tbl_ledger[イベント種類],"余剰化",tbl_ledger[元状態],H$304),
_xlpm.払出,SUMIFS(tbl_ledger[数量],tbl_ledger[localId],$C337,tbl_ledger[ロットID],"=",tbl_ledger[元状態],H$304),
_xlpm.受入+_xlpm.余剰化受入-_xlpm.払出))</f>
        <v/>
      </c>
      <c r="I337" s="8" t="str">
        <f>IF($C337="","",_xlfn.LET(
_xlpm.受入,SUMIFS(tbl_ledger[数量],tbl_ledger[localId],$C337,tbl_ledger[イベント種類],"梱包開始",tbl_ledger[ロットID],"="),
_xlpm.余剰化受入,SUMIFS(tbl_ledger[数量],tbl_ledger[localId],$C337,tbl_ledger[イベント種類],"余剰化",tbl_ledger[元状態],I$304),
_xlpm.払出,SUMIFS(tbl_ledger[数量],tbl_ledger[localId],$C337,tbl_ledger[ロットID],"=",tbl_ledger[元状態],I$304),
_xlpm.受入+_xlpm.余剰化受入-_xlpm.払出))</f>
        <v/>
      </c>
      <c r="J337" s="8" t="str">
        <f>IF($C337="","",_xlfn.LET(
_xlpm.受入,SUMIFS(tbl_ledger[数量],tbl_ledger[localId],$C337,tbl_ledger[イベント種類],"梱包完了",tbl_ledger[ロットID],"="),
_xlpm.余剰化受入,SUMIFS(tbl_ledger[数量],tbl_ledger[localId],$C337,tbl_ledger[イベント種類],"余剰化",tbl_ledger[元状態],J$304),
_xlpm.払出,SUMIFS(tbl_ledger[数量],tbl_ledger[localId],$C337,tbl_ledger[ロットID],"=",tbl_ledger[元状態],J$304),
_xlpm.受入+_xlpm.余剰化受入-_xlpm.払出))</f>
        <v/>
      </c>
      <c r="K337" s="8" t="str">
        <f>IF($C337="","",_xlfn.LET(
_xlpm.受入,SUMIFS(tbl_ledger[数量],tbl_ledger[localId],$C337,tbl_ledger[イベント種類],"発送準備開始",tbl_ledger[ロットID],"="),
_xlpm.余剰化受入,SUMIFS(tbl_ledger[数量],tbl_ledger[localId],$C337,tbl_ledger[イベント種類],"余剰化",tbl_ledger[元状態],K$304),
_xlpm.払出,SUMIFS(tbl_ledger[数量],tbl_ledger[localId],$C337,tbl_ledger[ロットID],"=",tbl_ledger[元状態],K$304),
_xlpm.受入+_xlpm.余剰化受入-_xlpm.払出))</f>
        <v/>
      </c>
      <c r="L337" s="8" t="str">
        <f>IF($C337="","",_xlfn.LET(
_xlpm.受入,SUMIFS(tbl_ledger[数量],tbl_ledger[localId],$C337,tbl_ledger[イベント種類],"発送準備完了",tbl_ledger[ロットID],"="),
_xlpm.余剰化受入,SUMIFS(tbl_ledger[数量],tbl_ledger[localId],$C337,tbl_ledger[イベント種類],"余剰化",tbl_ledger[元状態],L$304),
_xlpm.払出,SUMIFS(tbl_ledger[数量],tbl_ledger[localId],$C337,tbl_ledger[ロットID],"=",tbl_ledger[元状態],L$304),
_xlpm.受入+_xlpm.余剰化受入-_xlpm.払出))</f>
        <v/>
      </c>
      <c r="M337" s="8" t="str">
        <f>IF($C337="","",_xlfn.LET(
_xlpm.受入,SUMIFS(tbl_ledger[数量],tbl_ledger[localId],$C337,tbl_ledger[イベント種類],"不良発生",tbl_ledger[ロットID],"="),
_xlpm.余剰化受入,SUMIFS(tbl_ledger[数量],tbl_ledger[localId],$C337,tbl_ledger[イベント種類],"余剰化",tbl_ledger[元状態],M$304),
_xlpm.払出,SUMIFS(tbl_ledger[数量],tbl_ledger[localId],$C337,tbl_ledger[ロットID],"=",tbl_ledger[元状態],M$304),
_xlpm.受入+_xlpm.余剰化受入-_xlpm.払出))</f>
        <v/>
      </c>
      <c r="N337" s="8" t="str">
        <f t="shared" ref="N337:N368" si="13">IF($C337="","",SUM(D337:M337))</f>
        <v/>
      </c>
    </row>
    <row r="338" spans="1:14" ht="15" customHeight="1" x14ac:dyDescent="0.25">
      <c r="A338" s="4" t="str">
        <f t="shared" si="12"/>
        <v/>
      </c>
      <c r="B338" s="4"/>
      <c r="C338" s="4" t="str">
        <f>IFERROR(INDEX(tbl_master[localId],ROW()-304),"")</f>
        <v/>
      </c>
      <c r="D338" s="8" t="str">
        <f>IF($C338="","",_xlfn.LET(
_xlpm.搬入計,SUMIFS(tbl_ledger[数量],tbl_ledger[localId],$C338,tbl_ledger[イベント種類],"搬入"),
_xlpm.割当計,SUMIF(V_充足確認!$B$2:$B$301,$C338,V_充足確認!$F$2:$F$301),
_xlpm.余剰化受入,SUMIFS(tbl_ledger[数量],tbl_ledger[localId],$C338,tbl_ledger[イベント種類],"余剰化",tbl_ledger[元状態],D$304),
_xlpm.払出,SUMIFS(tbl_ledger[数量],tbl_ledger[localId],$C338,tbl_ledger[ロットID],"=",tbl_ledger[元状態],D$304),
_xlpm.搬入計-_xlpm.割当計+_xlpm.余剰化受入-_xlpm.払出))</f>
        <v/>
      </c>
      <c r="E338" s="8" t="str">
        <f>IF($C338="","",_xlfn.LET(
_xlpm.受入,SUMIFS(tbl_ledger[数量],tbl_ledger[localId],$C338,tbl_ledger[イベント種類],"アニール開始",tbl_ledger[ロットID],"="),
_xlpm.余剰化受入,SUMIFS(tbl_ledger[数量],tbl_ledger[localId],$C338,tbl_ledger[イベント種類],"余剰化",tbl_ledger[元状態],E$304),
_xlpm.払出,SUMIFS(tbl_ledger[数量],tbl_ledger[localId],$C338,tbl_ledger[ロットID],"=",tbl_ledger[元状態],E$304),
_xlpm.受入+_xlpm.余剰化受入-_xlpm.払出))</f>
        <v/>
      </c>
      <c r="F338" s="8" t="str">
        <f>IF($C338="","",_xlfn.LET(
_xlpm.受入,SUMIFS(tbl_ledger[数量],tbl_ledger[localId],$C338,tbl_ledger[イベント種類],"アニール完了",tbl_ledger[ロットID],"="),
_xlpm.余剰化受入,SUMIFS(tbl_ledger[数量],tbl_ledger[localId],$C338,tbl_ledger[イベント種類],"余剰化",tbl_ledger[元状態],F$304),
_xlpm.払出,SUMIFS(tbl_ledger[数量],tbl_ledger[localId],$C338,tbl_ledger[ロットID],"=",tbl_ledger[元状態],F$304),
_xlpm.受入+_xlpm.余剰化受入-_xlpm.払出))</f>
        <v/>
      </c>
      <c r="G338" s="8" t="str">
        <f>IF($C338="","",_xlfn.LET(
_xlpm.受入,SUMIFS(tbl_ledger[数量],tbl_ledger[localId],$C338,tbl_ledger[イベント種類],"アセンブリ開始",tbl_ledger[ロットID],"="),
_xlpm.余剰化受入,SUMIFS(tbl_ledger[数量],tbl_ledger[localId],$C338,tbl_ledger[イベント種類],"余剰化",tbl_ledger[元状態],G$304),
_xlpm.払出,SUMIFS(tbl_ledger[数量],tbl_ledger[localId],$C338,tbl_ledger[ロットID],"=",tbl_ledger[元状態],G$304),
_xlpm.受入+_xlpm.余剰化受入-_xlpm.払出))</f>
        <v/>
      </c>
      <c r="H338" s="8" t="str">
        <f>IF($C338="","",_xlfn.LET(
_xlpm.受入,SUMIFS(tbl_ledger[数量],tbl_ledger[localId],$C338,tbl_ledger[イベント種類],"アセンブリ完了",tbl_ledger[ロットID],"="),
_xlpm.余剰化受入,SUMIFS(tbl_ledger[数量],tbl_ledger[localId],$C338,tbl_ledger[イベント種類],"余剰化",tbl_ledger[元状態],H$304),
_xlpm.払出,SUMIFS(tbl_ledger[数量],tbl_ledger[localId],$C338,tbl_ledger[ロットID],"=",tbl_ledger[元状態],H$304),
_xlpm.受入+_xlpm.余剰化受入-_xlpm.払出))</f>
        <v/>
      </c>
      <c r="I338" s="8" t="str">
        <f>IF($C338="","",_xlfn.LET(
_xlpm.受入,SUMIFS(tbl_ledger[数量],tbl_ledger[localId],$C338,tbl_ledger[イベント種類],"梱包開始",tbl_ledger[ロットID],"="),
_xlpm.余剰化受入,SUMIFS(tbl_ledger[数量],tbl_ledger[localId],$C338,tbl_ledger[イベント種類],"余剰化",tbl_ledger[元状態],I$304),
_xlpm.払出,SUMIFS(tbl_ledger[数量],tbl_ledger[localId],$C338,tbl_ledger[ロットID],"=",tbl_ledger[元状態],I$304),
_xlpm.受入+_xlpm.余剰化受入-_xlpm.払出))</f>
        <v/>
      </c>
      <c r="J338" s="8" t="str">
        <f>IF($C338="","",_xlfn.LET(
_xlpm.受入,SUMIFS(tbl_ledger[数量],tbl_ledger[localId],$C338,tbl_ledger[イベント種類],"梱包完了",tbl_ledger[ロットID],"="),
_xlpm.余剰化受入,SUMIFS(tbl_ledger[数量],tbl_ledger[localId],$C338,tbl_ledger[イベント種類],"余剰化",tbl_ledger[元状態],J$304),
_xlpm.払出,SUMIFS(tbl_ledger[数量],tbl_ledger[localId],$C338,tbl_ledger[ロットID],"=",tbl_ledger[元状態],J$304),
_xlpm.受入+_xlpm.余剰化受入-_xlpm.払出))</f>
        <v/>
      </c>
      <c r="K338" s="8" t="str">
        <f>IF($C338="","",_xlfn.LET(
_xlpm.受入,SUMIFS(tbl_ledger[数量],tbl_ledger[localId],$C338,tbl_ledger[イベント種類],"発送準備開始",tbl_ledger[ロットID],"="),
_xlpm.余剰化受入,SUMIFS(tbl_ledger[数量],tbl_ledger[localId],$C338,tbl_ledger[イベント種類],"余剰化",tbl_ledger[元状態],K$304),
_xlpm.払出,SUMIFS(tbl_ledger[数量],tbl_ledger[localId],$C338,tbl_ledger[ロットID],"=",tbl_ledger[元状態],K$304),
_xlpm.受入+_xlpm.余剰化受入-_xlpm.払出))</f>
        <v/>
      </c>
      <c r="L338" s="8" t="str">
        <f>IF($C338="","",_xlfn.LET(
_xlpm.受入,SUMIFS(tbl_ledger[数量],tbl_ledger[localId],$C338,tbl_ledger[イベント種類],"発送準備完了",tbl_ledger[ロットID],"="),
_xlpm.余剰化受入,SUMIFS(tbl_ledger[数量],tbl_ledger[localId],$C338,tbl_ledger[イベント種類],"余剰化",tbl_ledger[元状態],L$304),
_xlpm.払出,SUMIFS(tbl_ledger[数量],tbl_ledger[localId],$C338,tbl_ledger[ロットID],"=",tbl_ledger[元状態],L$304),
_xlpm.受入+_xlpm.余剰化受入-_xlpm.払出))</f>
        <v/>
      </c>
      <c r="M338" s="8" t="str">
        <f>IF($C338="","",_xlfn.LET(
_xlpm.受入,SUMIFS(tbl_ledger[数量],tbl_ledger[localId],$C338,tbl_ledger[イベント種類],"不良発生",tbl_ledger[ロットID],"="),
_xlpm.余剰化受入,SUMIFS(tbl_ledger[数量],tbl_ledger[localId],$C338,tbl_ledger[イベント種類],"余剰化",tbl_ledger[元状態],M$304),
_xlpm.払出,SUMIFS(tbl_ledger[数量],tbl_ledger[localId],$C338,tbl_ledger[ロットID],"=",tbl_ledger[元状態],M$304),
_xlpm.受入+_xlpm.余剰化受入-_xlpm.払出))</f>
        <v/>
      </c>
      <c r="N338" s="8" t="str">
        <f t="shared" si="13"/>
        <v/>
      </c>
    </row>
    <row r="339" spans="1:14" ht="15" customHeight="1" x14ac:dyDescent="0.25">
      <c r="A339" s="4" t="str">
        <f t="shared" si="12"/>
        <v/>
      </c>
      <c r="B339" s="4"/>
      <c r="C339" s="4" t="str">
        <f>IFERROR(INDEX(tbl_master[localId],ROW()-304),"")</f>
        <v/>
      </c>
      <c r="D339" s="8" t="str">
        <f>IF($C339="","",_xlfn.LET(
_xlpm.搬入計,SUMIFS(tbl_ledger[数量],tbl_ledger[localId],$C339,tbl_ledger[イベント種類],"搬入"),
_xlpm.割当計,SUMIF(V_充足確認!$B$2:$B$301,$C339,V_充足確認!$F$2:$F$301),
_xlpm.余剰化受入,SUMIFS(tbl_ledger[数量],tbl_ledger[localId],$C339,tbl_ledger[イベント種類],"余剰化",tbl_ledger[元状態],D$304),
_xlpm.払出,SUMIFS(tbl_ledger[数量],tbl_ledger[localId],$C339,tbl_ledger[ロットID],"=",tbl_ledger[元状態],D$304),
_xlpm.搬入計-_xlpm.割当計+_xlpm.余剰化受入-_xlpm.払出))</f>
        <v/>
      </c>
      <c r="E339" s="8" t="str">
        <f>IF($C339="","",_xlfn.LET(
_xlpm.受入,SUMIFS(tbl_ledger[数量],tbl_ledger[localId],$C339,tbl_ledger[イベント種類],"アニール開始",tbl_ledger[ロットID],"="),
_xlpm.余剰化受入,SUMIFS(tbl_ledger[数量],tbl_ledger[localId],$C339,tbl_ledger[イベント種類],"余剰化",tbl_ledger[元状態],E$304),
_xlpm.払出,SUMIFS(tbl_ledger[数量],tbl_ledger[localId],$C339,tbl_ledger[ロットID],"=",tbl_ledger[元状態],E$304),
_xlpm.受入+_xlpm.余剰化受入-_xlpm.払出))</f>
        <v/>
      </c>
      <c r="F339" s="8" t="str">
        <f>IF($C339="","",_xlfn.LET(
_xlpm.受入,SUMIFS(tbl_ledger[数量],tbl_ledger[localId],$C339,tbl_ledger[イベント種類],"アニール完了",tbl_ledger[ロットID],"="),
_xlpm.余剰化受入,SUMIFS(tbl_ledger[数量],tbl_ledger[localId],$C339,tbl_ledger[イベント種類],"余剰化",tbl_ledger[元状態],F$304),
_xlpm.払出,SUMIFS(tbl_ledger[数量],tbl_ledger[localId],$C339,tbl_ledger[ロットID],"=",tbl_ledger[元状態],F$304),
_xlpm.受入+_xlpm.余剰化受入-_xlpm.払出))</f>
        <v/>
      </c>
      <c r="G339" s="8" t="str">
        <f>IF($C339="","",_xlfn.LET(
_xlpm.受入,SUMIFS(tbl_ledger[数量],tbl_ledger[localId],$C339,tbl_ledger[イベント種類],"アセンブリ開始",tbl_ledger[ロットID],"="),
_xlpm.余剰化受入,SUMIFS(tbl_ledger[数量],tbl_ledger[localId],$C339,tbl_ledger[イベント種類],"余剰化",tbl_ledger[元状態],G$304),
_xlpm.払出,SUMIFS(tbl_ledger[数量],tbl_ledger[localId],$C339,tbl_ledger[ロットID],"=",tbl_ledger[元状態],G$304),
_xlpm.受入+_xlpm.余剰化受入-_xlpm.払出))</f>
        <v/>
      </c>
      <c r="H339" s="8" t="str">
        <f>IF($C339="","",_xlfn.LET(
_xlpm.受入,SUMIFS(tbl_ledger[数量],tbl_ledger[localId],$C339,tbl_ledger[イベント種類],"アセンブリ完了",tbl_ledger[ロットID],"="),
_xlpm.余剰化受入,SUMIFS(tbl_ledger[数量],tbl_ledger[localId],$C339,tbl_ledger[イベント種類],"余剰化",tbl_ledger[元状態],H$304),
_xlpm.払出,SUMIFS(tbl_ledger[数量],tbl_ledger[localId],$C339,tbl_ledger[ロットID],"=",tbl_ledger[元状態],H$304),
_xlpm.受入+_xlpm.余剰化受入-_xlpm.払出))</f>
        <v/>
      </c>
      <c r="I339" s="8" t="str">
        <f>IF($C339="","",_xlfn.LET(
_xlpm.受入,SUMIFS(tbl_ledger[数量],tbl_ledger[localId],$C339,tbl_ledger[イベント種類],"梱包開始",tbl_ledger[ロットID],"="),
_xlpm.余剰化受入,SUMIFS(tbl_ledger[数量],tbl_ledger[localId],$C339,tbl_ledger[イベント種類],"余剰化",tbl_ledger[元状態],I$304),
_xlpm.払出,SUMIFS(tbl_ledger[数量],tbl_ledger[localId],$C339,tbl_ledger[ロットID],"=",tbl_ledger[元状態],I$304),
_xlpm.受入+_xlpm.余剰化受入-_xlpm.払出))</f>
        <v/>
      </c>
      <c r="J339" s="8" t="str">
        <f>IF($C339="","",_xlfn.LET(
_xlpm.受入,SUMIFS(tbl_ledger[数量],tbl_ledger[localId],$C339,tbl_ledger[イベント種類],"梱包完了",tbl_ledger[ロットID],"="),
_xlpm.余剰化受入,SUMIFS(tbl_ledger[数量],tbl_ledger[localId],$C339,tbl_ledger[イベント種類],"余剰化",tbl_ledger[元状態],J$304),
_xlpm.払出,SUMIFS(tbl_ledger[数量],tbl_ledger[localId],$C339,tbl_ledger[ロットID],"=",tbl_ledger[元状態],J$304),
_xlpm.受入+_xlpm.余剰化受入-_xlpm.払出))</f>
        <v/>
      </c>
      <c r="K339" s="8" t="str">
        <f>IF($C339="","",_xlfn.LET(
_xlpm.受入,SUMIFS(tbl_ledger[数量],tbl_ledger[localId],$C339,tbl_ledger[イベント種類],"発送準備開始",tbl_ledger[ロットID],"="),
_xlpm.余剰化受入,SUMIFS(tbl_ledger[数量],tbl_ledger[localId],$C339,tbl_ledger[イベント種類],"余剰化",tbl_ledger[元状態],K$304),
_xlpm.払出,SUMIFS(tbl_ledger[数量],tbl_ledger[localId],$C339,tbl_ledger[ロットID],"=",tbl_ledger[元状態],K$304),
_xlpm.受入+_xlpm.余剰化受入-_xlpm.払出))</f>
        <v/>
      </c>
      <c r="L339" s="8" t="str">
        <f>IF($C339="","",_xlfn.LET(
_xlpm.受入,SUMIFS(tbl_ledger[数量],tbl_ledger[localId],$C339,tbl_ledger[イベント種類],"発送準備完了",tbl_ledger[ロットID],"="),
_xlpm.余剰化受入,SUMIFS(tbl_ledger[数量],tbl_ledger[localId],$C339,tbl_ledger[イベント種類],"余剰化",tbl_ledger[元状態],L$304),
_xlpm.払出,SUMIFS(tbl_ledger[数量],tbl_ledger[localId],$C339,tbl_ledger[ロットID],"=",tbl_ledger[元状態],L$304),
_xlpm.受入+_xlpm.余剰化受入-_xlpm.払出))</f>
        <v/>
      </c>
      <c r="M339" s="8" t="str">
        <f>IF($C339="","",_xlfn.LET(
_xlpm.受入,SUMIFS(tbl_ledger[数量],tbl_ledger[localId],$C339,tbl_ledger[イベント種類],"不良発生",tbl_ledger[ロットID],"="),
_xlpm.余剰化受入,SUMIFS(tbl_ledger[数量],tbl_ledger[localId],$C339,tbl_ledger[イベント種類],"余剰化",tbl_ledger[元状態],M$304),
_xlpm.払出,SUMIFS(tbl_ledger[数量],tbl_ledger[localId],$C339,tbl_ledger[ロットID],"=",tbl_ledger[元状態],M$304),
_xlpm.受入+_xlpm.余剰化受入-_xlpm.払出))</f>
        <v/>
      </c>
      <c r="N339" s="8" t="str">
        <f t="shared" si="13"/>
        <v/>
      </c>
    </row>
    <row r="340" spans="1:14" ht="15" customHeight="1" x14ac:dyDescent="0.25">
      <c r="A340" s="4" t="str">
        <f t="shared" si="12"/>
        <v/>
      </c>
      <c r="B340" s="4"/>
      <c r="C340" s="4" t="str">
        <f>IFERROR(INDEX(tbl_master[localId],ROW()-304),"")</f>
        <v/>
      </c>
      <c r="D340" s="8" t="str">
        <f>IF($C340="","",_xlfn.LET(
_xlpm.搬入計,SUMIFS(tbl_ledger[数量],tbl_ledger[localId],$C340,tbl_ledger[イベント種類],"搬入"),
_xlpm.割当計,SUMIF(V_充足確認!$B$2:$B$301,$C340,V_充足確認!$F$2:$F$301),
_xlpm.余剰化受入,SUMIFS(tbl_ledger[数量],tbl_ledger[localId],$C340,tbl_ledger[イベント種類],"余剰化",tbl_ledger[元状態],D$304),
_xlpm.払出,SUMIFS(tbl_ledger[数量],tbl_ledger[localId],$C340,tbl_ledger[ロットID],"=",tbl_ledger[元状態],D$304),
_xlpm.搬入計-_xlpm.割当計+_xlpm.余剰化受入-_xlpm.払出))</f>
        <v/>
      </c>
      <c r="E340" s="8" t="str">
        <f>IF($C340="","",_xlfn.LET(
_xlpm.受入,SUMIFS(tbl_ledger[数量],tbl_ledger[localId],$C340,tbl_ledger[イベント種類],"アニール開始",tbl_ledger[ロットID],"="),
_xlpm.余剰化受入,SUMIFS(tbl_ledger[数量],tbl_ledger[localId],$C340,tbl_ledger[イベント種類],"余剰化",tbl_ledger[元状態],E$304),
_xlpm.払出,SUMIFS(tbl_ledger[数量],tbl_ledger[localId],$C340,tbl_ledger[ロットID],"=",tbl_ledger[元状態],E$304),
_xlpm.受入+_xlpm.余剰化受入-_xlpm.払出))</f>
        <v/>
      </c>
      <c r="F340" s="8" t="str">
        <f>IF($C340="","",_xlfn.LET(
_xlpm.受入,SUMIFS(tbl_ledger[数量],tbl_ledger[localId],$C340,tbl_ledger[イベント種類],"アニール完了",tbl_ledger[ロットID],"="),
_xlpm.余剰化受入,SUMIFS(tbl_ledger[数量],tbl_ledger[localId],$C340,tbl_ledger[イベント種類],"余剰化",tbl_ledger[元状態],F$304),
_xlpm.払出,SUMIFS(tbl_ledger[数量],tbl_ledger[localId],$C340,tbl_ledger[ロットID],"=",tbl_ledger[元状態],F$304),
_xlpm.受入+_xlpm.余剰化受入-_xlpm.払出))</f>
        <v/>
      </c>
      <c r="G340" s="8" t="str">
        <f>IF($C340="","",_xlfn.LET(
_xlpm.受入,SUMIFS(tbl_ledger[数量],tbl_ledger[localId],$C340,tbl_ledger[イベント種類],"アセンブリ開始",tbl_ledger[ロットID],"="),
_xlpm.余剰化受入,SUMIFS(tbl_ledger[数量],tbl_ledger[localId],$C340,tbl_ledger[イベント種類],"余剰化",tbl_ledger[元状態],G$304),
_xlpm.払出,SUMIFS(tbl_ledger[数量],tbl_ledger[localId],$C340,tbl_ledger[ロットID],"=",tbl_ledger[元状態],G$304),
_xlpm.受入+_xlpm.余剰化受入-_xlpm.払出))</f>
        <v/>
      </c>
      <c r="H340" s="8" t="str">
        <f>IF($C340="","",_xlfn.LET(
_xlpm.受入,SUMIFS(tbl_ledger[数量],tbl_ledger[localId],$C340,tbl_ledger[イベント種類],"アセンブリ完了",tbl_ledger[ロットID],"="),
_xlpm.余剰化受入,SUMIFS(tbl_ledger[数量],tbl_ledger[localId],$C340,tbl_ledger[イベント種類],"余剰化",tbl_ledger[元状態],H$304),
_xlpm.払出,SUMIFS(tbl_ledger[数量],tbl_ledger[localId],$C340,tbl_ledger[ロットID],"=",tbl_ledger[元状態],H$304),
_xlpm.受入+_xlpm.余剰化受入-_xlpm.払出))</f>
        <v/>
      </c>
      <c r="I340" s="8" t="str">
        <f>IF($C340="","",_xlfn.LET(
_xlpm.受入,SUMIFS(tbl_ledger[数量],tbl_ledger[localId],$C340,tbl_ledger[イベント種類],"梱包開始",tbl_ledger[ロットID],"="),
_xlpm.余剰化受入,SUMIFS(tbl_ledger[数量],tbl_ledger[localId],$C340,tbl_ledger[イベント種類],"余剰化",tbl_ledger[元状態],I$304),
_xlpm.払出,SUMIFS(tbl_ledger[数量],tbl_ledger[localId],$C340,tbl_ledger[ロットID],"=",tbl_ledger[元状態],I$304),
_xlpm.受入+_xlpm.余剰化受入-_xlpm.払出))</f>
        <v/>
      </c>
      <c r="J340" s="8" t="str">
        <f>IF($C340="","",_xlfn.LET(
_xlpm.受入,SUMIFS(tbl_ledger[数量],tbl_ledger[localId],$C340,tbl_ledger[イベント種類],"梱包完了",tbl_ledger[ロットID],"="),
_xlpm.余剰化受入,SUMIFS(tbl_ledger[数量],tbl_ledger[localId],$C340,tbl_ledger[イベント種類],"余剰化",tbl_ledger[元状態],J$304),
_xlpm.払出,SUMIFS(tbl_ledger[数量],tbl_ledger[localId],$C340,tbl_ledger[ロットID],"=",tbl_ledger[元状態],J$304),
_xlpm.受入+_xlpm.余剰化受入-_xlpm.払出))</f>
        <v/>
      </c>
      <c r="K340" s="8" t="str">
        <f>IF($C340="","",_xlfn.LET(
_xlpm.受入,SUMIFS(tbl_ledger[数量],tbl_ledger[localId],$C340,tbl_ledger[イベント種類],"発送準備開始",tbl_ledger[ロットID],"="),
_xlpm.余剰化受入,SUMIFS(tbl_ledger[数量],tbl_ledger[localId],$C340,tbl_ledger[イベント種類],"余剰化",tbl_ledger[元状態],K$304),
_xlpm.払出,SUMIFS(tbl_ledger[数量],tbl_ledger[localId],$C340,tbl_ledger[ロットID],"=",tbl_ledger[元状態],K$304),
_xlpm.受入+_xlpm.余剰化受入-_xlpm.払出))</f>
        <v/>
      </c>
      <c r="L340" s="8" t="str">
        <f>IF($C340="","",_xlfn.LET(
_xlpm.受入,SUMIFS(tbl_ledger[数量],tbl_ledger[localId],$C340,tbl_ledger[イベント種類],"発送準備完了",tbl_ledger[ロットID],"="),
_xlpm.余剰化受入,SUMIFS(tbl_ledger[数量],tbl_ledger[localId],$C340,tbl_ledger[イベント種類],"余剰化",tbl_ledger[元状態],L$304),
_xlpm.払出,SUMIFS(tbl_ledger[数量],tbl_ledger[localId],$C340,tbl_ledger[ロットID],"=",tbl_ledger[元状態],L$304),
_xlpm.受入+_xlpm.余剰化受入-_xlpm.払出))</f>
        <v/>
      </c>
      <c r="M340" s="8" t="str">
        <f>IF($C340="","",_xlfn.LET(
_xlpm.受入,SUMIFS(tbl_ledger[数量],tbl_ledger[localId],$C340,tbl_ledger[イベント種類],"不良発生",tbl_ledger[ロットID],"="),
_xlpm.余剰化受入,SUMIFS(tbl_ledger[数量],tbl_ledger[localId],$C340,tbl_ledger[イベント種類],"余剰化",tbl_ledger[元状態],M$304),
_xlpm.払出,SUMIFS(tbl_ledger[数量],tbl_ledger[localId],$C340,tbl_ledger[ロットID],"=",tbl_ledger[元状態],M$304),
_xlpm.受入+_xlpm.余剰化受入-_xlpm.払出))</f>
        <v/>
      </c>
      <c r="N340" s="8" t="str">
        <f t="shared" si="13"/>
        <v/>
      </c>
    </row>
    <row r="341" spans="1:14" ht="15" customHeight="1" x14ac:dyDescent="0.25">
      <c r="A341" s="4" t="str">
        <f t="shared" si="12"/>
        <v/>
      </c>
      <c r="B341" s="4"/>
      <c r="C341" s="4" t="str">
        <f>IFERROR(INDEX(tbl_master[localId],ROW()-304),"")</f>
        <v/>
      </c>
      <c r="D341" s="8" t="str">
        <f>IF($C341="","",_xlfn.LET(
_xlpm.搬入計,SUMIFS(tbl_ledger[数量],tbl_ledger[localId],$C341,tbl_ledger[イベント種類],"搬入"),
_xlpm.割当計,SUMIF(V_充足確認!$B$2:$B$301,$C341,V_充足確認!$F$2:$F$301),
_xlpm.余剰化受入,SUMIFS(tbl_ledger[数量],tbl_ledger[localId],$C341,tbl_ledger[イベント種類],"余剰化",tbl_ledger[元状態],D$304),
_xlpm.払出,SUMIFS(tbl_ledger[数量],tbl_ledger[localId],$C341,tbl_ledger[ロットID],"=",tbl_ledger[元状態],D$304),
_xlpm.搬入計-_xlpm.割当計+_xlpm.余剰化受入-_xlpm.払出))</f>
        <v/>
      </c>
      <c r="E341" s="8" t="str">
        <f>IF($C341="","",_xlfn.LET(
_xlpm.受入,SUMIFS(tbl_ledger[数量],tbl_ledger[localId],$C341,tbl_ledger[イベント種類],"アニール開始",tbl_ledger[ロットID],"="),
_xlpm.余剰化受入,SUMIFS(tbl_ledger[数量],tbl_ledger[localId],$C341,tbl_ledger[イベント種類],"余剰化",tbl_ledger[元状態],E$304),
_xlpm.払出,SUMIFS(tbl_ledger[数量],tbl_ledger[localId],$C341,tbl_ledger[ロットID],"=",tbl_ledger[元状態],E$304),
_xlpm.受入+_xlpm.余剰化受入-_xlpm.払出))</f>
        <v/>
      </c>
      <c r="F341" s="8" t="str">
        <f>IF($C341="","",_xlfn.LET(
_xlpm.受入,SUMIFS(tbl_ledger[数量],tbl_ledger[localId],$C341,tbl_ledger[イベント種類],"アニール完了",tbl_ledger[ロットID],"="),
_xlpm.余剰化受入,SUMIFS(tbl_ledger[数量],tbl_ledger[localId],$C341,tbl_ledger[イベント種類],"余剰化",tbl_ledger[元状態],F$304),
_xlpm.払出,SUMIFS(tbl_ledger[数量],tbl_ledger[localId],$C341,tbl_ledger[ロットID],"=",tbl_ledger[元状態],F$304),
_xlpm.受入+_xlpm.余剰化受入-_xlpm.払出))</f>
        <v/>
      </c>
      <c r="G341" s="8" t="str">
        <f>IF($C341="","",_xlfn.LET(
_xlpm.受入,SUMIFS(tbl_ledger[数量],tbl_ledger[localId],$C341,tbl_ledger[イベント種類],"アセンブリ開始",tbl_ledger[ロットID],"="),
_xlpm.余剰化受入,SUMIFS(tbl_ledger[数量],tbl_ledger[localId],$C341,tbl_ledger[イベント種類],"余剰化",tbl_ledger[元状態],G$304),
_xlpm.払出,SUMIFS(tbl_ledger[数量],tbl_ledger[localId],$C341,tbl_ledger[ロットID],"=",tbl_ledger[元状態],G$304),
_xlpm.受入+_xlpm.余剰化受入-_xlpm.払出))</f>
        <v/>
      </c>
      <c r="H341" s="8" t="str">
        <f>IF($C341="","",_xlfn.LET(
_xlpm.受入,SUMIFS(tbl_ledger[数量],tbl_ledger[localId],$C341,tbl_ledger[イベント種類],"アセンブリ完了",tbl_ledger[ロットID],"="),
_xlpm.余剰化受入,SUMIFS(tbl_ledger[数量],tbl_ledger[localId],$C341,tbl_ledger[イベント種類],"余剰化",tbl_ledger[元状態],H$304),
_xlpm.払出,SUMIFS(tbl_ledger[数量],tbl_ledger[localId],$C341,tbl_ledger[ロットID],"=",tbl_ledger[元状態],H$304),
_xlpm.受入+_xlpm.余剰化受入-_xlpm.払出))</f>
        <v/>
      </c>
      <c r="I341" s="8" t="str">
        <f>IF($C341="","",_xlfn.LET(
_xlpm.受入,SUMIFS(tbl_ledger[数量],tbl_ledger[localId],$C341,tbl_ledger[イベント種類],"梱包開始",tbl_ledger[ロットID],"="),
_xlpm.余剰化受入,SUMIFS(tbl_ledger[数量],tbl_ledger[localId],$C341,tbl_ledger[イベント種類],"余剰化",tbl_ledger[元状態],I$304),
_xlpm.払出,SUMIFS(tbl_ledger[数量],tbl_ledger[localId],$C341,tbl_ledger[ロットID],"=",tbl_ledger[元状態],I$304),
_xlpm.受入+_xlpm.余剰化受入-_xlpm.払出))</f>
        <v/>
      </c>
      <c r="J341" s="8" t="str">
        <f>IF($C341="","",_xlfn.LET(
_xlpm.受入,SUMIFS(tbl_ledger[数量],tbl_ledger[localId],$C341,tbl_ledger[イベント種類],"梱包完了",tbl_ledger[ロットID],"="),
_xlpm.余剰化受入,SUMIFS(tbl_ledger[数量],tbl_ledger[localId],$C341,tbl_ledger[イベント種類],"余剰化",tbl_ledger[元状態],J$304),
_xlpm.払出,SUMIFS(tbl_ledger[数量],tbl_ledger[localId],$C341,tbl_ledger[ロットID],"=",tbl_ledger[元状態],J$304),
_xlpm.受入+_xlpm.余剰化受入-_xlpm.払出))</f>
        <v/>
      </c>
      <c r="K341" s="8" t="str">
        <f>IF($C341="","",_xlfn.LET(
_xlpm.受入,SUMIFS(tbl_ledger[数量],tbl_ledger[localId],$C341,tbl_ledger[イベント種類],"発送準備開始",tbl_ledger[ロットID],"="),
_xlpm.余剰化受入,SUMIFS(tbl_ledger[数量],tbl_ledger[localId],$C341,tbl_ledger[イベント種類],"余剰化",tbl_ledger[元状態],K$304),
_xlpm.払出,SUMIFS(tbl_ledger[数量],tbl_ledger[localId],$C341,tbl_ledger[ロットID],"=",tbl_ledger[元状態],K$304),
_xlpm.受入+_xlpm.余剰化受入-_xlpm.払出))</f>
        <v/>
      </c>
      <c r="L341" s="8" t="str">
        <f>IF($C341="","",_xlfn.LET(
_xlpm.受入,SUMIFS(tbl_ledger[数量],tbl_ledger[localId],$C341,tbl_ledger[イベント種類],"発送準備完了",tbl_ledger[ロットID],"="),
_xlpm.余剰化受入,SUMIFS(tbl_ledger[数量],tbl_ledger[localId],$C341,tbl_ledger[イベント種類],"余剰化",tbl_ledger[元状態],L$304),
_xlpm.払出,SUMIFS(tbl_ledger[数量],tbl_ledger[localId],$C341,tbl_ledger[ロットID],"=",tbl_ledger[元状態],L$304),
_xlpm.受入+_xlpm.余剰化受入-_xlpm.払出))</f>
        <v/>
      </c>
      <c r="M341" s="8" t="str">
        <f>IF($C341="","",_xlfn.LET(
_xlpm.受入,SUMIFS(tbl_ledger[数量],tbl_ledger[localId],$C341,tbl_ledger[イベント種類],"不良発生",tbl_ledger[ロットID],"="),
_xlpm.余剰化受入,SUMIFS(tbl_ledger[数量],tbl_ledger[localId],$C341,tbl_ledger[イベント種類],"余剰化",tbl_ledger[元状態],M$304),
_xlpm.払出,SUMIFS(tbl_ledger[数量],tbl_ledger[localId],$C341,tbl_ledger[ロットID],"=",tbl_ledger[元状態],M$304),
_xlpm.受入+_xlpm.余剰化受入-_xlpm.払出))</f>
        <v/>
      </c>
      <c r="N341" s="8" t="str">
        <f t="shared" si="13"/>
        <v/>
      </c>
    </row>
    <row r="342" spans="1:14" ht="15" customHeight="1" x14ac:dyDescent="0.25">
      <c r="A342" s="4" t="str">
        <f t="shared" si="12"/>
        <v/>
      </c>
      <c r="B342" s="4"/>
      <c r="C342" s="4" t="str">
        <f>IFERROR(INDEX(tbl_master[localId],ROW()-304),"")</f>
        <v/>
      </c>
      <c r="D342" s="8" t="str">
        <f>IF($C342="","",_xlfn.LET(
_xlpm.搬入計,SUMIFS(tbl_ledger[数量],tbl_ledger[localId],$C342,tbl_ledger[イベント種類],"搬入"),
_xlpm.割当計,SUMIF(V_充足確認!$B$2:$B$301,$C342,V_充足確認!$F$2:$F$301),
_xlpm.余剰化受入,SUMIFS(tbl_ledger[数量],tbl_ledger[localId],$C342,tbl_ledger[イベント種類],"余剰化",tbl_ledger[元状態],D$304),
_xlpm.払出,SUMIFS(tbl_ledger[数量],tbl_ledger[localId],$C342,tbl_ledger[ロットID],"=",tbl_ledger[元状態],D$304),
_xlpm.搬入計-_xlpm.割当計+_xlpm.余剰化受入-_xlpm.払出))</f>
        <v/>
      </c>
      <c r="E342" s="8" t="str">
        <f>IF($C342="","",_xlfn.LET(
_xlpm.受入,SUMIFS(tbl_ledger[数量],tbl_ledger[localId],$C342,tbl_ledger[イベント種類],"アニール開始",tbl_ledger[ロットID],"="),
_xlpm.余剰化受入,SUMIFS(tbl_ledger[数量],tbl_ledger[localId],$C342,tbl_ledger[イベント種類],"余剰化",tbl_ledger[元状態],E$304),
_xlpm.払出,SUMIFS(tbl_ledger[数量],tbl_ledger[localId],$C342,tbl_ledger[ロットID],"=",tbl_ledger[元状態],E$304),
_xlpm.受入+_xlpm.余剰化受入-_xlpm.払出))</f>
        <v/>
      </c>
      <c r="F342" s="8" t="str">
        <f>IF($C342="","",_xlfn.LET(
_xlpm.受入,SUMIFS(tbl_ledger[数量],tbl_ledger[localId],$C342,tbl_ledger[イベント種類],"アニール完了",tbl_ledger[ロットID],"="),
_xlpm.余剰化受入,SUMIFS(tbl_ledger[数量],tbl_ledger[localId],$C342,tbl_ledger[イベント種類],"余剰化",tbl_ledger[元状態],F$304),
_xlpm.払出,SUMIFS(tbl_ledger[数量],tbl_ledger[localId],$C342,tbl_ledger[ロットID],"=",tbl_ledger[元状態],F$304),
_xlpm.受入+_xlpm.余剰化受入-_xlpm.払出))</f>
        <v/>
      </c>
      <c r="G342" s="8" t="str">
        <f>IF($C342="","",_xlfn.LET(
_xlpm.受入,SUMIFS(tbl_ledger[数量],tbl_ledger[localId],$C342,tbl_ledger[イベント種類],"アセンブリ開始",tbl_ledger[ロットID],"="),
_xlpm.余剰化受入,SUMIFS(tbl_ledger[数量],tbl_ledger[localId],$C342,tbl_ledger[イベント種類],"余剰化",tbl_ledger[元状態],G$304),
_xlpm.払出,SUMIFS(tbl_ledger[数量],tbl_ledger[localId],$C342,tbl_ledger[ロットID],"=",tbl_ledger[元状態],G$304),
_xlpm.受入+_xlpm.余剰化受入-_xlpm.払出))</f>
        <v/>
      </c>
      <c r="H342" s="8" t="str">
        <f>IF($C342="","",_xlfn.LET(
_xlpm.受入,SUMIFS(tbl_ledger[数量],tbl_ledger[localId],$C342,tbl_ledger[イベント種類],"アセンブリ完了",tbl_ledger[ロットID],"="),
_xlpm.余剰化受入,SUMIFS(tbl_ledger[数量],tbl_ledger[localId],$C342,tbl_ledger[イベント種類],"余剰化",tbl_ledger[元状態],H$304),
_xlpm.払出,SUMIFS(tbl_ledger[数量],tbl_ledger[localId],$C342,tbl_ledger[ロットID],"=",tbl_ledger[元状態],H$304),
_xlpm.受入+_xlpm.余剰化受入-_xlpm.払出))</f>
        <v/>
      </c>
      <c r="I342" s="8" t="str">
        <f>IF($C342="","",_xlfn.LET(
_xlpm.受入,SUMIFS(tbl_ledger[数量],tbl_ledger[localId],$C342,tbl_ledger[イベント種類],"梱包開始",tbl_ledger[ロットID],"="),
_xlpm.余剰化受入,SUMIFS(tbl_ledger[数量],tbl_ledger[localId],$C342,tbl_ledger[イベント種類],"余剰化",tbl_ledger[元状態],I$304),
_xlpm.払出,SUMIFS(tbl_ledger[数量],tbl_ledger[localId],$C342,tbl_ledger[ロットID],"=",tbl_ledger[元状態],I$304),
_xlpm.受入+_xlpm.余剰化受入-_xlpm.払出))</f>
        <v/>
      </c>
      <c r="J342" s="8" t="str">
        <f>IF($C342="","",_xlfn.LET(
_xlpm.受入,SUMIFS(tbl_ledger[数量],tbl_ledger[localId],$C342,tbl_ledger[イベント種類],"梱包完了",tbl_ledger[ロットID],"="),
_xlpm.余剰化受入,SUMIFS(tbl_ledger[数量],tbl_ledger[localId],$C342,tbl_ledger[イベント種類],"余剰化",tbl_ledger[元状態],J$304),
_xlpm.払出,SUMIFS(tbl_ledger[数量],tbl_ledger[localId],$C342,tbl_ledger[ロットID],"=",tbl_ledger[元状態],J$304),
_xlpm.受入+_xlpm.余剰化受入-_xlpm.払出))</f>
        <v/>
      </c>
      <c r="K342" s="8" t="str">
        <f>IF($C342="","",_xlfn.LET(
_xlpm.受入,SUMIFS(tbl_ledger[数量],tbl_ledger[localId],$C342,tbl_ledger[イベント種類],"発送準備開始",tbl_ledger[ロットID],"="),
_xlpm.余剰化受入,SUMIFS(tbl_ledger[数量],tbl_ledger[localId],$C342,tbl_ledger[イベント種類],"余剰化",tbl_ledger[元状態],K$304),
_xlpm.払出,SUMIFS(tbl_ledger[数量],tbl_ledger[localId],$C342,tbl_ledger[ロットID],"=",tbl_ledger[元状態],K$304),
_xlpm.受入+_xlpm.余剰化受入-_xlpm.払出))</f>
        <v/>
      </c>
      <c r="L342" s="8" t="str">
        <f>IF($C342="","",_xlfn.LET(
_xlpm.受入,SUMIFS(tbl_ledger[数量],tbl_ledger[localId],$C342,tbl_ledger[イベント種類],"発送準備完了",tbl_ledger[ロットID],"="),
_xlpm.余剰化受入,SUMIFS(tbl_ledger[数量],tbl_ledger[localId],$C342,tbl_ledger[イベント種類],"余剰化",tbl_ledger[元状態],L$304),
_xlpm.払出,SUMIFS(tbl_ledger[数量],tbl_ledger[localId],$C342,tbl_ledger[ロットID],"=",tbl_ledger[元状態],L$304),
_xlpm.受入+_xlpm.余剰化受入-_xlpm.払出))</f>
        <v/>
      </c>
      <c r="M342" s="8" t="str">
        <f>IF($C342="","",_xlfn.LET(
_xlpm.受入,SUMIFS(tbl_ledger[数量],tbl_ledger[localId],$C342,tbl_ledger[イベント種類],"不良発生",tbl_ledger[ロットID],"="),
_xlpm.余剰化受入,SUMIFS(tbl_ledger[数量],tbl_ledger[localId],$C342,tbl_ledger[イベント種類],"余剰化",tbl_ledger[元状態],M$304),
_xlpm.払出,SUMIFS(tbl_ledger[数量],tbl_ledger[localId],$C342,tbl_ledger[ロットID],"=",tbl_ledger[元状態],M$304),
_xlpm.受入+_xlpm.余剰化受入-_xlpm.払出))</f>
        <v/>
      </c>
      <c r="N342" s="8" t="str">
        <f t="shared" si="13"/>
        <v/>
      </c>
    </row>
    <row r="343" spans="1:14" ht="15" customHeight="1" x14ac:dyDescent="0.25">
      <c r="A343" s="4" t="str">
        <f t="shared" si="12"/>
        <v/>
      </c>
      <c r="B343" s="4"/>
      <c r="C343" s="4" t="str">
        <f>IFERROR(INDEX(tbl_master[localId],ROW()-304),"")</f>
        <v/>
      </c>
      <c r="D343" s="8" t="str">
        <f>IF($C343="","",_xlfn.LET(
_xlpm.搬入計,SUMIFS(tbl_ledger[数量],tbl_ledger[localId],$C343,tbl_ledger[イベント種類],"搬入"),
_xlpm.割当計,SUMIF(V_充足確認!$B$2:$B$301,$C343,V_充足確認!$F$2:$F$301),
_xlpm.余剰化受入,SUMIFS(tbl_ledger[数量],tbl_ledger[localId],$C343,tbl_ledger[イベント種類],"余剰化",tbl_ledger[元状態],D$304),
_xlpm.払出,SUMIFS(tbl_ledger[数量],tbl_ledger[localId],$C343,tbl_ledger[ロットID],"=",tbl_ledger[元状態],D$304),
_xlpm.搬入計-_xlpm.割当計+_xlpm.余剰化受入-_xlpm.払出))</f>
        <v/>
      </c>
      <c r="E343" s="8" t="str">
        <f>IF($C343="","",_xlfn.LET(
_xlpm.受入,SUMIFS(tbl_ledger[数量],tbl_ledger[localId],$C343,tbl_ledger[イベント種類],"アニール開始",tbl_ledger[ロットID],"="),
_xlpm.余剰化受入,SUMIFS(tbl_ledger[数量],tbl_ledger[localId],$C343,tbl_ledger[イベント種類],"余剰化",tbl_ledger[元状態],E$304),
_xlpm.払出,SUMIFS(tbl_ledger[数量],tbl_ledger[localId],$C343,tbl_ledger[ロットID],"=",tbl_ledger[元状態],E$304),
_xlpm.受入+_xlpm.余剰化受入-_xlpm.払出))</f>
        <v/>
      </c>
      <c r="F343" s="8" t="str">
        <f>IF($C343="","",_xlfn.LET(
_xlpm.受入,SUMIFS(tbl_ledger[数量],tbl_ledger[localId],$C343,tbl_ledger[イベント種類],"アニール完了",tbl_ledger[ロットID],"="),
_xlpm.余剰化受入,SUMIFS(tbl_ledger[数量],tbl_ledger[localId],$C343,tbl_ledger[イベント種類],"余剰化",tbl_ledger[元状態],F$304),
_xlpm.払出,SUMIFS(tbl_ledger[数量],tbl_ledger[localId],$C343,tbl_ledger[ロットID],"=",tbl_ledger[元状態],F$304),
_xlpm.受入+_xlpm.余剰化受入-_xlpm.払出))</f>
        <v/>
      </c>
      <c r="G343" s="8" t="str">
        <f>IF($C343="","",_xlfn.LET(
_xlpm.受入,SUMIFS(tbl_ledger[数量],tbl_ledger[localId],$C343,tbl_ledger[イベント種類],"アセンブリ開始",tbl_ledger[ロットID],"="),
_xlpm.余剰化受入,SUMIFS(tbl_ledger[数量],tbl_ledger[localId],$C343,tbl_ledger[イベント種類],"余剰化",tbl_ledger[元状態],G$304),
_xlpm.払出,SUMIFS(tbl_ledger[数量],tbl_ledger[localId],$C343,tbl_ledger[ロットID],"=",tbl_ledger[元状態],G$304),
_xlpm.受入+_xlpm.余剰化受入-_xlpm.払出))</f>
        <v/>
      </c>
      <c r="H343" s="8" t="str">
        <f>IF($C343="","",_xlfn.LET(
_xlpm.受入,SUMIFS(tbl_ledger[数量],tbl_ledger[localId],$C343,tbl_ledger[イベント種類],"アセンブリ完了",tbl_ledger[ロットID],"="),
_xlpm.余剰化受入,SUMIFS(tbl_ledger[数量],tbl_ledger[localId],$C343,tbl_ledger[イベント種類],"余剰化",tbl_ledger[元状態],H$304),
_xlpm.払出,SUMIFS(tbl_ledger[数量],tbl_ledger[localId],$C343,tbl_ledger[ロットID],"=",tbl_ledger[元状態],H$304),
_xlpm.受入+_xlpm.余剰化受入-_xlpm.払出))</f>
        <v/>
      </c>
      <c r="I343" s="8" t="str">
        <f>IF($C343="","",_xlfn.LET(
_xlpm.受入,SUMIFS(tbl_ledger[数量],tbl_ledger[localId],$C343,tbl_ledger[イベント種類],"梱包開始",tbl_ledger[ロットID],"="),
_xlpm.余剰化受入,SUMIFS(tbl_ledger[数量],tbl_ledger[localId],$C343,tbl_ledger[イベント種類],"余剰化",tbl_ledger[元状態],I$304),
_xlpm.払出,SUMIFS(tbl_ledger[数量],tbl_ledger[localId],$C343,tbl_ledger[ロットID],"=",tbl_ledger[元状態],I$304),
_xlpm.受入+_xlpm.余剰化受入-_xlpm.払出))</f>
        <v/>
      </c>
      <c r="J343" s="8" t="str">
        <f>IF($C343="","",_xlfn.LET(
_xlpm.受入,SUMIFS(tbl_ledger[数量],tbl_ledger[localId],$C343,tbl_ledger[イベント種類],"梱包完了",tbl_ledger[ロットID],"="),
_xlpm.余剰化受入,SUMIFS(tbl_ledger[数量],tbl_ledger[localId],$C343,tbl_ledger[イベント種類],"余剰化",tbl_ledger[元状態],J$304),
_xlpm.払出,SUMIFS(tbl_ledger[数量],tbl_ledger[localId],$C343,tbl_ledger[ロットID],"=",tbl_ledger[元状態],J$304),
_xlpm.受入+_xlpm.余剰化受入-_xlpm.払出))</f>
        <v/>
      </c>
      <c r="K343" s="8" t="str">
        <f>IF($C343="","",_xlfn.LET(
_xlpm.受入,SUMIFS(tbl_ledger[数量],tbl_ledger[localId],$C343,tbl_ledger[イベント種類],"発送準備開始",tbl_ledger[ロットID],"="),
_xlpm.余剰化受入,SUMIFS(tbl_ledger[数量],tbl_ledger[localId],$C343,tbl_ledger[イベント種類],"余剰化",tbl_ledger[元状態],K$304),
_xlpm.払出,SUMIFS(tbl_ledger[数量],tbl_ledger[localId],$C343,tbl_ledger[ロットID],"=",tbl_ledger[元状態],K$304),
_xlpm.受入+_xlpm.余剰化受入-_xlpm.払出))</f>
        <v/>
      </c>
      <c r="L343" s="8" t="str">
        <f>IF($C343="","",_xlfn.LET(
_xlpm.受入,SUMIFS(tbl_ledger[数量],tbl_ledger[localId],$C343,tbl_ledger[イベント種類],"発送準備完了",tbl_ledger[ロットID],"="),
_xlpm.余剰化受入,SUMIFS(tbl_ledger[数量],tbl_ledger[localId],$C343,tbl_ledger[イベント種類],"余剰化",tbl_ledger[元状態],L$304),
_xlpm.払出,SUMIFS(tbl_ledger[数量],tbl_ledger[localId],$C343,tbl_ledger[ロットID],"=",tbl_ledger[元状態],L$304),
_xlpm.受入+_xlpm.余剰化受入-_xlpm.払出))</f>
        <v/>
      </c>
      <c r="M343" s="8" t="str">
        <f>IF($C343="","",_xlfn.LET(
_xlpm.受入,SUMIFS(tbl_ledger[数量],tbl_ledger[localId],$C343,tbl_ledger[イベント種類],"不良発生",tbl_ledger[ロットID],"="),
_xlpm.余剰化受入,SUMIFS(tbl_ledger[数量],tbl_ledger[localId],$C343,tbl_ledger[イベント種類],"余剰化",tbl_ledger[元状態],M$304),
_xlpm.払出,SUMIFS(tbl_ledger[数量],tbl_ledger[localId],$C343,tbl_ledger[ロットID],"=",tbl_ledger[元状態],M$304),
_xlpm.受入+_xlpm.余剰化受入-_xlpm.払出))</f>
        <v/>
      </c>
      <c r="N343" s="8" t="str">
        <f t="shared" si="13"/>
        <v/>
      </c>
    </row>
    <row r="344" spans="1:14" ht="15" customHeight="1" x14ac:dyDescent="0.25">
      <c r="A344" s="4" t="str">
        <f t="shared" si="12"/>
        <v/>
      </c>
      <c r="B344" s="4"/>
      <c r="C344" s="4" t="str">
        <f>IFERROR(INDEX(tbl_master[localId],ROW()-304),"")</f>
        <v/>
      </c>
      <c r="D344" s="8" t="str">
        <f>IF($C344="","",_xlfn.LET(
_xlpm.搬入計,SUMIFS(tbl_ledger[数量],tbl_ledger[localId],$C344,tbl_ledger[イベント種類],"搬入"),
_xlpm.割当計,SUMIF(V_充足確認!$B$2:$B$301,$C344,V_充足確認!$F$2:$F$301),
_xlpm.余剰化受入,SUMIFS(tbl_ledger[数量],tbl_ledger[localId],$C344,tbl_ledger[イベント種類],"余剰化",tbl_ledger[元状態],D$304),
_xlpm.払出,SUMIFS(tbl_ledger[数量],tbl_ledger[localId],$C344,tbl_ledger[ロットID],"=",tbl_ledger[元状態],D$304),
_xlpm.搬入計-_xlpm.割当計+_xlpm.余剰化受入-_xlpm.払出))</f>
        <v/>
      </c>
      <c r="E344" s="8" t="str">
        <f>IF($C344="","",_xlfn.LET(
_xlpm.受入,SUMIFS(tbl_ledger[数量],tbl_ledger[localId],$C344,tbl_ledger[イベント種類],"アニール開始",tbl_ledger[ロットID],"="),
_xlpm.余剰化受入,SUMIFS(tbl_ledger[数量],tbl_ledger[localId],$C344,tbl_ledger[イベント種類],"余剰化",tbl_ledger[元状態],E$304),
_xlpm.払出,SUMIFS(tbl_ledger[数量],tbl_ledger[localId],$C344,tbl_ledger[ロットID],"=",tbl_ledger[元状態],E$304),
_xlpm.受入+_xlpm.余剰化受入-_xlpm.払出))</f>
        <v/>
      </c>
      <c r="F344" s="8" t="str">
        <f>IF($C344="","",_xlfn.LET(
_xlpm.受入,SUMIFS(tbl_ledger[数量],tbl_ledger[localId],$C344,tbl_ledger[イベント種類],"アニール完了",tbl_ledger[ロットID],"="),
_xlpm.余剰化受入,SUMIFS(tbl_ledger[数量],tbl_ledger[localId],$C344,tbl_ledger[イベント種類],"余剰化",tbl_ledger[元状態],F$304),
_xlpm.払出,SUMIFS(tbl_ledger[数量],tbl_ledger[localId],$C344,tbl_ledger[ロットID],"=",tbl_ledger[元状態],F$304),
_xlpm.受入+_xlpm.余剰化受入-_xlpm.払出))</f>
        <v/>
      </c>
      <c r="G344" s="8" t="str">
        <f>IF($C344="","",_xlfn.LET(
_xlpm.受入,SUMIFS(tbl_ledger[数量],tbl_ledger[localId],$C344,tbl_ledger[イベント種類],"アセンブリ開始",tbl_ledger[ロットID],"="),
_xlpm.余剰化受入,SUMIFS(tbl_ledger[数量],tbl_ledger[localId],$C344,tbl_ledger[イベント種類],"余剰化",tbl_ledger[元状態],G$304),
_xlpm.払出,SUMIFS(tbl_ledger[数量],tbl_ledger[localId],$C344,tbl_ledger[ロットID],"=",tbl_ledger[元状態],G$304),
_xlpm.受入+_xlpm.余剰化受入-_xlpm.払出))</f>
        <v/>
      </c>
      <c r="H344" s="8" t="str">
        <f>IF($C344="","",_xlfn.LET(
_xlpm.受入,SUMIFS(tbl_ledger[数量],tbl_ledger[localId],$C344,tbl_ledger[イベント種類],"アセンブリ完了",tbl_ledger[ロットID],"="),
_xlpm.余剰化受入,SUMIFS(tbl_ledger[数量],tbl_ledger[localId],$C344,tbl_ledger[イベント種類],"余剰化",tbl_ledger[元状態],H$304),
_xlpm.払出,SUMIFS(tbl_ledger[数量],tbl_ledger[localId],$C344,tbl_ledger[ロットID],"=",tbl_ledger[元状態],H$304),
_xlpm.受入+_xlpm.余剰化受入-_xlpm.払出))</f>
        <v/>
      </c>
      <c r="I344" s="8" t="str">
        <f>IF($C344="","",_xlfn.LET(
_xlpm.受入,SUMIFS(tbl_ledger[数量],tbl_ledger[localId],$C344,tbl_ledger[イベント種類],"梱包開始",tbl_ledger[ロットID],"="),
_xlpm.余剰化受入,SUMIFS(tbl_ledger[数量],tbl_ledger[localId],$C344,tbl_ledger[イベント種類],"余剰化",tbl_ledger[元状態],I$304),
_xlpm.払出,SUMIFS(tbl_ledger[数量],tbl_ledger[localId],$C344,tbl_ledger[ロットID],"=",tbl_ledger[元状態],I$304),
_xlpm.受入+_xlpm.余剰化受入-_xlpm.払出))</f>
        <v/>
      </c>
      <c r="J344" s="8" t="str">
        <f>IF($C344="","",_xlfn.LET(
_xlpm.受入,SUMIFS(tbl_ledger[数量],tbl_ledger[localId],$C344,tbl_ledger[イベント種類],"梱包完了",tbl_ledger[ロットID],"="),
_xlpm.余剰化受入,SUMIFS(tbl_ledger[数量],tbl_ledger[localId],$C344,tbl_ledger[イベント種類],"余剰化",tbl_ledger[元状態],J$304),
_xlpm.払出,SUMIFS(tbl_ledger[数量],tbl_ledger[localId],$C344,tbl_ledger[ロットID],"=",tbl_ledger[元状態],J$304),
_xlpm.受入+_xlpm.余剰化受入-_xlpm.払出))</f>
        <v/>
      </c>
      <c r="K344" s="8" t="str">
        <f>IF($C344="","",_xlfn.LET(
_xlpm.受入,SUMIFS(tbl_ledger[数量],tbl_ledger[localId],$C344,tbl_ledger[イベント種類],"発送準備開始",tbl_ledger[ロットID],"="),
_xlpm.余剰化受入,SUMIFS(tbl_ledger[数量],tbl_ledger[localId],$C344,tbl_ledger[イベント種類],"余剰化",tbl_ledger[元状態],K$304),
_xlpm.払出,SUMIFS(tbl_ledger[数量],tbl_ledger[localId],$C344,tbl_ledger[ロットID],"=",tbl_ledger[元状態],K$304),
_xlpm.受入+_xlpm.余剰化受入-_xlpm.払出))</f>
        <v/>
      </c>
      <c r="L344" s="8" t="str">
        <f>IF($C344="","",_xlfn.LET(
_xlpm.受入,SUMIFS(tbl_ledger[数量],tbl_ledger[localId],$C344,tbl_ledger[イベント種類],"発送準備完了",tbl_ledger[ロットID],"="),
_xlpm.余剰化受入,SUMIFS(tbl_ledger[数量],tbl_ledger[localId],$C344,tbl_ledger[イベント種類],"余剰化",tbl_ledger[元状態],L$304),
_xlpm.払出,SUMIFS(tbl_ledger[数量],tbl_ledger[localId],$C344,tbl_ledger[ロットID],"=",tbl_ledger[元状態],L$304),
_xlpm.受入+_xlpm.余剰化受入-_xlpm.払出))</f>
        <v/>
      </c>
      <c r="M344" s="8" t="str">
        <f>IF($C344="","",_xlfn.LET(
_xlpm.受入,SUMIFS(tbl_ledger[数量],tbl_ledger[localId],$C344,tbl_ledger[イベント種類],"不良発生",tbl_ledger[ロットID],"="),
_xlpm.余剰化受入,SUMIFS(tbl_ledger[数量],tbl_ledger[localId],$C344,tbl_ledger[イベント種類],"余剰化",tbl_ledger[元状態],M$304),
_xlpm.払出,SUMIFS(tbl_ledger[数量],tbl_ledger[localId],$C344,tbl_ledger[ロットID],"=",tbl_ledger[元状態],M$304),
_xlpm.受入+_xlpm.余剰化受入-_xlpm.払出))</f>
        <v/>
      </c>
      <c r="N344" s="8" t="str">
        <f t="shared" si="13"/>
        <v/>
      </c>
    </row>
    <row r="345" spans="1:14" ht="15" customHeight="1" x14ac:dyDescent="0.25">
      <c r="A345" s="4" t="str">
        <f t="shared" si="12"/>
        <v/>
      </c>
      <c r="B345" s="4"/>
      <c r="C345" s="4" t="str">
        <f>IFERROR(INDEX(tbl_master[localId],ROW()-304),"")</f>
        <v/>
      </c>
      <c r="D345" s="8" t="str">
        <f>IF($C345="","",_xlfn.LET(
_xlpm.搬入計,SUMIFS(tbl_ledger[数量],tbl_ledger[localId],$C345,tbl_ledger[イベント種類],"搬入"),
_xlpm.割当計,SUMIF(V_充足確認!$B$2:$B$301,$C345,V_充足確認!$F$2:$F$301),
_xlpm.余剰化受入,SUMIFS(tbl_ledger[数量],tbl_ledger[localId],$C345,tbl_ledger[イベント種類],"余剰化",tbl_ledger[元状態],D$304),
_xlpm.払出,SUMIFS(tbl_ledger[数量],tbl_ledger[localId],$C345,tbl_ledger[ロットID],"=",tbl_ledger[元状態],D$304),
_xlpm.搬入計-_xlpm.割当計+_xlpm.余剰化受入-_xlpm.払出))</f>
        <v/>
      </c>
      <c r="E345" s="8" t="str">
        <f>IF($C345="","",_xlfn.LET(
_xlpm.受入,SUMIFS(tbl_ledger[数量],tbl_ledger[localId],$C345,tbl_ledger[イベント種類],"アニール開始",tbl_ledger[ロットID],"="),
_xlpm.余剰化受入,SUMIFS(tbl_ledger[数量],tbl_ledger[localId],$C345,tbl_ledger[イベント種類],"余剰化",tbl_ledger[元状態],E$304),
_xlpm.払出,SUMIFS(tbl_ledger[数量],tbl_ledger[localId],$C345,tbl_ledger[ロットID],"=",tbl_ledger[元状態],E$304),
_xlpm.受入+_xlpm.余剰化受入-_xlpm.払出))</f>
        <v/>
      </c>
      <c r="F345" s="8" t="str">
        <f>IF($C345="","",_xlfn.LET(
_xlpm.受入,SUMIFS(tbl_ledger[数量],tbl_ledger[localId],$C345,tbl_ledger[イベント種類],"アニール完了",tbl_ledger[ロットID],"="),
_xlpm.余剰化受入,SUMIFS(tbl_ledger[数量],tbl_ledger[localId],$C345,tbl_ledger[イベント種類],"余剰化",tbl_ledger[元状態],F$304),
_xlpm.払出,SUMIFS(tbl_ledger[数量],tbl_ledger[localId],$C345,tbl_ledger[ロットID],"=",tbl_ledger[元状態],F$304),
_xlpm.受入+_xlpm.余剰化受入-_xlpm.払出))</f>
        <v/>
      </c>
      <c r="G345" s="8" t="str">
        <f>IF($C345="","",_xlfn.LET(
_xlpm.受入,SUMIFS(tbl_ledger[数量],tbl_ledger[localId],$C345,tbl_ledger[イベント種類],"アセンブリ開始",tbl_ledger[ロットID],"="),
_xlpm.余剰化受入,SUMIFS(tbl_ledger[数量],tbl_ledger[localId],$C345,tbl_ledger[イベント種類],"余剰化",tbl_ledger[元状態],G$304),
_xlpm.払出,SUMIFS(tbl_ledger[数量],tbl_ledger[localId],$C345,tbl_ledger[ロットID],"=",tbl_ledger[元状態],G$304),
_xlpm.受入+_xlpm.余剰化受入-_xlpm.払出))</f>
        <v/>
      </c>
      <c r="H345" s="8" t="str">
        <f>IF($C345="","",_xlfn.LET(
_xlpm.受入,SUMIFS(tbl_ledger[数量],tbl_ledger[localId],$C345,tbl_ledger[イベント種類],"アセンブリ完了",tbl_ledger[ロットID],"="),
_xlpm.余剰化受入,SUMIFS(tbl_ledger[数量],tbl_ledger[localId],$C345,tbl_ledger[イベント種類],"余剰化",tbl_ledger[元状態],H$304),
_xlpm.払出,SUMIFS(tbl_ledger[数量],tbl_ledger[localId],$C345,tbl_ledger[ロットID],"=",tbl_ledger[元状態],H$304),
_xlpm.受入+_xlpm.余剰化受入-_xlpm.払出))</f>
        <v/>
      </c>
      <c r="I345" s="8" t="str">
        <f>IF($C345="","",_xlfn.LET(
_xlpm.受入,SUMIFS(tbl_ledger[数量],tbl_ledger[localId],$C345,tbl_ledger[イベント種類],"梱包開始",tbl_ledger[ロットID],"="),
_xlpm.余剰化受入,SUMIFS(tbl_ledger[数量],tbl_ledger[localId],$C345,tbl_ledger[イベント種類],"余剰化",tbl_ledger[元状態],I$304),
_xlpm.払出,SUMIFS(tbl_ledger[数量],tbl_ledger[localId],$C345,tbl_ledger[ロットID],"=",tbl_ledger[元状態],I$304),
_xlpm.受入+_xlpm.余剰化受入-_xlpm.払出))</f>
        <v/>
      </c>
      <c r="J345" s="8" t="str">
        <f>IF($C345="","",_xlfn.LET(
_xlpm.受入,SUMIFS(tbl_ledger[数量],tbl_ledger[localId],$C345,tbl_ledger[イベント種類],"梱包完了",tbl_ledger[ロットID],"="),
_xlpm.余剰化受入,SUMIFS(tbl_ledger[数量],tbl_ledger[localId],$C345,tbl_ledger[イベント種類],"余剰化",tbl_ledger[元状態],J$304),
_xlpm.払出,SUMIFS(tbl_ledger[数量],tbl_ledger[localId],$C345,tbl_ledger[ロットID],"=",tbl_ledger[元状態],J$304),
_xlpm.受入+_xlpm.余剰化受入-_xlpm.払出))</f>
        <v/>
      </c>
      <c r="K345" s="8" t="str">
        <f>IF($C345="","",_xlfn.LET(
_xlpm.受入,SUMIFS(tbl_ledger[数量],tbl_ledger[localId],$C345,tbl_ledger[イベント種類],"発送準備開始",tbl_ledger[ロットID],"="),
_xlpm.余剰化受入,SUMIFS(tbl_ledger[数量],tbl_ledger[localId],$C345,tbl_ledger[イベント種類],"余剰化",tbl_ledger[元状態],K$304),
_xlpm.払出,SUMIFS(tbl_ledger[数量],tbl_ledger[localId],$C345,tbl_ledger[ロットID],"=",tbl_ledger[元状態],K$304),
_xlpm.受入+_xlpm.余剰化受入-_xlpm.払出))</f>
        <v/>
      </c>
      <c r="L345" s="8" t="str">
        <f>IF($C345="","",_xlfn.LET(
_xlpm.受入,SUMIFS(tbl_ledger[数量],tbl_ledger[localId],$C345,tbl_ledger[イベント種類],"発送準備完了",tbl_ledger[ロットID],"="),
_xlpm.余剰化受入,SUMIFS(tbl_ledger[数量],tbl_ledger[localId],$C345,tbl_ledger[イベント種類],"余剰化",tbl_ledger[元状態],L$304),
_xlpm.払出,SUMIFS(tbl_ledger[数量],tbl_ledger[localId],$C345,tbl_ledger[ロットID],"=",tbl_ledger[元状態],L$304),
_xlpm.受入+_xlpm.余剰化受入-_xlpm.払出))</f>
        <v/>
      </c>
      <c r="M345" s="8" t="str">
        <f>IF($C345="","",_xlfn.LET(
_xlpm.受入,SUMIFS(tbl_ledger[数量],tbl_ledger[localId],$C345,tbl_ledger[イベント種類],"不良発生",tbl_ledger[ロットID],"="),
_xlpm.余剰化受入,SUMIFS(tbl_ledger[数量],tbl_ledger[localId],$C345,tbl_ledger[イベント種類],"余剰化",tbl_ledger[元状態],M$304),
_xlpm.払出,SUMIFS(tbl_ledger[数量],tbl_ledger[localId],$C345,tbl_ledger[ロットID],"=",tbl_ledger[元状態],M$304),
_xlpm.受入+_xlpm.余剰化受入-_xlpm.払出))</f>
        <v/>
      </c>
      <c r="N345" s="8" t="str">
        <f t="shared" si="13"/>
        <v/>
      </c>
    </row>
    <row r="346" spans="1:14" ht="15" customHeight="1" x14ac:dyDescent="0.25">
      <c r="A346" s="4" t="str">
        <f t="shared" si="12"/>
        <v/>
      </c>
      <c r="B346" s="4"/>
      <c r="C346" s="4" t="str">
        <f>IFERROR(INDEX(tbl_master[localId],ROW()-304),"")</f>
        <v/>
      </c>
      <c r="D346" s="8" t="str">
        <f>IF($C346="","",_xlfn.LET(
_xlpm.搬入計,SUMIFS(tbl_ledger[数量],tbl_ledger[localId],$C346,tbl_ledger[イベント種類],"搬入"),
_xlpm.割当計,SUMIF(V_充足確認!$B$2:$B$301,$C346,V_充足確認!$F$2:$F$301),
_xlpm.余剰化受入,SUMIFS(tbl_ledger[数量],tbl_ledger[localId],$C346,tbl_ledger[イベント種類],"余剰化",tbl_ledger[元状態],D$304),
_xlpm.払出,SUMIFS(tbl_ledger[数量],tbl_ledger[localId],$C346,tbl_ledger[ロットID],"=",tbl_ledger[元状態],D$304),
_xlpm.搬入計-_xlpm.割当計+_xlpm.余剰化受入-_xlpm.払出))</f>
        <v/>
      </c>
      <c r="E346" s="8" t="str">
        <f>IF($C346="","",_xlfn.LET(
_xlpm.受入,SUMIFS(tbl_ledger[数量],tbl_ledger[localId],$C346,tbl_ledger[イベント種類],"アニール開始",tbl_ledger[ロットID],"="),
_xlpm.余剰化受入,SUMIFS(tbl_ledger[数量],tbl_ledger[localId],$C346,tbl_ledger[イベント種類],"余剰化",tbl_ledger[元状態],E$304),
_xlpm.払出,SUMIFS(tbl_ledger[数量],tbl_ledger[localId],$C346,tbl_ledger[ロットID],"=",tbl_ledger[元状態],E$304),
_xlpm.受入+_xlpm.余剰化受入-_xlpm.払出))</f>
        <v/>
      </c>
      <c r="F346" s="8" t="str">
        <f>IF($C346="","",_xlfn.LET(
_xlpm.受入,SUMIFS(tbl_ledger[数量],tbl_ledger[localId],$C346,tbl_ledger[イベント種類],"アニール完了",tbl_ledger[ロットID],"="),
_xlpm.余剰化受入,SUMIFS(tbl_ledger[数量],tbl_ledger[localId],$C346,tbl_ledger[イベント種類],"余剰化",tbl_ledger[元状態],F$304),
_xlpm.払出,SUMIFS(tbl_ledger[数量],tbl_ledger[localId],$C346,tbl_ledger[ロットID],"=",tbl_ledger[元状態],F$304),
_xlpm.受入+_xlpm.余剰化受入-_xlpm.払出))</f>
        <v/>
      </c>
      <c r="G346" s="8" t="str">
        <f>IF($C346="","",_xlfn.LET(
_xlpm.受入,SUMIFS(tbl_ledger[数量],tbl_ledger[localId],$C346,tbl_ledger[イベント種類],"アセンブリ開始",tbl_ledger[ロットID],"="),
_xlpm.余剰化受入,SUMIFS(tbl_ledger[数量],tbl_ledger[localId],$C346,tbl_ledger[イベント種類],"余剰化",tbl_ledger[元状態],G$304),
_xlpm.払出,SUMIFS(tbl_ledger[数量],tbl_ledger[localId],$C346,tbl_ledger[ロットID],"=",tbl_ledger[元状態],G$304),
_xlpm.受入+_xlpm.余剰化受入-_xlpm.払出))</f>
        <v/>
      </c>
      <c r="H346" s="8" t="str">
        <f>IF($C346="","",_xlfn.LET(
_xlpm.受入,SUMIFS(tbl_ledger[数量],tbl_ledger[localId],$C346,tbl_ledger[イベント種類],"アセンブリ完了",tbl_ledger[ロットID],"="),
_xlpm.余剰化受入,SUMIFS(tbl_ledger[数量],tbl_ledger[localId],$C346,tbl_ledger[イベント種類],"余剰化",tbl_ledger[元状態],H$304),
_xlpm.払出,SUMIFS(tbl_ledger[数量],tbl_ledger[localId],$C346,tbl_ledger[ロットID],"=",tbl_ledger[元状態],H$304),
_xlpm.受入+_xlpm.余剰化受入-_xlpm.払出))</f>
        <v/>
      </c>
      <c r="I346" s="8" t="str">
        <f>IF($C346="","",_xlfn.LET(
_xlpm.受入,SUMIFS(tbl_ledger[数量],tbl_ledger[localId],$C346,tbl_ledger[イベント種類],"梱包開始",tbl_ledger[ロットID],"="),
_xlpm.余剰化受入,SUMIFS(tbl_ledger[数量],tbl_ledger[localId],$C346,tbl_ledger[イベント種類],"余剰化",tbl_ledger[元状態],I$304),
_xlpm.払出,SUMIFS(tbl_ledger[数量],tbl_ledger[localId],$C346,tbl_ledger[ロットID],"=",tbl_ledger[元状態],I$304),
_xlpm.受入+_xlpm.余剰化受入-_xlpm.払出))</f>
        <v/>
      </c>
      <c r="J346" s="8" t="str">
        <f>IF($C346="","",_xlfn.LET(
_xlpm.受入,SUMIFS(tbl_ledger[数量],tbl_ledger[localId],$C346,tbl_ledger[イベント種類],"梱包完了",tbl_ledger[ロットID],"="),
_xlpm.余剰化受入,SUMIFS(tbl_ledger[数量],tbl_ledger[localId],$C346,tbl_ledger[イベント種類],"余剰化",tbl_ledger[元状態],J$304),
_xlpm.払出,SUMIFS(tbl_ledger[数量],tbl_ledger[localId],$C346,tbl_ledger[ロットID],"=",tbl_ledger[元状態],J$304),
_xlpm.受入+_xlpm.余剰化受入-_xlpm.払出))</f>
        <v/>
      </c>
      <c r="K346" s="8" t="str">
        <f>IF($C346="","",_xlfn.LET(
_xlpm.受入,SUMIFS(tbl_ledger[数量],tbl_ledger[localId],$C346,tbl_ledger[イベント種類],"発送準備開始",tbl_ledger[ロットID],"="),
_xlpm.余剰化受入,SUMIFS(tbl_ledger[数量],tbl_ledger[localId],$C346,tbl_ledger[イベント種類],"余剰化",tbl_ledger[元状態],K$304),
_xlpm.払出,SUMIFS(tbl_ledger[数量],tbl_ledger[localId],$C346,tbl_ledger[ロットID],"=",tbl_ledger[元状態],K$304),
_xlpm.受入+_xlpm.余剰化受入-_xlpm.払出))</f>
        <v/>
      </c>
      <c r="L346" s="8" t="str">
        <f>IF($C346="","",_xlfn.LET(
_xlpm.受入,SUMIFS(tbl_ledger[数量],tbl_ledger[localId],$C346,tbl_ledger[イベント種類],"発送準備完了",tbl_ledger[ロットID],"="),
_xlpm.余剰化受入,SUMIFS(tbl_ledger[数量],tbl_ledger[localId],$C346,tbl_ledger[イベント種類],"余剰化",tbl_ledger[元状態],L$304),
_xlpm.払出,SUMIFS(tbl_ledger[数量],tbl_ledger[localId],$C346,tbl_ledger[ロットID],"=",tbl_ledger[元状態],L$304),
_xlpm.受入+_xlpm.余剰化受入-_xlpm.払出))</f>
        <v/>
      </c>
      <c r="M346" s="8" t="str">
        <f>IF($C346="","",_xlfn.LET(
_xlpm.受入,SUMIFS(tbl_ledger[数量],tbl_ledger[localId],$C346,tbl_ledger[イベント種類],"不良発生",tbl_ledger[ロットID],"="),
_xlpm.余剰化受入,SUMIFS(tbl_ledger[数量],tbl_ledger[localId],$C346,tbl_ledger[イベント種類],"余剰化",tbl_ledger[元状態],M$304),
_xlpm.払出,SUMIFS(tbl_ledger[数量],tbl_ledger[localId],$C346,tbl_ledger[ロットID],"=",tbl_ledger[元状態],M$304),
_xlpm.受入+_xlpm.余剰化受入-_xlpm.払出))</f>
        <v/>
      </c>
      <c r="N346" s="8" t="str">
        <f t="shared" si="13"/>
        <v/>
      </c>
    </row>
    <row r="347" spans="1:14" ht="15" customHeight="1" x14ac:dyDescent="0.25">
      <c r="A347" s="4" t="str">
        <f t="shared" si="12"/>
        <v/>
      </c>
      <c r="B347" s="4"/>
      <c r="C347" s="4" t="str">
        <f>IFERROR(INDEX(tbl_master[localId],ROW()-304),"")</f>
        <v/>
      </c>
      <c r="D347" s="8" t="str">
        <f>IF($C347="","",_xlfn.LET(
_xlpm.搬入計,SUMIFS(tbl_ledger[数量],tbl_ledger[localId],$C347,tbl_ledger[イベント種類],"搬入"),
_xlpm.割当計,SUMIF(V_充足確認!$B$2:$B$301,$C347,V_充足確認!$F$2:$F$301),
_xlpm.余剰化受入,SUMIFS(tbl_ledger[数量],tbl_ledger[localId],$C347,tbl_ledger[イベント種類],"余剰化",tbl_ledger[元状態],D$304),
_xlpm.払出,SUMIFS(tbl_ledger[数量],tbl_ledger[localId],$C347,tbl_ledger[ロットID],"=",tbl_ledger[元状態],D$304),
_xlpm.搬入計-_xlpm.割当計+_xlpm.余剰化受入-_xlpm.払出))</f>
        <v/>
      </c>
      <c r="E347" s="8" t="str">
        <f>IF($C347="","",_xlfn.LET(
_xlpm.受入,SUMIFS(tbl_ledger[数量],tbl_ledger[localId],$C347,tbl_ledger[イベント種類],"アニール開始",tbl_ledger[ロットID],"="),
_xlpm.余剰化受入,SUMIFS(tbl_ledger[数量],tbl_ledger[localId],$C347,tbl_ledger[イベント種類],"余剰化",tbl_ledger[元状態],E$304),
_xlpm.払出,SUMIFS(tbl_ledger[数量],tbl_ledger[localId],$C347,tbl_ledger[ロットID],"=",tbl_ledger[元状態],E$304),
_xlpm.受入+_xlpm.余剰化受入-_xlpm.払出))</f>
        <v/>
      </c>
      <c r="F347" s="8" t="str">
        <f>IF($C347="","",_xlfn.LET(
_xlpm.受入,SUMIFS(tbl_ledger[数量],tbl_ledger[localId],$C347,tbl_ledger[イベント種類],"アニール完了",tbl_ledger[ロットID],"="),
_xlpm.余剰化受入,SUMIFS(tbl_ledger[数量],tbl_ledger[localId],$C347,tbl_ledger[イベント種類],"余剰化",tbl_ledger[元状態],F$304),
_xlpm.払出,SUMIFS(tbl_ledger[数量],tbl_ledger[localId],$C347,tbl_ledger[ロットID],"=",tbl_ledger[元状態],F$304),
_xlpm.受入+_xlpm.余剰化受入-_xlpm.払出))</f>
        <v/>
      </c>
      <c r="G347" s="8" t="str">
        <f>IF($C347="","",_xlfn.LET(
_xlpm.受入,SUMIFS(tbl_ledger[数量],tbl_ledger[localId],$C347,tbl_ledger[イベント種類],"アセンブリ開始",tbl_ledger[ロットID],"="),
_xlpm.余剰化受入,SUMIFS(tbl_ledger[数量],tbl_ledger[localId],$C347,tbl_ledger[イベント種類],"余剰化",tbl_ledger[元状態],G$304),
_xlpm.払出,SUMIFS(tbl_ledger[数量],tbl_ledger[localId],$C347,tbl_ledger[ロットID],"=",tbl_ledger[元状態],G$304),
_xlpm.受入+_xlpm.余剰化受入-_xlpm.払出))</f>
        <v/>
      </c>
      <c r="H347" s="8" t="str">
        <f>IF($C347="","",_xlfn.LET(
_xlpm.受入,SUMIFS(tbl_ledger[数量],tbl_ledger[localId],$C347,tbl_ledger[イベント種類],"アセンブリ完了",tbl_ledger[ロットID],"="),
_xlpm.余剰化受入,SUMIFS(tbl_ledger[数量],tbl_ledger[localId],$C347,tbl_ledger[イベント種類],"余剰化",tbl_ledger[元状態],H$304),
_xlpm.払出,SUMIFS(tbl_ledger[数量],tbl_ledger[localId],$C347,tbl_ledger[ロットID],"=",tbl_ledger[元状態],H$304),
_xlpm.受入+_xlpm.余剰化受入-_xlpm.払出))</f>
        <v/>
      </c>
      <c r="I347" s="8" t="str">
        <f>IF($C347="","",_xlfn.LET(
_xlpm.受入,SUMIFS(tbl_ledger[数量],tbl_ledger[localId],$C347,tbl_ledger[イベント種類],"梱包開始",tbl_ledger[ロットID],"="),
_xlpm.余剰化受入,SUMIFS(tbl_ledger[数量],tbl_ledger[localId],$C347,tbl_ledger[イベント種類],"余剰化",tbl_ledger[元状態],I$304),
_xlpm.払出,SUMIFS(tbl_ledger[数量],tbl_ledger[localId],$C347,tbl_ledger[ロットID],"=",tbl_ledger[元状態],I$304),
_xlpm.受入+_xlpm.余剰化受入-_xlpm.払出))</f>
        <v/>
      </c>
      <c r="J347" s="8" t="str">
        <f>IF($C347="","",_xlfn.LET(
_xlpm.受入,SUMIFS(tbl_ledger[数量],tbl_ledger[localId],$C347,tbl_ledger[イベント種類],"梱包完了",tbl_ledger[ロットID],"="),
_xlpm.余剰化受入,SUMIFS(tbl_ledger[数量],tbl_ledger[localId],$C347,tbl_ledger[イベント種類],"余剰化",tbl_ledger[元状態],J$304),
_xlpm.払出,SUMIFS(tbl_ledger[数量],tbl_ledger[localId],$C347,tbl_ledger[ロットID],"=",tbl_ledger[元状態],J$304),
_xlpm.受入+_xlpm.余剰化受入-_xlpm.払出))</f>
        <v/>
      </c>
      <c r="K347" s="8" t="str">
        <f>IF($C347="","",_xlfn.LET(
_xlpm.受入,SUMIFS(tbl_ledger[数量],tbl_ledger[localId],$C347,tbl_ledger[イベント種類],"発送準備開始",tbl_ledger[ロットID],"="),
_xlpm.余剰化受入,SUMIFS(tbl_ledger[数量],tbl_ledger[localId],$C347,tbl_ledger[イベント種類],"余剰化",tbl_ledger[元状態],K$304),
_xlpm.払出,SUMIFS(tbl_ledger[数量],tbl_ledger[localId],$C347,tbl_ledger[ロットID],"=",tbl_ledger[元状態],K$304),
_xlpm.受入+_xlpm.余剰化受入-_xlpm.払出))</f>
        <v/>
      </c>
      <c r="L347" s="8" t="str">
        <f>IF($C347="","",_xlfn.LET(
_xlpm.受入,SUMIFS(tbl_ledger[数量],tbl_ledger[localId],$C347,tbl_ledger[イベント種類],"発送準備完了",tbl_ledger[ロットID],"="),
_xlpm.余剰化受入,SUMIFS(tbl_ledger[数量],tbl_ledger[localId],$C347,tbl_ledger[イベント種類],"余剰化",tbl_ledger[元状態],L$304),
_xlpm.払出,SUMIFS(tbl_ledger[数量],tbl_ledger[localId],$C347,tbl_ledger[ロットID],"=",tbl_ledger[元状態],L$304),
_xlpm.受入+_xlpm.余剰化受入-_xlpm.払出))</f>
        <v/>
      </c>
      <c r="M347" s="8" t="str">
        <f>IF($C347="","",_xlfn.LET(
_xlpm.受入,SUMIFS(tbl_ledger[数量],tbl_ledger[localId],$C347,tbl_ledger[イベント種類],"不良発生",tbl_ledger[ロットID],"="),
_xlpm.余剰化受入,SUMIFS(tbl_ledger[数量],tbl_ledger[localId],$C347,tbl_ledger[イベント種類],"余剰化",tbl_ledger[元状態],M$304),
_xlpm.払出,SUMIFS(tbl_ledger[数量],tbl_ledger[localId],$C347,tbl_ledger[ロットID],"=",tbl_ledger[元状態],M$304),
_xlpm.受入+_xlpm.余剰化受入-_xlpm.払出))</f>
        <v/>
      </c>
      <c r="N347" s="8" t="str">
        <f t="shared" si="13"/>
        <v/>
      </c>
    </row>
    <row r="348" spans="1:14" ht="15" customHeight="1" x14ac:dyDescent="0.25">
      <c r="A348" s="4" t="str">
        <f t="shared" si="12"/>
        <v/>
      </c>
      <c r="B348" s="4"/>
      <c r="C348" s="4" t="str">
        <f>IFERROR(INDEX(tbl_master[localId],ROW()-304),"")</f>
        <v/>
      </c>
      <c r="D348" s="8" t="str">
        <f>IF($C348="","",_xlfn.LET(
_xlpm.搬入計,SUMIFS(tbl_ledger[数量],tbl_ledger[localId],$C348,tbl_ledger[イベント種類],"搬入"),
_xlpm.割当計,SUMIF(V_充足確認!$B$2:$B$301,$C348,V_充足確認!$F$2:$F$301),
_xlpm.余剰化受入,SUMIFS(tbl_ledger[数量],tbl_ledger[localId],$C348,tbl_ledger[イベント種類],"余剰化",tbl_ledger[元状態],D$304),
_xlpm.払出,SUMIFS(tbl_ledger[数量],tbl_ledger[localId],$C348,tbl_ledger[ロットID],"=",tbl_ledger[元状態],D$304),
_xlpm.搬入計-_xlpm.割当計+_xlpm.余剰化受入-_xlpm.払出))</f>
        <v/>
      </c>
      <c r="E348" s="8" t="str">
        <f>IF($C348="","",_xlfn.LET(
_xlpm.受入,SUMIFS(tbl_ledger[数量],tbl_ledger[localId],$C348,tbl_ledger[イベント種類],"アニール開始",tbl_ledger[ロットID],"="),
_xlpm.余剰化受入,SUMIFS(tbl_ledger[数量],tbl_ledger[localId],$C348,tbl_ledger[イベント種類],"余剰化",tbl_ledger[元状態],E$304),
_xlpm.払出,SUMIFS(tbl_ledger[数量],tbl_ledger[localId],$C348,tbl_ledger[ロットID],"=",tbl_ledger[元状態],E$304),
_xlpm.受入+_xlpm.余剰化受入-_xlpm.払出))</f>
        <v/>
      </c>
      <c r="F348" s="8" t="str">
        <f>IF($C348="","",_xlfn.LET(
_xlpm.受入,SUMIFS(tbl_ledger[数量],tbl_ledger[localId],$C348,tbl_ledger[イベント種類],"アニール完了",tbl_ledger[ロットID],"="),
_xlpm.余剰化受入,SUMIFS(tbl_ledger[数量],tbl_ledger[localId],$C348,tbl_ledger[イベント種類],"余剰化",tbl_ledger[元状態],F$304),
_xlpm.払出,SUMIFS(tbl_ledger[数量],tbl_ledger[localId],$C348,tbl_ledger[ロットID],"=",tbl_ledger[元状態],F$304),
_xlpm.受入+_xlpm.余剰化受入-_xlpm.払出))</f>
        <v/>
      </c>
      <c r="G348" s="8" t="str">
        <f>IF($C348="","",_xlfn.LET(
_xlpm.受入,SUMIFS(tbl_ledger[数量],tbl_ledger[localId],$C348,tbl_ledger[イベント種類],"アセンブリ開始",tbl_ledger[ロットID],"="),
_xlpm.余剰化受入,SUMIFS(tbl_ledger[数量],tbl_ledger[localId],$C348,tbl_ledger[イベント種類],"余剰化",tbl_ledger[元状態],G$304),
_xlpm.払出,SUMIFS(tbl_ledger[数量],tbl_ledger[localId],$C348,tbl_ledger[ロットID],"=",tbl_ledger[元状態],G$304),
_xlpm.受入+_xlpm.余剰化受入-_xlpm.払出))</f>
        <v/>
      </c>
      <c r="H348" s="8" t="str">
        <f>IF($C348="","",_xlfn.LET(
_xlpm.受入,SUMIFS(tbl_ledger[数量],tbl_ledger[localId],$C348,tbl_ledger[イベント種類],"アセンブリ完了",tbl_ledger[ロットID],"="),
_xlpm.余剰化受入,SUMIFS(tbl_ledger[数量],tbl_ledger[localId],$C348,tbl_ledger[イベント種類],"余剰化",tbl_ledger[元状態],H$304),
_xlpm.払出,SUMIFS(tbl_ledger[数量],tbl_ledger[localId],$C348,tbl_ledger[ロットID],"=",tbl_ledger[元状態],H$304),
_xlpm.受入+_xlpm.余剰化受入-_xlpm.払出))</f>
        <v/>
      </c>
      <c r="I348" s="8" t="str">
        <f>IF($C348="","",_xlfn.LET(
_xlpm.受入,SUMIFS(tbl_ledger[数量],tbl_ledger[localId],$C348,tbl_ledger[イベント種類],"梱包開始",tbl_ledger[ロットID],"="),
_xlpm.余剰化受入,SUMIFS(tbl_ledger[数量],tbl_ledger[localId],$C348,tbl_ledger[イベント種類],"余剰化",tbl_ledger[元状態],I$304),
_xlpm.払出,SUMIFS(tbl_ledger[数量],tbl_ledger[localId],$C348,tbl_ledger[ロットID],"=",tbl_ledger[元状態],I$304),
_xlpm.受入+_xlpm.余剰化受入-_xlpm.払出))</f>
        <v/>
      </c>
      <c r="J348" s="8" t="str">
        <f>IF($C348="","",_xlfn.LET(
_xlpm.受入,SUMIFS(tbl_ledger[数量],tbl_ledger[localId],$C348,tbl_ledger[イベント種類],"梱包完了",tbl_ledger[ロットID],"="),
_xlpm.余剰化受入,SUMIFS(tbl_ledger[数量],tbl_ledger[localId],$C348,tbl_ledger[イベント種類],"余剰化",tbl_ledger[元状態],J$304),
_xlpm.払出,SUMIFS(tbl_ledger[数量],tbl_ledger[localId],$C348,tbl_ledger[ロットID],"=",tbl_ledger[元状態],J$304),
_xlpm.受入+_xlpm.余剰化受入-_xlpm.払出))</f>
        <v/>
      </c>
      <c r="K348" s="8" t="str">
        <f>IF($C348="","",_xlfn.LET(
_xlpm.受入,SUMIFS(tbl_ledger[数量],tbl_ledger[localId],$C348,tbl_ledger[イベント種類],"発送準備開始",tbl_ledger[ロットID],"="),
_xlpm.余剰化受入,SUMIFS(tbl_ledger[数量],tbl_ledger[localId],$C348,tbl_ledger[イベント種類],"余剰化",tbl_ledger[元状態],K$304),
_xlpm.払出,SUMIFS(tbl_ledger[数量],tbl_ledger[localId],$C348,tbl_ledger[ロットID],"=",tbl_ledger[元状態],K$304),
_xlpm.受入+_xlpm.余剰化受入-_xlpm.払出))</f>
        <v/>
      </c>
      <c r="L348" s="8" t="str">
        <f>IF($C348="","",_xlfn.LET(
_xlpm.受入,SUMIFS(tbl_ledger[数量],tbl_ledger[localId],$C348,tbl_ledger[イベント種類],"発送準備完了",tbl_ledger[ロットID],"="),
_xlpm.余剰化受入,SUMIFS(tbl_ledger[数量],tbl_ledger[localId],$C348,tbl_ledger[イベント種類],"余剰化",tbl_ledger[元状態],L$304),
_xlpm.払出,SUMIFS(tbl_ledger[数量],tbl_ledger[localId],$C348,tbl_ledger[ロットID],"=",tbl_ledger[元状態],L$304),
_xlpm.受入+_xlpm.余剰化受入-_xlpm.払出))</f>
        <v/>
      </c>
      <c r="M348" s="8" t="str">
        <f>IF($C348="","",_xlfn.LET(
_xlpm.受入,SUMIFS(tbl_ledger[数量],tbl_ledger[localId],$C348,tbl_ledger[イベント種類],"不良発生",tbl_ledger[ロットID],"="),
_xlpm.余剰化受入,SUMIFS(tbl_ledger[数量],tbl_ledger[localId],$C348,tbl_ledger[イベント種類],"余剰化",tbl_ledger[元状態],M$304),
_xlpm.払出,SUMIFS(tbl_ledger[数量],tbl_ledger[localId],$C348,tbl_ledger[ロットID],"=",tbl_ledger[元状態],M$304),
_xlpm.受入+_xlpm.余剰化受入-_xlpm.払出))</f>
        <v/>
      </c>
      <c r="N348" s="8" t="str">
        <f t="shared" si="13"/>
        <v/>
      </c>
    </row>
    <row r="349" spans="1:14" ht="15" customHeight="1" x14ac:dyDescent="0.25">
      <c r="A349" s="4" t="str">
        <f t="shared" si="12"/>
        <v/>
      </c>
      <c r="B349" s="4"/>
      <c r="C349" s="4" t="str">
        <f>IFERROR(INDEX(tbl_master[localId],ROW()-304),"")</f>
        <v/>
      </c>
      <c r="D349" s="8" t="str">
        <f>IF($C349="","",_xlfn.LET(
_xlpm.搬入計,SUMIFS(tbl_ledger[数量],tbl_ledger[localId],$C349,tbl_ledger[イベント種類],"搬入"),
_xlpm.割当計,SUMIF(V_充足確認!$B$2:$B$301,$C349,V_充足確認!$F$2:$F$301),
_xlpm.余剰化受入,SUMIFS(tbl_ledger[数量],tbl_ledger[localId],$C349,tbl_ledger[イベント種類],"余剰化",tbl_ledger[元状態],D$304),
_xlpm.払出,SUMIFS(tbl_ledger[数量],tbl_ledger[localId],$C349,tbl_ledger[ロットID],"=",tbl_ledger[元状態],D$304),
_xlpm.搬入計-_xlpm.割当計+_xlpm.余剰化受入-_xlpm.払出))</f>
        <v/>
      </c>
      <c r="E349" s="8" t="str">
        <f>IF($C349="","",_xlfn.LET(
_xlpm.受入,SUMIFS(tbl_ledger[数量],tbl_ledger[localId],$C349,tbl_ledger[イベント種類],"アニール開始",tbl_ledger[ロットID],"="),
_xlpm.余剰化受入,SUMIFS(tbl_ledger[数量],tbl_ledger[localId],$C349,tbl_ledger[イベント種類],"余剰化",tbl_ledger[元状態],E$304),
_xlpm.払出,SUMIFS(tbl_ledger[数量],tbl_ledger[localId],$C349,tbl_ledger[ロットID],"=",tbl_ledger[元状態],E$304),
_xlpm.受入+_xlpm.余剰化受入-_xlpm.払出))</f>
        <v/>
      </c>
      <c r="F349" s="8" t="str">
        <f>IF($C349="","",_xlfn.LET(
_xlpm.受入,SUMIFS(tbl_ledger[数量],tbl_ledger[localId],$C349,tbl_ledger[イベント種類],"アニール完了",tbl_ledger[ロットID],"="),
_xlpm.余剰化受入,SUMIFS(tbl_ledger[数量],tbl_ledger[localId],$C349,tbl_ledger[イベント種類],"余剰化",tbl_ledger[元状態],F$304),
_xlpm.払出,SUMIFS(tbl_ledger[数量],tbl_ledger[localId],$C349,tbl_ledger[ロットID],"=",tbl_ledger[元状態],F$304),
_xlpm.受入+_xlpm.余剰化受入-_xlpm.払出))</f>
        <v/>
      </c>
      <c r="G349" s="8" t="str">
        <f>IF($C349="","",_xlfn.LET(
_xlpm.受入,SUMIFS(tbl_ledger[数量],tbl_ledger[localId],$C349,tbl_ledger[イベント種類],"アセンブリ開始",tbl_ledger[ロットID],"="),
_xlpm.余剰化受入,SUMIFS(tbl_ledger[数量],tbl_ledger[localId],$C349,tbl_ledger[イベント種類],"余剰化",tbl_ledger[元状態],G$304),
_xlpm.払出,SUMIFS(tbl_ledger[数量],tbl_ledger[localId],$C349,tbl_ledger[ロットID],"=",tbl_ledger[元状態],G$304),
_xlpm.受入+_xlpm.余剰化受入-_xlpm.払出))</f>
        <v/>
      </c>
      <c r="H349" s="8" t="str">
        <f>IF($C349="","",_xlfn.LET(
_xlpm.受入,SUMIFS(tbl_ledger[数量],tbl_ledger[localId],$C349,tbl_ledger[イベント種類],"アセンブリ完了",tbl_ledger[ロットID],"="),
_xlpm.余剰化受入,SUMIFS(tbl_ledger[数量],tbl_ledger[localId],$C349,tbl_ledger[イベント種類],"余剰化",tbl_ledger[元状態],H$304),
_xlpm.払出,SUMIFS(tbl_ledger[数量],tbl_ledger[localId],$C349,tbl_ledger[ロットID],"=",tbl_ledger[元状態],H$304),
_xlpm.受入+_xlpm.余剰化受入-_xlpm.払出))</f>
        <v/>
      </c>
      <c r="I349" s="8" t="str">
        <f>IF($C349="","",_xlfn.LET(
_xlpm.受入,SUMIFS(tbl_ledger[数量],tbl_ledger[localId],$C349,tbl_ledger[イベント種類],"梱包開始",tbl_ledger[ロットID],"="),
_xlpm.余剰化受入,SUMIFS(tbl_ledger[数量],tbl_ledger[localId],$C349,tbl_ledger[イベント種類],"余剰化",tbl_ledger[元状態],I$304),
_xlpm.払出,SUMIFS(tbl_ledger[数量],tbl_ledger[localId],$C349,tbl_ledger[ロットID],"=",tbl_ledger[元状態],I$304),
_xlpm.受入+_xlpm.余剰化受入-_xlpm.払出))</f>
        <v/>
      </c>
      <c r="J349" s="8" t="str">
        <f>IF($C349="","",_xlfn.LET(
_xlpm.受入,SUMIFS(tbl_ledger[数量],tbl_ledger[localId],$C349,tbl_ledger[イベント種類],"梱包完了",tbl_ledger[ロットID],"="),
_xlpm.余剰化受入,SUMIFS(tbl_ledger[数量],tbl_ledger[localId],$C349,tbl_ledger[イベント種類],"余剰化",tbl_ledger[元状態],J$304),
_xlpm.払出,SUMIFS(tbl_ledger[数量],tbl_ledger[localId],$C349,tbl_ledger[ロットID],"=",tbl_ledger[元状態],J$304),
_xlpm.受入+_xlpm.余剰化受入-_xlpm.払出))</f>
        <v/>
      </c>
      <c r="K349" s="8" t="str">
        <f>IF($C349="","",_xlfn.LET(
_xlpm.受入,SUMIFS(tbl_ledger[数量],tbl_ledger[localId],$C349,tbl_ledger[イベント種類],"発送準備開始",tbl_ledger[ロットID],"="),
_xlpm.余剰化受入,SUMIFS(tbl_ledger[数量],tbl_ledger[localId],$C349,tbl_ledger[イベント種類],"余剰化",tbl_ledger[元状態],K$304),
_xlpm.払出,SUMIFS(tbl_ledger[数量],tbl_ledger[localId],$C349,tbl_ledger[ロットID],"=",tbl_ledger[元状態],K$304),
_xlpm.受入+_xlpm.余剰化受入-_xlpm.払出))</f>
        <v/>
      </c>
      <c r="L349" s="8" t="str">
        <f>IF($C349="","",_xlfn.LET(
_xlpm.受入,SUMIFS(tbl_ledger[数量],tbl_ledger[localId],$C349,tbl_ledger[イベント種類],"発送準備完了",tbl_ledger[ロットID],"="),
_xlpm.余剰化受入,SUMIFS(tbl_ledger[数量],tbl_ledger[localId],$C349,tbl_ledger[イベント種類],"余剰化",tbl_ledger[元状態],L$304),
_xlpm.払出,SUMIFS(tbl_ledger[数量],tbl_ledger[localId],$C349,tbl_ledger[ロットID],"=",tbl_ledger[元状態],L$304),
_xlpm.受入+_xlpm.余剰化受入-_xlpm.払出))</f>
        <v/>
      </c>
      <c r="M349" s="8" t="str">
        <f>IF($C349="","",_xlfn.LET(
_xlpm.受入,SUMIFS(tbl_ledger[数量],tbl_ledger[localId],$C349,tbl_ledger[イベント種類],"不良発生",tbl_ledger[ロットID],"="),
_xlpm.余剰化受入,SUMIFS(tbl_ledger[数量],tbl_ledger[localId],$C349,tbl_ledger[イベント種類],"余剰化",tbl_ledger[元状態],M$304),
_xlpm.払出,SUMIFS(tbl_ledger[数量],tbl_ledger[localId],$C349,tbl_ledger[ロットID],"=",tbl_ledger[元状態],M$304),
_xlpm.受入+_xlpm.余剰化受入-_xlpm.払出))</f>
        <v/>
      </c>
      <c r="N349" s="8" t="str">
        <f t="shared" si="13"/>
        <v/>
      </c>
    </row>
    <row r="350" spans="1:14" ht="15" customHeight="1" x14ac:dyDescent="0.25">
      <c r="A350" s="4" t="str">
        <f t="shared" si="12"/>
        <v/>
      </c>
      <c r="B350" s="4"/>
      <c r="C350" s="4" t="str">
        <f>IFERROR(INDEX(tbl_master[localId],ROW()-304),"")</f>
        <v/>
      </c>
      <c r="D350" s="8" t="str">
        <f>IF($C350="","",_xlfn.LET(
_xlpm.搬入計,SUMIFS(tbl_ledger[数量],tbl_ledger[localId],$C350,tbl_ledger[イベント種類],"搬入"),
_xlpm.割当計,SUMIF(V_充足確認!$B$2:$B$301,$C350,V_充足確認!$F$2:$F$301),
_xlpm.余剰化受入,SUMIFS(tbl_ledger[数量],tbl_ledger[localId],$C350,tbl_ledger[イベント種類],"余剰化",tbl_ledger[元状態],D$304),
_xlpm.払出,SUMIFS(tbl_ledger[数量],tbl_ledger[localId],$C350,tbl_ledger[ロットID],"=",tbl_ledger[元状態],D$304),
_xlpm.搬入計-_xlpm.割当計+_xlpm.余剰化受入-_xlpm.払出))</f>
        <v/>
      </c>
      <c r="E350" s="8" t="str">
        <f>IF($C350="","",_xlfn.LET(
_xlpm.受入,SUMIFS(tbl_ledger[数量],tbl_ledger[localId],$C350,tbl_ledger[イベント種類],"アニール開始",tbl_ledger[ロットID],"="),
_xlpm.余剰化受入,SUMIFS(tbl_ledger[数量],tbl_ledger[localId],$C350,tbl_ledger[イベント種類],"余剰化",tbl_ledger[元状態],E$304),
_xlpm.払出,SUMIFS(tbl_ledger[数量],tbl_ledger[localId],$C350,tbl_ledger[ロットID],"=",tbl_ledger[元状態],E$304),
_xlpm.受入+_xlpm.余剰化受入-_xlpm.払出))</f>
        <v/>
      </c>
      <c r="F350" s="8" t="str">
        <f>IF($C350="","",_xlfn.LET(
_xlpm.受入,SUMIFS(tbl_ledger[数量],tbl_ledger[localId],$C350,tbl_ledger[イベント種類],"アニール完了",tbl_ledger[ロットID],"="),
_xlpm.余剰化受入,SUMIFS(tbl_ledger[数量],tbl_ledger[localId],$C350,tbl_ledger[イベント種類],"余剰化",tbl_ledger[元状態],F$304),
_xlpm.払出,SUMIFS(tbl_ledger[数量],tbl_ledger[localId],$C350,tbl_ledger[ロットID],"=",tbl_ledger[元状態],F$304),
_xlpm.受入+_xlpm.余剰化受入-_xlpm.払出))</f>
        <v/>
      </c>
      <c r="G350" s="8" t="str">
        <f>IF($C350="","",_xlfn.LET(
_xlpm.受入,SUMIFS(tbl_ledger[数量],tbl_ledger[localId],$C350,tbl_ledger[イベント種類],"アセンブリ開始",tbl_ledger[ロットID],"="),
_xlpm.余剰化受入,SUMIFS(tbl_ledger[数量],tbl_ledger[localId],$C350,tbl_ledger[イベント種類],"余剰化",tbl_ledger[元状態],G$304),
_xlpm.払出,SUMIFS(tbl_ledger[数量],tbl_ledger[localId],$C350,tbl_ledger[ロットID],"=",tbl_ledger[元状態],G$304),
_xlpm.受入+_xlpm.余剰化受入-_xlpm.払出))</f>
        <v/>
      </c>
      <c r="H350" s="8" t="str">
        <f>IF($C350="","",_xlfn.LET(
_xlpm.受入,SUMIFS(tbl_ledger[数量],tbl_ledger[localId],$C350,tbl_ledger[イベント種類],"アセンブリ完了",tbl_ledger[ロットID],"="),
_xlpm.余剰化受入,SUMIFS(tbl_ledger[数量],tbl_ledger[localId],$C350,tbl_ledger[イベント種類],"余剰化",tbl_ledger[元状態],H$304),
_xlpm.払出,SUMIFS(tbl_ledger[数量],tbl_ledger[localId],$C350,tbl_ledger[ロットID],"=",tbl_ledger[元状態],H$304),
_xlpm.受入+_xlpm.余剰化受入-_xlpm.払出))</f>
        <v/>
      </c>
      <c r="I350" s="8" t="str">
        <f>IF($C350="","",_xlfn.LET(
_xlpm.受入,SUMIFS(tbl_ledger[数量],tbl_ledger[localId],$C350,tbl_ledger[イベント種類],"梱包開始",tbl_ledger[ロットID],"="),
_xlpm.余剰化受入,SUMIFS(tbl_ledger[数量],tbl_ledger[localId],$C350,tbl_ledger[イベント種類],"余剰化",tbl_ledger[元状態],I$304),
_xlpm.払出,SUMIFS(tbl_ledger[数量],tbl_ledger[localId],$C350,tbl_ledger[ロットID],"=",tbl_ledger[元状態],I$304),
_xlpm.受入+_xlpm.余剰化受入-_xlpm.払出))</f>
        <v/>
      </c>
      <c r="J350" s="8" t="str">
        <f>IF($C350="","",_xlfn.LET(
_xlpm.受入,SUMIFS(tbl_ledger[数量],tbl_ledger[localId],$C350,tbl_ledger[イベント種類],"梱包完了",tbl_ledger[ロットID],"="),
_xlpm.余剰化受入,SUMIFS(tbl_ledger[数量],tbl_ledger[localId],$C350,tbl_ledger[イベント種類],"余剰化",tbl_ledger[元状態],J$304),
_xlpm.払出,SUMIFS(tbl_ledger[数量],tbl_ledger[localId],$C350,tbl_ledger[ロットID],"=",tbl_ledger[元状態],J$304),
_xlpm.受入+_xlpm.余剰化受入-_xlpm.払出))</f>
        <v/>
      </c>
      <c r="K350" s="8" t="str">
        <f>IF($C350="","",_xlfn.LET(
_xlpm.受入,SUMIFS(tbl_ledger[数量],tbl_ledger[localId],$C350,tbl_ledger[イベント種類],"発送準備開始",tbl_ledger[ロットID],"="),
_xlpm.余剰化受入,SUMIFS(tbl_ledger[数量],tbl_ledger[localId],$C350,tbl_ledger[イベント種類],"余剰化",tbl_ledger[元状態],K$304),
_xlpm.払出,SUMIFS(tbl_ledger[数量],tbl_ledger[localId],$C350,tbl_ledger[ロットID],"=",tbl_ledger[元状態],K$304),
_xlpm.受入+_xlpm.余剰化受入-_xlpm.払出))</f>
        <v/>
      </c>
      <c r="L350" s="8" t="str">
        <f>IF($C350="","",_xlfn.LET(
_xlpm.受入,SUMIFS(tbl_ledger[数量],tbl_ledger[localId],$C350,tbl_ledger[イベント種類],"発送準備完了",tbl_ledger[ロットID],"="),
_xlpm.余剰化受入,SUMIFS(tbl_ledger[数量],tbl_ledger[localId],$C350,tbl_ledger[イベント種類],"余剰化",tbl_ledger[元状態],L$304),
_xlpm.払出,SUMIFS(tbl_ledger[数量],tbl_ledger[localId],$C350,tbl_ledger[ロットID],"=",tbl_ledger[元状態],L$304),
_xlpm.受入+_xlpm.余剰化受入-_xlpm.払出))</f>
        <v/>
      </c>
      <c r="M350" s="8" t="str">
        <f>IF($C350="","",_xlfn.LET(
_xlpm.受入,SUMIFS(tbl_ledger[数量],tbl_ledger[localId],$C350,tbl_ledger[イベント種類],"不良発生",tbl_ledger[ロットID],"="),
_xlpm.余剰化受入,SUMIFS(tbl_ledger[数量],tbl_ledger[localId],$C350,tbl_ledger[イベント種類],"余剰化",tbl_ledger[元状態],M$304),
_xlpm.払出,SUMIFS(tbl_ledger[数量],tbl_ledger[localId],$C350,tbl_ledger[ロットID],"=",tbl_ledger[元状態],M$304),
_xlpm.受入+_xlpm.余剰化受入-_xlpm.払出))</f>
        <v/>
      </c>
      <c r="N350" s="8" t="str">
        <f t="shared" si="13"/>
        <v/>
      </c>
    </row>
    <row r="351" spans="1:14" ht="15" customHeight="1" x14ac:dyDescent="0.25">
      <c r="A351" s="4" t="str">
        <f t="shared" si="12"/>
        <v/>
      </c>
      <c r="B351" s="4"/>
      <c r="C351" s="4" t="str">
        <f>IFERROR(INDEX(tbl_master[localId],ROW()-304),"")</f>
        <v/>
      </c>
      <c r="D351" s="8" t="str">
        <f>IF($C351="","",_xlfn.LET(
_xlpm.搬入計,SUMIFS(tbl_ledger[数量],tbl_ledger[localId],$C351,tbl_ledger[イベント種類],"搬入"),
_xlpm.割当計,SUMIF(V_充足確認!$B$2:$B$301,$C351,V_充足確認!$F$2:$F$301),
_xlpm.余剰化受入,SUMIFS(tbl_ledger[数量],tbl_ledger[localId],$C351,tbl_ledger[イベント種類],"余剰化",tbl_ledger[元状態],D$304),
_xlpm.払出,SUMIFS(tbl_ledger[数量],tbl_ledger[localId],$C351,tbl_ledger[ロットID],"=",tbl_ledger[元状態],D$304),
_xlpm.搬入計-_xlpm.割当計+_xlpm.余剰化受入-_xlpm.払出))</f>
        <v/>
      </c>
      <c r="E351" s="8" t="str">
        <f>IF($C351="","",_xlfn.LET(
_xlpm.受入,SUMIFS(tbl_ledger[数量],tbl_ledger[localId],$C351,tbl_ledger[イベント種類],"アニール開始",tbl_ledger[ロットID],"="),
_xlpm.余剰化受入,SUMIFS(tbl_ledger[数量],tbl_ledger[localId],$C351,tbl_ledger[イベント種類],"余剰化",tbl_ledger[元状態],E$304),
_xlpm.払出,SUMIFS(tbl_ledger[数量],tbl_ledger[localId],$C351,tbl_ledger[ロットID],"=",tbl_ledger[元状態],E$304),
_xlpm.受入+_xlpm.余剰化受入-_xlpm.払出))</f>
        <v/>
      </c>
      <c r="F351" s="8" t="str">
        <f>IF($C351="","",_xlfn.LET(
_xlpm.受入,SUMIFS(tbl_ledger[数量],tbl_ledger[localId],$C351,tbl_ledger[イベント種類],"アニール完了",tbl_ledger[ロットID],"="),
_xlpm.余剰化受入,SUMIFS(tbl_ledger[数量],tbl_ledger[localId],$C351,tbl_ledger[イベント種類],"余剰化",tbl_ledger[元状態],F$304),
_xlpm.払出,SUMIFS(tbl_ledger[数量],tbl_ledger[localId],$C351,tbl_ledger[ロットID],"=",tbl_ledger[元状態],F$304),
_xlpm.受入+_xlpm.余剰化受入-_xlpm.払出))</f>
        <v/>
      </c>
      <c r="G351" s="8" t="str">
        <f>IF($C351="","",_xlfn.LET(
_xlpm.受入,SUMIFS(tbl_ledger[数量],tbl_ledger[localId],$C351,tbl_ledger[イベント種類],"アセンブリ開始",tbl_ledger[ロットID],"="),
_xlpm.余剰化受入,SUMIFS(tbl_ledger[数量],tbl_ledger[localId],$C351,tbl_ledger[イベント種類],"余剰化",tbl_ledger[元状態],G$304),
_xlpm.払出,SUMIFS(tbl_ledger[数量],tbl_ledger[localId],$C351,tbl_ledger[ロットID],"=",tbl_ledger[元状態],G$304),
_xlpm.受入+_xlpm.余剰化受入-_xlpm.払出))</f>
        <v/>
      </c>
      <c r="H351" s="8" t="str">
        <f>IF($C351="","",_xlfn.LET(
_xlpm.受入,SUMIFS(tbl_ledger[数量],tbl_ledger[localId],$C351,tbl_ledger[イベント種類],"アセンブリ完了",tbl_ledger[ロットID],"="),
_xlpm.余剰化受入,SUMIFS(tbl_ledger[数量],tbl_ledger[localId],$C351,tbl_ledger[イベント種類],"余剰化",tbl_ledger[元状態],H$304),
_xlpm.払出,SUMIFS(tbl_ledger[数量],tbl_ledger[localId],$C351,tbl_ledger[ロットID],"=",tbl_ledger[元状態],H$304),
_xlpm.受入+_xlpm.余剰化受入-_xlpm.払出))</f>
        <v/>
      </c>
      <c r="I351" s="8" t="str">
        <f>IF($C351="","",_xlfn.LET(
_xlpm.受入,SUMIFS(tbl_ledger[数量],tbl_ledger[localId],$C351,tbl_ledger[イベント種類],"梱包開始",tbl_ledger[ロットID],"="),
_xlpm.余剰化受入,SUMIFS(tbl_ledger[数量],tbl_ledger[localId],$C351,tbl_ledger[イベント種類],"余剰化",tbl_ledger[元状態],I$304),
_xlpm.払出,SUMIFS(tbl_ledger[数量],tbl_ledger[localId],$C351,tbl_ledger[ロットID],"=",tbl_ledger[元状態],I$304),
_xlpm.受入+_xlpm.余剰化受入-_xlpm.払出))</f>
        <v/>
      </c>
      <c r="J351" s="8" t="str">
        <f>IF($C351="","",_xlfn.LET(
_xlpm.受入,SUMIFS(tbl_ledger[数量],tbl_ledger[localId],$C351,tbl_ledger[イベント種類],"梱包完了",tbl_ledger[ロットID],"="),
_xlpm.余剰化受入,SUMIFS(tbl_ledger[数量],tbl_ledger[localId],$C351,tbl_ledger[イベント種類],"余剰化",tbl_ledger[元状態],J$304),
_xlpm.払出,SUMIFS(tbl_ledger[数量],tbl_ledger[localId],$C351,tbl_ledger[ロットID],"=",tbl_ledger[元状態],J$304),
_xlpm.受入+_xlpm.余剰化受入-_xlpm.払出))</f>
        <v/>
      </c>
      <c r="K351" s="8" t="str">
        <f>IF($C351="","",_xlfn.LET(
_xlpm.受入,SUMIFS(tbl_ledger[数量],tbl_ledger[localId],$C351,tbl_ledger[イベント種類],"発送準備開始",tbl_ledger[ロットID],"="),
_xlpm.余剰化受入,SUMIFS(tbl_ledger[数量],tbl_ledger[localId],$C351,tbl_ledger[イベント種類],"余剰化",tbl_ledger[元状態],K$304),
_xlpm.払出,SUMIFS(tbl_ledger[数量],tbl_ledger[localId],$C351,tbl_ledger[ロットID],"=",tbl_ledger[元状態],K$304),
_xlpm.受入+_xlpm.余剰化受入-_xlpm.払出))</f>
        <v/>
      </c>
      <c r="L351" s="8" t="str">
        <f>IF($C351="","",_xlfn.LET(
_xlpm.受入,SUMIFS(tbl_ledger[数量],tbl_ledger[localId],$C351,tbl_ledger[イベント種類],"発送準備完了",tbl_ledger[ロットID],"="),
_xlpm.余剰化受入,SUMIFS(tbl_ledger[数量],tbl_ledger[localId],$C351,tbl_ledger[イベント種類],"余剰化",tbl_ledger[元状態],L$304),
_xlpm.払出,SUMIFS(tbl_ledger[数量],tbl_ledger[localId],$C351,tbl_ledger[ロットID],"=",tbl_ledger[元状態],L$304),
_xlpm.受入+_xlpm.余剰化受入-_xlpm.払出))</f>
        <v/>
      </c>
      <c r="M351" s="8" t="str">
        <f>IF($C351="","",_xlfn.LET(
_xlpm.受入,SUMIFS(tbl_ledger[数量],tbl_ledger[localId],$C351,tbl_ledger[イベント種類],"不良発生",tbl_ledger[ロットID],"="),
_xlpm.余剰化受入,SUMIFS(tbl_ledger[数量],tbl_ledger[localId],$C351,tbl_ledger[イベント種類],"余剰化",tbl_ledger[元状態],M$304),
_xlpm.払出,SUMIFS(tbl_ledger[数量],tbl_ledger[localId],$C351,tbl_ledger[ロットID],"=",tbl_ledger[元状態],M$304),
_xlpm.受入+_xlpm.余剰化受入-_xlpm.払出))</f>
        <v/>
      </c>
      <c r="N351" s="8" t="str">
        <f t="shared" si="13"/>
        <v/>
      </c>
    </row>
    <row r="352" spans="1:14" ht="15" customHeight="1" x14ac:dyDescent="0.25">
      <c r="A352" s="4" t="str">
        <f t="shared" si="12"/>
        <v/>
      </c>
      <c r="B352" s="4"/>
      <c r="C352" s="4" t="str">
        <f>IFERROR(INDEX(tbl_master[localId],ROW()-304),"")</f>
        <v/>
      </c>
      <c r="D352" s="8" t="str">
        <f>IF($C352="","",_xlfn.LET(
_xlpm.搬入計,SUMIFS(tbl_ledger[数量],tbl_ledger[localId],$C352,tbl_ledger[イベント種類],"搬入"),
_xlpm.割当計,SUMIF(V_充足確認!$B$2:$B$301,$C352,V_充足確認!$F$2:$F$301),
_xlpm.余剰化受入,SUMIFS(tbl_ledger[数量],tbl_ledger[localId],$C352,tbl_ledger[イベント種類],"余剰化",tbl_ledger[元状態],D$304),
_xlpm.払出,SUMIFS(tbl_ledger[数量],tbl_ledger[localId],$C352,tbl_ledger[ロットID],"=",tbl_ledger[元状態],D$304),
_xlpm.搬入計-_xlpm.割当計+_xlpm.余剰化受入-_xlpm.払出))</f>
        <v/>
      </c>
      <c r="E352" s="8" t="str">
        <f>IF($C352="","",_xlfn.LET(
_xlpm.受入,SUMIFS(tbl_ledger[数量],tbl_ledger[localId],$C352,tbl_ledger[イベント種類],"アニール開始",tbl_ledger[ロットID],"="),
_xlpm.余剰化受入,SUMIFS(tbl_ledger[数量],tbl_ledger[localId],$C352,tbl_ledger[イベント種類],"余剰化",tbl_ledger[元状態],E$304),
_xlpm.払出,SUMIFS(tbl_ledger[数量],tbl_ledger[localId],$C352,tbl_ledger[ロットID],"=",tbl_ledger[元状態],E$304),
_xlpm.受入+_xlpm.余剰化受入-_xlpm.払出))</f>
        <v/>
      </c>
      <c r="F352" s="8" t="str">
        <f>IF($C352="","",_xlfn.LET(
_xlpm.受入,SUMIFS(tbl_ledger[数量],tbl_ledger[localId],$C352,tbl_ledger[イベント種類],"アニール完了",tbl_ledger[ロットID],"="),
_xlpm.余剰化受入,SUMIFS(tbl_ledger[数量],tbl_ledger[localId],$C352,tbl_ledger[イベント種類],"余剰化",tbl_ledger[元状態],F$304),
_xlpm.払出,SUMIFS(tbl_ledger[数量],tbl_ledger[localId],$C352,tbl_ledger[ロットID],"=",tbl_ledger[元状態],F$304),
_xlpm.受入+_xlpm.余剰化受入-_xlpm.払出))</f>
        <v/>
      </c>
      <c r="G352" s="8" t="str">
        <f>IF($C352="","",_xlfn.LET(
_xlpm.受入,SUMIFS(tbl_ledger[数量],tbl_ledger[localId],$C352,tbl_ledger[イベント種類],"アセンブリ開始",tbl_ledger[ロットID],"="),
_xlpm.余剰化受入,SUMIFS(tbl_ledger[数量],tbl_ledger[localId],$C352,tbl_ledger[イベント種類],"余剰化",tbl_ledger[元状態],G$304),
_xlpm.払出,SUMIFS(tbl_ledger[数量],tbl_ledger[localId],$C352,tbl_ledger[ロットID],"=",tbl_ledger[元状態],G$304),
_xlpm.受入+_xlpm.余剰化受入-_xlpm.払出))</f>
        <v/>
      </c>
      <c r="H352" s="8" t="str">
        <f>IF($C352="","",_xlfn.LET(
_xlpm.受入,SUMIFS(tbl_ledger[数量],tbl_ledger[localId],$C352,tbl_ledger[イベント種類],"アセンブリ完了",tbl_ledger[ロットID],"="),
_xlpm.余剰化受入,SUMIFS(tbl_ledger[数量],tbl_ledger[localId],$C352,tbl_ledger[イベント種類],"余剰化",tbl_ledger[元状態],H$304),
_xlpm.払出,SUMIFS(tbl_ledger[数量],tbl_ledger[localId],$C352,tbl_ledger[ロットID],"=",tbl_ledger[元状態],H$304),
_xlpm.受入+_xlpm.余剰化受入-_xlpm.払出))</f>
        <v/>
      </c>
      <c r="I352" s="8" t="str">
        <f>IF($C352="","",_xlfn.LET(
_xlpm.受入,SUMIFS(tbl_ledger[数量],tbl_ledger[localId],$C352,tbl_ledger[イベント種類],"梱包開始",tbl_ledger[ロットID],"="),
_xlpm.余剰化受入,SUMIFS(tbl_ledger[数量],tbl_ledger[localId],$C352,tbl_ledger[イベント種類],"余剰化",tbl_ledger[元状態],I$304),
_xlpm.払出,SUMIFS(tbl_ledger[数量],tbl_ledger[localId],$C352,tbl_ledger[ロットID],"=",tbl_ledger[元状態],I$304),
_xlpm.受入+_xlpm.余剰化受入-_xlpm.払出))</f>
        <v/>
      </c>
      <c r="J352" s="8" t="str">
        <f>IF($C352="","",_xlfn.LET(
_xlpm.受入,SUMIFS(tbl_ledger[数量],tbl_ledger[localId],$C352,tbl_ledger[イベント種類],"梱包完了",tbl_ledger[ロットID],"="),
_xlpm.余剰化受入,SUMIFS(tbl_ledger[数量],tbl_ledger[localId],$C352,tbl_ledger[イベント種類],"余剰化",tbl_ledger[元状態],J$304),
_xlpm.払出,SUMIFS(tbl_ledger[数量],tbl_ledger[localId],$C352,tbl_ledger[ロットID],"=",tbl_ledger[元状態],J$304),
_xlpm.受入+_xlpm.余剰化受入-_xlpm.払出))</f>
        <v/>
      </c>
      <c r="K352" s="8" t="str">
        <f>IF($C352="","",_xlfn.LET(
_xlpm.受入,SUMIFS(tbl_ledger[数量],tbl_ledger[localId],$C352,tbl_ledger[イベント種類],"発送準備開始",tbl_ledger[ロットID],"="),
_xlpm.余剰化受入,SUMIFS(tbl_ledger[数量],tbl_ledger[localId],$C352,tbl_ledger[イベント種類],"余剰化",tbl_ledger[元状態],K$304),
_xlpm.払出,SUMIFS(tbl_ledger[数量],tbl_ledger[localId],$C352,tbl_ledger[ロットID],"=",tbl_ledger[元状態],K$304),
_xlpm.受入+_xlpm.余剰化受入-_xlpm.払出))</f>
        <v/>
      </c>
      <c r="L352" s="8" t="str">
        <f>IF($C352="","",_xlfn.LET(
_xlpm.受入,SUMIFS(tbl_ledger[数量],tbl_ledger[localId],$C352,tbl_ledger[イベント種類],"発送準備完了",tbl_ledger[ロットID],"="),
_xlpm.余剰化受入,SUMIFS(tbl_ledger[数量],tbl_ledger[localId],$C352,tbl_ledger[イベント種類],"余剰化",tbl_ledger[元状態],L$304),
_xlpm.払出,SUMIFS(tbl_ledger[数量],tbl_ledger[localId],$C352,tbl_ledger[ロットID],"=",tbl_ledger[元状態],L$304),
_xlpm.受入+_xlpm.余剰化受入-_xlpm.払出))</f>
        <v/>
      </c>
      <c r="M352" s="8" t="str">
        <f>IF($C352="","",_xlfn.LET(
_xlpm.受入,SUMIFS(tbl_ledger[数量],tbl_ledger[localId],$C352,tbl_ledger[イベント種類],"不良発生",tbl_ledger[ロットID],"="),
_xlpm.余剰化受入,SUMIFS(tbl_ledger[数量],tbl_ledger[localId],$C352,tbl_ledger[イベント種類],"余剰化",tbl_ledger[元状態],M$304),
_xlpm.払出,SUMIFS(tbl_ledger[数量],tbl_ledger[localId],$C352,tbl_ledger[ロットID],"=",tbl_ledger[元状態],M$304),
_xlpm.受入+_xlpm.余剰化受入-_xlpm.払出))</f>
        <v/>
      </c>
      <c r="N352" s="8" t="str">
        <f t="shared" si="13"/>
        <v/>
      </c>
    </row>
    <row r="353" spans="1:14" ht="15" customHeight="1" x14ac:dyDescent="0.25">
      <c r="A353" s="4" t="str">
        <f t="shared" si="12"/>
        <v/>
      </c>
      <c r="B353" s="4"/>
      <c r="C353" s="4" t="str">
        <f>IFERROR(INDEX(tbl_master[localId],ROW()-304),"")</f>
        <v/>
      </c>
      <c r="D353" s="8" t="str">
        <f>IF($C353="","",_xlfn.LET(
_xlpm.搬入計,SUMIFS(tbl_ledger[数量],tbl_ledger[localId],$C353,tbl_ledger[イベント種類],"搬入"),
_xlpm.割当計,SUMIF(V_充足確認!$B$2:$B$301,$C353,V_充足確認!$F$2:$F$301),
_xlpm.余剰化受入,SUMIFS(tbl_ledger[数量],tbl_ledger[localId],$C353,tbl_ledger[イベント種類],"余剰化",tbl_ledger[元状態],D$304),
_xlpm.払出,SUMIFS(tbl_ledger[数量],tbl_ledger[localId],$C353,tbl_ledger[ロットID],"=",tbl_ledger[元状態],D$304),
_xlpm.搬入計-_xlpm.割当計+_xlpm.余剰化受入-_xlpm.払出))</f>
        <v/>
      </c>
      <c r="E353" s="8" t="str">
        <f>IF($C353="","",_xlfn.LET(
_xlpm.受入,SUMIFS(tbl_ledger[数量],tbl_ledger[localId],$C353,tbl_ledger[イベント種類],"アニール開始",tbl_ledger[ロットID],"="),
_xlpm.余剰化受入,SUMIFS(tbl_ledger[数量],tbl_ledger[localId],$C353,tbl_ledger[イベント種類],"余剰化",tbl_ledger[元状態],E$304),
_xlpm.払出,SUMIFS(tbl_ledger[数量],tbl_ledger[localId],$C353,tbl_ledger[ロットID],"=",tbl_ledger[元状態],E$304),
_xlpm.受入+_xlpm.余剰化受入-_xlpm.払出))</f>
        <v/>
      </c>
      <c r="F353" s="8" t="str">
        <f>IF($C353="","",_xlfn.LET(
_xlpm.受入,SUMIFS(tbl_ledger[数量],tbl_ledger[localId],$C353,tbl_ledger[イベント種類],"アニール完了",tbl_ledger[ロットID],"="),
_xlpm.余剰化受入,SUMIFS(tbl_ledger[数量],tbl_ledger[localId],$C353,tbl_ledger[イベント種類],"余剰化",tbl_ledger[元状態],F$304),
_xlpm.払出,SUMIFS(tbl_ledger[数量],tbl_ledger[localId],$C353,tbl_ledger[ロットID],"=",tbl_ledger[元状態],F$304),
_xlpm.受入+_xlpm.余剰化受入-_xlpm.払出))</f>
        <v/>
      </c>
      <c r="G353" s="8" t="str">
        <f>IF($C353="","",_xlfn.LET(
_xlpm.受入,SUMIFS(tbl_ledger[数量],tbl_ledger[localId],$C353,tbl_ledger[イベント種類],"アセンブリ開始",tbl_ledger[ロットID],"="),
_xlpm.余剰化受入,SUMIFS(tbl_ledger[数量],tbl_ledger[localId],$C353,tbl_ledger[イベント種類],"余剰化",tbl_ledger[元状態],G$304),
_xlpm.払出,SUMIFS(tbl_ledger[数量],tbl_ledger[localId],$C353,tbl_ledger[ロットID],"=",tbl_ledger[元状態],G$304),
_xlpm.受入+_xlpm.余剰化受入-_xlpm.払出))</f>
        <v/>
      </c>
      <c r="H353" s="8" t="str">
        <f>IF($C353="","",_xlfn.LET(
_xlpm.受入,SUMIFS(tbl_ledger[数量],tbl_ledger[localId],$C353,tbl_ledger[イベント種類],"アセンブリ完了",tbl_ledger[ロットID],"="),
_xlpm.余剰化受入,SUMIFS(tbl_ledger[数量],tbl_ledger[localId],$C353,tbl_ledger[イベント種類],"余剰化",tbl_ledger[元状態],H$304),
_xlpm.払出,SUMIFS(tbl_ledger[数量],tbl_ledger[localId],$C353,tbl_ledger[ロットID],"=",tbl_ledger[元状態],H$304),
_xlpm.受入+_xlpm.余剰化受入-_xlpm.払出))</f>
        <v/>
      </c>
      <c r="I353" s="8" t="str">
        <f>IF($C353="","",_xlfn.LET(
_xlpm.受入,SUMIFS(tbl_ledger[数量],tbl_ledger[localId],$C353,tbl_ledger[イベント種類],"梱包開始",tbl_ledger[ロットID],"="),
_xlpm.余剰化受入,SUMIFS(tbl_ledger[数量],tbl_ledger[localId],$C353,tbl_ledger[イベント種類],"余剰化",tbl_ledger[元状態],I$304),
_xlpm.払出,SUMIFS(tbl_ledger[数量],tbl_ledger[localId],$C353,tbl_ledger[ロットID],"=",tbl_ledger[元状態],I$304),
_xlpm.受入+_xlpm.余剰化受入-_xlpm.払出))</f>
        <v/>
      </c>
      <c r="J353" s="8" t="str">
        <f>IF($C353="","",_xlfn.LET(
_xlpm.受入,SUMIFS(tbl_ledger[数量],tbl_ledger[localId],$C353,tbl_ledger[イベント種類],"梱包完了",tbl_ledger[ロットID],"="),
_xlpm.余剰化受入,SUMIFS(tbl_ledger[数量],tbl_ledger[localId],$C353,tbl_ledger[イベント種類],"余剰化",tbl_ledger[元状態],J$304),
_xlpm.払出,SUMIFS(tbl_ledger[数量],tbl_ledger[localId],$C353,tbl_ledger[ロットID],"=",tbl_ledger[元状態],J$304),
_xlpm.受入+_xlpm.余剰化受入-_xlpm.払出))</f>
        <v/>
      </c>
      <c r="K353" s="8" t="str">
        <f>IF($C353="","",_xlfn.LET(
_xlpm.受入,SUMIFS(tbl_ledger[数量],tbl_ledger[localId],$C353,tbl_ledger[イベント種類],"発送準備開始",tbl_ledger[ロットID],"="),
_xlpm.余剰化受入,SUMIFS(tbl_ledger[数量],tbl_ledger[localId],$C353,tbl_ledger[イベント種類],"余剰化",tbl_ledger[元状態],K$304),
_xlpm.払出,SUMIFS(tbl_ledger[数量],tbl_ledger[localId],$C353,tbl_ledger[ロットID],"=",tbl_ledger[元状態],K$304),
_xlpm.受入+_xlpm.余剰化受入-_xlpm.払出))</f>
        <v/>
      </c>
      <c r="L353" s="8" t="str">
        <f>IF($C353="","",_xlfn.LET(
_xlpm.受入,SUMIFS(tbl_ledger[数量],tbl_ledger[localId],$C353,tbl_ledger[イベント種類],"発送準備完了",tbl_ledger[ロットID],"="),
_xlpm.余剰化受入,SUMIFS(tbl_ledger[数量],tbl_ledger[localId],$C353,tbl_ledger[イベント種類],"余剰化",tbl_ledger[元状態],L$304),
_xlpm.払出,SUMIFS(tbl_ledger[数量],tbl_ledger[localId],$C353,tbl_ledger[ロットID],"=",tbl_ledger[元状態],L$304),
_xlpm.受入+_xlpm.余剰化受入-_xlpm.払出))</f>
        <v/>
      </c>
      <c r="M353" s="8" t="str">
        <f>IF($C353="","",_xlfn.LET(
_xlpm.受入,SUMIFS(tbl_ledger[数量],tbl_ledger[localId],$C353,tbl_ledger[イベント種類],"不良発生",tbl_ledger[ロットID],"="),
_xlpm.余剰化受入,SUMIFS(tbl_ledger[数量],tbl_ledger[localId],$C353,tbl_ledger[イベント種類],"余剰化",tbl_ledger[元状態],M$304),
_xlpm.払出,SUMIFS(tbl_ledger[数量],tbl_ledger[localId],$C353,tbl_ledger[ロットID],"=",tbl_ledger[元状態],M$304),
_xlpm.受入+_xlpm.余剰化受入-_xlpm.払出))</f>
        <v/>
      </c>
      <c r="N353" s="8" t="str">
        <f t="shared" si="13"/>
        <v/>
      </c>
    </row>
    <row r="354" spans="1:14" ht="15" customHeight="1" x14ac:dyDescent="0.25">
      <c r="A354" s="4" t="str">
        <f t="shared" si="12"/>
        <v/>
      </c>
      <c r="B354" s="4"/>
      <c r="C354" s="4" t="str">
        <f>IFERROR(INDEX(tbl_master[localId],ROW()-304),"")</f>
        <v/>
      </c>
      <c r="D354" s="8" t="str">
        <f>IF($C354="","",_xlfn.LET(
_xlpm.搬入計,SUMIFS(tbl_ledger[数量],tbl_ledger[localId],$C354,tbl_ledger[イベント種類],"搬入"),
_xlpm.割当計,SUMIF(V_充足確認!$B$2:$B$301,$C354,V_充足確認!$F$2:$F$301),
_xlpm.余剰化受入,SUMIFS(tbl_ledger[数量],tbl_ledger[localId],$C354,tbl_ledger[イベント種類],"余剰化",tbl_ledger[元状態],D$304),
_xlpm.払出,SUMIFS(tbl_ledger[数量],tbl_ledger[localId],$C354,tbl_ledger[ロットID],"=",tbl_ledger[元状態],D$304),
_xlpm.搬入計-_xlpm.割当計+_xlpm.余剰化受入-_xlpm.払出))</f>
        <v/>
      </c>
      <c r="E354" s="8" t="str">
        <f>IF($C354="","",_xlfn.LET(
_xlpm.受入,SUMIFS(tbl_ledger[数量],tbl_ledger[localId],$C354,tbl_ledger[イベント種類],"アニール開始",tbl_ledger[ロットID],"="),
_xlpm.余剰化受入,SUMIFS(tbl_ledger[数量],tbl_ledger[localId],$C354,tbl_ledger[イベント種類],"余剰化",tbl_ledger[元状態],E$304),
_xlpm.払出,SUMIFS(tbl_ledger[数量],tbl_ledger[localId],$C354,tbl_ledger[ロットID],"=",tbl_ledger[元状態],E$304),
_xlpm.受入+_xlpm.余剰化受入-_xlpm.払出))</f>
        <v/>
      </c>
      <c r="F354" s="8" t="str">
        <f>IF($C354="","",_xlfn.LET(
_xlpm.受入,SUMIFS(tbl_ledger[数量],tbl_ledger[localId],$C354,tbl_ledger[イベント種類],"アニール完了",tbl_ledger[ロットID],"="),
_xlpm.余剰化受入,SUMIFS(tbl_ledger[数量],tbl_ledger[localId],$C354,tbl_ledger[イベント種類],"余剰化",tbl_ledger[元状態],F$304),
_xlpm.払出,SUMIFS(tbl_ledger[数量],tbl_ledger[localId],$C354,tbl_ledger[ロットID],"=",tbl_ledger[元状態],F$304),
_xlpm.受入+_xlpm.余剰化受入-_xlpm.払出))</f>
        <v/>
      </c>
      <c r="G354" s="8" t="str">
        <f>IF($C354="","",_xlfn.LET(
_xlpm.受入,SUMIFS(tbl_ledger[数量],tbl_ledger[localId],$C354,tbl_ledger[イベント種類],"アセンブリ開始",tbl_ledger[ロットID],"="),
_xlpm.余剰化受入,SUMIFS(tbl_ledger[数量],tbl_ledger[localId],$C354,tbl_ledger[イベント種類],"余剰化",tbl_ledger[元状態],G$304),
_xlpm.払出,SUMIFS(tbl_ledger[数量],tbl_ledger[localId],$C354,tbl_ledger[ロットID],"=",tbl_ledger[元状態],G$304),
_xlpm.受入+_xlpm.余剰化受入-_xlpm.払出))</f>
        <v/>
      </c>
      <c r="H354" s="8" t="str">
        <f>IF($C354="","",_xlfn.LET(
_xlpm.受入,SUMIFS(tbl_ledger[数量],tbl_ledger[localId],$C354,tbl_ledger[イベント種類],"アセンブリ完了",tbl_ledger[ロットID],"="),
_xlpm.余剰化受入,SUMIFS(tbl_ledger[数量],tbl_ledger[localId],$C354,tbl_ledger[イベント種類],"余剰化",tbl_ledger[元状態],H$304),
_xlpm.払出,SUMIFS(tbl_ledger[数量],tbl_ledger[localId],$C354,tbl_ledger[ロットID],"=",tbl_ledger[元状態],H$304),
_xlpm.受入+_xlpm.余剰化受入-_xlpm.払出))</f>
        <v/>
      </c>
      <c r="I354" s="8" t="str">
        <f>IF($C354="","",_xlfn.LET(
_xlpm.受入,SUMIFS(tbl_ledger[数量],tbl_ledger[localId],$C354,tbl_ledger[イベント種類],"梱包開始",tbl_ledger[ロットID],"="),
_xlpm.余剰化受入,SUMIFS(tbl_ledger[数量],tbl_ledger[localId],$C354,tbl_ledger[イベント種類],"余剰化",tbl_ledger[元状態],I$304),
_xlpm.払出,SUMIFS(tbl_ledger[数量],tbl_ledger[localId],$C354,tbl_ledger[ロットID],"=",tbl_ledger[元状態],I$304),
_xlpm.受入+_xlpm.余剰化受入-_xlpm.払出))</f>
        <v/>
      </c>
      <c r="J354" s="8" t="str">
        <f>IF($C354="","",_xlfn.LET(
_xlpm.受入,SUMIFS(tbl_ledger[数量],tbl_ledger[localId],$C354,tbl_ledger[イベント種類],"梱包完了",tbl_ledger[ロットID],"="),
_xlpm.余剰化受入,SUMIFS(tbl_ledger[数量],tbl_ledger[localId],$C354,tbl_ledger[イベント種類],"余剰化",tbl_ledger[元状態],J$304),
_xlpm.払出,SUMIFS(tbl_ledger[数量],tbl_ledger[localId],$C354,tbl_ledger[ロットID],"=",tbl_ledger[元状態],J$304),
_xlpm.受入+_xlpm.余剰化受入-_xlpm.払出))</f>
        <v/>
      </c>
      <c r="K354" s="8" t="str">
        <f>IF($C354="","",_xlfn.LET(
_xlpm.受入,SUMIFS(tbl_ledger[数量],tbl_ledger[localId],$C354,tbl_ledger[イベント種類],"発送準備開始",tbl_ledger[ロットID],"="),
_xlpm.余剰化受入,SUMIFS(tbl_ledger[数量],tbl_ledger[localId],$C354,tbl_ledger[イベント種類],"余剰化",tbl_ledger[元状態],K$304),
_xlpm.払出,SUMIFS(tbl_ledger[数量],tbl_ledger[localId],$C354,tbl_ledger[ロットID],"=",tbl_ledger[元状態],K$304),
_xlpm.受入+_xlpm.余剰化受入-_xlpm.払出))</f>
        <v/>
      </c>
      <c r="L354" s="8" t="str">
        <f>IF($C354="","",_xlfn.LET(
_xlpm.受入,SUMIFS(tbl_ledger[数量],tbl_ledger[localId],$C354,tbl_ledger[イベント種類],"発送準備完了",tbl_ledger[ロットID],"="),
_xlpm.余剰化受入,SUMIFS(tbl_ledger[数量],tbl_ledger[localId],$C354,tbl_ledger[イベント種類],"余剰化",tbl_ledger[元状態],L$304),
_xlpm.払出,SUMIFS(tbl_ledger[数量],tbl_ledger[localId],$C354,tbl_ledger[ロットID],"=",tbl_ledger[元状態],L$304),
_xlpm.受入+_xlpm.余剰化受入-_xlpm.払出))</f>
        <v/>
      </c>
      <c r="M354" s="8" t="str">
        <f>IF($C354="","",_xlfn.LET(
_xlpm.受入,SUMIFS(tbl_ledger[数量],tbl_ledger[localId],$C354,tbl_ledger[イベント種類],"不良発生",tbl_ledger[ロットID],"="),
_xlpm.余剰化受入,SUMIFS(tbl_ledger[数量],tbl_ledger[localId],$C354,tbl_ledger[イベント種類],"余剰化",tbl_ledger[元状態],M$304),
_xlpm.払出,SUMIFS(tbl_ledger[数量],tbl_ledger[localId],$C354,tbl_ledger[ロットID],"=",tbl_ledger[元状態],M$304),
_xlpm.受入+_xlpm.余剰化受入-_xlpm.払出))</f>
        <v/>
      </c>
      <c r="N354" s="8" t="str">
        <f t="shared" si="13"/>
        <v/>
      </c>
    </row>
    <row r="355" spans="1:14" ht="15" customHeight="1" x14ac:dyDescent="0.25">
      <c r="A355" s="4" t="str">
        <f t="shared" si="12"/>
        <v/>
      </c>
      <c r="B355" s="4"/>
      <c r="C355" s="4" t="str">
        <f>IFERROR(INDEX(tbl_master[localId],ROW()-304),"")</f>
        <v/>
      </c>
      <c r="D355" s="8" t="str">
        <f>IF($C355="","",_xlfn.LET(
_xlpm.搬入計,SUMIFS(tbl_ledger[数量],tbl_ledger[localId],$C355,tbl_ledger[イベント種類],"搬入"),
_xlpm.割当計,SUMIF(V_充足確認!$B$2:$B$301,$C355,V_充足確認!$F$2:$F$301),
_xlpm.余剰化受入,SUMIFS(tbl_ledger[数量],tbl_ledger[localId],$C355,tbl_ledger[イベント種類],"余剰化",tbl_ledger[元状態],D$304),
_xlpm.払出,SUMIFS(tbl_ledger[数量],tbl_ledger[localId],$C355,tbl_ledger[ロットID],"=",tbl_ledger[元状態],D$304),
_xlpm.搬入計-_xlpm.割当計+_xlpm.余剰化受入-_xlpm.払出))</f>
        <v/>
      </c>
      <c r="E355" s="8" t="str">
        <f>IF($C355="","",_xlfn.LET(
_xlpm.受入,SUMIFS(tbl_ledger[数量],tbl_ledger[localId],$C355,tbl_ledger[イベント種類],"アニール開始",tbl_ledger[ロットID],"="),
_xlpm.余剰化受入,SUMIFS(tbl_ledger[数量],tbl_ledger[localId],$C355,tbl_ledger[イベント種類],"余剰化",tbl_ledger[元状態],E$304),
_xlpm.払出,SUMIFS(tbl_ledger[数量],tbl_ledger[localId],$C355,tbl_ledger[ロットID],"=",tbl_ledger[元状態],E$304),
_xlpm.受入+_xlpm.余剰化受入-_xlpm.払出))</f>
        <v/>
      </c>
      <c r="F355" s="8" t="str">
        <f>IF($C355="","",_xlfn.LET(
_xlpm.受入,SUMIFS(tbl_ledger[数量],tbl_ledger[localId],$C355,tbl_ledger[イベント種類],"アニール完了",tbl_ledger[ロットID],"="),
_xlpm.余剰化受入,SUMIFS(tbl_ledger[数量],tbl_ledger[localId],$C355,tbl_ledger[イベント種類],"余剰化",tbl_ledger[元状態],F$304),
_xlpm.払出,SUMIFS(tbl_ledger[数量],tbl_ledger[localId],$C355,tbl_ledger[ロットID],"=",tbl_ledger[元状態],F$304),
_xlpm.受入+_xlpm.余剰化受入-_xlpm.払出))</f>
        <v/>
      </c>
      <c r="G355" s="8" t="str">
        <f>IF($C355="","",_xlfn.LET(
_xlpm.受入,SUMIFS(tbl_ledger[数量],tbl_ledger[localId],$C355,tbl_ledger[イベント種類],"アセンブリ開始",tbl_ledger[ロットID],"="),
_xlpm.余剰化受入,SUMIFS(tbl_ledger[数量],tbl_ledger[localId],$C355,tbl_ledger[イベント種類],"余剰化",tbl_ledger[元状態],G$304),
_xlpm.払出,SUMIFS(tbl_ledger[数量],tbl_ledger[localId],$C355,tbl_ledger[ロットID],"=",tbl_ledger[元状態],G$304),
_xlpm.受入+_xlpm.余剰化受入-_xlpm.払出))</f>
        <v/>
      </c>
      <c r="H355" s="8" t="str">
        <f>IF($C355="","",_xlfn.LET(
_xlpm.受入,SUMIFS(tbl_ledger[数量],tbl_ledger[localId],$C355,tbl_ledger[イベント種類],"アセンブリ完了",tbl_ledger[ロットID],"="),
_xlpm.余剰化受入,SUMIFS(tbl_ledger[数量],tbl_ledger[localId],$C355,tbl_ledger[イベント種類],"余剰化",tbl_ledger[元状態],H$304),
_xlpm.払出,SUMIFS(tbl_ledger[数量],tbl_ledger[localId],$C355,tbl_ledger[ロットID],"=",tbl_ledger[元状態],H$304),
_xlpm.受入+_xlpm.余剰化受入-_xlpm.払出))</f>
        <v/>
      </c>
      <c r="I355" s="8" t="str">
        <f>IF($C355="","",_xlfn.LET(
_xlpm.受入,SUMIFS(tbl_ledger[数量],tbl_ledger[localId],$C355,tbl_ledger[イベント種類],"梱包開始",tbl_ledger[ロットID],"="),
_xlpm.余剰化受入,SUMIFS(tbl_ledger[数量],tbl_ledger[localId],$C355,tbl_ledger[イベント種類],"余剰化",tbl_ledger[元状態],I$304),
_xlpm.払出,SUMIFS(tbl_ledger[数量],tbl_ledger[localId],$C355,tbl_ledger[ロットID],"=",tbl_ledger[元状態],I$304),
_xlpm.受入+_xlpm.余剰化受入-_xlpm.払出))</f>
        <v/>
      </c>
      <c r="J355" s="8" t="str">
        <f>IF($C355="","",_xlfn.LET(
_xlpm.受入,SUMIFS(tbl_ledger[数量],tbl_ledger[localId],$C355,tbl_ledger[イベント種類],"梱包完了",tbl_ledger[ロットID],"="),
_xlpm.余剰化受入,SUMIFS(tbl_ledger[数量],tbl_ledger[localId],$C355,tbl_ledger[イベント種類],"余剰化",tbl_ledger[元状態],J$304),
_xlpm.払出,SUMIFS(tbl_ledger[数量],tbl_ledger[localId],$C355,tbl_ledger[ロットID],"=",tbl_ledger[元状態],J$304),
_xlpm.受入+_xlpm.余剰化受入-_xlpm.払出))</f>
        <v/>
      </c>
      <c r="K355" s="8" t="str">
        <f>IF($C355="","",_xlfn.LET(
_xlpm.受入,SUMIFS(tbl_ledger[数量],tbl_ledger[localId],$C355,tbl_ledger[イベント種類],"発送準備開始",tbl_ledger[ロットID],"="),
_xlpm.余剰化受入,SUMIFS(tbl_ledger[数量],tbl_ledger[localId],$C355,tbl_ledger[イベント種類],"余剰化",tbl_ledger[元状態],K$304),
_xlpm.払出,SUMIFS(tbl_ledger[数量],tbl_ledger[localId],$C355,tbl_ledger[ロットID],"=",tbl_ledger[元状態],K$304),
_xlpm.受入+_xlpm.余剰化受入-_xlpm.払出))</f>
        <v/>
      </c>
      <c r="L355" s="8" t="str">
        <f>IF($C355="","",_xlfn.LET(
_xlpm.受入,SUMIFS(tbl_ledger[数量],tbl_ledger[localId],$C355,tbl_ledger[イベント種類],"発送準備完了",tbl_ledger[ロットID],"="),
_xlpm.余剰化受入,SUMIFS(tbl_ledger[数量],tbl_ledger[localId],$C355,tbl_ledger[イベント種類],"余剰化",tbl_ledger[元状態],L$304),
_xlpm.払出,SUMIFS(tbl_ledger[数量],tbl_ledger[localId],$C355,tbl_ledger[ロットID],"=",tbl_ledger[元状態],L$304),
_xlpm.受入+_xlpm.余剰化受入-_xlpm.払出))</f>
        <v/>
      </c>
      <c r="M355" s="8" t="str">
        <f>IF($C355="","",_xlfn.LET(
_xlpm.受入,SUMIFS(tbl_ledger[数量],tbl_ledger[localId],$C355,tbl_ledger[イベント種類],"不良発生",tbl_ledger[ロットID],"="),
_xlpm.余剰化受入,SUMIFS(tbl_ledger[数量],tbl_ledger[localId],$C355,tbl_ledger[イベント種類],"余剰化",tbl_ledger[元状態],M$304),
_xlpm.払出,SUMIFS(tbl_ledger[数量],tbl_ledger[localId],$C355,tbl_ledger[ロットID],"=",tbl_ledger[元状態],M$304),
_xlpm.受入+_xlpm.余剰化受入-_xlpm.払出))</f>
        <v/>
      </c>
      <c r="N355" s="8" t="str">
        <f t="shared" si="13"/>
        <v/>
      </c>
    </row>
    <row r="356" spans="1:14" ht="15" customHeight="1" x14ac:dyDescent="0.25">
      <c r="A356" s="4" t="str">
        <f t="shared" si="12"/>
        <v/>
      </c>
      <c r="B356" s="4"/>
      <c r="C356" s="4" t="str">
        <f>IFERROR(INDEX(tbl_master[localId],ROW()-304),"")</f>
        <v/>
      </c>
      <c r="D356" s="8" t="str">
        <f>IF($C356="","",_xlfn.LET(
_xlpm.搬入計,SUMIFS(tbl_ledger[数量],tbl_ledger[localId],$C356,tbl_ledger[イベント種類],"搬入"),
_xlpm.割当計,SUMIF(V_充足確認!$B$2:$B$301,$C356,V_充足確認!$F$2:$F$301),
_xlpm.余剰化受入,SUMIFS(tbl_ledger[数量],tbl_ledger[localId],$C356,tbl_ledger[イベント種類],"余剰化",tbl_ledger[元状態],D$304),
_xlpm.払出,SUMIFS(tbl_ledger[数量],tbl_ledger[localId],$C356,tbl_ledger[ロットID],"=",tbl_ledger[元状態],D$304),
_xlpm.搬入計-_xlpm.割当計+_xlpm.余剰化受入-_xlpm.払出))</f>
        <v/>
      </c>
      <c r="E356" s="8" t="str">
        <f>IF($C356="","",_xlfn.LET(
_xlpm.受入,SUMIFS(tbl_ledger[数量],tbl_ledger[localId],$C356,tbl_ledger[イベント種類],"アニール開始",tbl_ledger[ロットID],"="),
_xlpm.余剰化受入,SUMIFS(tbl_ledger[数量],tbl_ledger[localId],$C356,tbl_ledger[イベント種類],"余剰化",tbl_ledger[元状態],E$304),
_xlpm.払出,SUMIFS(tbl_ledger[数量],tbl_ledger[localId],$C356,tbl_ledger[ロットID],"=",tbl_ledger[元状態],E$304),
_xlpm.受入+_xlpm.余剰化受入-_xlpm.払出))</f>
        <v/>
      </c>
      <c r="F356" s="8" t="str">
        <f>IF($C356="","",_xlfn.LET(
_xlpm.受入,SUMIFS(tbl_ledger[数量],tbl_ledger[localId],$C356,tbl_ledger[イベント種類],"アニール完了",tbl_ledger[ロットID],"="),
_xlpm.余剰化受入,SUMIFS(tbl_ledger[数量],tbl_ledger[localId],$C356,tbl_ledger[イベント種類],"余剰化",tbl_ledger[元状態],F$304),
_xlpm.払出,SUMIFS(tbl_ledger[数量],tbl_ledger[localId],$C356,tbl_ledger[ロットID],"=",tbl_ledger[元状態],F$304),
_xlpm.受入+_xlpm.余剰化受入-_xlpm.払出))</f>
        <v/>
      </c>
      <c r="G356" s="8" t="str">
        <f>IF($C356="","",_xlfn.LET(
_xlpm.受入,SUMIFS(tbl_ledger[数量],tbl_ledger[localId],$C356,tbl_ledger[イベント種類],"アセンブリ開始",tbl_ledger[ロットID],"="),
_xlpm.余剰化受入,SUMIFS(tbl_ledger[数量],tbl_ledger[localId],$C356,tbl_ledger[イベント種類],"余剰化",tbl_ledger[元状態],G$304),
_xlpm.払出,SUMIFS(tbl_ledger[数量],tbl_ledger[localId],$C356,tbl_ledger[ロットID],"=",tbl_ledger[元状態],G$304),
_xlpm.受入+_xlpm.余剰化受入-_xlpm.払出))</f>
        <v/>
      </c>
      <c r="H356" s="8" t="str">
        <f>IF($C356="","",_xlfn.LET(
_xlpm.受入,SUMIFS(tbl_ledger[数量],tbl_ledger[localId],$C356,tbl_ledger[イベント種類],"アセンブリ完了",tbl_ledger[ロットID],"="),
_xlpm.余剰化受入,SUMIFS(tbl_ledger[数量],tbl_ledger[localId],$C356,tbl_ledger[イベント種類],"余剰化",tbl_ledger[元状態],H$304),
_xlpm.払出,SUMIFS(tbl_ledger[数量],tbl_ledger[localId],$C356,tbl_ledger[ロットID],"=",tbl_ledger[元状態],H$304),
_xlpm.受入+_xlpm.余剰化受入-_xlpm.払出))</f>
        <v/>
      </c>
      <c r="I356" s="8" t="str">
        <f>IF($C356="","",_xlfn.LET(
_xlpm.受入,SUMIFS(tbl_ledger[数量],tbl_ledger[localId],$C356,tbl_ledger[イベント種類],"梱包開始",tbl_ledger[ロットID],"="),
_xlpm.余剰化受入,SUMIFS(tbl_ledger[数量],tbl_ledger[localId],$C356,tbl_ledger[イベント種類],"余剰化",tbl_ledger[元状態],I$304),
_xlpm.払出,SUMIFS(tbl_ledger[数量],tbl_ledger[localId],$C356,tbl_ledger[ロットID],"=",tbl_ledger[元状態],I$304),
_xlpm.受入+_xlpm.余剰化受入-_xlpm.払出))</f>
        <v/>
      </c>
      <c r="J356" s="8" t="str">
        <f>IF($C356="","",_xlfn.LET(
_xlpm.受入,SUMIFS(tbl_ledger[数量],tbl_ledger[localId],$C356,tbl_ledger[イベント種類],"梱包完了",tbl_ledger[ロットID],"="),
_xlpm.余剰化受入,SUMIFS(tbl_ledger[数量],tbl_ledger[localId],$C356,tbl_ledger[イベント種類],"余剰化",tbl_ledger[元状態],J$304),
_xlpm.払出,SUMIFS(tbl_ledger[数量],tbl_ledger[localId],$C356,tbl_ledger[ロットID],"=",tbl_ledger[元状態],J$304),
_xlpm.受入+_xlpm.余剰化受入-_xlpm.払出))</f>
        <v/>
      </c>
      <c r="K356" s="8" t="str">
        <f>IF($C356="","",_xlfn.LET(
_xlpm.受入,SUMIFS(tbl_ledger[数量],tbl_ledger[localId],$C356,tbl_ledger[イベント種類],"発送準備開始",tbl_ledger[ロットID],"="),
_xlpm.余剰化受入,SUMIFS(tbl_ledger[数量],tbl_ledger[localId],$C356,tbl_ledger[イベント種類],"余剰化",tbl_ledger[元状態],K$304),
_xlpm.払出,SUMIFS(tbl_ledger[数量],tbl_ledger[localId],$C356,tbl_ledger[ロットID],"=",tbl_ledger[元状態],K$304),
_xlpm.受入+_xlpm.余剰化受入-_xlpm.払出))</f>
        <v/>
      </c>
      <c r="L356" s="8" t="str">
        <f>IF($C356="","",_xlfn.LET(
_xlpm.受入,SUMIFS(tbl_ledger[数量],tbl_ledger[localId],$C356,tbl_ledger[イベント種類],"発送準備完了",tbl_ledger[ロットID],"="),
_xlpm.余剰化受入,SUMIFS(tbl_ledger[数量],tbl_ledger[localId],$C356,tbl_ledger[イベント種類],"余剰化",tbl_ledger[元状態],L$304),
_xlpm.払出,SUMIFS(tbl_ledger[数量],tbl_ledger[localId],$C356,tbl_ledger[ロットID],"=",tbl_ledger[元状態],L$304),
_xlpm.受入+_xlpm.余剰化受入-_xlpm.払出))</f>
        <v/>
      </c>
      <c r="M356" s="8" t="str">
        <f>IF($C356="","",_xlfn.LET(
_xlpm.受入,SUMIFS(tbl_ledger[数量],tbl_ledger[localId],$C356,tbl_ledger[イベント種類],"不良発生",tbl_ledger[ロットID],"="),
_xlpm.余剰化受入,SUMIFS(tbl_ledger[数量],tbl_ledger[localId],$C356,tbl_ledger[イベント種類],"余剰化",tbl_ledger[元状態],M$304),
_xlpm.払出,SUMIFS(tbl_ledger[数量],tbl_ledger[localId],$C356,tbl_ledger[ロットID],"=",tbl_ledger[元状態],M$304),
_xlpm.受入+_xlpm.余剰化受入-_xlpm.払出))</f>
        <v/>
      </c>
      <c r="N356" s="8" t="str">
        <f t="shared" si="13"/>
        <v/>
      </c>
    </row>
    <row r="357" spans="1:14" ht="15" customHeight="1" x14ac:dyDescent="0.25">
      <c r="A357" s="4" t="str">
        <f t="shared" si="12"/>
        <v/>
      </c>
      <c r="B357" s="4"/>
      <c r="C357" s="4" t="str">
        <f>IFERROR(INDEX(tbl_master[localId],ROW()-304),"")</f>
        <v/>
      </c>
      <c r="D357" s="8" t="str">
        <f>IF($C357="","",_xlfn.LET(
_xlpm.搬入計,SUMIFS(tbl_ledger[数量],tbl_ledger[localId],$C357,tbl_ledger[イベント種類],"搬入"),
_xlpm.割当計,SUMIF(V_充足確認!$B$2:$B$301,$C357,V_充足確認!$F$2:$F$301),
_xlpm.余剰化受入,SUMIFS(tbl_ledger[数量],tbl_ledger[localId],$C357,tbl_ledger[イベント種類],"余剰化",tbl_ledger[元状態],D$304),
_xlpm.払出,SUMIFS(tbl_ledger[数量],tbl_ledger[localId],$C357,tbl_ledger[ロットID],"=",tbl_ledger[元状態],D$304),
_xlpm.搬入計-_xlpm.割当計+_xlpm.余剰化受入-_xlpm.払出))</f>
        <v/>
      </c>
      <c r="E357" s="8" t="str">
        <f>IF($C357="","",_xlfn.LET(
_xlpm.受入,SUMIFS(tbl_ledger[数量],tbl_ledger[localId],$C357,tbl_ledger[イベント種類],"アニール開始",tbl_ledger[ロットID],"="),
_xlpm.余剰化受入,SUMIFS(tbl_ledger[数量],tbl_ledger[localId],$C357,tbl_ledger[イベント種類],"余剰化",tbl_ledger[元状態],E$304),
_xlpm.払出,SUMIFS(tbl_ledger[数量],tbl_ledger[localId],$C357,tbl_ledger[ロットID],"=",tbl_ledger[元状態],E$304),
_xlpm.受入+_xlpm.余剰化受入-_xlpm.払出))</f>
        <v/>
      </c>
      <c r="F357" s="8" t="str">
        <f>IF($C357="","",_xlfn.LET(
_xlpm.受入,SUMIFS(tbl_ledger[数量],tbl_ledger[localId],$C357,tbl_ledger[イベント種類],"アニール完了",tbl_ledger[ロットID],"="),
_xlpm.余剰化受入,SUMIFS(tbl_ledger[数量],tbl_ledger[localId],$C357,tbl_ledger[イベント種類],"余剰化",tbl_ledger[元状態],F$304),
_xlpm.払出,SUMIFS(tbl_ledger[数量],tbl_ledger[localId],$C357,tbl_ledger[ロットID],"=",tbl_ledger[元状態],F$304),
_xlpm.受入+_xlpm.余剰化受入-_xlpm.払出))</f>
        <v/>
      </c>
      <c r="G357" s="8" t="str">
        <f>IF($C357="","",_xlfn.LET(
_xlpm.受入,SUMIFS(tbl_ledger[数量],tbl_ledger[localId],$C357,tbl_ledger[イベント種類],"アセンブリ開始",tbl_ledger[ロットID],"="),
_xlpm.余剰化受入,SUMIFS(tbl_ledger[数量],tbl_ledger[localId],$C357,tbl_ledger[イベント種類],"余剰化",tbl_ledger[元状態],G$304),
_xlpm.払出,SUMIFS(tbl_ledger[数量],tbl_ledger[localId],$C357,tbl_ledger[ロットID],"=",tbl_ledger[元状態],G$304),
_xlpm.受入+_xlpm.余剰化受入-_xlpm.払出))</f>
        <v/>
      </c>
      <c r="H357" s="8" t="str">
        <f>IF($C357="","",_xlfn.LET(
_xlpm.受入,SUMIFS(tbl_ledger[数量],tbl_ledger[localId],$C357,tbl_ledger[イベント種類],"アセンブリ完了",tbl_ledger[ロットID],"="),
_xlpm.余剰化受入,SUMIFS(tbl_ledger[数量],tbl_ledger[localId],$C357,tbl_ledger[イベント種類],"余剰化",tbl_ledger[元状態],H$304),
_xlpm.払出,SUMIFS(tbl_ledger[数量],tbl_ledger[localId],$C357,tbl_ledger[ロットID],"=",tbl_ledger[元状態],H$304),
_xlpm.受入+_xlpm.余剰化受入-_xlpm.払出))</f>
        <v/>
      </c>
      <c r="I357" s="8" t="str">
        <f>IF($C357="","",_xlfn.LET(
_xlpm.受入,SUMIFS(tbl_ledger[数量],tbl_ledger[localId],$C357,tbl_ledger[イベント種類],"梱包開始",tbl_ledger[ロットID],"="),
_xlpm.余剰化受入,SUMIFS(tbl_ledger[数量],tbl_ledger[localId],$C357,tbl_ledger[イベント種類],"余剰化",tbl_ledger[元状態],I$304),
_xlpm.払出,SUMIFS(tbl_ledger[数量],tbl_ledger[localId],$C357,tbl_ledger[ロットID],"=",tbl_ledger[元状態],I$304),
_xlpm.受入+_xlpm.余剰化受入-_xlpm.払出))</f>
        <v/>
      </c>
      <c r="J357" s="8" t="str">
        <f>IF($C357="","",_xlfn.LET(
_xlpm.受入,SUMIFS(tbl_ledger[数量],tbl_ledger[localId],$C357,tbl_ledger[イベント種類],"梱包完了",tbl_ledger[ロットID],"="),
_xlpm.余剰化受入,SUMIFS(tbl_ledger[数量],tbl_ledger[localId],$C357,tbl_ledger[イベント種類],"余剰化",tbl_ledger[元状態],J$304),
_xlpm.払出,SUMIFS(tbl_ledger[数量],tbl_ledger[localId],$C357,tbl_ledger[ロットID],"=",tbl_ledger[元状態],J$304),
_xlpm.受入+_xlpm.余剰化受入-_xlpm.払出))</f>
        <v/>
      </c>
      <c r="K357" s="8" t="str">
        <f>IF($C357="","",_xlfn.LET(
_xlpm.受入,SUMIFS(tbl_ledger[数量],tbl_ledger[localId],$C357,tbl_ledger[イベント種類],"発送準備開始",tbl_ledger[ロットID],"="),
_xlpm.余剰化受入,SUMIFS(tbl_ledger[数量],tbl_ledger[localId],$C357,tbl_ledger[イベント種類],"余剰化",tbl_ledger[元状態],K$304),
_xlpm.払出,SUMIFS(tbl_ledger[数量],tbl_ledger[localId],$C357,tbl_ledger[ロットID],"=",tbl_ledger[元状態],K$304),
_xlpm.受入+_xlpm.余剰化受入-_xlpm.払出))</f>
        <v/>
      </c>
      <c r="L357" s="8" t="str">
        <f>IF($C357="","",_xlfn.LET(
_xlpm.受入,SUMIFS(tbl_ledger[数量],tbl_ledger[localId],$C357,tbl_ledger[イベント種類],"発送準備完了",tbl_ledger[ロットID],"="),
_xlpm.余剰化受入,SUMIFS(tbl_ledger[数量],tbl_ledger[localId],$C357,tbl_ledger[イベント種類],"余剰化",tbl_ledger[元状態],L$304),
_xlpm.払出,SUMIFS(tbl_ledger[数量],tbl_ledger[localId],$C357,tbl_ledger[ロットID],"=",tbl_ledger[元状態],L$304),
_xlpm.受入+_xlpm.余剰化受入-_xlpm.払出))</f>
        <v/>
      </c>
      <c r="M357" s="8" t="str">
        <f>IF($C357="","",_xlfn.LET(
_xlpm.受入,SUMIFS(tbl_ledger[数量],tbl_ledger[localId],$C357,tbl_ledger[イベント種類],"不良発生",tbl_ledger[ロットID],"="),
_xlpm.余剰化受入,SUMIFS(tbl_ledger[数量],tbl_ledger[localId],$C357,tbl_ledger[イベント種類],"余剰化",tbl_ledger[元状態],M$304),
_xlpm.払出,SUMIFS(tbl_ledger[数量],tbl_ledger[localId],$C357,tbl_ledger[ロットID],"=",tbl_ledger[元状態],M$304),
_xlpm.受入+_xlpm.余剰化受入-_xlpm.払出))</f>
        <v/>
      </c>
      <c r="N357" s="8" t="str">
        <f t="shared" si="13"/>
        <v/>
      </c>
    </row>
    <row r="358" spans="1:14" ht="15" customHeight="1" x14ac:dyDescent="0.25">
      <c r="A358" s="4" t="str">
        <f t="shared" si="12"/>
        <v/>
      </c>
      <c r="B358" s="4"/>
      <c r="C358" s="4" t="str">
        <f>IFERROR(INDEX(tbl_master[localId],ROW()-304),"")</f>
        <v/>
      </c>
      <c r="D358" s="8" t="str">
        <f>IF($C358="","",_xlfn.LET(
_xlpm.搬入計,SUMIFS(tbl_ledger[数量],tbl_ledger[localId],$C358,tbl_ledger[イベント種類],"搬入"),
_xlpm.割当計,SUMIF(V_充足確認!$B$2:$B$301,$C358,V_充足確認!$F$2:$F$301),
_xlpm.余剰化受入,SUMIFS(tbl_ledger[数量],tbl_ledger[localId],$C358,tbl_ledger[イベント種類],"余剰化",tbl_ledger[元状態],D$304),
_xlpm.払出,SUMIFS(tbl_ledger[数量],tbl_ledger[localId],$C358,tbl_ledger[ロットID],"=",tbl_ledger[元状態],D$304),
_xlpm.搬入計-_xlpm.割当計+_xlpm.余剰化受入-_xlpm.払出))</f>
        <v/>
      </c>
      <c r="E358" s="8" t="str">
        <f>IF($C358="","",_xlfn.LET(
_xlpm.受入,SUMIFS(tbl_ledger[数量],tbl_ledger[localId],$C358,tbl_ledger[イベント種類],"アニール開始",tbl_ledger[ロットID],"="),
_xlpm.余剰化受入,SUMIFS(tbl_ledger[数量],tbl_ledger[localId],$C358,tbl_ledger[イベント種類],"余剰化",tbl_ledger[元状態],E$304),
_xlpm.払出,SUMIFS(tbl_ledger[数量],tbl_ledger[localId],$C358,tbl_ledger[ロットID],"=",tbl_ledger[元状態],E$304),
_xlpm.受入+_xlpm.余剰化受入-_xlpm.払出))</f>
        <v/>
      </c>
      <c r="F358" s="8" t="str">
        <f>IF($C358="","",_xlfn.LET(
_xlpm.受入,SUMIFS(tbl_ledger[数量],tbl_ledger[localId],$C358,tbl_ledger[イベント種類],"アニール完了",tbl_ledger[ロットID],"="),
_xlpm.余剰化受入,SUMIFS(tbl_ledger[数量],tbl_ledger[localId],$C358,tbl_ledger[イベント種類],"余剰化",tbl_ledger[元状態],F$304),
_xlpm.払出,SUMIFS(tbl_ledger[数量],tbl_ledger[localId],$C358,tbl_ledger[ロットID],"=",tbl_ledger[元状態],F$304),
_xlpm.受入+_xlpm.余剰化受入-_xlpm.払出))</f>
        <v/>
      </c>
      <c r="G358" s="8" t="str">
        <f>IF($C358="","",_xlfn.LET(
_xlpm.受入,SUMIFS(tbl_ledger[数量],tbl_ledger[localId],$C358,tbl_ledger[イベント種類],"アセンブリ開始",tbl_ledger[ロットID],"="),
_xlpm.余剰化受入,SUMIFS(tbl_ledger[数量],tbl_ledger[localId],$C358,tbl_ledger[イベント種類],"余剰化",tbl_ledger[元状態],G$304),
_xlpm.払出,SUMIFS(tbl_ledger[数量],tbl_ledger[localId],$C358,tbl_ledger[ロットID],"=",tbl_ledger[元状態],G$304),
_xlpm.受入+_xlpm.余剰化受入-_xlpm.払出))</f>
        <v/>
      </c>
      <c r="H358" s="8" t="str">
        <f>IF($C358="","",_xlfn.LET(
_xlpm.受入,SUMIFS(tbl_ledger[数量],tbl_ledger[localId],$C358,tbl_ledger[イベント種類],"アセンブリ完了",tbl_ledger[ロットID],"="),
_xlpm.余剰化受入,SUMIFS(tbl_ledger[数量],tbl_ledger[localId],$C358,tbl_ledger[イベント種類],"余剰化",tbl_ledger[元状態],H$304),
_xlpm.払出,SUMIFS(tbl_ledger[数量],tbl_ledger[localId],$C358,tbl_ledger[ロットID],"=",tbl_ledger[元状態],H$304),
_xlpm.受入+_xlpm.余剰化受入-_xlpm.払出))</f>
        <v/>
      </c>
      <c r="I358" s="8" t="str">
        <f>IF($C358="","",_xlfn.LET(
_xlpm.受入,SUMIFS(tbl_ledger[数量],tbl_ledger[localId],$C358,tbl_ledger[イベント種類],"梱包開始",tbl_ledger[ロットID],"="),
_xlpm.余剰化受入,SUMIFS(tbl_ledger[数量],tbl_ledger[localId],$C358,tbl_ledger[イベント種類],"余剰化",tbl_ledger[元状態],I$304),
_xlpm.払出,SUMIFS(tbl_ledger[数量],tbl_ledger[localId],$C358,tbl_ledger[ロットID],"=",tbl_ledger[元状態],I$304),
_xlpm.受入+_xlpm.余剰化受入-_xlpm.払出))</f>
        <v/>
      </c>
      <c r="J358" s="8" t="str">
        <f>IF($C358="","",_xlfn.LET(
_xlpm.受入,SUMIFS(tbl_ledger[数量],tbl_ledger[localId],$C358,tbl_ledger[イベント種類],"梱包完了",tbl_ledger[ロットID],"="),
_xlpm.余剰化受入,SUMIFS(tbl_ledger[数量],tbl_ledger[localId],$C358,tbl_ledger[イベント種類],"余剰化",tbl_ledger[元状態],J$304),
_xlpm.払出,SUMIFS(tbl_ledger[数量],tbl_ledger[localId],$C358,tbl_ledger[ロットID],"=",tbl_ledger[元状態],J$304),
_xlpm.受入+_xlpm.余剰化受入-_xlpm.払出))</f>
        <v/>
      </c>
      <c r="K358" s="8" t="str">
        <f>IF($C358="","",_xlfn.LET(
_xlpm.受入,SUMIFS(tbl_ledger[数量],tbl_ledger[localId],$C358,tbl_ledger[イベント種類],"発送準備開始",tbl_ledger[ロットID],"="),
_xlpm.余剰化受入,SUMIFS(tbl_ledger[数量],tbl_ledger[localId],$C358,tbl_ledger[イベント種類],"余剰化",tbl_ledger[元状態],K$304),
_xlpm.払出,SUMIFS(tbl_ledger[数量],tbl_ledger[localId],$C358,tbl_ledger[ロットID],"=",tbl_ledger[元状態],K$304),
_xlpm.受入+_xlpm.余剰化受入-_xlpm.払出))</f>
        <v/>
      </c>
      <c r="L358" s="8" t="str">
        <f>IF($C358="","",_xlfn.LET(
_xlpm.受入,SUMIFS(tbl_ledger[数量],tbl_ledger[localId],$C358,tbl_ledger[イベント種類],"発送準備完了",tbl_ledger[ロットID],"="),
_xlpm.余剰化受入,SUMIFS(tbl_ledger[数量],tbl_ledger[localId],$C358,tbl_ledger[イベント種類],"余剰化",tbl_ledger[元状態],L$304),
_xlpm.払出,SUMIFS(tbl_ledger[数量],tbl_ledger[localId],$C358,tbl_ledger[ロットID],"=",tbl_ledger[元状態],L$304),
_xlpm.受入+_xlpm.余剰化受入-_xlpm.払出))</f>
        <v/>
      </c>
      <c r="M358" s="8" t="str">
        <f>IF($C358="","",_xlfn.LET(
_xlpm.受入,SUMIFS(tbl_ledger[数量],tbl_ledger[localId],$C358,tbl_ledger[イベント種類],"不良発生",tbl_ledger[ロットID],"="),
_xlpm.余剰化受入,SUMIFS(tbl_ledger[数量],tbl_ledger[localId],$C358,tbl_ledger[イベント種類],"余剰化",tbl_ledger[元状態],M$304),
_xlpm.払出,SUMIFS(tbl_ledger[数量],tbl_ledger[localId],$C358,tbl_ledger[ロットID],"=",tbl_ledger[元状態],M$304),
_xlpm.受入+_xlpm.余剰化受入-_xlpm.払出))</f>
        <v/>
      </c>
      <c r="N358" s="8" t="str">
        <f t="shared" si="13"/>
        <v/>
      </c>
    </row>
    <row r="359" spans="1:14" ht="15" customHeight="1" x14ac:dyDescent="0.25">
      <c r="A359" s="4" t="str">
        <f t="shared" si="12"/>
        <v/>
      </c>
      <c r="B359" s="4"/>
      <c r="C359" s="4" t="str">
        <f>IFERROR(INDEX(tbl_master[localId],ROW()-304),"")</f>
        <v/>
      </c>
      <c r="D359" s="8" t="str">
        <f>IF($C359="","",_xlfn.LET(
_xlpm.搬入計,SUMIFS(tbl_ledger[数量],tbl_ledger[localId],$C359,tbl_ledger[イベント種類],"搬入"),
_xlpm.割当計,SUMIF(V_充足確認!$B$2:$B$301,$C359,V_充足確認!$F$2:$F$301),
_xlpm.余剰化受入,SUMIFS(tbl_ledger[数量],tbl_ledger[localId],$C359,tbl_ledger[イベント種類],"余剰化",tbl_ledger[元状態],D$304),
_xlpm.払出,SUMIFS(tbl_ledger[数量],tbl_ledger[localId],$C359,tbl_ledger[ロットID],"=",tbl_ledger[元状態],D$304),
_xlpm.搬入計-_xlpm.割当計+_xlpm.余剰化受入-_xlpm.払出))</f>
        <v/>
      </c>
      <c r="E359" s="8" t="str">
        <f>IF($C359="","",_xlfn.LET(
_xlpm.受入,SUMIFS(tbl_ledger[数量],tbl_ledger[localId],$C359,tbl_ledger[イベント種類],"アニール開始",tbl_ledger[ロットID],"="),
_xlpm.余剰化受入,SUMIFS(tbl_ledger[数量],tbl_ledger[localId],$C359,tbl_ledger[イベント種類],"余剰化",tbl_ledger[元状態],E$304),
_xlpm.払出,SUMIFS(tbl_ledger[数量],tbl_ledger[localId],$C359,tbl_ledger[ロットID],"=",tbl_ledger[元状態],E$304),
_xlpm.受入+_xlpm.余剰化受入-_xlpm.払出))</f>
        <v/>
      </c>
      <c r="F359" s="8" t="str">
        <f>IF($C359="","",_xlfn.LET(
_xlpm.受入,SUMIFS(tbl_ledger[数量],tbl_ledger[localId],$C359,tbl_ledger[イベント種類],"アニール完了",tbl_ledger[ロットID],"="),
_xlpm.余剰化受入,SUMIFS(tbl_ledger[数量],tbl_ledger[localId],$C359,tbl_ledger[イベント種類],"余剰化",tbl_ledger[元状態],F$304),
_xlpm.払出,SUMIFS(tbl_ledger[数量],tbl_ledger[localId],$C359,tbl_ledger[ロットID],"=",tbl_ledger[元状態],F$304),
_xlpm.受入+_xlpm.余剰化受入-_xlpm.払出))</f>
        <v/>
      </c>
      <c r="G359" s="8" t="str">
        <f>IF($C359="","",_xlfn.LET(
_xlpm.受入,SUMIFS(tbl_ledger[数量],tbl_ledger[localId],$C359,tbl_ledger[イベント種類],"アセンブリ開始",tbl_ledger[ロットID],"="),
_xlpm.余剰化受入,SUMIFS(tbl_ledger[数量],tbl_ledger[localId],$C359,tbl_ledger[イベント種類],"余剰化",tbl_ledger[元状態],G$304),
_xlpm.払出,SUMIFS(tbl_ledger[数量],tbl_ledger[localId],$C359,tbl_ledger[ロットID],"=",tbl_ledger[元状態],G$304),
_xlpm.受入+_xlpm.余剰化受入-_xlpm.払出))</f>
        <v/>
      </c>
      <c r="H359" s="8" t="str">
        <f>IF($C359="","",_xlfn.LET(
_xlpm.受入,SUMIFS(tbl_ledger[数量],tbl_ledger[localId],$C359,tbl_ledger[イベント種類],"アセンブリ完了",tbl_ledger[ロットID],"="),
_xlpm.余剰化受入,SUMIFS(tbl_ledger[数量],tbl_ledger[localId],$C359,tbl_ledger[イベント種類],"余剰化",tbl_ledger[元状態],H$304),
_xlpm.払出,SUMIFS(tbl_ledger[数量],tbl_ledger[localId],$C359,tbl_ledger[ロットID],"=",tbl_ledger[元状態],H$304),
_xlpm.受入+_xlpm.余剰化受入-_xlpm.払出))</f>
        <v/>
      </c>
      <c r="I359" s="8" t="str">
        <f>IF($C359="","",_xlfn.LET(
_xlpm.受入,SUMIFS(tbl_ledger[数量],tbl_ledger[localId],$C359,tbl_ledger[イベント種類],"梱包開始",tbl_ledger[ロットID],"="),
_xlpm.余剰化受入,SUMIFS(tbl_ledger[数量],tbl_ledger[localId],$C359,tbl_ledger[イベント種類],"余剰化",tbl_ledger[元状態],I$304),
_xlpm.払出,SUMIFS(tbl_ledger[数量],tbl_ledger[localId],$C359,tbl_ledger[ロットID],"=",tbl_ledger[元状態],I$304),
_xlpm.受入+_xlpm.余剰化受入-_xlpm.払出))</f>
        <v/>
      </c>
      <c r="J359" s="8" t="str">
        <f>IF($C359="","",_xlfn.LET(
_xlpm.受入,SUMIFS(tbl_ledger[数量],tbl_ledger[localId],$C359,tbl_ledger[イベント種類],"梱包完了",tbl_ledger[ロットID],"="),
_xlpm.余剰化受入,SUMIFS(tbl_ledger[数量],tbl_ledger[localId],$C359,tbl_ledger[イベント種類],"余剰化",tbl_ledger[元状態],J$304),
_xlpm.払出,SUMIFS(tbl_ledger[数量],tbl_ledger[localId],$C359,tbl_ledger[ロットID],"=",tbl_ledger[元状態],J$304),
_xlpm.受入+_xlpm.余剰化受入-_xlpm.払出))</f>
        <v/>
      </c>
      <c r="K359" s="8" t="str">
        <f>IF($C359="","",_xlfn.LET(
_xlpm.受入,SUMIFS(tbl_ledger[数量],tbl_ledger[localId],$C359,tbl_ledger[イベント種類],"発送準備開始",tbl_ledger[ロットID],"="),
_xlpm.余剰化受入,SUMIFS(tbl_ledger[数量],tbl_ledger[localId],$C359,tbl_ledger[イベント種類],"余剰化",tbl_ledger[元状態],K$304),
_xlpm.払出,SUMIFS(tbl_ledger[数量],tbl_ledger[localId],$C359,tbl_ledger[ロットID],"=",tbl_ledger[元状態],K$304),
_xlpm.受入+_xlpm.余剰化受入-_xlpm.払出))</f>
        <v/>
      </c>
      <c r="L359" s="8" t="str">
        <f>IF($C359="","",_xlfn.LET(
_xlpm.受入,SUMIFS(tbl_ledger[数量],tbl_ledger[localId],$C359,tbl_ledger[イベント種類],"発送準備完了",tbl_ledger[ロットID],"="),
_xlpm.余剰化受入,SUMIFS(tbl_ledger[数量],tbl_ledger[localId],$C359,tbl_ledger[イベント種類],"余剰化",tbl_ledger[元状態],L$304),
_xlpm.払出,SUMIFS(tbl_ledger[数量],tbl_ledger[localId],$C359,tbl_ledger[ロットID],"=",tbl_ledger[元状態],L$304),
_xlpm.受入+_xlpm.余剰化受入-_xlpm.払出))</f>
        <v/>
      </c>
      <c r="M359" s="8" t="str">
        <f>IF($C359="","",_xlfn.LET(
_xlpm.受入,SUMIFS(tbl_ledger[数量],tbl_ledger[localId],$C359,tbl_ledger[イベント種類],"不良発生",tbl_ledger[ロットID],"="),
_xlpm.余剰化受入,SUMIFS(tbl_ledger[数量],tbl_ledger[localId],$C359,tbl_ledger[イベント種類],"余剰化",tbl_ledger[元状態],M$304),
_xlpm.払出,SUMIFS(tbl_ledger[数量],tbl_ledger[localId],$C359,tbl_ledger[ロットID],"=",tbl_ledger[元状態],M$304),
_xlpm.受入+_xlpm.余剰化受入-_xlpm.払出))</f>
        <v/>
      </c>
      <c r="N359" s="8" t="str">
        <f t="shared" si="13"/>
        <v/>
      </c>
    </row>
    <row r="360" spans="1:14" ht="15" customHeight="1" x14ac:dyDescent="0.25">
      <c r="A360" s="4" t="str">
        <f t="shared" si="12"/>
        <v/>
      </c>
      <c r="B360" s="4"/>
      <c r="C360" s="4" t="str">
        <f>IFERROR(INDEX(tbl_master[localId],ROW()-304),"")</f>
        <v/>
      </c>
      <c r="D360" s="8" t="str">
        <f>IF($C360="","",_xlfn.LET(
_xlpm.搬入計,SUMIFS(tbl_ledger[数量],tbl_ledger[localId],$C360,tbl_ledger[イベント種類],"搬入"),
_xlpm.割当計,SUMIF(V_充足確認!$B$2:$B$301,$C360,V_充足確認!$F$2:$F$301),
_xlpm.余剰化受入,SUMIFS(tbl_ledger[数量],tbl_ledger[localId],$C360,tbl_ledger[イベント種類],"余剰化",tbl_ledger[元状態],D$304),
_xlpm.払出,SUMIFS(tbl_ledger[数量],tbl_ledger[localId],$C360,tbl_ledger[ロットID],"=",tbl_ledger[元状態],D$304),
_xlpm.搬入計-_xlpm.割当計+_xlpm.余剰化受入-_xlpm.払出))</f>
        <v/>
      </c>
      <c r="E360" s="8" t="str">
        <f>IF($C360="","",_xlfn.LET(
_xlpm.受入,SUMIFS(tbl_ledger[数量],tbl_ledger[localId],$C360,tbl_ledger[イベント種類],"アニール開始",tbl_ledger[ロットID],"="),
_xlpm.余剰化受入,SUMIFS(tbl_ledger[数量],tbl_ledger[localId],$C360,tbl_ledger[イベント種類],"余剰化",tbl_ledger[元状態],E$304),
_xlpm.払出,SUMIFS(tbl_ledger[数量],tbl_ledger[localId],$C360,tbl_ledger[ロットID],"=",tbl_ledger[元状態],E$304),
_xlpm.受入+_xlpm.余剰化受入-_xlpm.払出))</f>
        <v/>
      </c>
      <c r="F360" s="8" t="str">
        <f>IF($C360="","",_xlfn.LET(
_xlpm.受入,SUMIFS(tbl_ledger[数量],tbl_ledger[localId],$C360,tbl_ledger[イベント種類],"アニール完了",tbl_ledger[ロットID],"="),
_xlpm.余剰化受入,SUMIFS(tbl_ledger[数量],tbl_ledger[localId],$C360,tbl_ledger[イベント種類],"余剰化",tbl_ledger[元状態],F$304),
_xlpm.払出,SUMIFS(tbl_ledger[数量],tbl_ledger[localId],$C360,tbl_ledger[ロットID],"=",tbl_ledger[元状態],F$304),
_xlpm.受入+_xlpm.余剰化受入-_xlpm.払出))</f>
        <v/>
      </c>
      <c r="G360" s="8" t="str">
        <f>IF($C360="","",_xlfn.LET(
_xlpm.受入,SUMIFS(tbl_ledger[数量],tbl_ledger[localId],$C360,tbl_ledger[イベント種類],"アセンブリ開始",tbl_ledger[ロットID],"="),
_xlpm.余剰化受入,SUMIFS(tbl_ledger[数量],tbl_ledger[localId],$C360,tbl_ledger[イベント種類],"余剰化",tbl_ledger[元状態],G$304),
_xlpm.払出,SUMIFS(tbl_ledger[数量],tbl_ledger[localId],$C360,tbl_ledger[ロットID],"=",tbl_ledger[元状態],G$304),
_xlpm.受入+_xlpm.余剰化受入-_xlpm.払出))</f>
        <v/>
      </c>
      <c r="H360" s="8" t="str">
        <f>IF($C360="","",_xlfn.LET(
_xlpm.受入,SUMIFS(tbl_ledger[数量],tbl_ledger[localId],$C360,tbl_ledger[イベント種類],"アセンブリ完了",tbl_ledger[ロットID],"="),
_xlpm.余剰化受入,SUMIFS(tbl_ledger[数量],tbl_ledger[localId],$C360,tbl_ledger[イベント種類],"余剰化",tbl_ledger[元状態],H$304),
_xlpm.払出,SUMIFS(tbl_ledger[数量],tbl_ledger[localId],$C360,tbl_ledger[ロットID],"=",tbl_ledger[元状態],H$304),
_xlpm.受入+_xlpm.余剰化受入-_xlpm.払出))</f>
        <v/>
      </c>
      <c r="I360" s="8" t="str">
        <f>IF($C360="","",_xlfn.LET(
_xlpm.受入,SUMIFS(tbl_ledger[数量],tbl_ledger[localId],$C360,tbl_ledger[イベント種類],"梱包開始",tbl_ledger[ロットID],"="),
_xlpm.余剰化受入,SUMIFS(tbl_ledger[数量],tbl_ledger[localId],$C360,tbl_ledger[イベント種類],"余剰化",tbl_ledger[元状態],I$304),
_xlpm.払出,SUMIFS(tbl_ledger[数量],tbl_ledger[localId],$C360,tbl_ledger[ロットID],"=",tbl_ledger[元状態],I$304),
_xlpm.受入+_xlpm.余剰化受入-_xlpm.払出))</f>
        <v/>
      </c>
      <c r="J360" s="8" t="str">
        <f>IF($C360="","",_xlfn.LET(
_xlpm.受入,SUMIFS(tbl_ledger[数量],tbl_ledger[localId],$C360,tbl_ledger[イベント種類],"梱包完了",tbl_ledger[ロットID],"="),
_xlpm.余剰化受入,SUMIFS(tbl_ledger[数量],tbl_ledger[localId],$C360,tbl_ledger[イベント種類],"余剰化",tbl_ledger[元状態],J$304),
_xlpm.払出,SUMIFS(tbl_ledger[数量],tbl_ledger[localId],$C360,tbl_ledger[ロットID],"=",tbl_ledger[元状態],J$304),
_xlpm.受入+_xlpm.余剰化受入-_xlpm.払出))</f>
        <v/>
      </c>
      <c r="K360" s="8" t="str">
        <f>IF($C360="","",_xlfn.LET(
_xlpm.受入,SUMIFS(tbl_ledger[数量],tbl_ledger[localId],$C360,tbl_ledger[イベント種類],"発送準備開始",tbl_ledger[ロットID],"="),
_xlpm.余剰化受入,SUMIFS(tbl_ledger[数量],tbl_ledger[localId],$C360,tbl_ledger[イベント種類],"余剰化",tbl_ledger[元状態],K$304),
_xlpm.払出,SUMIFS(tbl_ledger[数量],tbl_ledger[localId],$C360,tbl_ledger[ロットID],"=",tbl_ledger[元状態],K$304),
_xlpm.受入+_xlpm.余剰化受入-_xlpm.払出))</f>
        <v/>
      </c>
      <c r="L360" s="8" t="str">
        <f>IF($C360="","",_xlfn.LET(
_xlpm.受入,SUMIFS(tbl_ledger[数量],tbl_ledger[localId],$C360,tbl_ledger[イベント種類],"発送準備完了",tbl_ledger[ロットID],"="),
_xlpm.余剰化受入,SUMIFS(tbl_ledger[数量],tbl_ledger[localId],$C360,tbl_ledger[イベント種類],"余剰化",tbl_ledger[元状態],L$304),
_xlpm.払出,SUMIFS(tbl_ledger[数量],tbl_ledger[localId],$C360,tbl_ledger[ロットID],"=",tbl_ledger[元状態],L$304),
_xlpm.受入+_xlpm.余剰化受入-_xlpm.払出))</f>
        <v/>
      </c>
      <c r="M360" s="8" t="str">
        <f>IF($C360="","",_xlfn.LET(
_xlpm.受入,SUMIFS(tbl_ledger[数量],tbl_ledger[localId],$C360,tbl_ledger[イベント種類],"不良発生",tbl_ledger[ロットID],"="),
_xlpm.余剰化受入,SUMIFS(tbl_ledger[数量],tbl_ledger[localId],$C360,tbl_ledger[イベント種類],"余剰化",tbl_ledger[元状態],M$304),
_xlpm.払出,SUMIFS(tbl_ledger[数量],tbl_ledger[localId],$C360,tbl_ledger[ロットID],"=",tbl_ledger[元状態],M$304),
_xlpm.受入+_xlpm.余剰化受入-_xlpm.払出))</f>
        <v/>
      </c>
      <c r="N360" s="8" t="str">
        <f t="shared" si="13"/>
        <v/>
      </c>
    </row>
    <row r="361" spans="1:14" ht="15" customHeight="1" x14ac:dyDescent="0.25">
      <c r="A361" s="4" t="str">
        <f t="shared" si="12"/>
        <v/>
      </c>
      <c r="B361" s="4"/>
      <c r="C361" s="4" t="str">
        <f>IFERROR(INDEX(tbl_master[localId],ROW()-304),"")</f>
        <v/>
      </c>
      <c r="D361" s="8" t="str">
        <f>IF($C361="","",_xlfn.LET(
_xlpm.搬入計,SUMIFS(tbl_ledger[数量],tbl_ledger[localId],$C361,tbl_ledger[イベント種類],"搬入"),
_xlpm.割当計,SUMIF(V_充足確認!$B$2:$B$301,$C361,V_充足確認!$F$2:$F$301),
_xlpm.余剰化受入,SUMIFS(tbl_ledger[数量],tbl_ledger[localId],$C361,tbl_ledger[イベント種類],"余剰化",tbl_ledger[元状態],D$304),
_xlpm.払出,SUMIFS(tbl_ledger[数量],tbl_ledger[localId],$C361,tbl_ledger[ロットID],"=",tbl_ledger[元状態],D$304),
_xlpm.搬入計-_xlpm.割当計+_xlpm.余剰化受入-_xlpm.払出))</f>
        <v/>
      </c>
      <c r="E361" s="8" t="str">
        <f>IF($C361="","",_xlfn.LET(
_xlpm.受入,SUMIFS(tbl_ledger[数量],tbl_ledger[localId],$C361,tbl_ledger[イベント種類],"アニール開始",tbl_ledger[ロットID],"="),
_xlpm.余剰化受入,SUMIFS(tbl_ledger[数量],tbl_ledger[localId],$C361,tbl_ledger[イベント種類],"余剰化",tbl_ledger[元状態],E$304),
_xlpm.払出,SUMIFS(tbl_ledger[数量],tbl_ledger[localId],$C361,tbl_ledger[ロットID],"=",tbl_ledger[元状態],E$304),
_xlpm.受入+_xlpm.余剰化受入-_xlpm.払出))</f>
        <v/>
      </c>
      <c r="F361" s="8" t="str">
        <f>IF($C361="","",_xlfn.LET(
_xlpm.受入,SUMIFS(tbl_ledger[数量],tbl_ledger[localId],$C361,tbl_ledger[イベント種類],"アニール完了",tbl_ledger[ロットID],"="),
_xlpm.余剰化受入,SUMIFS(tbl_ledger[数量],tbl_ledger[localId],$C361,tbl_ledger[イベント種類],"余剰化",tbl_ledger[元状態],F$304),
_xlpm.払出,SUMIFS(tbl_ledger[数量],tbl_ledger[localId],$C361,tbl_ledger[ロットID],"=",tbl_ledger[元状態],F$304),
_xlpm.受入+_xlpm.余剰化受入-_xlpm.払出))</f>
        <v/>
      </c>
      <c r="G361" s="8" t="str">
        <f>IF($C361="","",_xlfn.LET(
_xlpm.受入,SUMIFS(tbl_ledger[数量],tbl_ledger[localId],$C361,tbl_ledger[イベント種類],"アセンブリ開始",tbl_ledger[ロットID],"="),
_xlpm.余剰化受入,SUMIFS(tbl_ledger[数量],tbl_ledger[localId],$C361,tbl_ledger[イベント種類],"余剰化",tbl_ledger[元状態],G$304),
_xlpm.払出,SUMIFS(tbl_ledger[数量],tbl_ledger[localId],$C361,tbl_ledger[ロットID],"=",tbl_ledger[元状態],G$304),
_xlpm.受入+_xlpm.余剰化受入-_xlpm.払出))</f>
        <v/>
      </c>
      <c r="H361" s="8" t="str">
        <f>IF($C361="","",_xlfn.LET(
_xlpm.受入,SUMIFS(tbl_ledger[数量],tbl_ledger[localId],$C361,tbl_ledger[イベント種類],"アセンブリ完了",tbl_ledger[ロットID],"="),
_xlpm.余剰化受入,SUMIFS(tbl_ledger[数量],tbl_ledger[localId],$C361,tbl_ledger[イベント種類],"余剰化",tbl_ledger[元状態],H$304),
_xlpm.払出,SUMIFS(tbl_ledger[数量],tbl_ledger[localId],$C361,tbl_ledger[ロットID],"=",tbl_ledger[元状態],H$304),
_xlpm.受入+_xlpm.余剰化受入-_xlpm.払出))</f>
        <v/>
      </c>
      <c r="I361" s="8" t="str">
        <f>IF($C361="","",_xlfn.LET(
_xlpm.受入,SUMIFS(tbl_ledger[数量],tbl_ledger[localId],$C361,tbl_ledger[イベント種類],"梱包開始",tbl_ledger[ロットID],"="),
_xlpm.余剰化受入,SUMIFS(tbl_ledger[数量],tbl_ledger[localId],$C361,tbl_ledger[イベント種類],"余剰化",tbl_ledger[元状態],I$304),
_xlpm.払出,SUMIFS(tbl_ledger[数量],tbl_ledger[localId],$C361,tbl_ledger[ロットID],"=",tbl_ledger[元状態],I$304),
_xlpm.受入+_xlpm.余剰化受入-_xlpm.払出))</f>
        <v/>
      </c>
      <c r="J361" s="8" t="str">
        <f>IF($C361="","",_xlfn.LET(
_xlpm.受入,SUMIFS(tbl_ledger[数量],tbl_ledger[localId],$C361,tbl_ledger[イベント種類],"梱包完了",tbl_ledger[ロットID],"="),
_xlpm.余剰化受入,SUMIFS(tbl_ledger[数量],tbl_ledger[localId],$C361,tbl_ledger[イベント種類],"余剰化",tbl_ledger[元状態],J$304),
_xlpm.払出,SUMIFS(tbl_ledger[数量],tbl_ledger[localId],$C361,tbl_ledger[ロットID],"=",tbl_ledger[元状態],J$304),
_xlpm.受入+_xlpm.余剰化受入-_xlpm.払出))</f>
        <v/>
      </c>
      <c r="K361" s="8" t="str">
        <f>IF($C361="","",_xlfn.LET(
_xlpm.受入,SUMIFS(tbl_ledger[数量],tbl_ledger[localId],$C361,tbl_ledger[イベント種類],"発送準備開始",tbl_ledger[ロットID],"="),
_xlpm.余剰化受入,SUMIFS(tbl_ledger[数量],tbl_ledger[localId],$C361,tbl_ledger[イベント種類],"余剰化",tbl_ledger[元状態],K$304),
_xlpm.払出,SUMIFS(tbl_ledger[数量],tbl_ledger[localId],$C361,tbl_ledger[ロットID],"=",tbl_ledger[元状態],K$304),
_xlpm.受入+_xlpm.余剰化受入-_xlpm.払出))</f>
        <v/>
      </c>
      <c r="L361" s="8" t="str">
        <f>IF($C361="","",_xlfn.LET(
_xlpm.受入,SUMIFS(tbl_ledger[数量],tbl_ledger[localId],$C361,tbl_ledger[イベント種類],"発送準備完了",tbl_ledger[ロットID],"="),
_xlpm.余剰化受入,SUMIFS(tbl_ledger[数量],tbl_ledger[localId],$C361,tbl_ledger[イベント種類],"余剰化",tbl_ledger[元状態],L$304),
_xlpm.払出,SUMIFS(tbl_ledger[数量],tbl_ledger[localId],$C361,tbl_ledger[ロットID],"=",tbl_ledger[元状態],L$304),
_xlpm.受入+_xlpm.余剰化受入-_xlpm.払出))</f>
        <v/>
      </c>
      <c r="M361" s="8" t="str">
        <f>IF($C361="","",_xlfn.LET(
_xlpm.受入,SUMIFS(tbl_ledger[数量],tbl_ledger[localId],$C361,tbl_ledger[イベント種類],"不良発生",tbl_ledger[ロットID],"="),
_xlpm.余剰化受入,SUMIFS(tbl_ledger[数量],tbl_ledger[localId],$C361,tbl_ledger[イベント種類],"余剰化",tbl_ledger[元状態],M$304),
_xlpm.払出,SUMIFS(tbl_ledger[数量],tbl_ledger[localId],$C361,tbl_ledger[ロットID],"=",tbl_ledger[元状態],M$304),
_xlpm.受入+_xlpm.余剰化受入-_xlpm.払出))</f>
        <v/>
      </c>
      <c r="N361" s="8" t="str">
        <f t="shared" si="13"/>
        <v/>
      </c>
    </row>
    <row r="362" spans="1:14" ht="15" customHeight="1" x14ac:dyDescent="0.25">
      <c r="A362" s="4" t="str">
        <f t="shared" si="12"/>
        <v/>
      </c>
      <c r="B362" s="4"/>
      <c r="C362" s="4" t="str">
        <f>IFERROR(INDEX(tbl_master[localId],ROW()-304),"")</f>
        <v/>
      </c>
      <c r="D362" s="8" t="str">
        <f>IF($C362="","",_xlfn.LET(
_xlpm.搬入計,SUMIFS(tbl_ledger[数量],tbl_ledger[localId],$C362,tbl_ledger[イベント種類],"搬入"),
_xlpm.割当計,SUMIF(V_充足確認!$B$2:$B$301,$C362,V_充足確認!$F$2:$F$301),
_xlpm.余剰化受入,SUMIFS(tbl_ledger[数量],tbl_ledger[localId],$C362,tbl_ledger[イベント種類],"余剰化",tbl_ledger[元状態],D$304),
_xlpm.払出,SUMIFS(tbl_ledger[数量],tbl_ledger[localId],$C362,tbl_ledger[ロットID],"=",tbl_ledger[元状態],D$304),
_xlpm.搬入計-_xlpm.割当計+_xlpm.余剰化受入-_xlpm.払出))</f>
        <v/>
      </c>
      <c r="E362" s="8" t="str">
        <f>IF($C362="","",_xlfn.LET(
_xlpm.受入,SUMIFS(tbl_ledger[数量],tbl_ledger[localId],$C362,tbl_ledger[イベント種類],"アニール開始",tbl_ledger[ロットID],"="),
_xlpm.余剰化受入,SUMIFS(tbl_ledger[数量],tbl_ledger[localId],$C362,tbl_ledger[イベント種類],"余剰化",tbl_ledger[元状態],E$304),
_xlpm.払出,SUMIFS(tbl_ledger[数量],tbl_ledger[localId],$C362,tbl_ledger[ロットID],"=",tbl_ledger[元状態],E$304),
_xlpm.受入+_xlpm.余剰化受入-_xlpm.払出))</f>
        <v/>
      </c>
      <c r="F362" s="8" t="str">
        <f>IF($C362="","",_xlfn.LET(
_xlpm.受入,SUMIFS(tbl_ledger[数量],tbl_ledger[localId],$C362,tbl_ledger[イベント種類],"アニール完了",tbl_ledger[ロットID],"="),
_xlpm.余剰化受入,SUMIFS(tbl_ledger[数量],tbl_ledger[localId],$C362,tbl_ledger[イベント種類],"余剰化",tbl_ledger[元状態],F$304),
_xlpm.払出,SUMIFS(tbl_ledger[数量],tbl_ledger[localId],$C362,tbl_ledger[ロットID],"=",tbl_ledger[元状態],F$304),
_xlpm.受入+_xlpm.余剰化受入-_xlpm.払出))</f>
        <v/>
      </c>
      <c r="G362" s="8" t="str">
        <f>IF($C362="","",_xlfn.LET(
_xlpm.受入,SUMIFS(tbl_ledger[数量],tbl_ledger[localId],$C362,tbl_ledger[イベント種類],"アセンブリ開始",tbl_ledger[ロットID],"="),
_xlpm.余剰化受入,SUMIFS(tbl_ledger[数量],tbl_ledger[localId],$C362,tbl_ledger[イベント種類],"余剰化",tbl_ledger[元状態],G$304),
_xlpm.払出,SUMIFS(tbl_ledger[数量],tbl_ledger[localId],$C362,tbl_ledger[ロットID],"=",tbl_ledger[元状態],G$304),
_xlpm.受入+_xlpm.余剰化受入-_xlpm.払出))</f>
        <v/>
      </c>
      <c r="H362" s="8" t="str">
        <f>IF($C362="","",_xlfn.LET(
_xlpm.受入,SUMIFS(tbl_ledger[数量],tbl_ledger[localId],$C362,tbl_ledger[イベント種類],"アセンブリ完了",tbl_ledger[ロットID],"="),
_xlpm.余剰化受入,SUMIFS(tbl_ledger[数量],tbl_ledger[localId],$C362,tbl_ledger[イベント種類],"余剰化",tbl_ledger[元状態],H$304),
_xlpm.払出,SUMIFS(tbl_ledger[数量],tbl_ledger[localId],$C362,tbl_ledger[ロットID],"=",tbl_ledger[元状態],H$304),
_xlpm.受入+_xlpm.余剰化受入-_xlpm.払出))</f>
        <v/>
      </c>
      <c r="I362" s="8" t="str">
        <f>IF($C362="","",_xlfn.LET(
_xlpm.受入,SUMIFS(tbl_ledger[数量],tbl_ledger[localId],$C362,tbl_ledger[イベント種類],"梱包開始",tbl_ledger[ロットID],"="),
_xlpm.余剰化受入,SUMIFS(tbl_ledger[数量],tbl_ledger[localId],$C362,tbl_ledger[イベント種類],"余剰化",tbl_ledger[元状態],I$304),
_xlpm.払出,SUMIFS(tbl_ledger[数量],tbl_ledger[localId],$C362,tbl_ledger[ロットID],"=",tbl_ledger[元状態],I$304),
_xlpm.受入+_xlpm.余剰化受入-_xlpm.払出))</f>
        <v/>
      </c>
      <c r="J362" s="8" t="str">
        <f>IF($C362="","",_xlfn.LET(
_xlpm.受入,SUMIFS(tbl_ledger[数量],tbl_ledger[localId],$C362,tbl_ledger[イベント種類],"梱包完了",tbl_ledger[ロットID],"="),
_xlpm.余剰化受入,SUMIFS(tbl_ledger[数量],tbl_ledger[localId],$C362,tbl_ledger[イベント種類],"余剰化",tbl_ledger[元状態],J$304),
_xlpm.払出,SUMIFS(tbl_ledger[数量],tbl_ledger[localId],$C362,tbl_ledger[ロットID],"=",tbl_ledger[元状態],J$304),
_xlpm.受入+_xlpm.余剰化受入-_xlpm.払出))</f>
        <v/>
      </c>
      <c r="K362" s="8" t="str">
        <f>IF($C362="","",_xlfn.LET(
_xlpm.受入,SUMIFS(tbl_ledger[数量],tbl_ledger[localId],$C362,tbl_ledger[イベント種類],"発送準備開始",tbl_ledger[ロットID],"="),
_xlpm.余剰化受入,SUMIFS(tbl_ledger[数量],tbl_ledger[localId],$C362,tbl_ledger[イベント種類],"余剰化",tbl_ledger[元状態],K$304),
_xlpm.払出,SUMIFS(tbl_ledger[数量],tbl_ledger[localId],$C362,tbl_ledger[ロットID],"=",tbl_ledger[元状態],K$304),
_xlpm.受入+_xlpm.余剰化受入-_xlpm.払出))</f>
        <v/>
      </c>
      <c r="L362" s="8" t="str">
        <f>IF($C362="","",_xlfn.LET(
_xlpm.受入,SUMIFS(tbl_ledger[数量],tbl_ledger[localId],$C362,tbl_ledger[イベント種類],"発送準備完了",tbl_ledger[ロットID],"="),
_xlpm.余剰化受入,SUMIFS(tbl_ledger[数量],tbl_ledger[localId],$C362,tbl_ledger[イベント種類],"余剰化",tbl_ledger[元状態],L$304),
_xlpm.払出,SUMIFS(tbl_ledger[数量],tbl_ledger[localId],$C362,tbl_ledger[ロットID],"=",tbl_ledger[元状態],L$304),
_xlpm.受入+_xlpm.余剰化受入-_xlpm.払出))</f>
        <v/>
      </c>
      <c r="M362" s="8" t="str">
        <f>IF($C362="","",_xlfn.LET(
_xlpm.受入,SUMIFS(tbl_ledger[数量],tbl_ledger[localId],$C362,tbl_ledger[イベント種類],"不良発生",tbl_ledger[ロットID],"="),
_xlpm.余剰化受入,SUMIFS(tbl_ledger[数量],tbl_ledger[localId],$C362,tbl_ledger[イベント種類],"余剰化",tbl_ledger[元状態],M$304),
_xlpm.払出,SUMIFS(tbl_ledger[数量],tbl_ledger[localId],$C362,tbl_ledger[ロットID],"=",tbl_ledger[元状態],M$304),
_xlpm.受入+_xlpm.余剰化受入-_xlpm.払出))</f>
        <v/>
      </c>
      <c r="N362" s="8" t="str">
        <f t="shared" si="13"/>
        <v/>
      </c>
    </row>
    <row r="363" spans="1:14" ht="15" customHeight="1" x14ac:dyDescent="0.25">
      <c r="A363" s="4" t="str">
        <f t="shared" si="12"/>
        <v/>
      </c>
      <c r="B363" s="4"/>
      <c r="C363" s="4" t="str">
        <f>IFERROR(INDEX(tbl_master[localId],ROW()-304),"")</f>
        <v/>
      </c>
      <c r="D363" s="8" t="str">
        <f>IF($C363="","",_xlfn.LET(
_xlpm.搬入計,SUMIFS(tbl_ledger[数量],tbl_ledger[localId],$C363,tbl_ledger[イベント種類],"搬入"),
_xlpm.割当計,SUMIF(V_充足確認!$B$2:$B$301,$C363,V_充足確認!$F$2:$F$301),
_xlpm.余剰化受入,SUMIFS(tbl_ledger[数量],tbl_ledger[localId],$C363,tbl_ledger[イベント種類],"余剰化",tbl_ledger[元状態],D$304),
_xlpm.払出,SUMIFS(tbl_ledger[数量],tbl_ledger[localId],$C363,tbl_ledger[ロットID],"=",tbl_ledger[元状態],D$304),
_xlpm.搬入計-_xlpm.割当計+_xlpm.余剰化受入-_xlpm.払出))</f>
        <v/>
      </c>
      <c r="E363" s="8" t="str">
        <f>IF($C363="","",_xlfn.LET(
_xlpm.受入,SUMIFS(tbl_ledger[数量],tbl_ledger[localId],$C363,tbl_ledger[イベント種類],"アニール開始",tbl_ledger[ロットID],"="),
_xlpm.余剰化受入,SUMIFS(tbl_ledger[数量],tbl_ledger[localId],$C363,tbl_ledger[イベント種類],"余剰化",tbl_ledger[元状態],E$304),
_xlpm.払出,SUMIFS(tbl_ledger[数量],tbl_ledger[localId],$C363,tbl_ledger[ロットID],"=",tbl_ledger[元状態],E$304),
_xlpm.受入+_xlpm.余剰化受入-_xlpm.払出))</f>
        <v/>
      </c>
      <c r="F363" s="8" t="str">
        <f>IF($C363="","",_xlfn.LET(
_xlpm.受入,SUMIFS(tbl_ledger[数量],tbl_ledger[localId],$C363,tbl_ledger[イベント種類],"アニール完了",tbl_ledger[ロットID],"="),
_xlpm.余剰化受入,SUMIFS(tbl_ledger[数量],tbl_ledger[localId],$C363,tbl_ledger[イベント種類],"余剰化",tbl_ledger[元状態],F$304),
_xlpm.払出,SUMIFS(tbl_ledger[数量],tbl_ledger[localId],$C363,tbl_ledger[ロットID],"=",tbl_ledger[元状態],F$304),
_xlpm.受入+_xlpm.余剰化受入-_xlpm.払出))</f>
        <v/>
      </c>
      <c r="G363" s="8" t="str">
        <f>IF($C363="","",_xlfn.LET(
_xlpm.受入,SUMIFS(tbl_ledger[数量],tbl_ledger[localId],$C363,tbl_ledger[イベント種類],"アセンブリ開始",tbl_ledger[ロットID],"="),
_xlpm.余剰化受入,SUMIFS(tbl_ledger[数量],tbl_ledger[localId],$C363,tbl_ledger[イベント種類],"余剰化",tbl_ledger[元状態],G$304),
_xlpm.払出,SUMIFS(tbl_ledger[数量],tbl_ledger[localId],$C363,tbl_ledger[ロットID],"=",tbl_ledger[元状態],G$304),
_xlpm.受入+_xlpm.余剰化受入-_xlpm.払出))</f>
        <v/>
      </c>
      <c r="H363" s="8" t="str">
        <f>IF($C363="","",_xlfn.LET(
_xlpm.受入,SUMIFS(tbl_ledger[数量],tbl_ledger[localId],$C363,tbl_ledger[イベント種類],"アセンブリ完了",tbl_ledger[ロットID],"="),
_xlpm.余剰化受入,SUMIFS(tbl_ledger[数量],tbl_ledger[localId],$C363,tbl_ledger[イベント種類],"余剰化",tbl_ledger[元状態],H$304),
_xlpm.払出,SUMIFS(tbl_ledger[数量],tbl_ledger[localId],$C363,tbl_ledger[ロットID],"=",tbl_ledger[元状態],H$304),
_xlpm.受入+_xlpm.余剰化受入-_xlpm.払出))</f>
        <v/>
      </c>
      <c r="I363" s="8" t="str">
        <f>IF($C363="","",_xlfn.LET(
_xlpm.受入,SUMIFS(tbl_ledger[数量],tbl_ledger[localId],$C363,tbl_ledger[イベント種類],"梱包開始",tbl_ledger[ロットID],"="),
_xlpm.余剰化受入,SUMIFS(tbl_ledger[数量],tbl_ledger[localId],$C363,tbl_ledger[イベント種類],"余剰化",tbl_ledger[元状態],I$304),
_xlpm.払出,SUMIFS(tbl_ledger[数量],tbl_ledger[localId],$C363,tbl_ledger[ロットID],"=",tbl_ledger[元状態],I$304),
_xlpm.受入+_xlpm.余剰化受入-_xlpm.払出))</f>
        <v/>
      </c>
      <c r="J363" s="8" t="str">
        <f>IF($C363="","",_xlfn.LET(
_xlpm.受入,SUMIFS(tbl_ledger[数量],tbl_ledger[localId],$C363,tbl_ledger[イベント種類],"梱包完了",tbl_ledger[ロットID],"="),
_xlpm.余剰化受入,SUMIFS(tbl_ledger[数量],tbl_ledger[localId],$C363,tbl_ledger[イベント種類],"余剰化",tbl_ledger[元状態],J$304),
_xlpm.払出,SUMIFS(tbl_ledger[数量],tbl_ledger[localId],$C363,tbl_ledger[ロットID],"=",tbl_ledger[元状態],J$304),
_xlpm.受入+_xlpm.余剰化受入-_xlpm.払出))</f>
        <v/>
      </c>
      <c r="K363" s="8" t="str">
        <f>IF($C363="","",_xlfn.LET(
_xlpm.受入,SUMIFS(tbl_ledger[数量],tbl_ledger[localId],$C363,tbl_ledger[イベント種類],"発送準備開始",tbl_ledger[ロットID],"="),
_xlpm.余剰化受入,SUMIFS(tbl_ledger[数量],tbl_ledger[localId],$C363,tbl_ledger[イベント種類],"余剰化",tbl_ledger[元状態],K$304),
_xlpm.払出,SUMIFS(tbl_ledger[数量],tbl_ledger[localId],$C363,tbl_ledger[ロットID],"=",tbl_ledger[元状態],K$304),
_xlpm.受入+_xlpm.余剰化受入-_xlpm.払出))</f>
        <v/>
      </c>
      <c r="L363" s="8" t="str">
        <f>IF($C363="","",_xlfn.LET(
_xlpm.受入,SUMIFS(tbl_ledger[数量],tbl_ledger[localId],$C363,tbl_ledger[イベント種類],"発送準備完了",tbl_ledger[ロットID],"="),
_xlpm.余剰化受入,SUMIFS(tbl_ledger[数量],tbl_ledger[localId],$C363,tbl_ledger[イベント種類],"余剰化",tbl_ledger[元状態],L$304),
_xlpm.払出,SUMIFS(tbl_ledger[数量],tbl_ledger[localId],$C363,tbl_ledger[ロットID],"=",tbl_ledger[元状態],L$304),
_xlpm.受入+_xlpm.余剰化受入-_xlpm.払出))</f>
        <v/>
      </c>
      <c r="M363" s="8" t="str">
        <f>IF($C363="","",_xlfn.LET(
_xlpm.受入,SUMIFS(tbl_ledger[数量],tbl_ledger[localId],$C363,tbl_ledger[イベント種類],"不良発生",tbl_ledger[ロットID],"="),
_xlpm.余剰化受入,SUMIFS(tbl_ledger[数量],tbl_ledger[localId],$C363,tbl_ledger[イベント種類],"余剰化",tbl_ledger[元状態],M$304),
_xlpm.払出,SUMIFS(tbl_ledger[数量],tbl_ledger[localId],$C363,tbl_ledger[ロットID],"=",tbl_ledger[元状態],M$304),
_xlpm.受入+_xlpm.余剰化受入-_xlpm.払出))</f>
        <v/>
      </c>
      <c r="N363" s="8" t="str">
        <f t="shared" si="13"/>
        <v/>
      </c>
    </row>
    <row r="364" spans="1:14" ht="15" customHeight="1" x14ac:dyDescent="0.25">
      <c r="A364" s="4" t="str">
        <f t="shared" si="12"/>
        <v/>
      </c>
      <c r="B364" s="4"/>
      <c r="C364" s="4" t="str">
        <f>IFERROR(INDEX(tbl_master[localId],ROW()-304),"")</f>
        <v/>
      </c>
      <c r="D364" s="8" t="str">
        <f>IF($C364="","",_xlfn.LET(
_xlpm.搬入計,SUMIFS(tbl_ledger[数量],tbl_ledger[localId],$C364,tbl_ledger[イベント種類],"搬入"),
_xlpm.割当計,SUMIF(V_充足確認!$B$2:$B$301,$C364,V_充足確認!$F$2:$F$301),
_xlpm.余剰化受入,SUMIFS(tbl_ledger[数量],tbl_ledger[localId],$C364,tbl_ledger[イベント種類],"余剰化",tbl_ledger[元状態],D$304),
_xlpm.払出,SUMIFS(tbl_ledger[数量],tbl_ledger[localId],$C364,tbl_ledger[ロットID],"=",tbl_ledger[元状態],D$304),
_xlpm.搬入計-_xlpm.割当計+_xlpm.余剰化受入-_xlpm.払出))</f>
        <v/>
      </c>
      <c r="E364" s="8" t="str">
        <f>IF($C364="","",_xlfn.LET(
_xlpm.受入,SUMIFS(tbl_ledger[数量],tbl_ledger[localId],$C364,tbl_ledger[イベント種類],"アニール開始",tbl_ledger[ロットID],"="),
_xlpm.余剰化受入,SUMIFS(tbl_ledger[数量],tbl_ledger[localId],$C364,tbl_ledger[イベント種類],"余剰化",tbl_ledger[元状態],E$304),
_xlpm.払出,SUMIFS(tbl_ledger[数量],tbl_ledger[localId],$C364,tbl_ledger[ロットID],"=",tbl_ledger[元状態],E$304),
_xlpm.受入+_xlpm.余剰化受入-_xlpm.払出))</f>
        <v/>
      </c>
      <c r="F364" s="8" t="str">
        <f>IF($C364="","",_xlfn.LET(
_xlpm.受入,SUMIFS(tbl_ledger[数量],tbl_ledger[localId],$C364,tbl_ledger[イベント種類],"アニール完了",tbl_ledger[ロットID],"="),
_xlpm.余剰化受入,SUMIFS(tbl_ledger[数量],tbl_ledger[localId],$C364,tbl_ledger[イベント種類],"余剰化",tbl_ledger[元状態],F$304),
_xlpm.払出,SUMIFS(tbl_ledger[数量],tbl_ledger[localId],$C364,tbl_ledger[ロットID],"=",tbl_ledger[元状態],F$304),
_xlpm.受入+_xlpm.余剰化受入-_xlpm.払出))</f>
        <v/>
      </c>
      <c r="G364" s="8" t="str">
        <f>IF($C364="","",_xlfn.LET(
_xlpm.受入,SUMIFS(tbl_ledger[数量],tbl_ledger[localId],$C364,tbl_ledger[イベント種類],"アセンブリ開始",tbl_ledger[ロットID],"="),
_xlpm.余剰化受入,SUMIFS(tbl_ledger[数量],tbl_ledger[localId],$C364,tbl_ledger[イベント種類],"余剰化",tbl_ledger[元状態],G$304),
_xlpm.払出,SUMIFS(tbl_ledger[数量],tbl_ledger[localId],$C364,tbl_ledger[ロットID],"=",tbl_ledger[元状態],G$304),
_xlpm.受入+_xlpm.余剰化受入-_xlpm.払出))</f>
        <v/>
      </c>
      <c r="H364" s="8" t="str">
        <f>IF($C364="","",_xlfn.LET(
_xlpm.受入,SUMIFS(tbl_ledger[数量],tbl_ledger[localId],$C364,tbl_ledger[イベント種類],"アセンブリ完了",tbl_ledger[ロットID],"="),
_xlpm.余剰化受入,SUMIFS(tbl_ledger[数量],tbl_ledger[localId],$C364,tbl_ledger[イベント種類],"余剰化",tbl_ledger[元状態],H$304),
_xlpm.払出,SUMIFS(tbl_ledger[数量],tbl_ledger[localId],$C364,tbl_ledger[ロットID],"=",tbl_ledger[元状態],H$304),
_xlpm.受入+_xlpm.余剰化受入-_xlpm.払出))</f>
        <v/>
      </c>
      <c r="I364" s="8" t="str">
        <f>IF($C364="","",_xlfn.LET(
_xlpm.受入,SUMIFS(tbl_ledger[数量],tbl_ledger[localId],$C364,tbl_ledger[イベント種類],"梱包開始",tbl_ledger[ロットID],"="),
_xlpm.余剰化受入,SUMIFS(tbl_ledger[数量],tbl_ledger[localId],$C364,tbl_ledger[イベント種類],"余剰化",tbl_ledger[元状態],I$304),
_xlpm.払出,SUMIFS(tbl_ledger[数量],tbl_ledger[localId],$C364,tbl_ledger[ロットID],"=",tbl_ledger[元状態],I$304),
_xlpm.受入+_xlpm.余剰化受入-_xlpm.払出))</f>
        <v/>
      </c>
      <c r="J364" s="8" t="str">
        <f>IF($C364="","",_xlfn.LET(
_xlpm.受入,SUMIFS(tbl_ledger[数量],tbl_ledger[localId],$C364,tbl_ledger[イベント種類],"梱包完了",tbl_ledger[ロットID],"="),
_xlpm.余剰化受入,SUMIFS(tbl_ledger[数量],tbl_ledger[localId],$C364,tbl_ledger[イベント種類],"余剰化",tbl_ledger[元状態],J$304),
_xlpm.払出,SUMIFS(tbl_ledger[数量],tbl_ledger[localId],$C364,tbl_ledger[ロットID],"=",tbl_ledger[元状態],J$304),
_xlpm.受入+_xlpm.余剰化受入-_xlpm.払出))</f>
        <v/>
      </c>
      <c r="K364" s="8" t="str">
        <f>IF($C364="","",_xlfn.LET(
_xlpm.受入,SUMIFS(tbl_ledger[数量],tbl_ledger[localId],$C364,tbl_ledger[イベント種類],"発送準備開始",tbl_ledger[ロットID],"="),
_xlpm.余剰化受入,SUMIFS(tbl_ledger[数量],tbl_ledger[localId],$C364,tbl_ledger[イベント種類],"余剰化",tbl_ledger[元状態],K$304),
_xlpm.払出,SUMIFS(tbl_ledger[数量],tbl_ledger[localId],$C364,tbl_ledger[ロットID],"=",tbl_ledger[元状態],K$304),
_xlpm.受入+_xlpm.余剰化受入-_xlpm.払出))</f>
        <v/>
      </c>
      <c r="L364" s="8" t="str">
        <f>IF($C364="","",_xlfn.LET(
_xlpm.受入,SUMIFS(tbl_ledger[数量],tbl_ledger[localId],$C364,tbl_ledger[イベント種類],"発送準備完了",tbl_ledger[ロットID],"="),
_xlpm.余剰化受入,SUMIFS(tbl_ledger[数量],tbl_ledger[localId],$C364,tbl_ledger[イベント種類],"余剰化",tbl_ledger[元状態],L$304),
_xlpm.払出,SUMIFS(tbl_ledger[数量],tbl_ledger[localId],$C364,tbl_ledger[ロットID],"=",tbl_ledger[元状態],L$304),
_xlpm.受入+_xlpm.余剰化受入-_xlpm.払出))</f>
        <v/>
      </c>
      <c r="M364" s="8" t="str">
        <f>IF($C364="","",_xlfn.LET(
_xlpm.受入,SUMIFS(tbl_ledger[数量],tbl_ledger[localId],$C364,tbl_ledger[イベント種類],"不良発生",tbl_ledger[ロットID],"="),
_xlpm.余剰化受入,SUMIFS(tbl_ledger[数量],tbl_ledger[localId],$C364,tbl_ledger[イベント種類],"余剰化",tbl_ledger[元状態],M$304),
_xlpm.払出,SUMIFS(tbl_ledger[数量],tbl_ledger[localId],$C364,tbl_ledger[ロットID],"=",tbl_ledger[元状態],M$304),
_xlpm.受入+_xlpm.余剰化受入-_xlpm.払出))</f>
        <v/>
      </c>
      <c r="N364" s="8" t="str">
        <f t="shared" si="13"/>
        <v/>
      </c>
    </row>
    <row r="365" spans="1:14" ht="15" customHeight="1" x14ac:dyDescent="0.25">
      <c r="A365" s="4" t="str">
        <f t="shared" si="12"/>
        <v/>
      </c>
      <c r="B365" s="4"/>
      <c r="C365" s="4" t="str">
        <f>IFERROR(INDEX(tbl_master[localId],ROW()-304),"")</f>
        <v/>
      </c>
      <c r="D365" s="8" t="str">
        <f>IF($C365="","",_xlfn.LET(
_xlpm.搬入計,SUMIFS(tbl_ledger[数量],tbl_ledger[localId],$C365,tbl_ledger[イベント種類],"搬入"),
_xlpm.割当計,SUMIF(V_充足確認!$B$2:$B$301,$C365,V_充足確認!$F$2:$F$301),
_xlpm.余剰化受入,SUMIFS(tbl_ledger[数量],tbl_ledger[localId],$C365,tbl_ledger[イベント種類],"余剰化",tbl_ledger[元状態],D$304),
_xlpm.払出,SUMIFS(tbl_ledger[数量],tbl_ledger[localId],$C365,tbl_ledger[ロットID],"=",tbl_ledger[元状態],D$304),
_xlpm.搬入計-_xlpm.割当計+_xlpm.余剰化受入-_xlpm.払出))</f>
        <v/>
      </c>
      <c r="E365" s="8" t="str">
        <f>IF($C365="","",_xlfn.LET(
_xlpm.受入,SUMIFS(tbl_ledger[数量],tbl_ledger[localId],$C365,tbl_ledger[イベント種類],"アニール開始",tbl_ledger[ロットID],"="),
_xlpm.余剰化受入,SUMIFS(tbl_ledger[数量],tbl_ledger[localId],$C365,tbl_ledger[イベント種類],"余剰化",tbl_ledger[元状態],E$304),
_xlpm.払出,SUMIFS(tbl_ledger[数量],tbl_ledger[localId],$C365,tbl_ledger[ロットID],"=",tbl_ledger[元状態],E$304),
_xlpm.受入+_xlpm.余剰化受入-_xlpm.払出))</f>
        <v/>
      </c>
      <c r="F365" s="8" t="str">
        <f>IF($C365="","",_xlfn.LET(
_xlpm.受入,SUMIFS(tbl_ledger[数量],tbl_ledger[localId],$C365,tbl_ledger[イベント種類],"アニール完了",tbl_ledger[ロットID],"="),
_xlpm.余剰化受入,SUMIFS(tbl_ledger[数量],tbl_ledger[localId],$C365,tbl_ledger[イベント種類],"余剰化",tbl_ledger[元状態],F$304),
_xlpm.払出,SUMIFS(tbl_ledger[数量],tbl_ledger[localId],$C365,tbl_ledger[ロットID],"=",tbl_ledger[元状態],F$304),
_xlpm.受入+_xlpm.余剰化受入-_xlpm.払出))</f>
        <v/>
      </c>
      <c r="G365" s="8" t="str">
        <f>IF($C365="","",_xlfn.LET(
_xlpm.受入,SUMIFS(tbl_ledger[数量],tbl_ledger[localId],$C365,tbl_ledger[イベント種類],"アセンブリ開始",tbl_ledger[ロットID],"="),
_xlpm.余剰化受入,SUMIFS(tbl_ledger[数量],tbl_ledger[localId],$C365,tbl_ledger[イベント種類],"余剰化",tbl_ledger[元状態],G$304),
_xlpm.払出,SUMIFS(tbl_ledger[数量],tbl_ledger[localId],$C365,tbl_ledger[ロットID],"=",tbl_ledger[元状態],G$304),
_xlpm.受入+_xlpm.余剰化受入-_xlpm.払出))</f>
        <v/>
      </c>
      <c r="H365" s="8" t="str">
        <f>IF($C365="","",_xlfn.LET(
_xlpm.受入,SUMIFS(tbl_ledger[数量],tbl_ledger[localId],$C365,tbl_ledger[イベント種類],"アセンブリ完了",tbl_ledger[ロットID],"="),
_xlpm.余剰化受入,SUMIFS(tbl_ledger[数量],tbl_ledger[localId],$C365,tbl_ledger[イベント種類],"余剰化",tbl_ledger[元状態],H$304),
_xlpm.払出,SUMIFS(tbl_ledger[数量],tbl_ledger[localId],$C365,tbl_ledger[ロットID],"=",tbl_ledger[元状態],H$304),
_xlpm.受入+_xlpm.余剰化受入-_xlpm.払出))</f>
        <v/>
      </c>
      <c r="I365" s="8" t="str">
        <f>IF($C365="","",_xlfn.LET(
_xlpm.受入,SUMIFS(tbl_ledger[数量],tbl_ledger[localId],$C365,tbl_ledger[イベント種類],"梱包開始",tbl_ledger[ロットID],"="),
_xlpm.余剰化受入,SUMIFS(tbl_ledger[数量],tbl_ledger[localId],$C365,tbl_ledger[イベント種類],"余剰化",tbl_ledger[元状態],I$304),
_xlpm.払出,SUMIFS(tbl_ledger[数量],tbl_ledger[localId],$C365,tbl_ledger[ロットID],"=",tbl_ledger[元状態],I$304),
_xlpm.受入+_xlpm.余剰化受入-_xlpm.払出))</f>
        <v/>
      </c>
      <c r="J365" s="8" t="str">
        <f>IF($C365="","",_xlfn.LET(
_xlpm.受入,SUMIFS(tbl_ledger[数量],tbl_ledger[localId],$C365,tbl_ledger[イベント種類],"梱包完了",tbl_ledger[ロットID],"="),
_xlpm.余剰化受入,SUMIFS(tbl_ledger[数量],tbl_ledger[localId],$C365,tbl_ledger[イベント種類],"余剰化",tbl_ledger[元状態],J$304),
_xlpm.払出,SUMIFS(tbl_ledger[数量],tbl_ledger[localId],$C365,tbl_ledger[ロットID],"=",tbl_ledger[元状態],J$304),
_xlpm.受入+_xlpm.余剰化受入-_xlpm.払出))</f>
        <v/>
      </c>
      <c r="K365" s="8" t="str">
        <f>IF($C365="","",_xlfn.LET(
_xlpm.受入,SUMIFS(tbl_ledger[数量],tbl_ledger[localId],$C365,tbl_ledger[イベント種類],"発送準備開始",tbl_ledger[ロットID],"="),
_xlpm.余剰化受入,SUMIFS(tbl_ledger[数量],tbl_ledger[localId],$C365,tbl_ledger[イベント種類],"余剰化",tbl_ledger[元状態],K$304),
_xlpm.払出,SUMIFS(tbl_ledger[数量],tbl_ledger[localId],$C365,tbl_ledger[ロットID],"=",tbl_ledger[元状態],K$304),
_xlpm.受入+_xlpm.余剰化受入-_xlpm.払出))</f>
        <v/>
      </c>
      <c r="L365" s="8" t="str">
        <f>IF($C365="","",_xlfn.LET(
_xlpm.受入,SUMIFS(tbl_ledger[数量],tbl_ledger[localId],$C365,tbl_ledger[イベント種類],"発送準備完了",tbl_ledger[ロットID],"="),
_xlpm.余剰化受入,SUMIFS(tbl_ledger[数量],tbl_ledger[localId],$C365,tbl_ledger[イベント種類],"余剰化",tbl_ledger[元状態],L$304),
_xlpm.払出,SUMIFS(tbl_ledger[数量],tbl_ledger[localId],$C365,tbl_ledger[ロットID],"=",tbl_ledger[元状態],L$304),
_xlpm.受入+_xlpm.余剰化受入-_xlpm.払出))</f>
        <v/>
      </c>
      <c r="M365" s="8" t="str">
        <f>IF($C365="","",_xlfn.LET(
_xlpm.受入,SUMIFS(tbl_ledger[数量],tbl_ledger[localId],$C365,tbl_ledger[イベント種類],"不良発生",tbl_ledger[ロットID],"="),
_xlpm.余剰化受入,SUMIFS(tbl_ledger[数量],tbl_ledger[localId],$C365,tbl_ledger[イベント種類],"余剰化",tbl_ledger[元状態],M$304),
_xlpm.払出,SUMIFS(tbl_ledger[数量],tbl_ledger[localId],$C365,tbl_ledger[ロットID],"=",tbl_ledger[元状態],M$304),
_xlpm.受入+_xlpm.余剰化受入-_xlpm.払出))</f>
        <v/>
      </c>
      <c r="N365" s="8" t="str">
        <f t="shared" si="13"/>
        <v/>
      </c>
    </row>
    <row r="366" spans="1:14" ht="15" customHeight="1" x14ac:dyDescent="0.25">
      <c r="A366" s="4" t="str">
        <f t="shared" si="12"/>
        <v/>
      </c>
      <c r="B366" s="4"/>
      <c r="C366" s="4" t="str">
        <f>IFERROR(INDEX(tbl_master[localId],ROW()-304),"")</f>
        <v/>
      </c>
      <c r="D366" s="8" t="str">
        <f>IF($C366="","",_xlfn.LET(
_xlpm.搬入計,SUMIFS(tbl_ledger[数量],tbl_ledger[localId],$C366,tbl_ledger[イベント種類],"搬入"),
_xlpm.割当計,SUMIF(V_充足確認!$B$2:$B$301,$C366,V_充足確認!$F$2:$F$301),
_xlpm.余剰化受入,SUMIFS(tbl_ledger[数量],tbl_ledger[localId],$C366,tbl_ledger[イベント種類],"余剰化",tbl_ledger[元状態],D$304),
_xlpm.払出,SUMIFS(tbl_ledger[数量],tbl_ledger[localId],$C366,tbl_ledger[ロットID],"=",tbl_ledger[元状態],D$304),
_xlpm.搬入計-_xlpm.割当計+_xlpm.余剰化受入-_xlpm.払出))</f>
        <v/>
      </c>
      <c r="E366" s="8" t="str">
        <f>IF($C366="","",_xlfn.LET(
_xlpm.受入,SUMIFS(tbl_ledger[数量],tbl_ledger[localId],$C366,tbl_ledger[イベント種類],"アニール開始",tbl_ledger[ロットID],"="),
_xlpm.余剰化受入,SUMIFS(tbl_ledger[数量],tbl_ledger[localId],$C366,tbl_ledger[イベント種類],"余剰化",tbl_ledger[元状態],E$304),
_xlpm.払出,SUMIFS(tbl_ledger[数量],tbl_ledger[localId],$C366,tbl_ledger[ロットID],"=",tbl_ledger[元状態],E$304),
_xlpm.受入+_xlpm.余剰化受入-_xlpm.払出))</f>
        <v/>
      </c>
      <c r="F366" s="8" t="str">
        <f>IF($C366="","",_xlfn.LET(
_xlpm.受入,SUMIFS(tbl_ledger[数量],tbl_ledger[localId],$C366,tbl_ledger[イベント種類],"アニール完了",tbl_ledger[ロットID],"="),
_xlpm.余剰化受入,SUMIFS(tbl_ledger[数量],tbl_ledger[localId],$C366,tbl_ledger[イベント種類],"余剰化",tbl_ledger[元状態],F$304),
_xlpm.払出,SUMIFS(tbl_ledger[数量],tbl_ledger[localId],$C366,tbl_ledger[ロットID],"=",tbl_ledger[元状態],F$304),
_xlpm.受入+_xlpm.余剰化受入-_xlpm.払出))</f>
        <v/>
      </c>
      <c r="G366" s="8" t="str">
        <f>IF($C366="","",_xlfn.LET(
_xlpm.受入,SUMIFS(tbl_ledger[数量],tbl_ledger[localId],$C366,tbl_ledger[イベント種類],"アセンブリ開始",tbl_ledger[ロットID],"="),
_xlpm.余剰化受入,SUMIFS(tbl_ledger[数量],tbl_ledger[localId],$C366,tbl_ledger[イベント種類],"余剰化",tbl_ledger[元状態],G$304),
_xlpm.払出,SUMIFS(tbl_ledger[数量],tbl_ledger[localId],$C366,tbl_ledger[ロットID],"=",tbl_ledger[元状態],G$304),
_xlpm.受入+_xlpm.余剰化受入-_xlpm.払出))</f>
        <v/>
      </c>
      <c r="H366" s="8" t="str">
        <f>IF($C366="","",_xlfn.LET(
_xlpm.受入,SUMIFS(tbl_ledger[数量],tbl_ledger[localId],$C366,tbl_ledger[イベント種類],"アセンブリ完了",tbl_ledger[ロットID],"="),
_xlpm.余剰化受入,SUMIFS(tbl_ledger[数量],tbl_ledger[localId],$C366,tbl_ledger[イベント種類],"余剰化",tbl_ledger[元状態],H$304),
_xlpm.払出,SUMIFS(tbl_ledger[数量],tbl_ledger[localId],$C366,tbl_ledger[ロットID],"=",tbl_ledger[元状態],H$304),
_xlpm.受入+_xlpm.余剰化受入-_xlpm.払出))</f>
        <v/>
      </c>
      <c r="I366" s="8" t="str">
        <f>IF($C366="","",_xlfn.LET(
_xlpm.受入,SUMIFS(tbl_ledger[数量],tbl_ledger[localId],$C366,tbl_ledger[イベント種類],"梱包開始",tbl_ledger[ロットID],"="),
_xlpm.余剰化受入,SUMIFS(tbl_ledger[数量],tbl_ledger[localId],$C366,tbl_ledger[イベント種類],"余剰化",tbl_ledger[元状態],I$304),
_xlpm.払出,SUMIFS(tbl_ledger[数量],tbl_ledger[localId],$C366,tbl_ledger[ロットID],"=",tbl_ledger[元状態],I$304),
_xlpm.受入+_xlpm.余剰化受入-_xlpm.払出))</f>
        <v/>
      </c>
      <c r="J366" s="8" t="str">
        <f>IF($C366="","",_xlfn.LET(
_xlpm.受入,SUMIFS(tbl_ledger[数量],tbl_ledger[localId],$C366,tbl_ledger[イベント種類],"梱包完了",tbl_ledger[ロットID],"="),
_xlpm.余剰化受入,SUMIFS(tbl_ledger[数量],tbl_ledger[localId],$C366,tbl_ledger[イベント種類],"余剰化",tbl_ledger[元状態],J$304),
_xlpm.払出,SUMIFS(tbl_ledger[数量],tbl_ledger[localId],$C366,tbl_ledger[ロットID],"=",tbl_ledger[元状態],J$304),
_xlpm.受入+_xlpm.余剰化受入-_xlpm.払出))</f>
        <v/>
      </c>
      <c r="K366" s="8" t="str">
        <f>IF($C366="","",_xlfn.LET(
_xlpm.受入,SUMIFS(tbl_ledger[数量],tbl_ledger[localId],$C366,tbl_ledger[イベント種類],"発送準備開始",tbl_ledger[ロットID],"="),
_xlpm.余剰化受入,SUMIFS(tbl_ledger[数量],tbl_ledger[localId],$C366,tbl_ledger[イベント種類],"余剰化",tbl_ledger[元状態],K$304),
_xlpm.払出,SUMIFS(tbl_ledger[数量],tbl_ledger[localId],$C366,tbl_ledger[ロットID],"=",tbl_ledger[元状態],K$304),
_xlpm.受入+_xlpm.余剰化受入-_xlpm.払出))</f>
        <v/>
      </c>
      <c r="L366" s="8" t="str">
        <f>IF($C366="","",_xlfn.LET(
_xlpm.受入,SUMIFS(tbl_ledger[数量],tbl_ledger[localId],$C366,tbl_ledger[イベント種類],"発送準備完了",tbl_ledger[ロットID],"="),
_xlpm.余剰化受入,SUMIFS(tbl_ledger[数量],tbl_ledger[localId],$C366,tbl_ledger[イベント種類],"余剰化",tbl_ledger[元状態],L$304),
_xlpm.払出,SUMIFS(tbl_ledger[数量],tbl_ledger[localId],$C366,tbl_ledger[ロットID],"=",tbl_ledger[元状態],L$304),
_xlpm.受入+_xlpm.余剰化受入-_xlpm.払出))</f>
        <v/>
      </c>
      <c r="M366" s="8" t="str">
        <f>IF($C366="","",_xlfn.LET(
_xlpm.受入,SUMIFS(tbl_ledger[数量],tbl_ledger[localId],$C366,tbl_ledger[イベント種類],"不良発生",tbl_ledger[ロットID],"="),
_xlpm.余剰化受入,SUMIFS(tbl_ledger[数量],tbl_ledger[localId],$C366,tbl_ledger[イベント種類],"余剰化",tbl_ledger[元状態],M$304),
_xlpm.払出,SUMIFS(tbl_ledger[数量],tbl_ledger[localId],$C366,tbl_ledger[ロットID],"=",tbl_ledger[元状態],M$304),
_xlpm.受入+_xlpm.余剰化受入-_xlpm.払出))</f>
        <v/>
      </c>
      <c r="N366" s="8" t="str">
        <f t="shared" si="13"/>
        <v/>
      </c>
    </row>
    <row r="367" spans="1:14" ht="15" customHeight="1" x14ac:dyDescent="0.25">
      <c r="A367" s="4" t="str">
        <f t="shared" si="12"/>
        <v/>
      </c>
      <c r="B367" s="4"/>
      <c r="C367" s="4" t="str">
        <f>IFERROR(INDEX(tbl_master[localId],ROW()-304),"")</f>
        <v/>
      </c>
      <c r="D367" s="8" t="str">
        <f>IF($C367="","",_xlfn.LET(
_xlpm.搬入計,SUMIFS(tbl_ledger[数量],tbl_ledger[localId],$C367,tbl_ledger[イベント種類],"搬入"),
_xlpm.割当計,SUMIF(V_充足確認!$B$2:$B$301,$C367,V_充足確認!$F$2:$F$301),
_xlpm.余剰化受入,SUMIFS(tbl_ledger[数量],tbl_ledger[localId],$C367,tbl_ledger[イベント種類],"余剰化",tbl_ledger[元状態],D$304),
_xlpm.払出,SUMIFS(tbl_ledger[数量],tbl_ledger[localId],$C367,tbl_ledger[ロットID],"=",tbl_ledger[元状態],D$304),
_xlpm.搬入計-_xlpm.割当計+_xlpm.余剰化受入-_xlpm.払出))</f>
        <v/>
      </c>
      <c r="E367" s="8" t="str">
        <f>IF($C367="","",_xlfn.LET(
_xlpm.受入,SUMIFS(tbl_ledger[数量],tbl_ledger[localId],$C367,tbl_ledger[イベント種類],"アニール開始",tbl_ledger[ロットID],"="),
_xlpm.余剰化受入,SUMIFS(tbl_ledger[数量],tbl_ledger[localId],$C367,tbl_ledger[イベント種類],"余剰化",tbl_ledger[元状態],E$304),
_xlpm.払出,SUMIFS(tbl_ledger[数量],tbl_ledger[localId],$C367,tbl_ledger[ロットID],"=",tbl_ledger[元状態],E$304),
_xlpm.受入+_xlpm.余剰化受入-_xlpm.払出))</f>
        <v/>
      </c>
      <c r="F367" s="8" t="str">
        <f>IF($C367="","",_xlfn.LET(
_xlpm.受入,SUMIFS(tbl_ledger[数量],tbl_ledger[localId],$C367,tbl_ledger[イベント種類],"アニール完了",tbl_ledger[ロットID],"="),
_xlpm.余剰化受入,SUMIFS(tbl_ledger[数量],tbl_ledger[localId],$C367,tbl_ledger[イベント種類],"余剰化",tbl_ledger[元状態],F$304),
_xlpm.払出,SUMIFS(tbl_ledger[数量],tbl_ledger[localId],$C367,tbl_ledger[ロットID],"=",tbl_ledger[元状態],F$304),
_xlpm.受入+_xlpm.余剰化受入-_xlpm.払出))</f>
        <v/>
      </c>
      <c r="G367" s="8" t="str">
        <f>IF($C367="","",_xlfn.LET(
_xlpm.受入,SUMIFS(tbl_ledger[数量],tbl_ledger[localId],$C367,tbl_ledger[イベント種類],"アセンブリ開始",tbl_ledger[ロットID],"="),
_xlpm.余剰化受入,SUMIFS(tbl_ledger[数量],tbl_ledger[localId],$C367,tbl_ledger[イベント種類],"余剰化",tbl_ledger[元状態],G$304),
_xlpm.払出,SUMIFS(tbl_ledger[数量],tbl_ledger[localId],$C367,tbl_ledger[ロットID],"=",tbl_ledger[元状態],G$304),
_xlpm.受入+_xlpm.余剰化受入-_xlpm.払出))</f>
        <v/>
      </c>
      <c r="H367" s="8" t="str">
        <f>IF($C367="","",_xlfn.LET(
_xlpm.受入,SUMIFS(tbl_ledger[数量],tbl_ledger[localId],$C367,tbl_ledger[イベント種類],"アセンブリ完了",tbl_ledger[ロットID],"="),
_xlpm.余剰化受入,SUMIFS(tbl_ledger[数量],tbl_ledger[localId],$C367,tbl_ledger[イベント種類],"余剰化",tbl_ledger[元状態],H$304),
_xlpm.払出,SUMIFS(tbl_ledger[数量],tbl_ledger[localId],$C367,tbl_ledger[ロットID],"=",tbl_ledger[元状態],H$304),
_xlpm.受入+_xlpm.余剰化受入-_xlpm.払出))</f>
        <v/>
      </c>
      <c r="I367" s="8" t="str">
        <f>IF($C367="","",_xlfn.LET(
_xlpm.受入,SUMIFS(tbl_ledger[数量],tbl_ledger[localId],$C367,tbl_ledger[イベント種類],"梱包開始",tbl_ledger[ロットID],"="),
_xlpm.余剰化受入,SUMIFS(tbl_ledger[数量],tbl_ledger[localId],$C367,tbl_ledger[イベント種類],"余剰化",tbl_ledger[元状態],I$304),
_xlpm.払出,SUMIFS(tbl_ledger[数量],tbl_ledger[localId],$C367,tbl_ledger[ロットID],"=",tbl_ledger[元状態],I$304),
_xlpm.受入+_xlpm.余剰化受入-_xlpm.払出))</f>
        <v/>
      </c>
      <c r="J367" s="8" t="str">
        <f>IF($C367="","",_xlfn.LET(
_xlpm.受入,SUMIFS(tbl_ledger[数量],tbl_ledger[localId],$C367,tbl_ledger[イベント種類],"梱包完了",tbl_ledger[ロットID],"="),
_xlpm.余剰化受入,SUMIFS(tbl_ledger[数量],tbl_ledger[localId],$C367,tbl_ledger[イベント種類],"余剰化",tbl_ledger[元状態],J$304),
_xlpm.払出,SUMIFS(tbl_ledger[数量],tbl_ledger[localId],$C367,tbl_ledger[ロットID],"=",tbl_ledger[元状態],J$304),
_xlpm.受入+_xlpm.余剰化受入-_xlpm.払出))</f>
        <v/>
      </c>
      <c r="K367" s="8" t="str">
        <f>IF($C367="","",_xlfn.LET(
_xlpm.受入,SUMIFS(tbl_ledger[数量],tbl_ledger[localId],$C367,tbl_ledger[イベント種類],"発送準備開始",tbl_ledger[ロットID],"="),
_xlpm.余剰化受入,SUMIFS(tbl_ledger[数量],tbl_ledger[localId],$C367,tbl_ledger[イベント種類],"余剰化",tbl_ledger[元状態],K$304),
_xlpm.払出,SUMIFS(tbl_ledger[数量],tbl_ledger[localId],$C367,tbl_ledger[ロットID],"=",tbl_ledger[元状態],K$304),
_xlpm.受入+_xlpm.余剰化受入-_xlpm.払出))</f>
        <v/>
      </c>
      <c r="L367" s="8" t="str">
        <f>IF($C367="","",_xlfn.LET(
_xlpm.受入,SUMIFS(tbl_ledger[数量],tbl_ledger[localId],$C367,tbl_ledger[イベント種類],"発送準備完了",tbl_ledger[ロットID],"="),
_xlpm.余剰化受入,SUMIFS(tbl_ledger[数量],tbl_ledger[localId],$C367,tbl_ledger[イベント種類],"余剰化",tbl_ledger[元状態],L$304),
_xlpm.払出,SUMIFS(tbl_ledger[数量],tbl_ledger[localId],$C367,tbl_ledger[ロットID],"=",tbl_ledger[元状態],L$304),
_xlpm.受入+_xlpm.余剰化受入-_xlpm.払出))</f>
        <v/>
      </c>
      <c r="M367" s="8" t="str">
        <f>IF($C367="","",_xlfn.LET(
_xlpm.受入,SUMIFS(tbl_ledger[数量],tbl_ledger[localId],$C367,tbl_ledger[イベント種類],"不良発生",tbl_ledger[ロットID],"="),
_xlpm.余剰化受入,SUMIFS(tbl_ledger[数量],tbl_ledger[localId],$C367,tbl_ledger[イベント種類],"余剰化",tbl_ledger[元状態],M$304),
_xlpm.払出,SUMIFS(tbl_ledger[数量],tbl_ledger[localId],$C367,tbl_ledger[ロットID],"=",tbl_ledger[元状態],M$304),
_xlpm.受入+_xlpm.余剰化受入-_xlpm.払出))</f>
        <v/>
      </c>
      <c r="N367" s="8" t="str">
        <f t="shared" si="13"/>
        <v/>
      </c>
    </row>
    <row r="368" spans="1:14" ht="15" customHeight="1" x14ac:dyDescent="0.25">
      <c r="A368" s="4" t="str">
        <f t="shared" si="12"/>
        <v/>
      </c>
      <c r="B368" s="4"/>
      <c r="C368" s="4" t="str">
        <f>IFERROR(INDEX(tbl_master[localId],ROW()-304),"")</f>
        <v/>
      </c>
      <c r="D368" s="8" t="str">
        <f>IF($C368="","",_xlfn.LET(
_xlpm.搬入計,SUMIFS(tbl_ledger[数量],tbl_ledger[localId],$C368,tbl_ledger[イベント種類],"搬入"),
_xlpm.割当計,SUMIF(V_充足確認!$B$2:$B$301,$C368,V_充足確認!$F$2:$F$301),
_xlpm.余剰化受入,SUMIFS(tbl_ledger[数量],tbl_ledger[localId],$C368,tbl_ledger[イベント種類],"余剰化",tbl_ledger[元状態],D$304),
_xlpm.払出,SUMIFS(tbl_ledger[数量],tbl_ledger[localId],$C368,tbl_ledger[ロットID],"=",tbl_ledger[元状態],D$304),
_xlpm.搬入計-_xlpm.割当計+_xlpm.余剰化受入-_xlpm.払出))</f>
        <v/>
      </c>
      <c r="E368" s="8" t="str">
        <f>IF($C368="","",_xlfn.LET(
_xlpm.受入,SUMIFS(tbl_ledger[数量],tbl_ledger[localId],$C368,tbl_ledger[イベント種類],"アニール開始",tbl_ledger[ロットID],"="),
_xlpm.余剰化受入,SUMIFS(tbl_ledger[数量],tbl_ledger[localId],$C368,tbl_ledger[イベント種類],"余剰化",tbl_ledger[元状態],E$304),
_xlpm.払出,SUMIFS(tbl_ledger[数量],tbl_ledger[localId],$C368,tbl_ledger[ロットID],"=",tbl_ledger[元状態],E$304),
_xlpm.受入+_xlpm.余剰化受入-_xlpm.払出))</f>
        <v/>
      </c>
      <c r="F368" s="8" t="str">
        <f>IF($C368="","",_xlfn.LET(
_xlpm.受入,SUMIFS(tbl_ledger[数量],tbl_ledger[localId],$C368,tbl_ledger[イベント種類],"アニール完了",tbl_ledger[ロットID],"="),
_xlpm.余剰化受入,SUMIFS(tbl_ledger[数量],tbl_ledger[localId],$C368,tbl_ledger[イベント種類],"余剰化",tbl_ledger[元状態],F$304),
_xlpm.払出,SUMIFS(tbl_ledger[数量],tbl_ledger[localId],$C368,tbl_ledger[ロットID],"=",tbl_ledger[元状態],F$304),
_xlpm.受入+_xlpm.余剰化受入-_xlpm.払出))</f>
        <v/>
      </c>
      <c r="G368" s="8" t="str">
        <f>IF($C368="","",_xlfn.LET(
_xlpm.受入,SUMIFS(tbl_ledger[数量],tbl_ledger[localId],$C368,tbl_ledger[イベント種類],"アセンブリ開始",tbl_ledger[ロットID],"="),
_xlpm.余剰化受入,SUMIFS(tbl_ledger[数量],tbl_ledger[localId],$C368,tbl_ledger[イベント種類],"余剰化",tbl_ledger[元状態],G$304),
_xlpm.払出,SUMIFS(tbl_ledger[数量],tbl_ledger[localId],$C368,tbl_ledger[ロットID],"=",tbl_ledger[元状態],G$304),
_xlpm.受入+_xlpm.余剰化受入-_xlpm.払出))</f>
        <v/>
      </c>
      <c r="H368" s="8" t="str">
        <f>IF($C368="","",_xlfn.LET(
_xlpm.受入,SUMIFS(tbl_ledger[数量],tbl_ledger[localId],$C368,tbl_ledger[イベント種類],"アセンブリ完了",tbl_ledger[ロットID],"="),
_xlpm.余剰化受入,SUMIFS(tbl_ledger[数量],tbl_ledger[localId],$C368,tbl_ledger[イベント種類],"余剰化",tbl_ledger[元状態],H$304),
_xlpm.払出,SUMIFS(tbl_ledger[数量],tbl_ledger[localId],$C368,tbl_ledger[ロットID],"=",tbl_ledger[元状態],H$304),
_xlpm.受入+_xlpm.余剰化受入-_xlpm.払出))</f>
        <v/>
      </c>
      <c r="I368" s="8" t="str">
        <f>IF($C368="","",_xlfn.LET(
_xlpm.受入,SUMIFS(tbl_ledger[数量],tbl_ledger[localId],$C368,tbl_ledger[イベント種類],"梱包開始",tbl_ledger[ロットID],"="),
_xlpm.余剰化受入,SUMIFS(tbl_ledger[数量],tbl_ledger[localId],$C368,tbl_ledger[イベント種類],"余剰化",tbl_ledger[元状態],I$304),
_xlpm.払出,SUMIFS(tbl_ledger[数量],tbl_ledger[localId],$C368,tbl_ledger[ロットID],"=",tbl_ledger[元状態],I$304),
_xlpm.受入+_xlpm.余剰化受入-_xlpm.払出))</f>
        <v/>
      </c>
      <c r="J368" s="8" t="str">
        <f>IF($C368="","",_xlfn.LET(
_xlpm.受入,SUMIFS(tbl_ledger[数量],tbl_ledger[localId],$C368,tbl_ledger[イベント種類],"梱包完了",tbl_ledger[ロットID],"="),
_xlpm.余剰化受入,SUMIFS(tbl_ledger[数量],tbl_ledger[localId],$C368,tbl_ledger[イベント種類],"余剰化",tbl_ledger[元状態],J$304),
_xlpm.払出,SUMIFS(tbl_ledger[数量],tbl_ledger[localId],$C368,tbl_ledger[ロットID],"=",tbl_ledger[元状態],J$304),
_xlpm.受入+_xlpm.余剰化受入-_xlpm.払出))</f>
        <v/>
      </c>
      <c r="K368" s="8" t="str">
        <f>IF($C368="","",_xlfn.LET(
_xlpm.受入,SUMIFS(tbl_ledger[数量],tbl_ledger[localId],$C368,tbl_ledger[イベント種類],"発送準備開始",tbl_ledger[ロットID],"="),
_xlpm.余剰化受入,SUMIFS(tbl_ledger[数量],tbl_ledger[localId],$C368,tbl_ledger[イベント種類],"余剰化",tbl_ledger[元状態],K$304),
_xlpm.払出,SUMIFS(tbl_ledger[数量],tbl_ledger[localId],$C368,tbl_ledger[ロットID],"=",tbl_ledger[元状態],K$304),
_xlpm.受入+_xlpm.余剰化受入-_xlpm.払出))</f>
        <v/>
      </c>
      <c r="L368" s="8" t="str">
        <f>IF($C368="","",_xlfn.LET(
_xlpm.受入,SUMIFS(tbl_ledger[数量],tbl_ledger[localId],$C368,tbl_ledger[イベント種類],"発送準備完了",tbl_ledger[ロットID],"="),
_xlpm.余剰化受入,SUMIFS(tbl_ledger[数量],tbl_ledger[localId],$C368,tbl_ledger[イベント種類],"余剰化",tbl_ledger[元状態],L$304),
_xlpm.払出,SUMIFS(tbl_ledger[数量],tbl_ledger[localId],$C368,tbl_ledger[ロットID],"=",tbl_ledger[元状態],L$304),
_xlpm.受入+_xlpm.余剰化受入-_xlpm.払出))</f>
        <v/>
      </c>
      <c r="M368" s="8" t="str">
        <f>IF($C368="","",_xlfn.LET(
_xlpm.受入,SUMIFS(tbl_ledger[数量],tbl_ledger[localId],$C368,tbl_ledger[イベント種類],"不良発生",tbl_ledger[ロットID],"="),
_xlpm.余剰化受入,SUMIFS(tbl_ledger[数量],tbl_ledger[localId],$C368,tbl_ledger[イベント種類],"余剰化",tbl_ledger[元状態],M$304),
_xlpm.払出,SUMIFS(tbl_ledger[数量],tbl_ledger[localId],$C368,tbl_ledger[ロットID],"=",tbl_ledger[元状態],M$304),
_xlpm.受入+_xlpm.余剰化受入-_xlpm.払出))</f>
        <v/>
      </c>
      <c r="N368" s="8" t="str">
        <f t="shared" si="13"/>
        <v/>
      </c>
    </row>
    <row r="369" spans="1:14" ht="15" customHeight="1" x14ac:dyDescent="0.25">
      <c r="A369" s="4" t="str">
        <f t="shared" ref="A369:A404" si="14">IF($C369="","","未割当")</f>
        <v/>
      </c>
      <c r="B369" s="4"/>
      <c r="C369" s="4" t="str">
        <f>IFERROR(INDEX(tbl_master[localId],ROW()-304),"")</f>
        <v/>
      </c>
      <c r="D369" s="8" t="str">
        <f>IF($C369="","",_xlfn.LET(
_xlpm.搬入計,SUMIFS(tbl_ledger[数量],tbl_ledger[localId],$C369,tbl_ledger[イベント種類],"搬入"),
_xlpm.割当計,SUMIF(V_充足確認!$B$2:$B$301,$C369,V_充足確認!$F$2:$F$301),
_xlpm.余剰化受入,SUMIFS(tbl_ledger[数量],tbl_ledger[localId],$C369,tbl_ledger[イベント種類],"余剰化",tbl_ledger[元状態],D$304),
_xlpm.払出,SUMIFS(tbl_ledger[数量],tbl_ledger[localId],$C369,tbl_ledger[ロットID],"=",tbl_ledger[元状態],D$304),
_xlpm.搬入計-_xlpm.割当計+_xlpm.余剰化受入-_xlpm.払出))</f>
        <v/>
      </c>
      <c r="E369" s="8" t="str">
        <f>IF($C369="","",_xlfn.LET(
_xlpm.受入,SUMIFS(tbl_ledger[数量],tbl_ledger[localId],$C369,tbl_ledger[イベント種類],"アニール開始",tbl_ledger[ロットID],"="),
_xlpm.余剰化受入,SUMIFS(tbl_ledger[数量],tbl_ledger[localId],$C369,tbl_ledger[イベント種類],"余剰化",tbl_ledger[元状態],E$304),
_xlpm.払出,SUMIFS(tbl_ledger[数量],tbl_ledger[localId],$C369,tbl_ledger[ロットID],"=",tbl_ledger[元状態],E$304),
_xlpm.受入+_xlpm.余剰化受入-_xlpm.払出))</f>
        <v/>
      </c>
      <c r="F369" s="8" t="str">
        <f>IF($C369="","",_xlfn.LET(
_xlpm.受入,SUMIFS(tbl_ledger[数量],tbl_ledger[localId],$C369,tbl_ledger[イベント種類],"アニール完了",tbl_ledger[ロットID],"="),
_xlpm.余剰化受入,SUMIFS(tbl_ledger[数量],tbl_ledger[localId],$C369,tbl_ledger[イベント種類],"余剰化",tbl_ledger[元状態],F$304),
_xlpm.払出,SUMIFS(tbl_ledger[数量],tbl_ledger[localId],$C369,tbl_ledger[ロットID],"=",tbl_ledger[元状態],F$304),
_xlpm.受入+_xlpm.余剰化受入-_xlpm.払出))</f>
        <v/>
      </c>
      <c r="G369" s="8" t="str">
        <f>IF($C369="","",_xlfn.LET(
_xlpm.受入,SUMIFS(tbl_ledger[数量],tbl_ledger[localId],$C369,tbl_ledger[イベント種類],"アセンブリ開始",tbl_ledger[ロットID],"="),
_xlpm.余剰化受入,SUMIFS(tbl_ledger[数量],tbl_ledger[localId],$C369,tbl_ledger[イベント種類],"余剰化",tbl_ledger[元状態],G$304),
_xlpm.払出,SUMIFS(tbl_ledger[数量],tbl_ledger[localId],$C369,tbl_ledger[ロットID],"=",tbl_ledger[元状態],G$304),
_xlpm.受入+_xlpm.余剰化受入-_xlpm.払出))</f>
        <v/>
      </c>
      <c r="H369" s="8" t="str">
        <f>IF($C369="","",_xlfn.LET(
_xlpm.受入,SUMIFS(tbl_ledger[数量],tbl_ledger[localId],$C369,tbl_ledger[イベント種類],"アセンブリ完了",tbl_ledger[ロットID],"="),
_xlpm.余剰化受入,SUMIFS(tbl_ledger[数量],tbl_ledger[localId],$C369,tbl_ledger[イベント種類],"余剰化",tbl_ledger[元状態],H$304),
_xlpm.払出,SUMIFS(tbl_ledger[数量],tbl_ledger[localId],$C369,tbl_ledger[ロットID],"=",tbl_ledger[元状態],H$304),
_xlpm.受入+_xlpm.余剰化受入-_xlpm.払出))</f>
        <v/>
      </c>
      <c r="I369" s="8" t="str">
        <f>IF($C369="","",_xlfn.LET(
_xlpm.受入,SUMIFS(tbl_ledger[数量],tbl_ledger[localId],$C369,tbl_ledger[イベント種類],"梱包開始",tbl_ledger[ロットID],"="),
_xlpm.余剰化受入,SUMIFS(tbl_ledger[数量],tbl_ledger[localId],$C369,tbl_ledger[イベント種類],"余剰化",tbl_ledger[元状態],I$304),
_xlpm.払出,SUMIFS(tbl_ledger[数量],tbl_ledger[localId],$C369,tbl_ledger[ロットID],"=",tbl_ledger[元状態],I$304),
_xlpm.受入+_xlpm.余剰化受入-_xlpm.払出))</f>
        <v/>
      </c>
      <c r="J369" s="8" t="str">
        <f>IF($C369="","",_xlfn.LET(
_xlpm.受入,SUMIFS(tbl_ledger[数量],tbl_ledger[localId],$C369,tbl_ledger[イベント種類],"梱包完了",tbl_ledger[ロットID],"="),
_xlpm.余剰化受入,SUMIFS(tbl_ledger[数量],tbl_ledger[localId],$C369,tbl_ledger[イベント種類],"余剰化",tbl_ledger[元状態],J$304),
_xlpm.払出,SUMIFS(tbl_ledger[数量],tbl_ledger[localId],$C369,tbl_ledger[ロットID],"=",tbl_ledger[元状態],J$304),
_xlpm.受入+_xlpm.余剰化受入-_xlpm.払出))</f>
        <v/>
      </c>
      <c r="K369" s="8" t="str">
        <f>IF($C369="","",_xlfn.LET(
_xlpm.受入,SUMIFS(tbl_ledger[数量],tbl_ledger[localId],$C369,tbl_ledger[イベント種類],"発送準備開始",tbl_ledger[ロットID],"="),
_xlpm.余剰化受入,SUMIFS(tbl_ledger[数量],tbl_ledger[localId],$C369,tbl_ledger[イベント種類],"余剰化",tbl_ledger[元状態],K$304),
_xlpm.払出,SUMIFS(tbl_ledger[数量],tbl_ledger[localId],$C369,tbl_ledger[ロットID],"=",tbl_ledger[元状態],K$304),
_xlpm.受入+_xlpm.余剰化受入-_xlpm.払出))</f>
        <v/>
      </c>
      <c r="L369" s="8" t="str">
        <f>IF($C369="","",_xlfn.LET(
_xlpm.受入,SUMIFS(tbl_ledger[数量],tbl_ledger[localId],$C369,tbl_ledger[イベント種類],"発送準備完了",tbl_ledger[ロットID],"="),
_xlpm.余剰化受入,SUMIFS(tbl_ledger[数量],tbl_ledger[localId],$C369,tbl_ledger[イベント種類],"余剰化",tbl_ledger[元状態],L$304),
_xlpm.払出,SUMIFS(tbl_ledger[数量],tbl_ledger[localId],$C369,tbl_ledger[ロットID],"=",tbl_ledger[元状態],L$304),
_xlpm.受入+_xlpm.余剰化受入-_xlpm.払出))</f>
        <v/>
      </c>
      <c r="M369" s="8" t="str">
        <f>IF($C369="","",_xlfn.LET(
_xlpm.受入,SUMIFS(tbl_ledger[数量],tbl_ledger[localId],$C369,tbl_ledger[イベント種類],"不良発生",tbl_ledger[ロットID],"="),
_xlpm.余剰化受入,SUMIFS(tbl_ledger[数量],tbl_ledger[localId],$C369,tbl_ledger[イベント種類],"余剰化",tbl_ledger[元状態],M$304),
_xlpm.払出,SUMIFS(tbl_ledger[数量],tbl_ledger[localId],$C369,tbl_ledger[ロットID],"=",tbl_ledger[元状態],M$304),
_xlpm.受入+_xlpm.余剰化受入-_xlpm.払出))</f>
        <v/>
      </c>
      <c r="N369" s="8" t="str">
        <f t="shared" ref="N369:N400" si="15">IF($C369="","",SUM(D369:M369))</f>
        <v/>
      </c>
    </row>
    <row r="370" spans="1:14" ht="15" customHeight="1" x14ac:dyDescent="0.25">
      <c r="A370" s="4" t="str">
        <f t="shared" si="14"/>
        <v/>
      </c>
      <c r="B370" s="4"/>
      <c r="C370" s="4" t="str">
        <f>IFERROR(INDEX(tbl_master[localId],ROW()-304),"")</f>
        <v/>
      </c>
      <c r="D370" s="8" t="str">
        <f>IF($C370="","",_xlfn.LET(
_xlpm.搬入計,SUMIFS(tbl_ledger[数量],tbl_ledger[localId],$C370,tbl_ledger[イベント種類],"搬入"),
_xlpm.割当計,SUMIF(V_充足確認!$B$2:$B$301,$C370,V_充足確認!$F$2:$F$301),
_xlpm.余剰化受入,SUMIFS(tbl_ledger[数量],tbl_ledger[localId],$C370,tbl_ledger[イベント種類],"余剰化",tbl_ledger[元状態],D$304),
_xlpm.払出,SUMIFS(tbl_ledger[数量],tbl_ledger[localId],$C370,tbl_ledger[ロットID],"=",tbl_ledger[元状態],D$304),
_xlpm.搬入計-_xlpm.割当計+_xlpm.余剰化受入-_xlpm.払出))</f>
        <v/>
      </c>
      <c r="E370" s="8" t="str">
        <f>IF($C370="","",_xlfn.LET(
_xlpm.受入,SUMIFS(tbl_ledger[数量],tbl_ledger[localId],$C370,tbl_ledger[イベント種類],"アニール開始",tbl_ledger[ロットID],"="),
_xlpm.余剰化受入,SUMIFS(tbl_ledger[数量],tbl_ledger[localId],$C370,tbl_ledger[イベント種類],"余剰化",tbl_ledger[元状態],E$304),
_xlpm.払出,SUMIFS(tbl_ledger[数量],tbl_ledger[localId],$C370,tbl_ledger[ロットID],"=",tbl_ledger[元状態],E$304),
_xlpm.受入+_xlpm.余剰化受入-_xlpm.払出))</f>
        <v/>
      </c>
      <c r="F370" s="8" t="str">
        <f>IF($C370="","",_xlfn.LET(
_xlpm.受入,SUMIFS(tbl_ledger[数量],tbl_ledger[localId],$C370,tbl_ledger[イベント種類],"アニール完了",tbl_ledger[ロットID],"="),
_xlpm.余剰化受入,SUMIFS(tbl_ledger[数量],tbl_ledger[localId],$C370,tbl_ledger[イベント種類],"余剰化",tbl_ledger[元状態],F$304),
_xlpm.払出,SUMIFS(tbl_ledger[数量],tbl_ledger[localId],$C370,tbl_ledger[ロットID],"=",tbl_ledger[元状態],F$304),
_xlpm.受入+_xlpm.余剰化受入-_xlpm.払出))</f>
        <v/>
      </c>
      <c r="G370" s="8" t="str">
        <f>IF($C370="","",_xlfn.LET(
_xlpm.受入,SUMIFS(tbl_ledger[数量],tbl_ledger[localId],$C370,tbl_ledger[イベント種類],"アセンブリ開始",tbl_ledger[ロットID],"="),
_xlpm.余剰化受入,SUMIFS(tbl_ledger[数量],tbl_ledger[localId],$C370,tbl_ledger[イベント種類],"余剰化",tbl_ledger[元状態],G$304),
_xlpm.払出,SUMIFS(tbl_ledger[数量],tbl_ledger[localId],$C370,tbl_ledger[ロットID],"=",tbl_ledger[元状態],G$304),
_xlpm.受入+_xlpm.余剰化受入-_xlpm.払出))</f>
        <v/>
      </c>
      <c r="H370" s="8" t="str">
        <f>IF($C370="","",_xlfn.LET(
_xlpm.受入,SUMIFS(tbl_ledger[数量],tbl_ledger[localId],$C370,tbl_ledger[イベント種類],"アセンブリ完了",tbl_ledger[ロットID],"="),
_xlpm.余剰化受入,SUMIFS(tbl_ledger[数量],tbl_ledger[localId],$C370,tbl_ledger[イベント種類],"余剰化",tbl_ledger[元状態],H$304),
_xlpm.払出,SUMIFS(tbl_ledger[数量],tbl_ledger[localId],$C370,tbl_ledger[ロットID],"=",tbl_ledger[元状態],H$304),
_xlpm.受入+_xlpm.余剰化受入-_xlpm.払出))</f>
        <v/>
      </c>
      <c r="I370" s="8" t="str">
        <f>IF($C370="","",_xlfn.LET(
_xlpm.受入,SUMIFS(tbl_ledger[数量],tbl_ledger[localId],$C370,tbl_ledger[イベント種類],"梱包開始",tbl_ledger[ロットID],"="),
_xlpm.余剰化受入,SUMIFS(tbl_ledger[数量],tbl_ledger[localId],$C370,tbl_ledger[イベント種類],"余剰化",tbl_ledger[元状態],I$304),
_xlpm.払出,SUMIFS(tbl_ledger[数量],tbl_ledger[localId],$C370,tbl_ledger[ロットID],"=",tbl_ledger[元状態],I$304),
_xlpm.受入+_xlpm.余剰化受入-_xlpm.払出))</f>
        <v/>
      </c>
      <c r="J370" s="8" t="str">
        <f>IF($C370="","",_xlfn.LET(
_xlpm.受入,SUMIFS(tbl_ledger[数量],tbl_ledger[localId],$C370,tbl_ledger[イベント種類],"梱包完了",tbl_ledger[ロットID],"="),
_xlpm.余剰化受入,SUMIFS(tbl_ledger[数量],tbl_ledger[localId],$C370,tbl_ledger[イベント種類],"余剰化",tbl_ledger[元状態],J$304),
_xlpm.払出,SUMIFS(tbl_ledger[数量],tbl_ledger[localId],$C370,tbl_ledger[ロットID],"=",tbl_ledger[元状態],J$304),
_xlpm.受入+_xlpm.余剰化受入-_xlpm.払出))</f>
        <v/>
      </c>
      <c r="K370" s="8" t="str">
        <f>IF($C370="","",_xlfn.LET(
_xlpm.受入,SUMIFS(tbl_ledger[数量],tbl_ledger[localId],$C370,tbl_ledger[イベント種類],"発送準備開始",tbl_ledger[ロットID],"="),
_xlpm.余剰化受入,SUMIFS(tbl_ledger[数量],tbl_ledger[localId],$C370,tbl_ledger[イベント種類],"余剰化",tbl_ledger[元状態],K$304),
_xlpm.払出,SUMIFS(tbl_ledger[数量],tbl_ledger[localId],$C370,tbl_ledger[ロットID],"=",tbl_ledger[元状態],K$304),
_xlpm.受入+_xlpm.余剰化受入-_xlpm.払出))</f>
        <v/>
      </c>
      <c r="L370" s="8" t="str">
        <f>IF($C370="","",_xlfn.LET(
_xlpm.受入,SUMIFS(tbl_ledger[数量],tbl_ledger[localId],$C370,tbl_ledger[イベント種類],"発送準備完了",tbl_ledger[ロットID],"="),
_xlpm.余剰化受入,SUMIFS(tbl_ledger[数量],tbl_ledger[localId],$C370,tbl_ledger[イベント種類],"余剰化",tbl_ledger[元状態],L$304),
_xlpm.払出,SUMIFS(tbl_ledger[数量],tbl_ledger[localId],$C370,tbl_ledger[ロットID],"=",tbl_ledger[元状態],L$304),
_xlpm.受入+_xlpm.余剰化受入-_xlpm.払出))</f>
        <v/>
      </c>
      <c r="M370" s="8" t="str">
        <f>IF($C370="","",_xlfn.LET(
_xlpm.受入,SUMIFS(tbl_ledger[数量],tbl_ledger[localId],$C370,tbl_ledger[イベント種類],"不良発生",tbl_ledger[ロットID],"="),
_xlpm.余剰化受入,SUMIFS(tbl_ledger[数量],tbl_ledger[localId],$C370,tbl_ledger[イベント種類],"余剰化",tbl_ledger[元状態],M$304),
_xlpm.払出,SUMIFS(tbl_ledger[数量],tbl_ledger[localId],$C370,tbl_ledger[ロットID],"=",tbl_ledger[元状態],M$304),
_xlpm.受入+_xlpm.余剰化受入-_xlpm.払出))</f>
        <v/>
      </c>
      <c r="N370" s="8" t="str">
        <f t="shared" si="15"/>
        <v/>
      </c>
    </row>
    <row r="371" spans="1:14" ht="15" customHeight="1" x14ac:dyDescent="0.25">
      <c r="A371" s="4" t="str">
        <f t="shared" si="14"/>
        <v/>
      </c>
      <c r="B371" s="4"/>
      <c r="C371" s="4" t="str">
        <f>IFERROR(INDEX(tbl_master[localId],ROW()-304),"")</f>
        <v/>
      </c>
      <c r="D371" s="8" t="str">
        <f>IF($C371="","",_xlfn.LET(
_xlpm.搬入計,SUMIFS(tbl_ledger[数量],tbl_ledger[localId],$C371,tbl_ledger[イベント種類],"搬入"),
_xlpm.割当計,SUMIF(V_充足確認!$B$2:$B$301,$C371,V_充足確認!$F$2:$F$301),
_xlpm.余剰化受入,SUMIFS(tbl_ledger[数量],tbl_ledger[localId],$C371,tbl_ledger[イベント種類],"余剰化",tbl_ledger[元状態],D$304),
_xlpm.払出,SUMIFS(tbl_ledger[数量],tbl_ledger[localId],$C371,tbl_ledger[ロットID],"=",tbl_ledger[元状態],D$304),
_xlpm.搬入計-_xlpm.割当計+_xlpm.余剰化受入-_xlpm.払出))</f>
        <v/>
      </c>
      <c r="E371" s="8" t="str">
        <f>IF($C371="","",_xlfn.LET(
_xlpm.受入,SUMIFS(tbl_ledger[数量],tbl_ledger[localId],$C371,tbl_ledger[イベント種類],"アニール開始",tbl_ledger[ロットID],"="),
_xlpm.余剰化受入,SUMIFS(tbl_ledger[数量],tbl_ledger[localId],$C371,tbl_ledger[イベント種類],"余剰化",tbl_ledger[元状態],E$304),
_xlpm.払出,SUMIFS(tbl_ledger[数量],tbl_ledger[localId],$C371,tbl_ledger[ロットID],"=",tbl_ledger[元状態],E$304),
_xlpm.受入+_xlpm.余剰化受入-_xlpm.払出))</f>
        <v/>
      </c>
      <c r="F371" s="8" t="str">
        <f>IF($C371="","",_xlfn.LET(
_xlpm.受入,SUMIFS(tbl_ledger[数量],tbl_ledger[localId],$C371,tbl_ledger[イベント種類],"アニール完了",tbl_ledger[ロットID],"="),
_xlpm.余剰化受入,SUMIFS(tbl_ledger[数量],tbl_ledger[localId],$C371,tbl_ledger[イベント種類],"余剰化",tbl_ledger[元状態],F$304),
_xlpm.払出,SUMIFS(tbl_ledger[数量],tbl_ledger[localId],$C371,tbl_ledger[ロットID],"=",tbl_ledger[元状態],F$304),
_xlpm.受入+_xlpm.余剰化受入-_xlpm.払出))</f>
        <v/>
      </c>
      <c r="G371" s="8" t="str">
        <f>IF($C371="","",_xlfn.LET(
_xlpm.受入,SUMIFS(tbl_ledger[数量],tbl_ledger[localId],$C371,tbl_ledger[イベント種類],"アセンブリ開始",tbl_ledger[ロットID],"="),
_xlpm.余剰化受入,SUMIFS(tbl_ledger[数量],tbl_ledger[localId],$C371,tbl_ledger[イベント種類],"余剰化",tbl_ledger[元状態],G$304),
_xlpm.払出,SUMIFS(tbl_ledger[数量],tbl_ledger[localId],$C371,tbl_ledger[ロットID],"=",tbl_ledger[元状態],G$304),
_xlpm.受入+_xlpm.余剰化受入-_xlpm.払出))</f>
        <v/>
      </c>
      <c r="H371" s="8" t="str">
        <f>IF($C371="","",_xlfn.LET(
_xlpm.受入,SUMIFS(tbl_ledger[数量],tbl_ledger[localId],$C371,tbl_ledger[イベント種類],"アセンブリ完了",tbl_ledger[ロットID],"="),
_xlpm.余剰化受入,SUMIFS(tbl_ledger[数量],tbl_ledger[localId],$C371,tbl_ledger[イベント種類],"余剰化",tbl_ledger[元状態],H$304),
_xlpm.払出,SUMIFS(tbl_ledger[数量],tbl_ledger[localId],$C371,tbl_ledger[ロットID],"=",tbl_ledger[元状態],H$304),
_xlpm.受入+_xlpm.余剰化受入-_xlpm.払出))</f>
        <v/>
      </c>
      <c r="I371" s="8" t="str">
        <f>IF($C371="","",_xlfn.LET(
_xlpm.受入,SUMIFS(tbl_ledger[数量],tbl_ledger[localId],$C371,tbl_ledger[イベント種類],"梱包開始",tbl_ledger[ロットID],"="),
_xlpm.余剰化受入,SUMIFS(tbl_ledger[数量],tbl_ledger[localId],$C371,tbl_ledger[イベント種類],"余剰化",tbl_ledger[元状態],I$304),
_xlpm.払出,SUMIFS(tbl_ledger[数量],tbl_ledger[localId],$C371,tbl_ledger[ロットID],"=",tbl_ledger[元状態],I$304),
_xlpm.受入+_xlpm.余剰化受入-_xlpm.払出))</f>
        <v/>
      </c>
      <c r="J371" s="8" t="str">
        <f>IF($C371="","",_xlfn.LET(
_xlpm.受入,SUMIFS(tbl_ledger[数量],tbl_ledger[localId],$C371,tbl_ledger[イベント種類],"梱包完了",tbl_ledger[ロットID],"="),
_xlpm.余剰化受入,SUMIFS(tbl_ledger[数量],tbl_ledger[localId],$C371,tbl_ledger[イベント種類],"余剰化",tbl_ledger[元状態],J$304),
_xlpm.払出,SUMIFS(tbl_ledger[数量],tbl_ledger[localId],$C371,tbl_ledger[ロットID],"=",tbl_ledger[元状態],J$304),
_xlpm.受入+_xlpm.余剰化受入-_xlpm.払出))</f>
        <v/>
      </c>
      <c r="K371" s="8" t="str">
        <f>IF($C371="","",_xlfn.LET(
_xlpm.受入,SUMIFS(tbl_ledger[数量],tbl_ledger[localId],$C371,tbl_ledger[イベント種類],"発送準備開始",tbl_ledger[ロットID],"="),
_xlpm.余剰化受入,SUMIFS(tbl_ledger[数量],tbl_ledger[localId],$C371,tbl_ledger[イベント種類],"余剰化",tbl_ledger[元状態],K$304),
_xlpm.払出,SUMIFS(tbl_ledger[数量],tbl_ledger[localId],$C371,tbl_ledger[ロットID],"=",tbl_ledger[元状態],K$304),
_xlpm.受入+_xlpm.余剰化受入-_xlpm.払出))</f>
        <v/>
      </c>
      <c r="L371" s="8" t="str">
        <f>IF($C371="","",_xlfn.LET(
_xlpm.受入,SUMIFS(tbl_ledger[数量],tbl_ledger[localId],$C371,tbl_ledger[イベント種類],"発送準備完了",tbl_ledger[ロットID],"="),
_xlpm.余剰化受入,SUMIFS(tbl_ledger[数量],tbl_ledger[localId],$C371,tbl_ledger[イベント種類],"余剰化",tbl_ledger[元状態],L$304),
_xlpm.払出,SUMIFS(tbl_ledger[数量],tbl_ledger[localId],$C371,tbl_ledger[ロットID],"=",tbl_ledger[元状態],L$304),
_xlpm.受入+_xlpm.余剰化受入-_xlpm.払出))</f>
        <v/>
      </c>
      <c r="M371" s="8" t="str">
        <f>IF($C371="","",_xlfn.LET(
_xlpm.受入,SUMIFS(tbl_ledger[数量],tbl_ledger[localId],$C371,tbl_ledger[イベント種類],"不良発生",tbl_ledger[ロットID],"="),
_xlpm.余剰化受入,SUMIFS(tbl_ledger[数量],tbl_ledger[localId],$C371,tbl_ledger[イベント種類],"余剰化",tbl_ledger[元状態],M$304),
_xlpm.払出,SUMIFS(tbl_ledger[数量],tbl_ledger[localId],$C371,tbl_ledger[ロットID],"=",tbl_ledger[元状態],M$304),
_xlpm.受入+_xlpm.余剰化受入-_xlpm.払出))</f>
        <v/>
      </c>
      <c r="N371" s="8" t="str">
        <f t="shared" si="15"/>
        <v/>
      </c>
    </row>
    <row r="372" spans="1:14" ht="15" customHeight="1" x14ac:dyDescent="0.25">
      <c r="A372" s="4" t="str">
        <f t="shared" si="14"/>
        <v/>
      </c>
      <c r="B372" s="4"/>
      <c r="C372" s="4" t="str">
        <f>IFERROR(INDEX(tbl_master[localId],ROW()-304),"")</f>
        <v/>
      </c>
      <c r="D372" s="8" t="str">
        <f>IF($C372="","",_xlfn.LET(
_xlpm.搬入計,SUMIFS(tbl_ledger[数量],tbl_ledger[localId],$C372,tbl_ledger[イベント種類],"搬入"),
_xlpm.割当計,SUMIF(V_充足確認!$B$2:$B$301,$C372,V_充足確認!$F$2:$F$301),
_xlpm.余剰化受入,SUMIFS(tbl_ledger[数量],tbl_ledger[localId],$C372,tbl_ledger[イベント種類],"余剰化",tbl_ledger[元状態],D$304),
_xlpm.払出,SUMIFS(tbl_ledger[数量],tbl_ledger[localId],$C372,tbl_ledger[ロットID],"=",tbl_ledger[元状態],D$304),
_xlpm.搬入計-_xlpm.割当計+_xlpm.余剰化受入-_xlpm.払出))</f>
        <v/>
      </c>
      <c r="E372" s="8" t="str">
        <f>IF($C372="","",_xlfn.LET(
_xlpm.受入,SUMIFS(tbl_ledger[数量],tbl_ledger[localId],$C372,tbl_ledger[イベント種類],"アニール開始",tbl_ledger[ロットID],"="),
_xlpm.余剰化受入,SUMIFS(tbl_ledger[数量],tbl_ledger[localId],$C372,tbl_ledger[イベント種類],"余剰化",tbl_ledger[元状態],E$304),
_xlpm.払出,SUMIFS(tbl_ledger[数量],tbl_ledger[localId],$C372,tbl_ledger[ロットID],"=",tbl_ledger[元状態],E$304),
_xlpm.受入+_xlpm.余剰化受入-_xlpm.払出))</f>
        <v/>
      </c>
      <c r="F372" s="8" t="str">
        <f>IF($C372="","",_xlfn.LET(
_xlpm.受入,SUMIFS(tbl_ledger[数量],tbl_ledger[localId],$C372,tbl_ledger[イベント種類],"アニール完了",tbl_ledger[ロットID],"="),
_xlpm.余剰化受入,SUMIFS(tbl_ledger[数量],tbl_ledger[localId],$C372,tbl_ledger[イベント種類],"余剰化",tbl_ledger[元状態],F$304),
_xlpm.払出,SUMIFS(tbl_ledger[数量],tbl_ledger[localId],$C372,tbl_ledger[ロットID],"=",tbl_ledger[元状態],F$304),
_xlpm.受入+_xlpm.余剰化受入-_xlpm.払出))</f>
        <v/>
      </c>
      <c r="G372" s="8" t="str">
        <f>IF($C372="","",_xlfn.LET(
_xlpm.受入,SUMIFS(tbl_ledger[数量],tbl_ledger[localId],$C372,tbl_ledger[イベント種類],"アセンブリ開始",tbl_ledger[ロットID],"="),
_xlpm.余剰化受入,SUMIFS(tbl_ledger[数量],tbl_ledger[localId],$C372,tbl_ledger[イベント種類],"余剰化",tbl_ledger[元状態],G$304),
_xlpm.払出,SUMIFS(tbl_ledger[数量],tbl_ledger[localId],$C372,tbl_ledger[ロットID],"=",tbl_ledger[元状態],G$304),
_xlpm.受入+_xlpm.余剰化受入-_xlpm.払出))</f>
        <v/>
      </c>
      <c r="H372" s="8" t="str">
        <f>IF($C372="","",_xlfn.LET(
_xlpm.受入,SUMIFS(tbl_ledger[数量],tbl_ledger[localId],$C372,tbl_ledger[イベント種類],"アセンブリ完了",tbl_ledger[ロットID],"="),
_xlpm.余剰化受入,SUMIFS(tbl_ledger[数量],tbl_ledger[localId],$C372,tbl_ledger[イベント種類],"余剰化",tbl_ledger[元状態],H$304),
_xlpm.払出,SUMIFS(tbl_ledger[数量],tbl_ledger[localId],$C372,tbl_ledger[ロットID],"=",tbl_ledger[元状態],H$304),
_xlpm.受入+_xlpm.余剰化受入-_xlpm.払出))</f>
        <v/>
      </c>
      <c r="I372" s="8" t="str">
        <f>IF($C372="","",_xlfn.LET(
_xlpm.受入,SUMIFS(tbl_ledger[数量],tbl_ledger[localId],$C372,tbl_ledger[イベント種類],"梱包開始",tbl_ledger[ロットID],"="),
_xlpm.余剰化受入,SUMIFS(tbl_ledger[数量],tbl_ledger[localId],$C372,tbl_ledger[イベント種類],"余剰化",tbl_ledger[元状態],I$304),
_xlpm.払出,SUMIFS(tbl_ledger[数量],tbl_ledger[localId],$C372,tbl_ledger[ロットID],"=",tbl_ledger[元状態],I$304),
_xlpm.受入+_xlpm.余剰化受入-_xlpm.払出))</f>
        <v/>
      </c>
      <c r="J372" s="8" t="str">
        <f>IF($C372="","",_xlfn.LET(
_xlpm.受入,SUMIFS(tbl_ledger[数量],tbl_ledger[localId],$C372,tbl_ledger[イベント種類],"梱包完了",tbl_ledger[ロットID],"="),
_xlpm.余剰化受入,SUMIFS(tbl_ledger[数量],tbl_ledger[localId],$C372,tbl_ledger[イベント種類],"余剰化",tbl_ledger[元状態],J$304),
_xlpm.払出,SUMIFS(tbl_ledger[数量],tbl_ledger[localId],$C372,tbl_ledger[ロットID],"=",tbl_ledger[元状態],J$304),
_xlpm.受入+_xlpm.余剰化受入-_xlpm.払出))</f>
        <v/>
      </c>
      <c r="K372" s="8" t="str">
        <f>IF($C372="","",_xlfn.LET(
_xlpm.受入,SUMIFS(tbl_ledger[数量],tbl_ledger[localId],$C372,tbl_ledger[イベント種類],"発送準備開始",tbl_ledger[ロットID],"="),
_xlpm.余剰化受入,SUMIFS(tbl_ledger[数量],tbl_ledger[localId],$C372,tbl_ledger[イベント種類],"余剰化",tbl_ledger[元状態],K$304),
_xlpm.払出,SUMIFS(tbl_ledger[数量],tbl_ledger[localId],$C372,tbl_ledger[ロットID],"=",tbl_ledger[元状態],K$304),
_xlpm.受入+_xlpm.余剰化受入-_xlpm.払出))</f>
        <v/>
      </c>
      <c r="L372" s="8" t="str">
        <f>IF($C372="","",_xlfn.LET(
_xlpm.受入,SUMIFS(tbl_ledger[数量],tbl_ledger[localId],$C372,tbl_ledger[イベント種類],"発送準備完了",tbl_ledger[ロットID],"="),
_xlpm.余剰化受入,SUMIFS(tbl_ledger[数量],tbl_ledger[localId],$C372,tbl_ledger[イベント種類],"余剰化",tbl_ledger[元状態],L$304),
_xlpm.払出,SUMIFS(tbl_ledger[数量],tbl_ledger[localId],$C372,tbl_ledger[ロットID],"=",tbl_ledger[元状態],L$304),
_xlpm.受入+_xlpm.余剰化受入-_xlpm.払出))</f>
        <v/>
      </c>
      <c r="M372" s="8" t="str">
        <f>IF($C372="","",_xlfn.LET(
_xlpm.受入,SUMIFS(tbl_ledger[数量],tbl_ledger[localId],$C372,tbl_ledger[イベント種類],"不良発生",tbl_ledger[ロットID],"="),
_xlpm.余剰化受入,SUMIFS(tbl_ledger[数量],tbl_ledger[localId],$C372,tbl_ledger[イベント種類],"余剰化",tbl_ledger[元状態],M$304),
_xlpm.払出,SUMIFS(tbl_ledger[数量],tbl_ledger[localId],$C372,tbl_ledger[ロットID],"=",tbl_ledger[元状態],M$304),
_xlpm.受入+_xlpm.余剰化受入-_xlpm.払出))</f>
        <v/>
      </c>
      <c r="N372" s="8" t="str">
        <f t="shared" si="15"/>
        <v/>
      </c>
    </row>
    <row r="373" spans="1:14" ht="15" customHeight="1" x14ac:dyDescent="0.25">
      <c r="A373" s="4" t="str">
        <f t="shared" si="14"/>
        <v/>
      </c>
      <c r="B373" s="4"/>
      <c r="C373" s="4" t="str">
        <f>IFERROR(INDEX(tbl_master[localId],ROW()-304),"")</f>
        <v/>
      </c>
      <c r="D373" s="8" t="str">
        <f>IF($C373="","",_xlfn.LET(
_xlpm.搬入計,SUMIFS(tbl_ledger[数量],tbl_ledger[localId],$C373,tbl_ledger[イベント種類],"搬入"),
_xlpm.割当計,SUMIF(V_充足確認!$B$2:$B$301,$C373,V_充足確認!$F$2:$F$301),
_xlpm.余剰化受入,SUMIFS(tbl_ledger[数量],tbl_ledger[localId],$C373,tbl_ledger[イベント種類],"余剰化",tbl_ledger[元状態],D$304),
_xlpm.払出,SUMIFS(tbl_ledger[数量],tbl_ledger[localId],$C373,tbl_ledger[ロットID],"=",tbl_ledger[元状態],D$304),
_xlpm.搬入計-_xlpm.割当計+_xlpm.余剰化受入-_xlpm.払出))</f>
        <v/>
      </c>
      <c r="E373" s="8" t="str">
        <f>IF($C373="","",_xlfn.LET(
_xlpm.受入,SUMIFS(tbl_ledger[数量],tbl_ledger[localId],$C373,tbl_ledger[イベント種類],"アニール開始",tbl_ledger[ロットID],"="),
_xlpm.余剰化受入,SUMIFS(tbl_ledger[数量],tbl_ledger[localId],$C373,tbl_ledger[イベント種類],"余剰化",tbl_ledger[元状態],E$304),
_xlpm.払出,SUMIFS(tbl_ledger[数量],tbl_ledger[localId],$C373,tbl_ledger[ロットID],"=",tbl_ledger[元状態],E$304),
_xlpm.受入+_xlpm.余剰化受入-_xlpm.払出))</f>
        <v/>
      </c>
      <c r="F373" s="8" t="str">
        <f>IF($C373="","",_xlfn.LET(
_xlpm.受入,SUMIFS(tbl_ledger[数量],tbl_ledger[localId],$C373,tbl_ledger[イベント種類],"アニール完了",tbl_ledger[ロットID],"="),
_xlpm.余剰化受入,SUMIFS(tbl_ledger[数量],tbl_ledger[localId],$C373,tbl_ledger[イベント種類],"余剰化",tbl_ledger[元状態],F$304),
_xlpm.払出,SUMIFS(tbl_ledger[数量],tbl_ledger[localId],$C373,tbl_ledger[ロットID],"=",tbl_ledger[元状態],F$304),
_xlpm.受入+_xlpm.余剰化受入-_xlpm.払出))</f>
        <v/>
      </c>
      <c r="G373" s="8" t="str">
        <f>IF($C373="","",_xlfn.LET(
_xlpm.受入,SUMIFS(tbl_ledger[数量],tbl_ledger[localId],$C373,tbl_ledger[イベント種類],"アセンブリ開始",tbl_ledger[ロットID],"="),
_xlpm.余剰化受入,SUMIFS(tbl_ledger[数量],tbl_ledger[localId],$C373,tbl_ledger[イベント種類],"余剰化",tbl_ledger[元状態],G$304),
_xlpm.払出,SUMIFS(tbl_ledger[数量],tbl_ledger[localId],$C373,tbl_ledger[ロットID],"=",tbl_ledger[元状態],G$304),
_xlpm.受入+_xlpm.余剰化受入-_xlpm.払出))</f>
        <v/>
      </c>
      <c r="H373" s="8" t="str">
        <f>IF($C373="","",_xlfn.LET(
_xlpm.受入,SUMIFS(tbl_ledger[数量],tbl_ledger[localId],$C373,tbl_ledger[イベント種類],"アセンブリ完了",tbl_ledger[ロットID],"="),
_xlpm.余剰化受入,SUMIFS(tbl_ledger[数量],tbl_ledger[localId],$C373,tbl_ledger[イベント種類],"余剰化",tbl_ledger[元状態],H$304),
_xlpm.払出,SUMIFS(tbl_ledger[数量],tbl_ledger[localId],$C373,tbl_ledger[ロットID],"=",tbl_ledger[元状態],H$304),
_xlpm.受入+_xlpm.余剰化受入-_xlpm.払出))</f>
        <v/>
      </c>
      <c r="I373" s="8" t="str">
        <f>IF($C373="","",_xlfn.LET(
_xlpm.受入,SUMIFS(tbl_ledger[数量],tbl_ledger[localId],$C373,tbl_ledger[イベント種類],"梱包開始",tbl_ledger[ロットID],"="),
_xlpm.余剰化受入,SUMIFS(tbl_ledger[数量],tbl_ledger[localId],$C373,tbl_ledger[イベント種類],"余剰化",tbl_ledger[元状態],I$304),
_xlpm.払出,SUMIFS(tbl_ledger[数量],tbl_ledger[localId],$C373,tbl_ledger[ロットID],"=",tbl_ledger[元状態],I$304),
_xlpm.受入+_xlpm.余剰化受入-_xlpm.払出))</f>
        <v/>
      </c>
      <c r="J373" s="8" t="str">
        <f>IF($C373="","",_xlfn.LET(
_xlpm.受入,SUMIFS(tbl_ledger[数量],tbl_ledger[localId],$C373,tbl_ledger[イベント種類],"梱包完了",tbl_ledger[ロットID],"="),
_xlpm.余剰化受入,SUMIFS(tbl_ledger[数量],tbl_ledger[localId],$C373,tbl_ledger[イベント種類],"余剰化",tbl_ledger[元状態],J$304),
_xlpm.払出,SUMIFS(tbl_ledger[数量],tbl_ledger[localId],$C373,tbl_ledger[ロットID],"=",tbl_ledger[元状態],J$304),
_xlpm.受入+_xlpm.余剰化受入-_xlpm.払出))</f>
        <v/>
      </c>
      <c r="K373" s="8" t="str">
        <f>IF($C373="","",_xlfn.LET(
_xlpm.受入,SUMIFS(tbl_ledger[数量],tbl_ledger[localId],$C373,tbl_ledger[イベント種類],"発送準備開始",tbl_ledger[ロットID],"="),
_xlpm.余剰化受入,SUMIFS(tbl_ledger[数量],tbl_ledger[localId],$C373,tbl_ledger[イベント種類],"余剰化",tbl_ledger[元状態],K$304),
_xlpm.払出,SUMIFS(tbl_ledger[数量],tbl_ledger[localId],$C373,tbl_ledger[ロットID],"=",tbl_ledger[元状態],K$304),
_xlpm.受入+_xlpm.余剰化受入-_xlpm.払出))</f>
        <v/>
      </c>
      <c r="L373" s="8" t="str">
        <f>IF($C373="","",_xlfn.LET(
_xlpm.受入,SUMIFS(tbl_ledger[数量],tbl_ledger[localId],$C373,tbl_ledger[イベント種類],"発送準備完了",tbl_ledger[ロットID],"="),
_xlpm.余剰化受入,SUMIFS(tbl_ledger[数量],tbl_ledger[localId],$C373,tbl_ledger[イベント種類],"余剰化",tbl_ledger[元状態],L$304),
_xlpm.払出,SUMIFS(tbl_ledger[数量],tbl_ledger[localId],$C373,tbl_ledger[ロットID],"=",tbl_ledger[元状態],L$304),
_xlpm.受入+_xlpm.余剰化受入-_xlpm.払出))</f>
        <v/>
      </c>
      <c r="M373" s="8" t="str">
        <f>IF($C373="","",_xlfn.LET(
_xlpm.受入,SUMIFS(tbl_ledger[数量],tbl_ledger[localId],$C373,tbl_ledger[イベント種類],"不良発生",tbl_ledger[ロットID],"="),
_xlpm.余剰化受入,SUMIFS(tbl_ledger[数量],tbl_ledger[localId],$C373,tbl_ledger[イベント種類],"余剰化",tbl_ledger[元状態],M$304),
_xlpm.払出,SUMIFS(tbl_ledger[数量],tbl_ledger[localId],$C373,tbl_ledger[ロットID],"=",tbl_ledger[元状態],M$304),
_xlpm.受入+_xlpm.余剰化受入-_xlpm.払出))</f>
        <v/>
      </c>
      <c r="N373" s="8" t="str">
        <f t="shared" si="15"/>
        <v/>
      </c>
    </row>
    <row r="374" spans="1:14" ht="15" customHeight="1" x14ac:dyDescent="0.25">
      <c r="A374" s="4" t="str">
        <f t="shared" si="14"/>
        <v/>
      </c>
      <c r="B374" s="4"/>
      <c r="C374" s="4" t="str">
        <f>IFERROR(INDEX(tbl_master[localId],ROW()-304),"")</f>
        <v/>
      </c>
      <c r="D374" s="8" t="str">
        <f>IF($C374="","",_xlfn.LET(
_xlpm.搬入計,SUMIFS(tbl_ledger[数量],tbl_ledger[localId],$C374,tbl_ledger[イベント種類],"搬入"),
_xlpm.割当計,SUMIF(V_充足確認!$B$2:$B$301,$C374,V_充足確認!$F$2:$F$301),
_xlpm.余剰化受入,SUMIFS(tbl_ledger[数量],tbl_ledger[localId],$C374,tbl_ledger[イベント種類],"余剰化",tbl_ledger[元状態],D$304),
_xlpm.払出,SUMIFS(tbl_ledger[数量],tbl_ledger[localId],$C374,tbl_ledger[ロットID],"=",tbl_ledger[元状態],D$304),
_xlpm.搬入計-_xlpm.割当計+_xlpm.余剰化受入-_xlpm.払出))</f>
        <v/>
      </c>
      <c r="E374" s="8" t="str">
        <f>IF($C374="","",_xlfn.LET(
_xlpm.受入,SUMIFS(tbl_ledger[数量],tbl_ledger[localId],$C374,tbl_ledger[イベント種類],"アニール開始",tbl_ledger[ロットID],"="),
_xlpm.余剰化受入,SUMIFS(tbl_ledger[数量],tbl_ledger[localId],$C374,tbl_ledger[イベント種類],"余剰化",tbl_ledger[元状態],E$304),
_xlpm.払出,SUMIFS(tbl_ledger[数量],tbl_ledger[localId],$C374,tbl_ledger[ロットID],"=",tbl_ledger[元状態],E$304),
_xlpm.受入+_xlpm.余剰化受入-_xlpm.払出))</f>
        <v/>
      </c>
      <c r="F374" s="8" t="str">
        <f>IF($C374="","",_xlfn.LET(
_xlpm.受入,SUMIFS(tbl_ledger[数量],tbl_ledger[localId],$C374,tbl_ledger[イベント種類],"アニール完了",tbl_ledger[ロットID],"="),
_xlpm.余剰化受入,SUMIFS(tbl_ledger[数量],tbl_ledger[localId],$C374,tbl_ledger[イベント種類],"余剰化",tbl_ledger[元状態],F$304),
_xlpm.払出,SUMIFS(tbl_ledger[数量],tbl_ledger[localId],$C374,tbl_ledger[ロットID],"=",tbl_ledger[元状態],F$304),
_xlpm.受入+_xlpm.余剰化受入-_xlpm.払出))</f>
        <v/>
      </c>
      <c r="G374" s="8" t="str">
        <f>IF($C374="","",_xlfn.LET(
_xlpm.受入,SUMIFS(tbl_ledger[数量],tbl_ledger[localId],$C374,tbl_ledger[イベント種類],"アセンブリ開始",tbl_ledger[ロットID],"="),
_xlpm.余剰化受入,SUMIFS(tbl_ledger[数量],tbl_ledger[localId],$C374,tbl_ledger[イベント種類],"余剰化",tbl_ledger[元状態],G$304),
_xlpm.払出,SUMIFS(tbl_ledger[数量],tbl_ledger[localId],$C374,tbl_ledger[ロットID],"=",tbl_ledger[元状態],G$304),
_xlpm.受入+_xlpm.余剰化受入-_xlpm.払出))</f>
        <v/>
      </c>
      <c r="H374" s="8" t="str">
        <f>IF($C374="","",_xlfn.LET(
_xlpm.受入,SUMIFS(tbl_ledger[数量],tbl_ledger[localId],$C374,tbl_ledger[イベント種類],"アセンブリ完了",tbl_ledger[ロットID],"="),
_xlpm.余剰化受入,SUMIFS(tbl_ledger[数量],tbl_ledger[localId],$C374,tbl_ledger[イベント種類],"余剰化",tbl_ledger[元状態],H$304),
_xlpm.払出,SUMIFS(tbl_ledger[数量],tbl_ledger[localId],$C374,tbl_ledger[ロットID],"=",tbl_ledger[元状態],H$304),
_xlpm.受入+_xlpm.余剰化受入-_xlpm.払出))</f>
        <v/>
      </c>
      <c r="I374" s="8" t="str">
        <f>IF($C374="","",_xlfn.LET(
_xlpm.受入,SUMIFS(tbl_ledger[数量],tbl_ledger[localId],$C374,tbl_ledger[イベント種類],"梱包開始",tbl_ledger[ロットID],"="),
_xlpm.余剰化受入,SUMIFS(tbl_ledger[数量],tbl_ledger[localId],$C374,tbl_ledger[イベント種類],"余剰化",tbl_ledger[元状態],I$304),
_xlpm.払出,SUMIFS(tbl_ledger[数量],tbl_ledger[localId],$C374,tbl_ledger[ロットID],"=",tbl_ledger[元状態],I$304),
_xlpm.受入+_xlpm.余剰化受入-_xlpm.払出))</f>
        <v/>
      </c>
      <c r="J374" s="8" t="str">
        <f>IF($C374="","",_xlfn.LET(
_xlpm.受入,SUMIFS(tbl_ledger[数量],tbl_ledger[localId],$C374,tbl_ledger[イベント種類],"梱包完了",tbl_ledger[ロットID],"="),
_xlpm.余剰化受入,SUMIFS(tbl_ledger[数量],tbl_ledger[localId],$C374,tbl_ledger[イベント種類],"余剰化",tbl_ledger[元状態],J$304),
_xlpm.払出,SUMIFS(tbl_ledger[数量],tbl_ledger[localId],$C374,tbl_ledger[ロットID],"=",tbl_ledger[元状態],J$304),
_xlpm.受入+_xlpm.余剰化受入-_xlpm.払出))</f>
        <v/>
      </c>
      <c r="K374" s="8" t="str">
        <f>IF($C374="","",_xlfn.LET(
_xlpm.受入,SUMIFS(tbl_ledger[数量],tbl_ledger[localId],$C374,tbl_ledger[イベント種類],"発送準備開始",tbl_ledger[ロットID],"="),
_xlpm.余剰化受入,SUMIFS(tbl_ledger[数量],tbl_ledger[localId],$C374,tbl_ledger[イベント種類],"余剰化",tbl_ledger[元状態],K$304),
_xlpm.払出,SUMIFS(tbl_ledger[数量],tbl_ledger[localId],$C374,tbl_ledger[ロットID],"=",tbl_ledger[元状態],K$304),
_xlpm.受入+_xlpm.余剰化受入-_xlpm.払出))</f>
        <v/>
      </c>
      <c r="L374" s="8" t="str">
        <f>IF($C374="","",_xlfn.LET(
_xlpm.受入,SUMIFS(tbl_ledger[数量],tbl_ledger[localId],$C374,tbl_ledger[イベント種類],"発送準備完了",tbl_ledger[ロットID],"="),
_xlpm.余剰化受入,SUMIFS(tbl_ledger[数量],tbl_ledger[localId],$C374,tbl_ledger[イベント種類],"余剰化",tbl_ledger[元状態],L$304),
_xlpm.払出,SUMIFS(tbl_ledger[数量],tbl_ledger[localId],$C374,tbl_ledger[ロットID],"=",tbl_ledger[元状態],L$304),
_xlpm.受入+_xlpm.余剰化受入-_xlpm.払出))</f>
        <v/>
      </c>
      <c r="M374" s="8" t="str">
        <f>IF($C374="","",_xlfn.LET(
_xlpm.受入,SUMIFS(tbl_ledger[数量],tbl_ledger[localId],$C374,tbl_ledger[イベント種類],"不良発生",tbl_ledger[ロットID],"="),
_xlpm.余剰化受入,SUMIFS(tbl_ledger[数量],tbl_ledger[localId],$C374,tbl_ledger[イベント種類],"余剰化",tbl_ledger[元状態],M$304),
_xlpm.払出,SUMIFS(tbl_ledger[数量],tbl_ledger[localId],$C374,tbl_ledger[ロットID],"=",tbl_ledger[元状態],M$304),
_xlpm.受入+_xlpm.余剰化受入-_xlpm.払出))</f>
        <v/>
      </c>
      <c r="N374" s="8" t="str">
        <f t="shared" si="15"/>
        <v/>
      </c>
    </row>
    <row r="375" spans="1:14" ht="15" customHeight="1" x14ac:dyDescent="0.25">
      <c r="A375" s="4" t="str">
        <f t="shared" si="14"/>
        <v/>
      </c>
      <c r="B375" s="4"/>
      <c r="C375" s="4" t="str">
        <f>IFERROR(INDEX(tbl_master[localId],ROW()-304),"")</f>
        <v/>
      </c>
      <c r="D375" s="8" t="str">
        <f>IF($C375="","",_xlfn.LET(
_xlpm.搬入計,SUMIFS(tbl_ledger[数量],tbl_ledger[localId],$C375,tbl_ledger[イベント種類],"搬入"),
_xlpm.割当計,SUMIF(V_充足確認!$B$2:$B$301,$C375,V_充足確認!$F$2:$F$301),
_xlpm.余剰化受入,SUMIFS(tbl_ledger[数量],tbl_ledger[localId],$C375,tbl_ledger[イベント種類],"余剰化",tbl_ledger[元状態],D$304),
_xlpm.払出,SUMIFS(tbl_ledger[数量],tbl_ledger[localId],$C375,tbl_ledger[ロットID],"=",tbl_ledger[元状態],D$304),
_xlpm.搬入計-_xlpm.割当計+_xlpm.余剰化受入-_xlpm.払出))</f>
        <v/>
      </c>
      <c r="E375" s="8" t="str">
        <f>IF($C375="","",_xlfn.LET(
_xlpm.受入,SUMIFS(tbl_ledger[数量],tbl_ledger[localId],$C375,tbl_ledger[イベント種類],"アニール開始",tbl_ledger[ロットID],"="),
_xlpm.余剰化受入,SUMIFS(tbl_ledger[数量],tbl_ledger[localId],$C375,tbl_ledger[イベント種類],"余剰化",tbl_ledger[元状態],E$304),
_xlpm.払出,SUMIFS(tbl_ledger[数量],tbl_ledger[localId],$C375,tbl_ledger[ロットID],"=",tbl_ledger[元状態],E$304),
_xlpm.受入+_xlpm.余剰化受入-_xlpm.払出))</f>
        <v/>
      </c>
      <c r="F375" s="8" t="str">
        <f>IF($C375="","",_xlfn.LET(
_xlpm.受入,SUMIFS(tbl_ledger[数量],tbl_ledger[localId],$C375,tbl_ledger[イベント種類],"アニール完了",tbl_ledger[ロットID],"="),
_xlpm.余剰化受入,SUMIFS(tbl_ledger[数量],tbl_ledger[localId],$C375,tbl_ledger[イベント種類],"余剰化",tbl_ledger[元状態],F$304),
_xlpm.払出,SUMIFS(tbl_ledger[数量],tbl_ledger[localId],$C375,tbl_ledger[ロットID],"=",tbl_ledger[元状態],F$304),
_xlpm.受入+_xlpm.余剰化受入-_xlpm.払出))</f>
        <v/>
      </c>
      <c r="G375" s="8" t="str">
        <f>IF($C375="","",_xlfn.LET(
_xlpm.受入,SUMIFS(tbl_ledger[数量],tbl_ledger[localId],$C375,tbl_ledger[イベント種類],"アセンブリ開始",tbl_ledger[ロットID],"="),
_xlpm.余剰化受入,SUMIFS(tbl_ledger[数量],tbl_ledger[localId],$C375,tbl_ledger[イベント種類],"余剰化",tbl_ledger[元状態],G$304),
_xlpm.払出,SUMIFS(tbl_ledger[数量],tbl_ledger[localId],$C375,tbl_ledger[ロットID],"=",tbl_ledger[元状態],G$304),
_xlpm.受入+_xlpm.余剰化受入-_xlpm.払出))</f>
        <v/>
      </c>
      <c r="H375" s="8" t="str">
        <f>IF($C375="","",_xlfn.LET(
_xlpm.受入,SUMIFS(tbl_ledger[数量],tbl_ledger[localId],$C375,tbl_ledger[イベント種類],"アセンブリ完了",tbl_ledger[ロットID],"="),
_xlpm.余剰化受入,SUMIFS(tbl_ledger[数量],tbl_ledger[localId],$C375,tbl_ledger[イベント種類],"余剰化",tbl_ledger[元状態],H$304),
_xlpm.払出,SUMIFS(tbl_ledger[数量],tbl_ledger[localId],$C375,tbl_ledger[ロットID],"=",tbl_ledger[元状態],H$304),
_xlpm.受入+_xlpm.余剰化受入-_xlpm.払出))</f>
        <v/>
      </c>
      <c r="I375" s="8" t="str">
        <f>IF($C375="","",_xlfn.LET(
_xlpm.受入,SUMIFS(tbl_ledger[数量],tbl_ledger[localId],$C375,tbl_ledger[イベント種類],"梱包開始",tbl_ledger[ロットID],"="),
_xlpm.余剰化受入,SUMIFS(tbl_ledger[数量],tbl_ledger[localId],$C375,tbl_ledger[イベント種類],"余剰化",tbl_ledger[元状態],I$304),
_xlpm.払出,SUMIFS(tbl_ledger[数量],tbl_ledger[localId],$C375,tbl_ledger[ロットID],"=",tbl_ledger[元状態],I$304),
_xlpm.受入+_xlpm.余剰化受入-_xlpm.払出))</f>
        <v/>
      </c>
      <c r="J375" s="8" t="str">
        <f>IF($C375="","",_xlfn.LET(
_xlpm.受入,SUMIFS(tbl_ledger[数量],tbl_ledger[localId],$C375,tbl_ledger[イベント種類],"梱包完了",tbl_ledger[ロットID],"="),
_xlpm.余剰化受入,SUMIFS(tbl_ledger[数量],tbl_ledger[localId],$C375,tbl_ledger[イベント種類],"余剰化",tbl_ledger[元状態],J$304),
_xlpm.払出,SUMIFS(tbl_ledger[数量],tbl_ledger[localId],$C375,tbl_ledger[ロットID],"=",tbl_ledger[元状態],J$304),
_xlpm.受入+_xlpm.余剰化受入-_xlpm.払出))</f>
        <v/>
      </c>
      <c r="K375" s="8" t="str">
        <f>IF($C375="","",_xlfn.LET(
_xlpm.受入,SUMIFS(tbl_ledger[数量],tbl_ledger[localId],$C375,tbl_ledger[イベント種類],"発送準備開始",tbl_ledger[ロットID],"="),
_xlpm.余剰化受入,SUMIFS(tbl_ledger[数量],tbl_ledger[localId],$C375,tbl_ledger[イベント種類],"余剰化",tbl_ledger[元状態],K$304),
_xlpm.払出,SUMIFS(tbl_ledger[数量],tbl_ledger[localId],$C375,tbl_ledger[ロットID],"=",tbl_ledger[元状態],K$304),
_xlpm.受入+_xlpm.余剰化受入-_xlpm.払出))</f>
        <v/>
      </c>
      <c r="L375" s="8" t="str">
        <f>IF($C375="","",_xlfn.LET(
_xlpm.受入,SUMIFS(tbl_ledger[数量],tbl_ledger[localId],$C375,tbl_ledger[イベント種類],"発送準備完了",tbl_ledger[ロットID],"="),
_xlpm.余剰化受入,SUMIFS(tbl_ledger[数量],tbl_ledger[localId],$C375,tbl_ledger[イベント種類],"余剰化",tbl_ledger[元状態],L$304),
_xlpm.払出,SUMIFS(tbl_ledger[数量],tbl_ledger[localId],$C375,tbl_ledger[ロットID],"=",tbl_ledger[元状態],L$304),
_xlpm.受入+_xlpm.余剰化受入-_xlpm.払出))</f>
        <v/>
      </c>
      <c r="M375" s="8" t="str">
        <f>IF($C375="","",_xlfn.LET(
_xlpm.受入,SUMIFS(tbl_ledger[数量],tbl_ledger[localId],$C375,tbl_ledger[イベント種類],"不良発生",tbl_ledger[ロットID],"="),
_xlpm.余剰化受入,SUMIFS(tbl_ledger[数量],tbl_ledger[localId],$C375,tbl_ledger[イベント種類],"余剰化",tbl_ledger[元状態],M$304),
_xlpm.払出,SUMIFS(tbl_ledger[数量],tbl_ledger[localId],$C375,tbl_ledger[ロットID],"=",tbl_ledger[元状態],M$304),
_xlpm.受入+_xlpm.余剰化受入-_xlpm.払出))</f>
        <v/>
      </c>
      <c r="N375" s="8" t="str">
        <f t="shared" si="15"/>
        <v/>
      </c>
    </row>
    <row r="376" spans="1:14" ht="15" customHeight="1" x14ac:dyDescent="0.25">
      <c r="A376" s="4" t="str">
        <f t="shared" si="14"/>
        <v/>
      </c>
      <c r="B376" s="4"/>
      <c r="C376" s="4" t="str">
        <f>IFERROR(INDEX(tbl_master[localId],ROW()-304),"")</f>
        <v/>
      </c>
      <c r="D376" s="8" t="str">
        <f>IF($C376="","",_xlfn.LET(
_xlpm.搬入計,SUMIFS(tbl_ledger[数量],tbl_ledger[localId],$C376,tbl_ledger[イベント種類],"搬入"),
_xlpm.割当計,SUMIF(V_充足確認!$B$2:$B$301,$C376,V_充足確認!$F$2:$F$301),
_xlpm.余剰化受入,SUMIFS(tbl_ledger[数量],tbl_ledger[localId],$C376,tbl_ledger[イベント種類],"余剰化",tbl_ledger[元状態],D$304),
_xlpm.払出,SUMIFS(tbl_ledger[数量],tbl_ledger[localId],$C376,tbl_ledger[ロットID],"=",tbl_ledger[元状態],D$304),
_xlpm.搬入計-_xlpm.割当計+_xlpm.余剰化受入-_xlpm.払出))</f>
        <v/>
      </c>
      <c r="E376" s="8" t="str">
        <f>IF($C376="","",_xlfn.LET(
_xlpm.受入,SUMIFS(tbl_ledger[数量],tbl_ledger[localId],$C376,tbl_ledger[イベント種類],"アニール開始",tbl_ledger[ロットID],"="),
_xlpm.余剰化受入,SUMIFS(tbl_ledger[数量],tbl_ledger[localId],$C376,tbl_ledger[イベント種類],"余剰化",tbl_ledger[元状態],E$304),
_xlpm.払出,SUMIFS(tbl_ledger[数量],tbl_ledger[localId],$C376,tbl_ledger[ロットID],"=",tbl_ledger[元状態],E$304),
_xlpm.受入+_xlpm.余剰化受入-_xlpm.払出))</f>
        <v/>
      </c>
      <c r="F376" s="8" t="str">
        <f>IF($C376="","",_xlfn.LET(
_xlpm.受入,SUMIFS(tbl_ledger[数量],tbl_ledger[localId],$C376,tbl_ledger[イベント種類],"アニール完了",tbl_ledger[ロットID],"="),
_xlpm.余剰化受入,SUMIFS(tbl_ledger[数量],tbl_ledger[localId],$C376,tbl_ledger[イベント種類],"余剰化",tbl_ledger[元状態],F$304),
_xlpm.払出,SUMIFS(tbl_ledger[数量],tbl_ledger[localId],$C376,tbl_ledger[ロットID],"=",tbl_ledger[元状態],F$304),
_xlpm.受入+_xlpm.余剰化受入-_xlpm.払出))</f>
        <v/>
      </c>
      <c r="G376" s="8" t="str">
        <f>IF($C376="","",_xlfn.LET(
_xlpm.受入,SUMIFS(tbl_ledger[数量],tbl_ledger[localId],$C376,tbl_ledger[イベント種類],"アセンブリ開始",tbl_ledger[ロットID],"="),
_xlpm.余剰化受入,SUMIFS(tbl_ledger[数量],tbl_ledger[localId],$C376,tbl_ledger[イベント種類],"余剰化",tbl_ledger[元状態],G$304),
_xlpm.払出,SUMIFS(tbl_ledger[数量],tbl_ledger[localId],$C376,tbl_ledger[ロットID],"=",tbl_ledger[元状態],G$304),
_xlpm.受入+_xlpm.余剰化受入-_xlpm.払出))</f>
        <v/>
      </c>
      <c r="H376" s="8" t="str">
        <f>IF($C376="","",_xlfn.LET(
_xlpm.受入,SUMIFS(tbl_ledger[数量],tbl_ledger[localId],$C376,tbl_ledger[イベント種類],"アセンブリ完了",tbl_ledger[ロットID],"="),
_xlpm.余剰化受入,SUMIFS(tbl_ledger[数量],tbl_ledger[localId],$C376,tbl_ledger[イベント種類],"余剰化",tbl_ledger[元状態],H$304),
_xlpm.払出,SUMIFS(tbl_ledger[数量],tbl_ledger[localId],$C376,tbl_ledger[ロットID],"=",tbl_ledger[元状態],H$304),
_xlpm.受入+_xlpm.余剰化受入-_xlpm.払出))</f>
        <v/>
      </c>
      <c r="I376" s="8" t="str">
        <f>IF($C376="","",_xlfn.LET(
_xlpm.受入,SUMIFS(tbl_ledger[数量],tbl_ledger[localId],$C376,tbl_ledger[イベント種類],"梱包開始",tbl_ledger[ロットID],"="),
_xlpm.余剰化受入,SUMIFS(tbl_ledger[数量],tbl_ledger[localId],$C376,tbl_ledger[イベント種類],"余剰化",tbl_ledger[元状態],I$304),
_xlpm.払出,SUMIFS(tbl_ledger[数量],tbl_ledger[localId],$C376,tbl_ledger[ロットID],"=",tbl_ledger[元状態],I$304),
_xlpm.受入+_xlpm.余剰化受入-_xlpm.払出))</f>
        <v/>
      </c>
      <c r="J376" s="8" t="str">
        <f>IF($C376="","",_xlfn.LET(
_xlpm.受入,SUMIFS(tbl_ledger[数量],tbl_ledger[localId],$C376,tbl_ledger[イベント種類],"梱包完了",tbl_ledger[ロットID],"="),
_xlpm.余剰化受入,SUMIFS(tbl_ledger[数量],tbl_ledger[localId],$C376,tbl_ledger[イベント種類],"余剰化",tbl_ledger[元状態],J$304),
_xlpm.払出,SUMIFS(tbl_ledger[数量],tbl_ledger[localId],$C376,tbl_ledger[ロットID],"=",tbl_ledger[元状態],J$304),
_xlpm.受入+_xlpm.余剰化受入-_xlpm.払出))</f>
        <v/>
      </c>
      <c r="K376" s="8" t="str">
        <f>IF($C376="","",_xlfn.LET(
_xlpm.受入,SUMIFS(tbl_ledger[数量],tbl_ledger[localId],$C376,tbl_ledger[イベント種類],"発送準備開始",tbl_ledger[ロットID],"="),
_xlpm.余剰化受入,SUMIFS(tbl_ledger[数量],tbl_ledger[localId],$C376,tbl_ledger[イベント種類],"余剰化",tbl_ledger[元状態],K$304),
_xlpm.払出,SUMIFS(tbl_ledger[数量],tbl_ledger[localId],$C376,tbl_ledger[ロットID],"=",tbl_ledger[元状態],K$304),
_xlpm.受入+_xlpm.余剰化受入-_xlpm.払出))</f>
        <v/>
      </c>
      <c r="L376" s="8" t="str">
        <f>IF($C376="","",_xlfn.LET(
_xlpm.受入,SUMIFS(tbl_ledger[数量],tbl_ledger[localId],$C376,tbl_ledger[イベント種類],"発送準備完了",tbl_ledger[ロットID],"="),
_xlpm.余剰化受入,SUMIFS(tbl_ledger[数量],tbl_ledger[localId],$C376,tbl_ledger[イベント種類],"余剰化",tbl_ledger[元状態],L$304),
_xlpm.払出,SUMIFS(tbl_ledger[数量],tbl_ledger[localId],$C376,tbl_ledger[ロットID],"=",tbl_ledger[元状態],L$304),
_xlpm.受入+_xlpm.余剰化受入-_xlpm.払出))</f>
        <v/>
      </c>
      <c r="M376" s="8" t="str">
        <f>IF($C376="","",_xlfn.LET(
_xlpm.受入,SUMIFS(tbl_ledger[数量],tbl_ledger[localId],$C376,tbl_ledger[イベント種類],"不良発生",tbl_ledger[ロットID],"="),
_xlpm.余剰化受入,SUMIFS(tbl_ledger[数量],tbl_ledger[localId],$C376,tbl_ledger[イベント種類],"余剰化",tbl_ledger[元状態],M$304),
_xlpm.払出,SUMIFS(tbl_ledger[数量],tbl_ledger[localId],$C376,tbl_ledger[ロットID],"=",tbl_ledger[元状態],M$304),
_xlpm.受入+_xlpm.余剰化受入-_xlpm.払出))</f>
        <v/>
      </c>
      <c r="N376" s="8" t="str">
        <f t="shared" si="15"/>
        <v/>
      </c>
    </row>
    <row r="377" spans="1:14" ht="15" customHeight="1" x14ac:dyDescent="0.25">
      <c r="A377" s="4" t="str">
        <f t="shared" si="14"/>
        <v/>
      </c>
      <c r="B377" s="4"/>
      <c r="C377" s="4" t="str">
        <f>IFERROR(INDEX(tbl_master[localId],ROW()-304),"")</f>
        <v/>
      </c>
      <c r="D377" s="8" t="str">
        <f>IF($C377="","",_xlfn.LET(
_xlpm.搬入計,SUMIFS(tbl_ledger[数量],tbl_ledger[localId],$C377,tbl_ledger[イベント種類],"搬入"),
_xlpm.割当計,SUMIF(V_充足確認!$B$2:$B$301,$C377,V_充足確認!$F$2:$F$301),
_xlpm.余剰化受入,SUMIFS(tbl_ledger[数量],tbl_ledger[localId],$C377,tbl_ledger[イベント種類],"余剰化",tbl_ledger[元状態],D$304),
_xlpm.払出,SUMIFS(tbl_ledger[数量],tbl_ledger[localId],$C377,tbl_ledger[ロットID],"=",tbl_ledger[元状態],D$304),
_xlpm.搬入計-_xlpm.割当計+_xlpm.余剰化受入-_xlpm.払出))</f>
        <v/>
      </c>
      <c r="E377" s="8" t="str">
        <f>IF($C377="","",_xlfn.LET(
_xlpm.受入,SUMIFS(tbl_ledger[数量],tbl_ledger[localId],$C377,tbl_ledger[イベント種類],"アニール開始",tbl_ledger[ロットID],"="),
_xlpm.余剰化受入,SUMIFS(tbl_ledger[数量],tbl_ledger[localId],$C377,tbl_ledger[イベント種類],"余剰化",tbl_ledger[元状態],E$304),
_xlpm.払出,SUMIFS(tbl_ledger[数量],tbl_ledger[localId],$C377,tbl_ledger[ロットID],"=",tbl_ledger[元状態],E$304),
_xlpm.受入+_xlpm.余剰化受入-_xlpm.払出))</f>
        <v/>
      </c>
      <c r="F377" s="8" t="str">
        <f>IF($C377="","",_xlfn.LET(
_xlpm.受入,SUMIFS(tbl_ledger[数量],tbl_ledger[localId],$C377,tbl_ledger[イベント種類],"アニール完了",tbl_ledger[ロットID],"="),
_xlpm.余剰化受入,SUMIFS(tbl_ledger[数量],tbl_ledger[localId],$C377,tbl_ledger[イベント種類],"余剰化",tbl_ledger[元状態],F$304),
_xlpm.払出,SUMIFS(tbl_ledger[数量],tbl_ledger[localId],$C377,tbl_ledger[ロットID],"=",tbl_ledger[元状態],F$304),
_xlpm.受入+_xlpm.余剰化受入-_xlpm.払出))</f>
        <v/>
      </c>
      <c r="G377" s="8" t="str">
        <f>IF($C377="","",_xlfn.LET(
_xlpm.受入,SUMIFS(tbl_ledger[数量],tbl_ledger[localId],$C377,tbl_ledger[イベント種類],"アセンブリ開始",tbl_ledger[ロットID],"="),
_xlpm.余剰化受入,SUMIFS(tbl_ledger[数量],tbl_ledger[localId],$C377,tbl_ledger[イベント種類],"余剰化",tbl_ledger[元状態],G$304),
_xlpm.払出,SUMIFS(tbl_ledger[数量],tbl_ledger[localId],$C377,tbl_ledger[ロットID],"=",tbl_ledger[元状態],G$304),
_xlpm.受入+_xlpm.余剰化受入-_xlpm.払出))</f>
        <v/>
      </c>
      <c r="H377" s="8" t="str">
        <f>IF($C377="","",_xlfn.LET(
_xlpm.受入,SUMIFS(tbl_ledger[数量],tbl_ledger[localId],$C377,tbl_ledger[イベント種類],"アセンブリ完了",tbl_ledger[ロットID],"="),
_xlpm.余剰化受入,SUMIFS(tbl_ledger[数量],tbl_ledger[localId],$C377,tbl_ledger[イベント種類],"余剰化",tbl_ledger[元状態],H$304),
_xlpm.払出,SUMIFS(tbl_ledger[数量],tbl_ledger[localId],$C377,tbl_ledger[ロットID],"=",tbl_ledger[元状態],H$304),
_xlpm.受入+_xlpm.余剰化受入-_xlpm.払出))</f>
        <v/>
      </c>
      <c r="I377" s="8" t="str">
        <f>IF($C377="","",_xlfn.LET(
_xlpm.受入,SUMIFS(tbl_ledger[数量],tbl_ledger[localId],$C377,tbl_ledger[イベント種類],"梱包開始",tbl_ledger[ロットID],"="),
_xlpm.余剰化受入,SUMIFS(tbl_ledger[数量],tbl_ledger[localId],$C377,tbl_ledger[イベント種類],"余剰化",tbl_ledger[元状態],I$304),
_xlpm.払出,SUMIFS(tbl_ledger[数量],tbl_ledger[localId],$C377,tbl_ledger[ロットID],"=",tbl_ledger[元状態],I$304),
_xlpm.受入+_xlpm.余剰化受入-_xlpm.払出))</f>
        <v/>
      </c>
      <c r="J377" s="8" t="str">
        <f>IF($C377="","",_xlfn.LET(
_xlpm.受入,SUMIFS(tbl_ledger[数量],tbl_ledger[localId],$C377,tbl_ledger[イベント種類],"梱包完了",tbl_ledger[ロットID],"="),
_xlpm.余剰化受入,SUMIFS(tbl_ledger[数量],tbl_ledger[localId],$C377,tbl_ledger[イベント種類],"余剰化",tbl_ledger[元状態],J$304),
_xlpm.払出,SUMIFS(tbl_ledger[数量],tbl_ledger[localId],$C377,tbl_ledger[ロットID],"=",tbl_ledger[元状態],J$304),
_xlpm.受入+_xlpm.余剰化受入-_xlpm.払出))</f>
        <v/>
      </c>
      <c r="K377" s="8" t="str">
        <f>IF($C377="","",_xlfn.LET(
_xlpm.受入,SUMIFS(tbl_ledger[数量],tbl_ledger[localId],$C377,tbl_ledger[イベント種類],"発送準備開始",tbl_ledger[ロットID],"="),
_xlpm.余剰化受入,SUMIFS(tbl_ledger[数量],tbl_ledger[localId],$C377,tbl_ledger[イベント種類],"余剰化",tbl_ledger[元状態],K$304),
_xlpm.払出,SUMIFS(tbl_ledger[数量],tbl_ledger[localId],$C377,tbl_ledger[ロットID],"=",tbl_ledger[元状態],K$304),
_xlpm.受入+_xlpm.余剰化受入-_xlpm.払出))</f>
        <v/>
      </c>
      <c r="L377" s="8" t="str">
        <f>IF($C377="","",_xlfn.LET(
_xlpm.受入,SUMIFS(tbl_ledger[数量],tbl_ledger[localId],$C377,tbl_ledger[イベント種類],"発送準備完了",tbl_ledger[ロットID],"="),
_xlpm.余剰化受入,SUMIFS(tbl_ledger[数量],tbl_ledger[localId],$C377,tbl_ledger[イベント種類],"余剰化",tbl_ledger[元状態],L$304),
_xlpm.払出,SUMIFS(tbl_ledger[数量],tbl_ledger[localId],$C377,tbl_ledger[ロットID],"=",tbl_ledger[元状態],L$304),
_xlpm.受入+_xlpm.余剰化受入-_xlpm.払出))</f>
        <v/>
      </c>
      <c r="M377" s="8" t="str">
        <f>IF($C377="","",_xlfn.LET(
_xlpm.受入,SUMIFS(tbl_ledger[数量],tbl_ledger[localId],$C377,tbl_ledger[イベント種類],"不良発生",tbl_ledger[ロットID],"="),
_xlpm.余剰化受入,SUMIFS(tbl_ledger[数量],tbl_ledger[localId],$C377,tbl_ledger[イベント種類],"余剰化",tbl_ledger[元状態],M$304),
_xlpm.払出,SUMIFS(tbl_ledger[数量],tbl_ledger[localId],$C377,tbl_ledger[ロットID],"=",tbl_ledger[元状態],M$304),
_xlpm.受入+_xlpm.余剰化受入-_xlpm.払出))</f>
        <v/>
      </c>
      <c r="N377" s="8" t="str">
        <f t="shared" si="15"/>
        <v/>
      </c>
    </row>
    <row r="378" spans="1:14" ht="15" customHeight="1" x14ac:dyDescent="0.25">
      <c r="A378" s="4" t="str">
        <f t="shared" si="14"/>
        <v/>
      </c>
      <c r="B378" s="4"/>
      <c r="C378" s="4" t="str">
        <f>IFERROR(INDEX(tbl_master[localId],ROW()-304),"")</f>
        <v/>
      </c>
      <c r="D378" s="8" t="str">
        <f>IF($C378="","",_xlfn.LET(
_xlpm.搬入計,SUMIFS(tbl_ledger[数量],tbl_ledger[localId],$C378,tbl_ledger[イベント種類],"搬入"),
_xlpm.割当計,SUMIF(V_充足確認!$B$2:$B$301,$C378,V_充足確認!$F$2:$F$301),
_xlpm.余剰化受入,SUMIFS(tbl_ledger[数量],tbl_ledger[localId],$C378,tbl_ledger[イベント種類],"余剰化",tbl_ledger[元状態],D$304),
_xlpm.払出,SUMIFS(tbl_ledger[数量],tbl_ledger[localId],$C378,tbl_ledger[ロットID],"=",tbl_ledger[元状態],D$304),
_xlpm.搬入計-_xlpm.割当計+_xlpm.余剰化受入-_xlpm.払出))</f>
        <v/>
      </c>
      <c r="E378" s="8" t="str">
        <f>IF($C378="","",_xlfn.LET(
_xlpm.受入,SUMIFS(tbl_ledger[数量],tbl_ledger[localId],$C378,tbl_ledger[イベント種類],"アニール開始",tbl_ledger[ロットID],"="),
_xlpm.余剰化受入,SUMIFS(tbl_ledger[数量],tbl_ledger[localId],$C378,tbl_ledger[イベント種類],"余剰化",tbl_ledger[元状態],E$304),
_xlpm.払出,SUMIFS(tbl_ledger[数量],tbl_ledger[localId],$C378,tbl_ledger[ロットID],"=",tbl_ledger[元状態],E$304),
_xlpm.受入+_xlpm.余剰化受入-_xlpm.払出))</f>
        <v/>
      </c>
      <c r="F378" s="8" t="str">
        <f>IF($C378="","",_xlfn.LET(
_xlpm.受入,SUMIFS(tbl_ledger[数量],tbl_ledger[localId],$C378,tbl_ledger[イベント種類],"アニール完了",tbl_ledger[ロットID],"="),
_xlpm.余剰化受入,SUMIFS(tbl_ledger[数量],tbl_ledger[localId],$C378,tbl_ledger[イベント種類],"余剰化",tbl_ledger[元状態],F$304),
_xlpm.払出,SUMIFS(tbl_ledger[数量],tbl_ledger[localId],$C378,tbl_ledger[ロットID],"=",tbl_ledger[元状態],F$304),
_xlpm.受入+_xlpm.余剰化受入-_xlpm.払出))</f>
        <v/>
      </c>
      <c r="G378" s="8" t="str">
        <f>IF($C378="","",_xlfn.LET(
_xlpm.受入,SUMIFS(tbl_ledger[数量],tbl_ledger[localId],$C378,tbl_ledger[イベント種類],"アセンブリ開始",tbl_ledger[ロットID],"="),
_xlpm.余剰化受入,SUMIFS(tbl_ledger[数量],tbl_ledger[localId],$C378,tbl_ledger[イベント種類],"余剰化",tbl_ledger[元状態],G$304),
_xlpm.払出,SUMIFS(tbl_ledger[数量],tbl_ledger[localId],$C378,tbl_ledger[ロットID],"=",tbl_ledger[元状態],G$304),
_xlpm.受入+_xlpm.余剰化受入-_xlpm.払出))</f>
        <v/>
      </c>
      <c r="H378" s="8" t="str">
        <f>IF($C378="","",_xlfn.LET(
_xlpm.受入,SUMIFS(tbl_ledger[数量],tbl_ledger[localId],$C378,tbl_ledger[イベント種類],"アセンブリ完了",tbl_ledger[ロットID],"="),
_xlpm.余剰化受入,SUMIFS(tbl_ledger[数量],tbl_ledger[localId],$C378,tbl_ledger[イベント種類],"余剰化",tbl_ledger[元状態],H$304),
_xlpm.払出,SUMIFS(tbl_ledger[数量],tbl_ledger[localId],$C378,tbl_ledger[ロットID],"=",tbl_ledger[元状態],H$304),
_xlpm.受入+_xlpm.余剰化受入-_xlpm.払出))</f>
        <v/>
      </c>
      <c r="I378" s="8" t="str">
        <f>IF($C378="","",_xlfn.LET(
_xlpm.受入,SUMIFS(tbl_ledger[数量],tbl_ledger[localId],$C378,tbl_ledger[イベント種類],"梱包開始",tbl_ledger[ロットID],"="),
_xlpm.余剰化受入,SUMIFS(tbl_ledger[数量],tbl_ledger[localId],$C378,tbl_ledger[イベント種類],"余剰化",tbl_ledger[元状態],I$304),
_xlpm.払出,SUMIFS(tbl_ledger[数量],tbl_ledger[localId],$C378,tbl_ledger[ロットID],"=",tbl_ledger[元状態],I$304),
_xlpm.受入+_xlpm.余剰化受入-_xlpm.払出))</f>
        <v/>
      </c>
      <c r="J378" s="8" t="str">
        <f>IF($C378="","",_xlfn.LET(
_xlpm.受入,SUMIFS(tbl_ledger[数量],tbl_ledger[localId],$C378,tbl_ledger[イベント種類],"梱包完了",tbl_ledger[ロットID],"="),
_xlpm.余剰化受入,SUMIFS(tbl_ledger[数量],tbl_ledger[localId],$C378,tbl_ledger[イベント種類],"余剰化",tbl_ledger[元状態],J$304),
_xlpm.払出,SUMIFS(tbl_ledger[数量],tbl_ledger[localId],$C378,tbl_ledger[ロットID],"=",tbl_ledger[元状態],J$304),
_xlpm.受入+_xlpm.余剰化受入-_xlpm.払出))</f>
        <v/>
      </c>
      <c r="K378" s="8" t="str">
        <f>IF($C378="","",_xlfn.LET(
_xlpm.受入,SUMIFS(tbl_ledger[数量],tbl_ledger[localId],$C378,tbl_ledger[イベント種類],"発送準備開始",tbl_ledger[ロットID],"="),
_xlpm.余剰化受入,SUMIFS(tbl_ledger[数量],tbl_ledger[localId],$C378,tbl_ledger[イベント種類],"余剰化",tbl_ledger[元状態],K$304),
_xlpm.払出,SUMIFS(tbl_ledger[数量],tbl_ledger[localId],$C378,tbl_ledger[ロットID],"=",tbl_ledger[元状態],K$304),
_xlpm.受入+_xlpm.余剰化受入-_xlpm.払出))</f>
        <v/>
      </c>
      <c r="L378" s="8" t="str">
        <f>IF($C378="","",_xlfn.LET(
_xlpm.受入,SUMIFS(tbl_ledger[数量],tbl_ledger[localId],$C378,tbl_ledger[イベント種類],"発送準備完了",tbl_ledger[ロットID],"="),
_xlpm.余剰化受入,SUMIFS(tbl_ledger[数量],tbl_ledger[localId],$C378,tbl_ledger[イベント種類],"余剰化",tbl_ledger[元状態],L$304),
_xlpm.払出,SUMIFS(tbl_ledger[数量],tbl_ledger[localId],$C378,tbl_ledger[ロットID],"=",tbl_ledger[元状態],L$304),
_xlpm.受入+_xlpm.余剰化受入-_xlpm.払出))</f>
        <v/>
      </c>
      <c r="M378" s="8" t="str">
        <f>IF($C378="","",_xlfn.LET(
_xlpm.受入,SUMIFS(tbl_ledger[数量],tbl_ledger[localId],$C378,tbl_ledger[イベント種類],"不良発生",tbl_ledger[ロットID],"="),
_xlpm.余剰化受入,SUMIFS(tbl_ledger[数量],tbl_ledger[localId],$C378,tbl_ledger[イベント種類],"余剰化",tbl_ledger[元状態],M$304),
_xlpm.払出,SUMIFS(tbl_ledger[数量],tbl_ledger[localId],$C378,tbl_ledger[ロットID],"=",tbl_ledger[元状態],M$304),
_xlpm.受入+_xlpm.余剰化受入-_xlpm.払出))</f>
        <v/>
      </c>
      <c r="N378" s="8" t="str">
        <f t="shared" si="15"/>
        <v/>
      </c>
    </row>
    <row r="379" spans="1:14" ht="15" customHeight="1" x14ac:dyDescent="0.25">
      <c r="A379" s="4" t="str">
        <f t="shared" si="14"/>
        <v/>
      </c>
      <c r="B379" s="4"/>
      <c r="C379" s="4" t="str">
        <f>IFERROR(INDEX(tbl_master[localId],ROW()-304),"")</f>
        <v/>
      </c>
      <c r="D379" s="8" t="str">
        <f>IF($C379="","",_xlfn.LET(
_xlpm.搬入計,SUMIFS(tbl_ledger[数量],tbl_ledger[localId],$C379,tbl_ledger[イベント種類],"搬入"),
_xlpm.割当計,SUMIF(V_充足確認!$B$2:$B$301,$C379,V_充足確認!$F$2:$F$301),
_xlpm.余剰化受入,SUMIFS(tbl_ledger[数量],tbl_ledger[localId],$C379,tbl_ledger[イベント種類],"余剰化",tbl_ledger[元状態],D$304),
_xlpm.払出,SUMIFS(tbl_ledger[数量],tbl_ledger[localId],$C379,tbl_ledger[ロットID],"=",tbl_ledger[元状態],D$304),
_xlpm.搬入計-_xlpm.割当計+_xlpm.余剰化受入-_xlpm.払出))</f>
        <v/>
      </c>
      <c r="E379" s="8" t="str">
        <f>IF($C379="","",_xlfn.LET(
_xlpm.受入,SUMIFS(tbl_ledger[数量],tbl_ledger[localId],$C379,tbl_ledger[イベント種類],"アニール開始",tbl_ledger[ロットID],"="),
_xlpm.余剰化受入,SUMIFS(tbl_ledger[数量],tbl_ledger[localId],$C379,tbl_ledger[イベント種類],"余剰化",tbl_ledger[元状態],E$304),
_xlpm.払出,SUMIFS(tbl_ledger[数量],tbl_ledger[localId],$C379,tbl_ledger[ロットID],"=",tbl_ledger[元状態],E$304),
_xlpm.受入+_xlpm.余剰化受入-_xlpm.払出))</f>
        <v/>
      </c>
      <c r="F379" s="8" t="str">
        <f>IF($C379="","",_xlfn.LET(
_xlpm.受入,SUMIFS(tbl_ledger[数量],tbl_ledger[localId],$C379,tbl_ledger[イベント種類],"アニール完了",tbl_ledger[ロットID],"="),
_xlpm.余剰化受入,SUMIFS(tbl_ledger[数量],tbl_ledger[localId],$C379,tbl_ledger[イベント種類],"余剰化",tbl_ledger[元状態],F$304),
_xlpm.払出,SUMIFS(tbl_ledger[数量],tbl_ledger[localId],$C379,tbl_ledger[ロットID],"=",tbl_ledger[元状態],F$304),
_xlpm.受入+_xlpm.余剰化受入-_xlpm.払出))</f>
        <v/>
      </c>
      <c r="G379" s="8" t="str">
        <f>IF($C379="","",_xlfn.LET(
_xlpm.受入,SUMIFS(tbl_ledger[数量],tbl_ledger[localId],$C379,tbl_ledger[イベント種類],"アセンブリ開始",tbl_ledger[ロットID],"="),
_xlpm.余剰化受入,SUMIFS(tbl_ledger[数量],tbl_ledger[localId],$C379,tbl_ledger[イベント種類],"余剰化",tbl_ledger[元状態],G$304),
_xlpm.払出,SUMIFS(tbl_ledger[数量],tbl_ledger[localId],$C379,tbl_ledger[ロットID],"=",tbl_ledger[元状態],G$304),
_xlpm.受入+_xlpm.余剰化受入-_xlpm.払出))</f>
        <v/>
      </c>
      <c r="H379" s="8" t="str">
        <f>IF($C379="","",_xlfn.LET(
_xlpm.受入,SUMIFS(tbl_ledger[数量],tbl_ledger[localId],$C379,tbl_ledger[イベント種類],"アセンブリ完了",tbl_ledger[ロットID],"="),
_xlpm.余剰化受入,SUMIFS(tbl_ledger[数量],tbl_ledger[localId],$C379,tbl_ledger[イベント種類],"余剰化",tbl_ledger[元状態],H$304),
_xlpm.払出,SUMIFS(tbl_ledger[数量],tbl_ledger[localId],$C379,tbl_ledger[ロットID],"=",tbl_ledger[元状態],H$304),
_xlpm.受入+_xlpm.余剰化受入-_xlpm.払出))</f>
        <v/>
      </c>
      <c r="I379" s="8" t="str">
        <f>IF($C379="","",_xlfn.LET(
_xlpm.受入,SUMIFS(tbl_ledger[数量],tbl_ledger[localId],$C379,tbl_ledger[イベント種類],"梱包開始",tbl_ledger[ロットID],"="),
_xlpm.余剰化受入,SUMIFS(tbl_ledger[数量],tbl_ledger[localId],$C379,tbl_ledger[イベント種類],"余剰化",tbl_ledger[元状態],I$304),
_xlpm.払出,SUMIFS(tbl_ledger[数量],tbl_ledger[localId],$C379,tbl_ledger[ロットID],"=",tbl_ledger[元状態],I$304),
_xlpm.受入+_xlpm.余剰化受入-_xlpm.払出))</f>
        <v/>
      </c>
      <c r="J379" s="8" t="str">
        <f>IF($C379="","",_xlfn.LET(
_xlpm.受入,SUMIFS(tbl_ledger[数量],tbl_ledger[localId],$C379,tbl_ledger[イベント種類],"梱包完了",tbl_ledger[ロットID],"="),
_xlpm.余剰化受入,SUMIFS(tbl_ledger[数量],tbl_ledger[localId],$C379,tbl_ledger[イベント種類],"余剰化",tbl_ledger[元状態],J$304),
_xlpm.払出,SUMIFS(tbl_ledger[数量],tbl_ledger[localId],$C379,tbl_ledger[ロットID],"=",tbl_ledger[元状態],J$304),
_xlpm.受入+_xlpm.余剰化受入-_xlpm.払出))</f>
        <v/>
      </c>
      <c r="K379" s="8" t="str">
        <f>IF($C379="","",_xlfn.LET(
_xlpm.受入,SUMIFS(tbl_ledger[数量],tbl_ledger[localId],$C379,tbl_ledger[イベント種類],"発送準備開始",tbl_ledger[ロットID],"="),
_xlpm.余剰化受入,SUMIFS(tbl_ledger[数量],tbl_ledger[localId],$C379,tbl_ledger[イベント種類],"余剰化",tbl_ledger[元状態],K$304),
_xlpm.払出,SUMIFS(tbl_ledger[数量],tbl_ledger[localId],$C379,tbl_ledger[ロットID],"=",tbl_ledger[元状態],K$304),
_xlpm.受入+_xlpm.余剰化受入-_xlpm.払出))</f>
        <v/>
      </c>
      <c r="L379" s="8" t="str">
        <f>IF($C379="","",_xlfn.LET(
_xlpm.受入,SUMIFS(tbl_ledger[数量],tbl_ledger[localId],$C379,tbl_ledger[イベント種類],"発送準備完了",tbl_ledger[ロットID],"="),
_xlpm.余剰化受入,SUMIFS(tbl_ledger[数量],tbl_ledger[localId],$C379,tbl_ledger[イベント種類],"余剰化",tbl_ledger[元状態],L$304),
_xlpm.払出,SUMIFS(tbl_ledger[数量],tbl_ledger[localId],$C379,tbl_ledger[ロットID],"=",tbl_ledger[元状態],L$304),
_xlpm.受入+_xlpm.余剰化受入-_xlpm.払出))</f>
        <v/>
      </c>
      <c r="M379" s="8" t="str">
        <f>IF($C379="","",_xlfn.LET(
_xlpm.受入,SUMIFS(tbl_ledger[数量],tbl_ledger[localId],$C379,tbl_ledger[イベント種類],"不良発生",tbl_ledger[ロットID],"="),
_xlpm.余剰化受入,SUMIFS(tbl_ledger[数量],tbl_ledger[localId],$C379,tbl_ledger[イベント種類],"余剰化",tbl_ledger[元状態],M$304),
_xlpm.払出,SUMIFS(tbl_ledger[数量],tbl_ledger[localId],$C379,tbl_ledger[ロットID],"=",tbl_ledger[元状態],M$304),
_xlpm.受入+_xlpm.余剰化受入-_xlpm.払出))</f>
        <v/>
      </c>
      <c r="N379" s="8" t="str">
        <f t="shared" si="15"/>
        <v/>
      </c>
    </row>
    <row r="380" spans="1:14" ht="15" customHeight="1" x14ac:dyDescent="0.25">
      <c r="A380" s="4" t="str">
        <f t="shared" si="14"/>
        <v/>
      </c>
      <c r="B380" s="4"/>
      <c r="C380" s="4" t="str">
        <f>IFERROR(INDEX(tbl_master[localId],ROW()-304),"")</f>
        <v/>
      </c>
      <c r="D380" s="8" t="str">
        <f>IF($C380="","",_xlfn.LET(
_xlpm.搬入計,SUMIFS(tbl_ledger[数量],tbl_ledger[localId],$C380,tbl_ledger[イベント種類],"搬入"),
_xlpm.割当計,SUMIF(V_充足確認!$B$2:$B$301,$C380,V_充足確認!$F$2:$F$301),
_xlpm.余剰化受入,SUMIFS(tbl_ledger[数量],tbl_ledger[localId],$C380,tbl_ledger[イベント種類],"余剰化",tbl_ledger[元状態],D$304),
_xlpm.払出,SUMIFS(tbl_ledger[数量],tbl_ledger[localId],$C380,tbl_ledger[ロットID],"=",tbl_ledger[元状態],D$304),
_xlpm.搬入計-_xlpm.割当計+_xlpm.余剰化受入-_xlpm.払出))</f>
        <v/>
      </c>
      <c r="E380" s="8" t="str">
        <f>IF($C380="","",_xlfn.LET(
_xlpm.受入,SUMIFS(tbl_ledger[数量],tbl_ledger[localId],$C380,tbl_ledger[イベント種類],"アニール開始",tbl_ledger[ロットID],"="),
_xlpm.余剰化受入,SUMIFS(tbl_ledger[数量],tbl_ledger[localId],$C380,tbl_ledger[イベント種類],"余剰化",tbl_ledger[元状態],E$304),
_xlpm.払出,SUMIFS(tbl_ledger[数量],tbl_ledger[localId],$C380,tbl_ledger[ロットID],"=",tbl_ledger[元状態],E$304),
_xlpm.受入+_xlpm.余剰化受入-_xlpm.払出))</f>
        <v/>
      </c>
      <c r="F380" s="8" t="str">
        <f>IF($C380="","",_xlfn.LET(
_xlpm.受入,SUMIFS(tbl_ledger[数量],tbl_ledger[localId],$C380,tbl_ledger[イベント種類],"アニール完了",tbl_ledger[ロットID],"="),
_xlpm.余剰化受入,SUMIFS(tbl_ledger[数量],tbl_ledger[localId],$C380,tbl_ledger[イベント種類],"余剰化",tbl_ledger[元状態],F$304),
_xlpm.払出,SUMIFS(tbl_ledger[数量],tbl_ledger[localId],$C380,tbl_ledger[ロットID],"=",tbl_ledger[元状態],F$304),
_xlpm.受入+_xlpm.余剰化受入-_xlpm.払出))</f>
        <v/>
      </c>
      <c r="G380" s="8" t="str">
        <f>IF($C380="","",_xlfn.LET(
_xlpm.受入,SUMIFS(tbl_ledger[数量],tbl_ledger[localId],$C380,tbl_ledger[イベント種類],"アセンブリ開始",tbl_ledger[ロットID],"="),
_xlpm.余剰化受入,SUMIFS(tbl_ledger[数量],tbl_ledger[localId],$C380,tbl_ledger[イベント種類],"余剰化",tbl_ledger[元状態],G$304),
_xlpm.払出,SUMIFS(tbl_ledger[数量],tbl_ledger[localId],$C380,tbl_ledger[ロットID],"=",tbl_ledger[元状態],G$304),
_xlpm.受入+_xlpm.余剰化受入-_xlpm.払出))</f>
        <v/>
      </c>
      <c r="H380" s="8" t="str">
        <f>IF($C380="","",_xlfn.LET(
_xlpm.受入,SUMIFS(tbl_ledger[数量],tbl_ledger[localId],$C380,tbl_ledger[イベント種類],"アセンブリ完了",tbl_ledger[ロットID],"="),
_xlpm.余剰化受入,SUMIFS(tbl_ledger[数量],tbl_ledger[localId],$C380,tbl_ledger[イベント種類],"余剰化",tbl_ledger[元状態],H$304),
_xlpm.払出,SUMIFS(tbl_ledger[数量],tbl_ledger[localId],$C380,tbl_ledger[ロットID],"=",tbl_ledger[元状態],H$304),
_xlpm.受入+_xlpm.余剰化受入-_xlpm.払出))</f>
        <v/>
      </c>
      <c r="I380" s="8" t="str">
        <f>IF($C380="","",_xlfn.LET(
_xlpm.受入,SUMIFS(tbl_ledger[数量],tbl_ledger[localId],$C380,tbl_ledger[イベント種類],"梱包開始",tbl_ledger[ロットID],"="),
_xlpm.余剰化受入,SUMIFS(tbl_ledger[数量],tbl_ledger[localId],$C380,tbl_ledger[イベント種類],"余剰化",tbl_ledger[元状態],I$304),
_xlpm.払出,SUMIFS(tbl_ledger[数量],tbl_ledger[localId],$C380,tbl_ledger[ロットID],"=",tbl_ledger[元状態],I$304),
_xlpm.受入+_xlpm.余剰化受入-_xlpm.払出))</f>
        <v/>
      </c>
      <c r="J380" s="8" t="str">
        <f>IF($C380="","",_xlfn.LET(
_xlpm.受入,SUMIFS(tbl_ledger[数量],tbl_ledger[localId],$C380,tbl_ledger[イベント種類],"梱包完了",tbl_ledger[ロットID],"="),
_xlpm.余剰化受入,SUMIFS(tbl_ledger[数量],tbl_ledger[localId],$C380,tbl_ledger[イベント種類],"余剰化",tbl_ledger[元状態],J$304),
_xlpm.払出,SUMIFS(tbl_ledger[数量],tbl_ledger[localId],$C380,tbl_ledger[ロットID],"=",tbl_ledger[元状態],J$304),
_xlpm.受入+_xlpm.余剰化受入-_xlpm.払出))</f>
        <v/>
      </c>
      <c r="K380" s="8" t="str">
        <f>IF($C380="","",_xlfn.LET(
_xlpm.受入,SUMIFS(tbl_ledger[数量],tbl_ledger[localId],$C380,tbl_ledger[イベント種類],"発送準備開始",tbl_ledger[ロットID],"="),
_xlpm.余剰化受入,SUMIFS(tbl_ledger[数量],tbl_ledger[localId],$C380,tbl_ledger[イベント種類],"余剰化",tbl_ledger[元状態],K$304),
_xlpm.払出,SUMIFS(tbl_ledger[数量],tbl_ledger[localId],$C380,tbl_ledger[ロットID],"=",tbl_ledger[元状態],K$304),
_xlpm.受入+_xlpm.余剰化受入-_xlpm.払出))</f>
        <v/>
      </c>
      <c r="L380" s="8" t="str">
        <f>IF($C380="","",_xlfn.LET(
_xlpm.受入,SUMIFS(tbl_ledger[数量],tbl_ledger[localId],$C380,tbl_ledger[イベント種類],"発送準備完了",tbl_ledger[ロットID],"="),
_xlpm.余剰化受入,SUMIFS(tbl_ledger[数量],tbl_ledger[localId],$C380,tbl_ledger[イベント種類],"余剰化",tbl_ledger[元状態],L$304),
_xlpm.払出,SUMIFS(tbl_ledger[数量],tbl_ledger[localId],$C380,tbl_ledger[ロットID],"=",tbl_ledger[元状態],L$304),
_xlpm.受入+_xlpm.余剰化受入-_xlpm.払出))</f>
        <v/>
      </c>
      <c r="M380" s="8" t="str">
        <f>IF($C380="","",_xlfn.LET(
_xlpm.受入,SUMIFS(tbl_ledger[数量],tbl_ledger[localId],$C380,tbl_ledger[イベント種類],"不良発生",tbl_ledger[ロットID],"="),
_xlpm.余剰化受入,SUMIFS(tbl_ledger[数量],tbl_ledger[localId],$C380,tbl_ledger[イベント種類],"余剰化",tbl_ledger[元状態],M$304),
_xlpm.払出,SUMIFS(tbl_ledger[数量],tbl_ledger[localId],$C380,tbl_ledger[ロットID],"=",tbl_ledger[元状態],M$304),
_xlpm.受入+_xlpm.余剰化受入-_xlpm.払出))</f>
        <v/>
      </c>
      <c r="N380" s="8" t="str">
        <f t="shared" si="15"/>
        <v/>
      </c>
    </row>
    <row r="381" spans="1:14" ht="15" customHeight="1" x14ac:dyDescent="0.25">
      <c r="A381" s="4" t="str">
        <f t="shared" si="14"/>
        <v/>
      </c>
      <c r="B381" s="4"/>
      <c r="C381" s="4" t="str">
        <f>IFERROR(INDEX(tbl_master[localId],ROW()-304),"")</f>
        <v/>
      </c>
      <c r="D381" s="8" t="str">
        <f>IF($C381="","",_xlfn.LET(
_xlpm.搬入計,SUMIFS(tbl_ledger[数量],tbl_ledger[localId],$C381,tbl_ledger[イベント種類],"搬入"),
_xlpm.割当計,SUMIF(V_充足確認!$B$2:$B$301,$C381,V_充足確認!$F$2:$F$301),
_xlpm.余剰化受入,SUMIFS(tbl_ledger[数量],tbl_ledger[localId],$C381,tbl_ledger[イベント種類],"余剰化",tbl_ledger[元状態],D$304),
_xlpm.払出,SUMIFS(tbl_ledger[数量],tbl_ledger[localId],$C381,tbl_ledger[ロットID],"=",tbl_ledger[元状態],D$304),
_xlpm.搬入計-_xlpm.割当計+_xlpm.余剰化受入-_xlpm.払出))</f>
        <v/>
      </c>
      <c r="E381" s="8" t="str">
        <f>IF($C381="","",_xlfn.LET(
_xlpm.受入,SUMIFS(tbl_ledger[数量],tbl_ledger[localId],$C381,tbl_ledger[イベント種類],"アニール開始",tbl_ledger[ロットID],"="),
_xlpm.余剰化受入,SUMIFS(tbl_ledger[数量],tbl_ledger[localId],$C381,tbl_ledger[イベント種類],"余剰化",tbl_ledger[元状態],E$304),
_xlpm.払出,SUMIFS(tbl_ledger[数量],tbl_ledger[localId],$C381,tbl_ledger[ロットID],"=",tbl_ledger[元状態],E$304),
_xlpm.受入+_xlpm.余剰化受入-_xlpm.払出))</f>
        <v/>
      </c>
      <c r="F381" s="8" t="str">
        <f>IF($C381="","",_xlfn.LET(
_xlpm.受入,SUMIFS(tbl_ledger[数量],tbl_ledger[localId],$C381,tbl_ledger[イベント種類],"アニール完了",tbl_ledger[ロットID],"="),
_xlpm.余剰化受入,SUMIFS(tbl_ledger[数量],tbl_ledger[localId],$C381,tbl_ledger[イベント種類],"余剰化",tbl_ledger[元状態],F$304),
_xlpm.払出,SUMIFS(tbl_ledger[数量],tbl_ledger[localId],$C381,tbl_ledger[ロットID],"=",tbl_ledger[元状態],F$304),
_xlpm.受入+_xlpm.余剰化受入-_xlpm.払出))</f>
        <v/>
      </c>
      <c r="G381" s="8" t="str">
        <f>IF($C381="","",_xlfn.LET(
_xlpm.受入,SUMIFS(tbl_ledger[数量],tbl_ledger[localId],$C381,tbl_ledger[イベント種類],"アセンブリ開始",tbl_ledger[ロットID],"="),
_xlpm.余剰化受入,SUMIFS(tbl_ledger[数量],tbl_ledger[localId],$C381,tbl_ledger[イベント種類],"余剰化",tbl_ledger[元状態],G$304),
_xlpm.払出,SUMIFS(tbl_ledger[数量],tbl_ledger[localId],$C381,tbl_ledger[ロットID],"=",tbl_ledger[元状態],G$304),
_xlpm.受入+_xlpm.余剰化受入-_xlpm.払出))</f>
        <v/>
      </c>
      <c r="H381" s="8" t="str">
        <f>IF($C381="","",_xlfn.LET(
_xlpm.受入,SUMIFS(tbl_ledger[数量],tbl_ledger[localId],$C381,tbl_ledger[イベント種類],"アセンブリ完了",tbl_ledger[ロットID],"="),
_xlpm.余剰化受入,SUMIFS(tbl_ledger[数量],tbl_ledger[localId],$C381,tbl_ledger[イベント種類],"余剰化",tbl_ledger[元状態],H$304),
_xlpm.払出,SUMIFS(tbl_ledger[数量],tbl_ledger[localId],$C381,tbl_ledger[ロットID],"=",tbl_ledger[元状態],H$304),
_xlpm.受入+_xlpm.余剰化受入-_xlpm.払出))</f>
        <v/>
      </c>
      <c r="I381" s="8" t="str">
        <f>IF($C381="","",_xlfn.LET(
_xlpm.受入,SUMIFS(tbl_ledger[数量],tbl_ledger[localId],$C381,tbl_ledger[イベント種類],"梱包開始",tbl_ledger[ロットID],"="),
_xlpm.余剰化受入,SUMIFS(tbl_ledger[数量],tbl_ledger[localId],$C381,tbl_ledger[イベント種類],"余剰化",tbl_ledger[元状態],I$304),
_xlpm.払出,SUMIFS(tbl_ledger[数量],tbl_ledger[localId],$C381,tbl_ledger[ロットID],"=",tbl_ledger[元状態],I$304),
_xlpm.受入+_xlpm.余剰化受入-_xlpm.払出))</f>
        <v/>
      </c>
      <c r="J381" s="8" t="str">
        <f>IF($C381="","",_xlfn.LET(
_xlpm.受入,SUMIFS(tbl_ledger[数量],tbl_ledger[localId],$C381,tbl_ledger[イベント種類],"梱包完了",tbl_ledger[ロットID],"="),
_xlpm.余剰化受入,SUMIFS(tbl_ledger[数量],tbl_ledger[localId],$C381,tbl_ledger[イベント種類],"余剰化",tbl_ledger[元状態],J$304),
_xlpm.払出,SUMIFS(tbl_ledger[数量],tbl_ledger[localId],$C381,tbl_ledger[ロットID],"=",tbl_ledger[元状態],J$304),
_xlpm.受入+_xlpm.余剰化受入-_xlpm.払出))</f>
        <v/>
      </c>
      <c r="K381" s="8" t="str">
        <f>IF($C381="","",_xlfn.LET(
_xlpm.受入,SUMIFS(tbl_ledger[数量],tbl_ledger[localId],$C381,tbl_ledger[イベント種類],"発送準備開始",tbl_ledger[ロットID],"="),
_xlpm.余剰化受入,SUMIFS(tbl_ledger[数量],tbl_ledger[localId],$C381,tbl_ledger[イベント種類],"余剰化",tbl_ledger[元状態],K$304),
_xlpm.払出,SUMIFS(tbl_ledger[数量],tbl_ledger[localId],$C381,tbl_ledger[ロットID],"=",tbl_ledger[元状態],K$304),
_xlpm.受入+_xlpm.余剰化受入-_xlpm.払出))</f>
        <v/>
      </c>
      <c r="L381" s="8" t="str">
        <f>IF($C381="","",_xlfn.LET(
_xlpm.受入,SUMIFS(tbl_ledger[数量],tbl_ledger[localId],$C381,tbl_ledger[イベント種類],"発送準備完了",tbl_ledger[ロットID],"="),
_xlpm.余剰化受入,SUMIFS(tbl_ledger[数量],tbl_ledger[localId],$C381,tbl_ledger[イベント種類],"余剰化",tbl_ledger[元状態],L$304),
_xlpm.払出,SUMIFS(tbl_ledger[数量],tbl_ledger[localId],$C381,tbl_ledger[ロットID],"=",tbl_ledger[元状態],L$304),
_xlpm.受入+_xlpm.余剰化受入-_xlpm.払出))</f>
        <v/>
      </c>
      <c r="M381" s="8" t="str">
        <f>IF($C381="","",_xlfn.LET(
_xlpm.受入,SUMIFS(tbl_ledger[数量],tbl_ledger[localId],$C381,tbl_ledger[イベント種類],"不良発生",tbl_ledger[ロットID],"="),
_xlpm.余剰化受入,SUMIFS(tbl_ledger[数量],tbl_ledger[localId],$C381,tbl_ledger[イベント種類],"余剰化",tbl_ledger[元状態],M$304),
_xlpm.払出,SUMIFS(tbl_ledger[数量],tbl_ledger[localId],$C381,tbl_ledger[ロットID],"=",tbl_ledger[元状態],M$304),
_xlpm.受入+_xlpm.余剰化受入-_xlpm.払出))</f>
        <v/>
      </c>
      <c r="N381" s="8" t="str">
        <f t="shared" si="15"/>
        <v/>
      </c>
    </row>
    <row r="382" spans="1:14" ht="15" customHeight="1" x14ac:dyDescent="0.25">
      <c r="A382" s="4" t="str">
        <f t="shared" si="14"/>
        <v/>
      </c>
      <c r="B382" s="4"/>
      <c r="C382" s="4" t="str">
        <f>IFERROR(INDEX(tbl_master[localId],ROW()-304),"")</f>
        <v/>
      </c>
      <c r="D382" s="8" t="str">
        <f>IF($C382="","",_xlfn.LET(
_xlpm.搬入計,SUMIFS(tbl_ledger[数量],tbl_ledger[localId],$C382,tbl_ledger[イベント種類],"搬入"),
_xlpm.割当計,SUMIF(V_充足確認!$B$2:$B$301,$C382,V_充足確認!$F$2:$F$301),
_xlpm.余剰化受入,SUMIFS(tbl_ledger[数量],tbl_ledger[localId],$C382,tbl_ledger[イベント種類],"余剰化",tbl_ledger[元状態],D$304),
_xlpm.払出,SUMIFS(tbl_ledger[数量],tbl_ledger[localId],$C382,tbl_ledger[ロットID],"=",tbl_ledger[元状態],D$304),
_xlpm.搬入計-_xlpm.割当計+_xlpm.余剰化受入-_xlpm.払出))</f>
        <v/>
      </c>
      <c r="E382" s="8" t="str">
        <f>IF($C382="","",_xlfn.LET(
_xlpm.受入,SUMIFS(tbl_ledger[数量],tbl_ledger[localId],$C382,tbl_ledger[イベント種類],"アニール開始",tbl_ledger[ロットID],"="),
_xlpm.余剰化受入,SUMIFS(tbl_ledger[数量],tbl_ledger[localId],$C382,tbl_ledger[イベント種類],"余剰化",tbl_ledger[元状態],E$304),
_xlpm.払出,SUMIFS(tbl_ledger[数量],tbl_ledger[localId],$C382,tbl_ledger[ロットID],"=",tbl_ledger[元状態],E$304),
_xlpm.受入+_xlpm.余剰化受入-_xlpm.払出))</f>
        <v/>
      </c>
      <c r="F382" s="8" t="str">
        <f>IF($C382="","",_xlfn.LET(
_xlpm.受入,SUMIFS(tbl_ledger[数量],tbl_ledger[localId],$C382,tbl_ledger[イベント種類],"アニール完了",tbl_ledger[ロットID],"="),
_xlpm.余剰化受入,SUMIFS(tbl_ledger[数量],tbl_ledger[localId],$C382,tbl_ledger[イベント種類],"余剰化",tbl_ledger[元状態],F$304),
_xlpm.払出,SUMIFS(tbl_ledger[数量],tbl_ledger[localId],$C382,tbl_ledger[ロットID],"=",tbl_ledger[元状態],F$304),
_xlpm.受入+_xlpm.余剰化受入-_xlpm.払出))</f>
        <v/>
      </c>
      <c r="G382" s="8" t="str">
        <f>IF($C382="","",_xlfn.LET(
_xlpm.受入,SUMIFS(tbl_ledger[数量],tbl_ledger[localId],$C382,tbl_ledger[イベント種類],"アセンブリ開始",tbl_ledger[ロットID],"="),
_xlpm.余剰化受入,SUMIFS(tbl_ledger[数量],tbl_ledger[localId],$C382,tbl_ledger[イベント種類],"余剰化",tbl_ledger[元状態],G$304),
_xlpm.払出,SUMIFS(tbl_ledger[数量],tbl_ledger[localId],$C382,tbl_ledger[ロットID],"=",tbl_ledger[元状態],G$304),
_xlpm.受入+_xlpm.余剰化受入-_xlpm.払出))</f>
        <v/>
      </c>
      <c r="H382" s="8" t="str">
        <f>IF($C382="","",_xlfn.LET(
_xlpm.受入,SUMIFS(tbl_ledger[数量],tbl_ledger[localId],$C382,tbl_ledger[イベント種類],"アセンブリ完了",tbl_ledger[ロットID],"="),
_xlpm.余剰化受入,SUMIFS(tbl_ledger[数量],tbl_ledger[localId],$C382,tbl_ledger[イベント種類],"余剰化",tbl_ledger[元状態],H$304),
_xlpm.払出,SUMIFS(tbl_ledger[数量],tbl_ledger[localId],$C382,tbl_ledger[ロットID],"=",tbl_ledger[元状態],H$304),
_xlpm.受入+_xlpm.余剰化受入-_xlpm.払出))</f>
        <v/>
      </c>
      <c r="I382" s="8" t="str">
        <f>IF($C382="","",_xlfn.LET(
_xlpm.受入,SUMIFS(tbl_ledger[数量],tbl_ledger[localId],$C382,tbl_ledger[イベント種類],"梱包開始",tbl_ledger[ロットID],"="),
_xlpm.余剰化受入,SUMIFS(tbl_ledger[数量],tbl_ledger[localId],$C382,tbl_ledger[イベント種類],"余剰化",tbl_ledger[元状態],I$304),
_xlpm.払出,SUMIFS(tbl_ledger[数量],tbl_ledger[localId],$C382,tbl_ledger[ロットID],"=",tbl_ledger[元状態],I$304),
_xlpm.受入+_xlpm.余剰化受入-_xlpm.払出))</f>
        <v/>
      </c>
      <c r="J382" s="8" t="str">
        <f>IF($C382="","",_xlfn.LET(
_xlpm.受入,SUMIFS(tbl_ledger[数量],tbl_ledger[localId],$C382,tbl_ledger[イベント種類],"梱包完了",tbl_ledger[ロットID],"="),
_xlpm.余剰化受入,SUMIFS(tbl_ledger[数量],tbl_ledger[localId],$C382,tbl_ledger[イベント種類],"余剰化",tbl_ledger[元状態],J$304),
_xlpm.払出,SUMIFS(tbl_ledger[数量],tbl_ledger[localId],$C382,tbl_ledger[ロットID],"=",tbl_ledger[元状態],J$304),
_xlpm.受入+_xlpm.余剰化受入-_xlpm.払出))</f>
        <v/>
      </c>
      <c r="K382" s="8" t="str">
        <f>IF($C382="","",_xlfn.LET(
_xlpm.受入,SUMIFS(tbl_ledger[数量],tbl_ledger[localId],$C382,tbl_ledger[イベント種類],"発送準備開始",tbl_ledger[ロットID],"="),
_xlpm.余剰化受入,SUMIFS(tbl_ledger[数量],tbl_ledger[localId],$C382,tbl_ledger[イベント種類],"余剰化",tbl_ledger[元状態],K$304),
_xlpm.払出,SUMIFS(tbl_ledger[数量],tbl_ledger[localId],$C382,tbl_ledger[ロットID],"=",tbl_ledger[元状態],K$304),
_xlpm.受入+_xlpm.余剰化受入-_xlpm.払出))</f>
        <v/>
      </c>
      <c r="L382" s="8" t="str">
        <f>IF($C382="","",_xlfn.LET(
_xlpm.受入,SUMIFS(tbl_ledger[数量],tbl_ledger[localId],$C382,tbl_ledger[イベント種類],"発送準備完了",tbl_ledger[ロットID],"="),
_xlpm.余剰化受入,SUMIFS(tbl_ledger[数量],tbl_ledger[localId],$C382,tbl_ledger[イベント種類],"余剰化",tbl_ledger[元状態],L$304),
_xlpm.払出,SUMIFS(tbl_ledger[数量],tbl_ledger[localId],$C382,tbl_ledger[ロットID],"=",tbl_ledger[元状態],L$304),
_xlpm.受入+_xlpm.余剰化受入-_xlpm.払出))</f>
        <v/>
      </c>
      <c r="M382" s="8" t="str">
        <f>IF($C382="","",_xlfn.LET(
_xlpm.受入,SUMIFS(tbl_ledger[数量],tbl_ledger[localId],$C382,tbl_ledger[イベント種類],"不良発生",tbl_ledger[ロットID],"="),
_xlpm.余剰化受入,SUMIFS(tbl_ledger[数量],tbl_ledger[localId],$C382,tbl_ledger[イベント種類],"余剰化",tbl_ledger[元状態],M$304),
_xlpm.払出,SUMIFS(tbl_ledger[数量],tbl_ledger[localId],$C382,tbl_ledger[ロットID],"=",tbl_ledger[元状態],M$304),
_xlpm.受入+_xlpm.余剰化受入-_xlpm.払出))</f>
        <v/>
      </c>
      <c r="N382" s="8" t="str">
        <f t="shared" si="15"/>
        <v/>
      </c>
    </row>
    <row r="383" spans="1:14" ht="15" customHeight="1" x14ac:dyDescent="0.25">
      <c r="A383" s="4" t="str">
        <f t="shared" si="14"/>
        <v/>
      </c>
      <c r="B383" s="4"/>
      <c r="C383" s="4" t="str">
        <f>IFERROR(INDEX(tbl_master[localId],ROW()-304),"")</f>
        <v/>
      </c>
      <c r="D383" s="8" t="str">
        <f>IF($C383="","",_xlfn.LET(
_xlpm.搬入計,SUMIFS(tbl_ledger[数量],tbl_ledger[localId],$C383,tbl_ledger[イベント種類],"搬入"),
_xlpm.割当計,SUMIF(V_充足確認!$B$2:$B$301,$C383,V_充足確認!$F$2:$F$301),
_xlpm.余剰化受入,SUMIFS(tbl_ledger[数量],tbl_ledger[localId],$C383,tbl_ledger[イベント種類],"余剰化",tbl_ledger[元状態],D$304),
_xlpm.払出,SUMIFS(tbl_ledger[数量],tbl_ledger[localId],$C383,tbl_ledger[ロットID],"=",tbl_ledger[元状態],D$304),
_xlpm.搬入計-_xlpm.割当計+_xlpm.余剰化受入-_xlpm.払出))</f>
        <v/>
      </c>
      <c r="E383" s="8" t="str">
        <f>IF($C383="","",_xlfn.LET(
_xlpm.受入,SUMIFS(tbl_ledger[数量],tbl_ledger[localId],$C383,tbl_ledger[イベント種類],"アニール開始",tbl_ledger[ロットID],"="),
_xlpm.余剰化受入,SUMIFS(tbl_ledger[数量],tbl_ledger[localId],$C383,tbl_ledger[イベント種類],"余剰化",tbl_ledger[元状態],E$304),
_xlpm.払出,SUMIFS(tbl_ledger[数量],tbl_ledger[localId],$C383,tbl_ledger[ロットID],"=",tbl_ledger[元状態],E$304),
_xlpm.受入+_xlpm.余剰化受入-_xlpm.払出))</f>
        <v/>
      </c>
      <c r="F383" s="8" t="str">
        <f>IF($C383="","",_xlfn.LET(
_xlpm.受入,SUMIFS(tbl_ledger[数量],tbl_ledger[localId],$C383,tbl_ledger[イベント種類],"アニール完了",tbl_ledger[ロットID],"="),
_xlpm.余剰化受入,SUMIFS(tbl_ledger[数量],tbl_ledger[localId],$C383,tbl_ledger[イベント種類],"余剰化",tbl_ledger[元状態],F$304),
_xlpm.払出,SUMIFS(tbl_ledger[数量],tbl_ledger[localId],$C383,tbl_ledger[ロットID],"=",tbl_ledger[元状態],F$304),
_xlpm.受入+_xlpm.余剰化受入-_xlpm.払出))</f>
        <v/>
      </c>
      <c r="G383" s="8" t="str">
        <f>IF($C383="","",_xlfn.LET(
_xlpm.受入,SUMIFS(tbl_ledger[数量],tbl_ledger[localId],$C383,tbl_ledger[イベント種類],"アセンブリ開始",tbl_ledger[ロットID],"="),
_xlpm.余剰化受入,SUMIFS(tbl_ledger[数量],tbl_ledger[localId],$C383,tbl_ledger[イベント種類],"余剰化",tbl_ledger[元状態],G$304),
_xlpm.払出,SUMIFS(tbl_ledger[数量],tbl_ledger[localId],$C383,tbl_ledger[ロットID],"=",tbl_ledger[元状態],G$304),
_xlpm.受入+_xlpm.余剰化受入-_xlpm.払出))</f>
        <v/>
      </c>
      <c r="H383" s="8" t="str">
        <f>IF($C383="","",_xlfn.LET(
_xlpm.受入,SUMIFS(tbl_ledger[数量],tbl_ledger[localId],$C383,tbl_ledger[イベント種類],"アセンブリ完了",tbl_ledger[ロットID],"="),
_xlpm.余剰化受入,SUMIFS(tbl_ledger[数量],tbl_ledger[localId],$C383,tbl_ledger[イベント種類],"余剰化",tbl_ledger[元状態],H$304),
_xlpm.払出,SUMIFS(tbl_ledger[数量],tbl_ledger[localId],$C383,tbl_ledger[ロットID],"=",tbl_ledger[元状態],H$304),
_xlpm.受入+_xlpm.余剰化受入-_xlpm.払出))</f>
        <v/>
      </c>
      <c r="I383" s="8" t="str">
        <f>IF($C383="","",_xlfn.LET(
_xlpm.受入,SUMIFS(tbl_ledger[数量],tbl_ledger[localId],$C383,tbl_ledger[イベント種類],"梱包開始",tbl_ledger[ロットID],"="),
_xlpm.余剰化受入,SUMIFS(tbl_ledger[数量],tbl_ledger[localId],$C383,tbl_ledger[イベント種類],"余剰化",tbl_ledger[元状態],I$304),
_xlpm.払出,SUMIFS(tbl_ledger[数量],tbl_ledger[localId],$C383,tbl_ledger[ロットID],"=",tbl_ledger[元状態],I$304),
_xlpm.受入+_xlpm.余剰化受入-_xlpm.払出))</f>
        <v/>
      </c>
      <c r="J383" s="8" t="str">
        <f>IF($C383="","",_xlfn.LET(
_xlpm.受入,SUMIFS(tbl_ledger[数量],tbl_ledger[localId],$C383,tbl_ledger[イベント種類],"梱包完了",tbl_ledger[ロットID],"="),
_xlpm.余剰化受入,SUMIFS(tbl_ledger[数量],tbl_ledger[localId],$C383,tbl_ledger[イベント種類],"余剰化",tbl_ledger[元状態],J$304),
_xlpm.払出,SUMIFS(tbl_ledger[数量],tbl_ledger[localId],$C383,tbl_ledger[ロットID],"=",tbl_ledger[元状態],J$304),
_xlpm.受入+_xlpm.余剰化受入-_xlpm.払出))</f>
        <v/>
      </c>
      <c r="K383" s="8" t="str">
        <f>IF($C383="","",_xlfn.LET(
_xlpm.受入,SUMIFS(tbl_ledger[数量],tbl_ledger[localId],$C383,tbl_ledger[イベント種類],"発送準備開始",tbl_ledger[ロットID],"="),
_xlpm.余剰化受入,SUMIFS(tbl_ledger[数量],tbl_ledger[localId],$C383,tbl_ledger[イベント種類],"余剰化",tbl_ledger[元状態],K$304),
_xlpm.払出,SUMIFS(tbl_ledger[数量],tbl_ledger[localId],$C383,tbl_ledger[ロットID],"=",tbl_ledger[元状態],K$304),
_xlpm.受入+_xlpm.余剰化受入-_xlpm.払出))</f>
        <v/>
      </c>
      <c r="L383" s="8" t="str">
        <f>IF($C383="","",_xlfn.LET(
_xlpm.受入,SUMIFS(tbl_ledger[数量],tbl_ledger[localId],$C383,tbl_ledger[イベント種類],"発送準備完了",tbl_ledger[ロットID],"="),
_xlpm.余剰化受入,SUMIFS(tbl_ledger[数量],tbl_ledger[localId],$C383,tbl_ledger[イベント種類],"余剰化",tbl_ledger[元状態],L$304),
_xlpm.払出,SUMIFS(tbl_ledger[数量],tbl_ledger[localId],$C383,tbl_ledger[ロットID],"=",tbl_ledger[元状態],L$304),
_xlpm.受入+_xlpm.余剰化受入-_xlpm.払出))</f>
        <v/>
      </c>
      <c r="M383" s="8" t="str">
        <f>IF($C383="","",_xlfn.LET(
_xlpm.受入,SUMIFS(tbl_ledger[数量],tbl_ledger[localId],$C383,tbl_ledger[イベント種類],"不良発生",tbl_ledger[ロットID],"="),
_xlpm.余剰化受入,SUMIFS(tbl_ledger[数量],tbl_ledger[localId],$C383,tbl_ledger[イベント種類],"余剰化",tbl_ledger[元状態],M$304),
_xlpm.払出,SUMIFS(tbl_ledger[数量],tbl_ledger[localId],$C383,tbl_ledger[ロットID],"=",tbl_ledger[元状態],M$304),
_xlpm.受入+_xlpm.余剰化受入-_xlpm.払出))</f>
        <v/>
      </c>
      <c r="N383" s="8" t="str">
        <f t="shared" si="15"/>
        <v/>
      </c>
    </row>
    <row r="384" spans="1:14" ht="15" customHeight="1" x14ac:dyDescent="0.25">
      <c r="A384" s="4" t="str">
        <f t="shared" si="14"/>
        <v/>
      </c>
      <c r="B384" s="4"/>
      <c r="C384" s="4" t="str">
        <f>IFERROR(INDEX(tbl_master[localId],ROW()-304),"")</f>
        <v/>
      </c>
      <c r="D384" s="8" t="str">
        <f>IF($C384="","",_xlfn.LET(
_xlpm.搬入計,SUMIFS(tbl_ledger[数量],tbl_ledger[localId],$C384,tbl_ledger[イベント種類],"搬入"),
_xlpm.割当計,SUMIF(V_充足確認!$B$2:$B$301,$C384,V_充足確認!$F$2:$F$301),
_xlpm.余剰化受入,SUMIFS(tbl_ledger[数量],tbl_ledger[localId],$C384,tbl_ledger[イベント種類],"余剰化",tbl_ledger[元状態],D$304),
_xlpm.払出,SUMIFS(tbl_ledger[数量],tbl_ledger[localId],$C384,tbl_ledger[ロットID],"=",tbl_ledger[元状態],D$304),
_xlpm.搬入計-_xlpm.割当計+_xlpm.余剰化受入-_xlpm.払出))</f>
        <v/>
      </c>
      <c r="E384" s="8" t="str">
        <f>IF($C384="","",_xlfn.LET(
_xlpm.受入,SUMIFS(tbl_ledger[数量],tbl_ledger[localId],$C384,tbl_ledger[イベント種類],"アニール開始",tbl_ledger[ロットID],"="),
_xlpm.余剰化受入,SUMIFS(tbl_ledger[数量],tbl_ledger[localId],$C384,tbl_ledger[イベント種類],"余剰化",tbl_ledger[元状態],E$304),
_xlpm.払出,SUMIFS(tbl_ledger[数量],tbl_ledger[localId],$C384,tbl_ledger[ロットID],"=",tbl_ledger[元状態],E$304),
_xlpm.受入+_xlpm.余剰化受入-_xlpm.払出))</f>
        <v/>
      </c>
      <c r="F384" s="8" t="str">
        <f>IF($C384="","",_xlfn.LET(
_xlpm.受入,SUMIFS(tbl_ledger[数量],tbl_ledger[localId],$C384,tbl_ledger[イベント種類],"アニール完了",tbl_ledger[ロットID],"="),
_xlpm.余剰化受入,SUMIFS(tbl_ledger[数量],tbl_ledger[localId],$C384,tbl_ledger[イベント種類],"余剰化",tbl_ledger[元状態],F$304),
_xlpm.払出,SUMIFS(tbl_ledger[数量],tbl_ledger[localId],$C384,tbl_ledger[ロットID],"=",tbl_ledger[元状態],F$304),
_xlpm.受入+_xlpm.余剰化受入-_xlpm.払出))</f>
        <v/>
      </c>
      <c r="G384" s="8" t="str">
        <f>IF($C384="","",_xlfn.LET(
_xlpm.受入,SUMIFS(tbl_ledger[数量],tbl_ledger[localId],$C384,tbl_ledger[イベント種類],"アセンブリ開始",tbl_ledger[ロットID],"="),
_xlpm.余剰化受入,SUMIFS(tbl_ledger[数量],tbl_ledger[localId],$C384,tbl_ledger[イベント種類],"余剰化",tbl_ledger[元状態],G$304),
_xlpm.払出,SUMIFS(tbl_ledger[数量],tbl_ledger[localId],$C384,tbl_ledger[ロットID],"=",tbl_ledger[元状態],G$304),
_xlpm.受入+_xlpm.余剰化受入-_xlpm.払出))</f>
        <v/>
      </c>
      <c r="H384" s="8" t="str">
        <f>IF($C384="","",_xlfn.LET(
_xlpm.受入,SUMIFS(tbl_ledger[数量],tbl_ledger[localId],$C384,tbl_ledger[イベント種類],"アセンブリ完了",tbl_ledger[ロットID],"="),
_xlpm.余剰化受入,SUMIFS(tbl_ledger[数量],tbl_ledger[localId],$C384,tbl_ledger[イベント種類],"余剰化",tbl_ledger[元状態],H$304),
_xlpm.払出,SUMIFS(tbl_ledger[数量],tbl_ledger[localId],$C384,tbl_ledger[ロットID],"=",tbl_ledger[元状態],H$304),
_xlpm.受入+_xlpm.余剰化受入-_xlpm.払出))</f>
        <v/>
      </c>
      <c r="I384" s="8" t="str">
        <f>IF($C384="","",_xlfn.LET(
_xlpm.受入,SUMIFS(tbl_ledger[数量],tbl_ledger[localId],$C384,tbl_ledger[イベント種類],"梱包開始",tbl_ledger[ロットID],"="),
_xlpm.余剰化受入,SUMIFS(tbl_ledger[数量],tbl_ledger[localId],$C384,tbl_ledger[イベント種類],"余剰化",tbl_ledger[元状態],I$304),
_xlpm.払出,SUMIFS(tbl_ledger[数量],tbl_ledger[localId],$C384,tbl_ledger[ロットID],"=",tbl_ledger[元状態],I$304),
_xlpm.受入+_xlpm.余剰化受入-_xlpm.払出))</f>
        <v/>
      </c>
      <c r="J384" s="8" t="str">
        <f>IF($C384="","",_xlfn.LET(
_xlpm.受入,SUMIFS(tbl_ledger[数量],tbl_ledger[localId],$C384,tbl_ledger[イベント種類],"梱包完了",tbl_ledger[ロットID],"="),
_xlpm.余剰化受入,SUMIFS(tbl_ledger[数量],tbl_ledger[localId],$C384,tbl_ledger[イベント種類],"余剰化",tbl_ledger[元状態],J$304),
_xlpm.払出,SUMIFS(tbl_ledger[数量],tbl_ledger[localId],$C384,tbl_ledger[ロットID],"=",tbl_ledger[元状態],J$304),
_xlpm.受入+_xlpm.余剰化受入-_xlpm.払出))</f>
        <v/>
      </c>
      <c r="K384" s="8" t="str">
        <f>IF($C384="","",_xlfn.LET(
_xlpm.受入,SUMIFS(tbl_ledger[数量],tbl_ledger[localId],$C384,tbl_ledger[イベント種類],"発送準備開始",tbl_ledger[ロットID],"="),
_xlpm.余剰化受入,SUMIFS(tbl_ledger[数量],tbl_ledger[localId],$C384,tbl_ledger[イベント種類],"余剰化",tbl_ledger[元状態],K$304),
_xlpm.払出,SUMIFS(tbl_ledger[数量],tbl_ledger[localId],$C384,tbl_ledger[ロットID],"=",tbl_ledger[元状態],K$304),
_xlpm.受入+_xlpm.余剰化受入-_xlpm.払出))</f>
        <v/>
      </c>
      <c r="L384" s="8" t="str">
        <f>IF($C384="","",_xlfn.LET(
_xlpm.受入,SUMIFS(tbl_ledger[数量],tbl_ledger[localId],$C384,tbl_ledger[イベント種類],"発送準備完了",tbl_ledger[ロットID],"="),
_xlpm.余剰化受入,SUMIFS(tbl_ledger[数量],tbl_ledger[localId],$C384,tbl_ledger[イベント種類],"余剰化",tbl_ledger[元状態],L$304),
_xlpm.払出,SUMIFS(tbl_ledger[数量],tbl_ledger[localId],$C384,tbl_ledger[ロットID],"=",tbl_ledger[元状態],L$304),
_xlpm.受入+_xlpm.余剰化受入-_xlpm.払出))</f>
        <v/>
      </c>
      <c r="M384" s="8" t="str">
        <f>IF($C384="","",_xlfn.LET(
_xlpm.受入,SUMIFS(tbl_ledger[数量],tbl_ledger[localId],$C384,tbl_ledger[イベント種類],"不良発生",tbl_ledger[ロットID],"="),
_xlpm.余剰化受入,SUMIFS(tbl_ledger[数量],tbl_ledger[localId],$C384,tbl_ledger[イベント種類],"余剰化",tbl_ledger[元状態],M$304),
_xlpm.払出,SUMIFS(tbl_ledger[数量],tbl_ledger[localId],$C384,tbl_ledger[ロットID],"=",tbl_ledger[元状態],M$304),
_xlpm.受入+_xlpm.余剰化受入-_xlpm.払出))</f>
        <v/>
      </c>
      <c r="N384" s="8" t="str">
        <f t="shared" si="15"/>
        <v/>
      </c>
    </row>
    <row r="385" spans="1:14" ht="15" customHeight="1" x14ac:dyDescent="0.25">
      <c r="A385" s="4" t="str">
        <f t="shared" si="14"/>
        <v/>
      </c>
      <c r="B385" s="4"/>
      <c r="C385" s="4" t="str">
        <f>IFERROR(INDEX(tbl_master[localId],ROW()-304),"")</f>
        <v/>
      </c>
      <c r="D385" s="8" t="str">
        <f>IF($C385="","",_xlfn.LET(
_xlpm.搬入計,SUMIFS(tbl_ledger[数量],tbl_ledger[localId],$C385,tbl_ledger[イベント種類],"搬入"),
_xlpm.割当計,SUMIF(V_充足確認!$B$2:$B$301,$C385,V_充足確認!$F$2:$F$301),
_xlpm.余剰化受入,SUMIFS(tbl_ledger[数量],tbl_ledger[localId],$C385,tbl_ledger[イベント種類],"余剰化",tbl_ledger[元状態],D$304),
_xlpm.払出,SUMIFS(tbl_ledger[数量],tbl_ledger[localId],$C385,tbl_ledger[ロットID],"=",tbl_ledger[元状態],D$304),
_xlpm.搬入計-_xlpm.割当計+_xlpm.余剰化受入-_xlpm.払出))</f>
        <v/>
      </c>
      <c r="E385" s="8" t="str">
        <f>IF($C385="","",_xlfn.LET(
_xlpm.受入,SUMIFS(tbl_ledger[数量],tbl_ledger[localId],$C385,tbl_ledger[イベント種類],"アニール開始",tbl_ledger[ロットID],"="),
_xlpm.余剰化受入,SUMIFS(tbl_ledger[数量],tbl_ledger[localId],$C385,tbl_ledger[イベント種類],"余剰化",tbl_ledger[元状態],E$304),
_xlpm.払出,SUMIFS(tbl_ledger[数量],tbl_ledger[localId],$C385,tbl_ledger[ロットID],"=",tbl_ledger[元状態],E$304),
_xlpm.受入+_xlpm.余剰化受入-_xlpm.払出))</f>
        <v/>
      </c>
      <c r="F385" s="8" t="str">
        <f>IF($C385="","",_xlfn.LET(
_xlpm.受入,SUMIFS(tbl_ledger[数量],tbl_ledger[localId],$C385,tbl_ledger[イベント種類],"アニール完了",tbl_ledger[ロットID],"="),
_xlpm.余剰化受入,SUMIFS(tbl_ledger[数量],tbl_ledger[localId],$C385,tbl_ledger[イベント種類],"余剰化",tbl_ledger[元状態],F$304),
_xlpm.払出,SUMIFS(tbl_ledger[数量],tbl_ledger[localId],$C385,tbl_ledger[ロットID],"=",tbl_ledger[元状態],F$304),
_xlpm.受入+_xlpm.余剰化受入-_xlpm.払出))</f>
        <v/>
      </c>
      <c r="G385" s="8" t="str">
        <f>IF($C385="","",_xlfn.LET(
_xlpm.受入,SUMIFS(tbl_ledger[数量],tbl_ledger[localId],$C385,tbl_ledger[イベント種類],"アセンブリ開始",tbl_ledger[ロットID],"="),
_xlpm.余剰化受入,SUMIFS(tbl_ledger[数量],tbl_ledger[localId],$C385,tbl_ledger[イベント種類],"余剰化",tbl_ledger[元状態],G$304),
_xlpm.払出,SUMIFS(tbl_ledger[数量],tbl_ledger[localId],$C385,tbl_ledger[ロットID],"=",tbl_ledger[元状態],G$304),
_xlpm.受入+_xlpm.余剰化受入-_xlpm.払出))</f>
        <v/>
      </c>
      <c r="H385" s="8" t="str">
        <f>IF($C385="","",_xlfn.LET(
_xlpm.受入,SUMIFS(tbl_ledger[数量],tbl_ledger[localId],$C385,tbl_ledger[イベント種類],"アセンブリ完了",tbl_ledger[ロットID],"="),
_xlpm.余剰化受入,SUMIFS(tbl_ledger[数量],tbl_ledger[localId],$C385,tbl_ledger[イベント種類],"余剰化",tbl_ledger[元状態],H$304),
_xlpm.払出,SUMIFS(tbl_ledger[数量],tbl_ledger[localId],$C385,tbl_ledger[ロットID],"=",tbl_ledger[元状態],H$304),
_xlpm.受入+_xlpm.余剰化受入-_xlpm.払出))</f>
        <v/>
      </c>
      <c r="I385" s="8" t="str">
        <f>IF($C385="","",_xlfn.LET(
_xlpm.受入,SUMIFS(tbl_ledger[数量],tbl_ledger[localId],$C385,tbl_ledger[イベント種類],"梱包開始",tbl_ledger[ロットID],"="),
_xlpm.余剰化受入,SUMIFS(tbl_ledger[数量],tbl_ledger[localId],$C385,tbl_ledger[イベント種類],"余剰化",tbl_ledger[元状態],I$304),
_xlpm.払出,SUMIFS(tbl_ledger[数量],tbl_ledger[localId],$C385,tbl_ledger[ロットID],"=",tbl_ledger[元状態],I$304),
_xlpm.受入+_xlpm.余剰化受入-_xlpm.払出))</f>
        <v/>
      </c>
      <c r="J385" s="8" t="str">
        <f>IF($C385="","",_xlfn.LET(
_xlpm.受入,SUMIFS(tbl_ledger[数量],tbl_ledger[localId],$C385,tbl_ledger[イベント種類],"梱包完了",tbl_ledger[ロットID],"="),
_xlpm.余剰化受入,SUMIFS(tbl_ledger[数量],tbl_ledger[localId],$C385,tbl_ledger[イベント種類],"余剰化",tbl_ledger[元状態],J$304),
_xlpm.払出,SUMIFS(tbl_ledger[数量],tbl_ledger[localId],$C385,tbl_ledger[ロットID],"=",tbl_ledger[元状態],J$304),
_xlpm.受入+_xlpm.余剰化受入-_xlpm.払出))</f>
        <v/>
      </c>
      <c r="K385" s="8" t="str">
        <f>IF($C385="","",_xlfn.LET(
_xlpm.受入,SUMIFS(tbl_ledger[数量],tbl_ledger[localId],$C385,tbl_ledger[イベント種類],"発送準備開始",tbl_ledger[ロットID],"="),
_xlpm.余剰化受入,SUMIFS(tbl_ledger[数量],tbl_ledger[localId],$C385,tbl_ledger[イベント種類],"余剰化",tbl_ledger[元状態],K$304),
_xlpm.払出,SUMIFS(tbl_ledger[数量],tbl_ledger[localId],$C385,tbl_ledger[ロットID],"=",tbl_ledger[元状態],K$304),
_xlpm.受入+_xlpm.余剰化受入-_xlpm.払出))</f>
        <v/>
      </c>
      <c r="L385" s="8" t="str">
        <f>IF($C385="","",_xlfn.LET(
_xlpm.受入,SUMIFS(tbl_ledger[数量],tbl_ledger[localId],$C385,tbl_ledger[イベント種類],"発送準備完了",tbl_ledger[ロットID],"="),
_xlpm.余剰化受入,SUMIFS(tbl_ledger[数量],tbl_ledger[localId],$C385,tbl_ledger[イベント種類],"余剰化",tbl_ledger[元状態],L$304),
_xlpm.払出,SUMIFS(tbl_ledger[数量],tbl_ledger[localId],$C385,tbl_ledger[ロットID],"=",tbl_ledger[元状態],L$304),
_xlpm.受入+_xlpm.余剰化受入-_xlpm.払出))</f>
        <v/>
      </c>
      <c r="M385" s="8" t="str">
        <f>IF($C385="","",_xlfn.LET(
_xlpm.受入,SUMIFS(tbl_ledger[数量],tbl_ledger[localId],$C385,tbl_ledger[イベント種類],"不良発生",tbl_ledger[ロットID],"="),
_xlpm.余剰化受入,SUMIFS(tbl_ledger[数量],tbl_ledger[localId],$C385,tbl_ledger[イベント種類],"余剰化",tbl_ledger[元状態],M$304),
_xlpm.払出,SUMIFS(tbl_ledger[数量],tbl_ledger[localId],$C385,tbl_ledger[ロットID],"=",tbl_ledger[元状態],M$304),
_xlpm.受入+_xlpm.余剰化受入-_xlpm.払出))</f>
        <v/>
      </c>
      <c r="N385" s="8" t="str">
        <f t="shared" si="15"/>
        <v/>
      </c>
    </row>
    <row r="386" spans="1:14" ht="15" customHeight="1" x14ac:dyDescent="0.25">
      <c r="A386" s="4" t="str">
        <f t="shared" si="14"/>
        <v/>
      </c>
      <c r="B386" s="4"/>
      <c r="C386" s="4" t="str">
        <f>IFERROR(INDEX(tbl_master[localId],ROW()-304),"")</f>
        <v/>
      </c>
      <c r="D386" s="8" t="str">
        <f>IF($C386="","",_xlfn.LET(
_xlpm.搬入計,SUMIFS(tbl_ledger[数量],tbl_ledger[localId],$C386,tbl_ledger[イベント種類],"搬入"),
_xlpm.割当計,SUMIF(V_充足確認!$B$2:$B$301,$C386,V_充足確認!$F$2:$F$301),
_xlpm.余剰化受入,SUMIFS(tbl_ledger[数量],tbl_ledger[localId],$C386,tbl_ledger[イベント種類],"余剰化",tbl_ledger[元状態],D$304),
_xlpm.払出,SUMIFS(tbl_ledger[数量],tbl_ledger[localId],$C386,tbl_ledger[ロットID],"=",tbl_ledger[元状態],D$304),
_xlpm.搬入計-_xlpm.割当計+_xlpm.余剰化受入-_xlpm.払出))</f>
        <v/>
      </c>
      <c r="E386" s="8" t="str">
        <f>IF($C386="","",_xlfn.LET(
_xlpm.受入,SUMIFS(tbl_ledger[数量],tbl_ledger[localId],$C386,tbl_ledger[イベント種類],"アニール開始",tbl_ledger[ロットID],"="),
_xlpm.余剰化受入,SUMIFS(tbl_ledger[数量],tbl_ledger[localId],$C386,tbl_ledger[イベント種類],"余剰化",tbl_ledger[元状態],E$304),
_xlpm.払出,SUMIFS(tbl_ledger[数量],tbl_ledger[localId],$C386,tbl_ledger[ロットID],"=",tbl_ledger[元状態],E$304),
_xlpm.受入+_xlpm.余剰化受入-_xlpm.払出))</f>
        <v/>
      </c>
      <c r="F386" s="8" t="str">
        <f>IF($C386="","",_xlfn.LET(
_xlpm.受入,SUMIFS(tbl_ledger[数量],tbl_ledger[localId],$C386,tbl_ledger[イベント種類],"アニール完了",tbl_ledger[ロットID],"="),
_xlpm.余剰化受入,SUMIFS(tbl_ledger[数量],tbl_ledger[localId],$C386,tbl_ledger[イベント種類],"余剰化",tbl_ledger[元状態],F$304),
_xlpm.払出,SUMIFS(tbl_ledger[数量],tbl_ledger[localId],$C386,tbl_ledger[ロットID],"=",tbl_ledger[元状態],F$304),
_xlpm.受入+_xlpm.余剰化受入-_xlpm.払出))</f>
        <v/>
      </c>
      <c r="G386" s="8" t="str">
        <f>IF($C386="","",_xlfn.LET(
_xlpm.受入,SUMIFS(tbl_ledger[数量],tbl_ledger[localId],$C386,tbl_ledger[イベント種類],"アセンブリ開始",tbl_ledger[ロットID],"="),
_xlpm.余剰化受入,SUMIFS(tbl_ledger[数量],tbl_ledger[localId],$C386,tbl_ledger[イベント種類],"余剰化",tbl_ledger[元状態],G$304),
_xlpm.払出,SUMIFS(tbl_ledger[数量],tbl_ledger[localId],$C386,tbl_ledger[ロットID],"=",tbl_ledger[元状態],G$304),
_xlpm.受入+_xlpm.余剰化受入-_xlpm.払出))</f>
        <v/>
      </c>
      <c r="H386" s="8" t="str">
        <f>IF($C386="","",_xlfn.LET(
_xlpm.受入,SUMIFS(tbl_ledger[数量],tbl_ledger[localId],$C386,tbl_ledger[イベント種類],"アセンブリ完了",tbl_ledger[ロットID],"="),
_xlpm.余剰化受入,SUMIFS(tbl_ledger[数量],tbl_ledger[localId],$C386,tbl_ledger[イベント種類],"余剰化",tbl_ledger[元状態],H$304),
_xlpm.払出,SUMIFS(tbl_ledger[数量],tbl_ledger[localId],$C386,tbl_ledger[ロットID],"=",tbl_ledger[元状態],H$304),
_xlpm.受入+_xlpm.余剰化受入-_xlpm.払出))</f>
        <v/>
      </c>
      <c r="I386" s="8" t="str">
        <f>IF($C386="","",_xlfn.LET(
_xlpm.受入,SUMIFS(tbl_ledger[数量],tbl_ledger[localId],$C386,tbl_ledger[イベント種類],"梱包開始",tbl_ledger[ロットID],"="),
_xlpm.余剰化受入,SUMIFS(tbl_ledger[数量],tbl_ledger[localId],$C386,tbl_ledger[イベント種類],"余剰化",tbl_ledger[元状態],I$304),
_xlpm.払出,SUMIFS(tbl_ledger[数量],tbl_ledger[localId],$C386,tbl_ledger[ロットID],"=",tbl_ledger[元状態],I$304),
_xlpm.受入+_xlpm.余剰化受入-_xlpm.払出))</f>
        <v/>
      </c>
      <c r="J386" s="8" t="str">
        <f>IF($C386="","",_xlfn.LET(
_xlpm.受入,SUMIFS(tbl_ledger[数量],tbl_ledger[localId],$C386,tbl_ledger[イベント種類],"梱包完了",tbl_ledger[ロットID],"="),
_xlpm.余剰化受入,SUMIFS(tbl_ledger[数量],tbl_ledger[localId],$C386,tbl_ledger[イベント種類],"余剰化",tbl_ledger[元状態],J$304),
_xlpm.払出,SUMIFS(tbl_ledger[数量],tbl_ledger[localId],$C386,tbl_ledger[ロットID],"=",tbl_ledger[元状態],J$304),
_xlpm.受入+_xlpm.余剰化受入-_xlpm.払出))</f>
        <v/>
      </c>
      <c r="K386" s="8" t="str">
        <f>IF($C386="","",_xlfn.LET(
_xlpm.受入,SUMIFS(tbl_ledger[数量],tbl_ledger[localId],$C386,tbl_ledger[イベント種類],"発送準備開始",tbl_ledger[ロットID],"="),
_xlpm.余剰化受入,SUMIFS(tbl_ledger[数量],tbl_ledger[localId],$C386,tbl_ledger[イベント種類],"余剰化",tbl_ledger[元状態],K$304),
_xlpm.払出,SUMIFS(tbl_ledger[数量],tbl_ledger[localId],$C386,tbl_ledger[ロットID],"=",tbl_ledger[元状態],K$304),
_xlpm.受入+_xlpm.余剰化受入-_xlpm.払出))</f>
        <v/>
      </c>
      <c r="L386" s="8" t="str">
        <f>IF($C386="","",_xlfn.LET(
_xlpm.受入,SUMIFS(tbl_ledger[数量],tbl_ledger[localId],$C386,tbl_ledger[イベント種類],"発送準備完了",tbl_ledger[ロットID],"="),
_xlpm.余剰化受入,SUMIFS(tbl_ledger[数量],tbl_ledger[localId],$C386,tbl_ledger[イベント種類],"余剰化",tbl_ledger[元状態],L$304),
_xlpm.払出,SUMIFS(tbl_ledger[数量],tbl_ledger[localId],$C386,tbl_ledger[ロットID],"=",tbl_ledger[元状態],L$304),
_xlpm.受入+_xlpm.余剰化受入-_xlpm.払出))</f>
        <v/>
      </c>
      <c r="M386" s="8" t="str">
        <f>IF($C386="","",_xlfn.LET(
_xlpm.受入,SUMIFS(tbl_ledger[数量],tbl_ledger[localId],$C386,tbl_ledger[イベント種類],"不良発生",tbl_ledger[ロットID],"="),
_xlpm.余剰化受入,SUMIFS(tbl_ledger[数量],tbl_ledger[localId],$C386,tbl_ledger[イベント種類],"余剰化",tbl_ledger[元状態],M$304),
_xlpm.払出,SUMIFS(tbl_ledger[数量],tbl_ledger[localId],$C386,tbl_ledger[ロットID],"=",tbl_ledger[元状態],M$304),
_xlpm.受入+_xlpm.余剰化受入-_xlpm.払出))</f>
        <v/>
      </c>
      <c r="N386" s="8" t="str">
        <f t="shared" si="15"/>
        <v/>
      </c>
    </row>
    <row r="387" spans="1:14" ht="15" customHeight="1" x14ac:dyDescent="0.25">
      <c r="A387" s="4" t="str">
        <f t="shared" si="14"/>
        <v/>
      </c>
      <c r="B387" s="4"/>
      <c r="C387" s="4" t="str">
        <f>IFERROR(INDEX(tbl_master[localId],ROW()-304),"")</f>
        <v/>
      </c>
      <c r="D387" s="8" t="str">
        <f>IF($C387="","",_xlfn.LET(
_xlpm.搬入計,SUMIFS(tbl_ledger[数量],tbl_ledger[localId],$C387,tbl_ledger[イベント種類],"搬入"),
_xlpm.割当計,SUMIF(V_充足確認!$B$2:$B$301,$C387,V_充足確認!$F$2:$F$301),
_xlpm.余剰化受入,SUMIFS(tbl_ledger[数量],tbl_ledger[localId],$C387,tbl_ledger[イベント種類],"余剰化",tbl_ledger[元状態],D$304),
_xlpm.払出,SUMIFS(tbl_ledger[数量],tbl_ledger[localId],$C387,tbl_ledger[ロットID],"=",tbl_ledger[元状態],D$304),
_xlpm.搬入計-_xlpm.割当計+_xlpm.余剰化受入-_xlpm.払出))</f>
        <v/>
      </c>
      <c r="E387" s="8" t="str">
        <f>IF($C387="","",_xlfn.LET(
_xlpm.受入,SUMIFS(tbl_ledger[数量],tbl_ledger[localId],$C387,tbl_ledger[イベント種類],"アニール開始",tbl_ledger[ロットID],"="),
_xlpm.余剰化受入,SUMIFS(tbl_ledger[数量],tbl_ledger[localId],$C387,tbl_ledger[イベント種類],"余剰化",tbl_ledger[元状態],E$304),
_xlpm.払出,SUMIFS(tbl_ledger[数量],tbl_ledger[localId],$C387,tbl_ledger[ロットID],"=",tbl_ledger[元状態],E$304),
_xlpm.受入+_xlpm.余剰化受入-_xlpm.払出))</f>
        <v/>
      </c>
      <c r="F387" s="8" t="str">
        <f>IF($C387="","",_xlfn.LET(
_xlpm.受入,SUMIFS(tbl_ledger[数量],tbl_ledger[localId],$C387,tbl_ledger[イベント種類],"アニール完了",tbl_ledger[ロットID],"="),
_xlpm.余剰化受入,SUMIFS(tbl_ledger[数量],tbl_ledger[localId],$C387,tbl_ledger[イベント種類],"余剰化",tbl_ledger[元状態],F$304),
_xlpm.払出,SUMIFS(tbl_ledger[数量],tbl_ledger[localId],$C387,tbl_ledger[ロットID],"=",tbl_ledger[元状態],F$304),
_xlpm.受入+_xlpm.余剰化受入-_xlpm.払出))</f>
        <v/>
      </c>
      <c r="G387" s="8" t="str">
        <f>IF($C387="","",_xlfn.LET(
_xlpm.受入,SUMIFS(tbl_ledger[数量],tbl_ledger[localId],$C387,tbl_ledger[イベント種類],"アセンブリ開始",tbl_ledger[ロットID],"="),
_xlpm.余剰化受入,SUMIFS(tbl_ledger[数量],tbl_ledger[localId],$C387,tbl_ledger[イベント種類],"余剰化",tbl_ledger[元状態],G$304),
_xlpm.払出,SUMIFS(tbl_ledger[数量],tbl_ledger[localId],$C387,tbl_ledger[ロットID],"=",tbl_ledger[元状態],G$304),
_xlpm.受入+_xlpm.余剰化受入-_xlpm.払出))</f>
        <v/>
      </c>
      <c r="H387" s="8" t="str">
        <f>IF($C387="","",_xlfn.LET(
_xlpm.受入,SUMIFS(tbl_ledger[数量],tbl_ledger[localId],$C387,tbl_ledger[イベント種類],"アセンブリ完了",tbl_ledger[ロットID],"="),
_xlpm.余剰化受入,SUMIFS(tbl_ledger[数量],tbl_ledger[localId],$C387,tbl_ledger[イベント種類],"余剰化",tbl_ledger[元状態],H$304),
_xlpm.払出,SUMIFS(tbl_ledger[数量],tbl_ledger[localId],$C387,tbl_ledger[ロットID],"=",tbl_ledger[元状態],H$304),
_xlpm.受入+_xlpm.余剰化受入-_xlpm.払出))</f>
        <v/>
      </c>
      <c r="I387" s="8" t="str">
        <f>IF($C387="","",_xlfn.LET(
_xlpm.受入,SUMIFS(tbl_ledger[数量],tbl_ledger[localId],$C387,tbl_ledger[イベント種類],"梱包開始",tbl_ledger[ロットID],"="),
_xlpm.余剰化受入,SUMIFS(tbl_ledger[数量],tbl_ledger[localId],$C387,tbl_ledger[イベント種類],"余剰化",tbl_ledger[元状態],I$304),
_xlpm.払出,SUMIFS(tbl_ledger[数量],tbl_ledger[localId],$C387,tbl_ledger[ロットID],"=",tbl_ledger[元状態],I$304),
_xlpm.受入+_xlpm.余剰化受入-_xlpm.払出))</f>
        <v/>
      </c>
      <c r="J387" s="8" t="str">
        <f>IF($C387="","",_xlfn.LET(
_xlpm.受入,SUMIFS(tbl_ledger[数量],tbl_ledger[localId],$C387,tbl_ledger[イベント種類],"梱包完了",tbl_ledger[ロットID],"="),
_xlpm.余剰化受入,SUMIFS(tbl_ledger[数量],tbl_ledger[localId],$C387,tbl_ledger[イベント種類],"余剰化",tbl_ledger[元状態],J$304),
_xlpm.払出,SUMIFS(tbl_ledger[数量],tbl_ledger[localId],$C387,tbl_ledger[ロットID],"=",tbl_ledger[元状態],J$304),
_xlpm.受入+_xlpm.余剰化受入-_xlpm.払出))</f>
        <v/>
      </c>
      <c r="K387" s="8" t="str">
        <f>IF($C387="","",_xlfn.LET(
_xlpm.受入,SUMIFS(tbl_ledger[数量],tbl_ledger[localId],$C387,tbl_ledger[イベント種類],"発送準備開始",tbl_ledger[ロットID],"="),
_xlpm.余剰化受入,SUMIFS(tbl_ledger[数量],tbl_ledger[localId],$C387,tbl_ledger[イベント種類],"余剰化",tbl_ledger[元状態],K$304),
_xlpm.払出,SUMIFS(tbl_ledger[数量],tbl_ledger[localId],$C387,tbl_ledger[ロットID],"=",tbl_ledger[元状態],K$304),
_xlpm.受入+_xlpm.余剰化受入-_xlpm.払出))</f>
        <v/>
      </c>
      <c r="L387" s="8" t="str">
        <f>IF($C387="","",_xlfn.LET(
_xlpm.受入,SUMIFS(tbl_ledger[数量],tbl_ledger[localId],$C387,tbl_ledger[イベント種類],"発送準備完了",tbl_ledger[ロットID],"="),
_xlpm.余剰化受入,SUMIFS(tbl_ledger[数量],tbl_ledger[localId],$C387,tbl_ledger[イベント種類],"余剰化",tbl_ledger[元状態],L$304),
_xlpm.払出,SUMIFS(tbl_ledger[数量],tbl_ledger[localId],$C387,tbl_ledger[ロットID],"=",tbl_ledger[元状態],L$304),
_xlpm.受入+_xlpm.余剰化受入-_xlpm.払出))</f>
        <v/>
      </c>
      <c r="M387" s="8" t="str">
        <f>IF($C387="","",_xlfn.LET(
_xlpm.受入,SUMIFS(tbl_ledger[数量],tbl_ledger[localId],$C387,tbl_ledger[イベント種類],"不良発生",tbl_ledger[ロットID],"="),
_xlpm.余剰化受入,SUMIFS(tbl_ledger[数量],tbl_ledger[localId],$C387,tbl_ledger[イベント種類],"余剰化",tbl_ledger[元状態],M$304),
_xlpm.払出,SUMIFS(tbl_ledger[数量],tbl_ledger[localId],$C387,tbl_ledger[ロットID],"=",tbl_ledger[元状態],M$304),
_xlpm.受入+_xlpm.余剰化受入-_xlpm.払出))</f>
        <v/>
      </c>
      <c r="N387" s="8" t="str">
        <f t="shared" si="15"/>
        <v/>
      </c>
    </row>
    <row r="388" spans="1:14" ht="15" customHeight="1" x14ac:dyDescent="0.25">
      <c r="A388" s="4" t="str">
        <f t="shared" si="14"/>
        <v/>
      </c>
      <c r="B388" s="4"/>
      <c r="C388" s="4" t="str">
        <f>IFERROR(INDEX(tbl_master[localId],ROW()-304),"")</f>
        <v/>
      </c>
      <c r="D388" s="8" t="str">
        <f>IF($C388="","",_xlfn.LET(
_xlpm.搬入計,SUMIFS(tbl_ledger[数量],tbl_ledger[localId],$C388,tbl_ledger[イベント種類],"搬入"),
_xlpm.割当計,SUMIF(V_充足確認!$B$2:$B$301,$C388,V_充足確認!$F$2:$F$301),
_xlpm.余剰化受入,SUMIFS(tbl_ledger[数量],tbl_ledger[localId],$C388,tbl_ledger[イベント種類],"余剰化",tbl_ledger[元状態],D$304),
_xlpm.払出,SUMIFS(tbl_ledger[数量],tbl_ledger[localId],$C388,tbl_ledger[ロットID],"=",tbl_ledger[元状態],D$304),
_xlpm.搬入計-_xlpm.割当計+_xlpm.余剰化受入-_xlpm.払出))</f>
        <v/>
      </c>
      <c r="E388" s="8" t="str">
        <f>IF($C388="","",_xlfn.LET(
_xlpm.受入,SUMIFS(tbl_ledger[数量],tbl_ledger[localId],$C388,tbl_ledger[イベント種類],"アニール開始",tbl_ledger[ロットID],"="),
_xlpm.余剰化受入,SUMIFS(tbl_ledger[数量],tbl_ledger[localId],$C388,tbl_ledger[イベント種類],"余剰化",tbl_ledger[元状態],E$304),
_xlpm.払出,SUMIFS(tbl_ledger[数量],tbl_ledger[localId],$C388,tbl_ledger[ロットID],"=",tbl_ledger[元状態],E$304),
_xlpm.受入+_xlpm.余剰化受入-_xlpm.払出))</f>
        <v/>
      </c>
      <c r="F388" s="8" t="str">
        <f>IF($C388="","",_xlfn.LET(
_xlpm.受入,SUMIFS(tbl_ledger[数量],tbl_ledger[localId],$C388,tbl_ledger[イベント種類],"アニール完了",tbl_ledger[ロットID],"="),
_xlpm.余剰化受入,SUMIFS(tbl_ledger[数量],tbl_ledger[localId],$C388,tbl_ledger[イベント種類],"余剰化",tbl_ledger[元状態],F$304),
_xlpm.払出,SUMIFS(tbl_ledger[数量],tbl_ledger[localId],$C388,tbl_ledger[ロットID],"=",tbl_ledger[元状態],F$304),
_xlpm.受入+_xlpm.余剰化受入-_xlpm.払出))</f>
        <v/>
      </c>
      <c r="G388" s="8" t="str">
        <f>IF($C388="","",_xlfn.LET(
_xlpm.受入,SUMIFS(tbl_ledger[数量],tbl_ledger[localId],$C388,tbl_ledger[イベント種類],"アセンブリ開始",tbl_ledger[ロットID],"="),
_xlpm.余剰化受入,SUMIFS(tbl_ledger[数量],tbl_ledger[localId],$C388,tbl_ledger[イベント種類],"余剰化",tbl_ledger[元状態],G$304),
_xlpm.払出,SUMIFS(tbl_ledger[数量],tbl_ledger[localId],$C388,tbl_ledger[ロットID],"=",tbl_ledger[元状態],G$304),
_xlpm.受入+_xlpm.余剰化受入-_xlpm.払出))</f>
        <v/>
      </c>
      <c r="H388" s="8" t="str">
        <f>IF($C388="","",_xlfn.LET(
_xlpm.受入,SUMIFS(tbl_ledger[数量],tbl_ledger[localId],$C388,tbl_ledger[イベント種類],"アセンブリ完了",tbl_ledger[ロットID],"="),
_xlpm.余剰化受入,SUMIFS(tbl_ledger[数量],tbl_ledger[localId],$C388,tbl_ledger[イベント種類],"余剰化",tbl_ledger[元状態],H$304),
_xlpm.払出,SUMIFS(tbl_ledger[数量],tbl_ledger[localId],$C388,tbl_ledger[ロットID],"=",tbl_ledger[元状態],H$304),
_xlpm.受入+_xlpm.余剰化受入-_xlpm.払出))</f>
        <v/>
      </c>
      <c r="I388" s="8" t="str">
        <f>IF($C388="","",_xlfn.LET(
_xlpm.受入,SUMIFS(tbl_ledger[数量],tbl_ledger[localId],$C388,tbl_ledger[イベント種類],"梱包開始",tbl_ledger[ロットID],"="),
_xlpm.余剰化受入,SUMIFS(tbl_ledger[数量],tbl_ledger[localId],$C388,tbl_ledger[イベント種類],"余剰化",tbl_ledger[元状態],I$304),
_xlpm.払出,SUMIFS(tbl_ledger[数量],tbl_ledger[localId],$C388,tbl_ledger[ロットID],"=",tbl_ledger[元状態],I$304),
_xlpm.受入+_xlpm.余剰化受入-_xlpm.払出))</f>
        <v/>
      </c>
      <c r="J388" s="8" t="str">
        <f>IF($C388="","",_xlfn.LET(
_xlpm.受入,SUMIFS(tbl_ledger[数量],tbl_ledger[localId],$C388,tbl_ledger[イベント種類],"梱包完了",tbl_ledger[ロットID],"="),
_xlpm.余剰化受入,SUMIFS(tbl_ledger[数量],tbl_ledger[localId],$C388,tbl_ledger[イベント種類],"余剰化",tbl_ledger[元状態],J$304),
_xlpm.払出,SUMIFS(tbl_ledger[数量],tbl_ledger[localId],$C388,tbl_ledger[ロットID],"=",tbl_ledger[元状態],J$304),
_xlpm.受入+_xlpm.余剰化受入-_xlpm.払出))</f>
        <v/>
      </c>
      <c r="K388" s="8" t="str">
        <f>IF($C388="","",_xlfn.LET(
_xlpm.受入,SUMIFS(tbl_ledger[数量],tbl_ledger[localId],$C388,tbl_ledger[イベント種類],"発送準備開始",tbl_ledger[ロットID],"="),
_xlpm.余剰化受入,SUMIFS(tbl_ledger[数量],tbl_ledger[localId],$C388,tbl_ledger[イベント種類],"余剰化",tbl_ledger[元状態],K$304),
_xlpm.払出,SUMIFS(tbl_ledger[数量],tbl_ledger[localId],$C388,tbl_ledger[ロットID],"=",tbl_ledger[元状態],K$304),
_xlpm.受入+_xlpm.余剰化受入-_xlpm.払出))</f>
        <v/>
      </c>
      <c r="L388" s="8" t="str">
        <f>IF($C388="","",_xlfn.LET(
_xlpm.受入,SUMIFS(tbl_ledger[数量],tbl_ledger[localId],$C388,tbl_ledger[イベント種類],"発送準備完了",tbl_ledger[ロットID],"="),
_xlpm.余剰化受入,SUMIFS(tbl_ledger[数量],tbl_ledger[localId],$C388,tbl_ledger[イベント種類],"余剰化",tbl_ledger[元状態],L$304),
_xlpm.払出,SUMIFS(tbl_ledger[数量],tbl_ledger[localId],$C388,tbl_ledger[ロットID],"=",tbl_ledger[元状態],L$304),
_xlpm.受入+_xlpm.余剰化受入-_xlpm.払出))</f>
        <v/>
      </c>
      <c r="M388" s="8" t="str">
        <f>IF($C388="","",_xlfn.LET(
_xlpm.受入,SUMIFS(tbl_ledger[数量],tbl_ledger[localId],$C388,tbl_ledger[イベント種類],"不良発生",tbl_ledger[ロットID],"="),
_xlpm.余剰化受入,SUMIFS(tbl_ledger[数量],tbl_ledger[localId],$C388,tbl_ledger[イベント種類],"余剰化",tbl_ledger[元状態],M$304),
_xlpm.払出,SUMIFS(tbl_ledger[数量],tbl_ledger[localId],$C388,tbl_ledger[ロットID],"=",tbl_ledger[元状態],M$304),
_xlpm.受入+_xlpm.余剰化受入-_xlpm.払出))</f>
        <v/>
      </c>
      <c r="N388" s="8" t="str">
        <f t="shared" si="15"/>
        <v/>
      </c>
    </row>
    <row r="389" spans="1:14" ht="15" customHeight="1" x14ac:dyDescent="0.25">
      <c r="A389" s="4" t="str">
        <f t="shared" si="14"/>
        <v/>
      </c>
      <c r="B389" s="4"/>
      <c r="C389" s="4" t="str">
        <f>IFERROR(INDEX(tbl_master[localId],ROW()-304),"")</f>
        <v/>
      </c>
      <c r="D389" s="8" t="str">
        <f>IF($C389="","",_xlfn.LET(
_xlpm.搬入計,SUMIFS(tbl_ledger[数量],tbl_ledger[localId],$C389,tbl_ledger[イベント種類],"搬入"),
_xlpm.割当計,SUMIF(V_充足確認!$B$2:$B$301,$C389,V_充足確認!$F$2:$F$301),
_xlpm.余剰化受入,SUMIFS(tbl_ledger[数量],tbl_ledger[localId],$C389,tbl_ledger[イベント種類],"余剰化",tbl_ledger[元状態],D$304),
_xlpm.払出,SUMIFS(tbl_ledger[数量],tbl_ledger[localId],$C389,tbl_ledger[ロットID],"=",tbl_ledger[元状態],D$304),
_xlpm.搬入計-_xlpm.割当計+_xlpm.余剰化受入-_xlpm.払出))</f>
        <v/>
      </c>
      <c r="E389" s="8" t="str">
        <f>IF($C389="","",_xlfn.LET(
_xlpm.受入,SUMIFS(tbl_ledger[数量],tbl_ledger[localId],$C389,tbl_ledger[イベント種類],"アニール開始",tbl_ledger[ロットID],"="),
_xlpm.余剰化受入,SUMIFS(tbl_ledger[数量],tbl_ledger[localId],$C389,tbl_ledger[イベント種類],"余剰化",tbl_ledger[元状態],E$304),
_xlpm.払出,SUMIFS(tbl_ledger[数量],tbl_ledger[localId],$C389,tbl_ledger[ロットID],"=",tbl_ledger[元状態],E$304),
_xlpm.受入+_xlpm.余剰化受入-_xlpm.払出))</f>
        <v/>
      </c>
      <c r="F389" s="8" t="str">
        <f>IF($C389="","",_xlfn.LET(
_xlpm.受入,SUMIFS(tbl_ledger[数量],tbl_ledger[localId],$C389,tbl_ledger[イベント種類],"アニール完了",tbl_ledger[ロットID],"="),
_xlpm.余剰化受入,SUMIFS(tbl_ledger[数量],tbl_ledger[localId],$C389,tbl_ledger[イベント種類],"余剰化",tbl_ledger[元状態],F$304),
_xlpm.払出,SUMIFS(tbl_ledger[数量],tbl_ledger[localId],$C389,tbl_ledger[ロットID],"=",tbl_ledger[元状態],F$304),
_xlpm.受入+_xlpm.余剰化受入-_xlpm.払出))</f>
        <v/>
      </c>
      <c r="G389" s="8" t="str">
        <f>IF($C389="","",_xlfn.LET(
_xlpm.受入,SUMIFS(tbl_ledger[数量],tbl_ledger[localId],$C389,tbl_ledger[イベント種類],"アセンブリ開始",tbl_ledger[ロットID],"="),
_xlpm.余剰化受入,SUMIFS(tbl_ledger[数量],tbl_ledger[localId],$C389,tbl_ledger[イベント種類],"余剰化",tbl_ledger[元状態],G$304),
_xlpm.払出,SUMIFS(tbl_ledger[数量],tbl_ledger[localId],$C389,tbl_ledger[ロットID],"=",tbl_ledger[元状態],G$304),
_xlpm.受入+_xlpm.余剰化受入-_xlpm.払出))</f>
        <v/>
      </c>
      <c r="H389" s="8" t="str">
        <f>IF($C389="","",_xlfn.LET(
_xlpm.受入,SUMIFS(tbl_ledger[数量],tbl_ledger[localId],$C389,tbl_ledger[イベント種類],"アセンブリ完了",tbl_ledger[ロットID],"="),
_xlpm.余剰化受入,SUMIFS(tbl_ledger[数量],tbl_ledger[localId],$C389,tbl_ledger[イベント種類],"余剰化",tbl_ledger[元状態],H$304),
_xlpm.払出,SUMIFS(tbl_ledger[数量],tbl_ledger[localId],$C389,tbl_ledger[ロットID],"=",tbl_ledger[元状態],H$304),
_xlpm.受入+_xlpm.余剰化受入-_xlpm.払出))</f>
        <v/>
      </c>
      <c r="I389" s="8" t="str">
        <f>IF($C389="","",_xlfn.LET(
_xlpm.受入,SUMIFS(tbl_ledger[数量],tbl_ledger[localId],$C389,tbl_ledger[イベント種類],"梱包開始",tbl_ledger[ロットID],"="),
_xlpm.余剰化受入,SUMIFS(tbl_ledger[数量],tbl_ledger[localId],$C389,tbl_ledger[イベント種類],"余剰化",tbl_ledger[元状態],I$304),
_xlpm.払出,SUMIFS(tbl_ledger[数量],tbl_ledger[localId],$C389,tbl_ledger[ロットID],"=",tbl_ledger[元状態],I$304),
_xlpm.受入+_xlpm.余剰化受入-_xlpm.払出))</f>
        <v/>
      </c>
      <c r="J389" s="8" t="str">
        <f>IF($C389="","",_xlfn.LET(
_xlpm.受入,SUMIFS(tbl_ledger[数量],tbl_ledger[localId],$C389,tbl_ledger[イベント種類],"梱包完了",tbl_ledger[ロットID],"="),
_xlpm.余剰化受入,SUMIFS(tbl_ledger[数量],tbl_ledger[localId],$C389,tbl_ledger[イベント種類],"余剰化",tbl_ledger[元状態],J$304),
_xlpm.払出,SUMIFS(tbl_ledger[数量],tbl_ledger[localId],$C389,tbl_ledger[ロットID],"=",tbl_ledger[元状態],J$304),
_xlpm.受入+_xlpm.余剰化受入-_xlpm.払出))</f>
        <v/>
      </c>
      <c r="K389" s="8" t="str">
        <f>IF($C389="","",_xlfn.LET(
_xlpm.受入,SUMIFS(tbl_ledger[数量],tbl_ledger[localId],$C389,tbl_ledger[イベント種類],"発送準備開始",tbl_ledger[ロットID],"="),
_xlpm.余剰化受入,SUMIFS(tbl_ledger[数量],tbl_ledger[localId],$C389,tbl_ledger[イベント種類],"余剰化",tbl_ledger[元状態],K$304),
_xlpm.払出,SUMIFS(tbl_ledger[数量],tbl_ledger[localId],$C389,tbl_ledger[ロットID],"=",tbl_ledger[元状態],K$304),
_xlpm.受入+_xlpm.余剰化受入-_xlpm.払出))</f>
        <v/>
      </c>
      <c r="L389" s="8" t="str">
        <f>IF($C389="","",_xlfn.LET(
_xlpm.受入,SUMIFS(tbl_ledger[数量],tbl_ledger[localId],$C389,tbl_ledger[イベント種類],"発送準備完了",tbl_ledger[ロットID],"="),
_xlpm.余剰化受入,SUMIFS(tbl_ledger[数量],tbl_ledger[localId],$C389,tbl_ledger[イベント種類],"余剰化",tbl_ledger[元状態],L$304),
_xlpm.払出,SUMIFS(tbl_ledger[数量],tbl_ledger[localId],$C389,tbl_ledger[ロットID],"=",tbl_ledger[元状態],L$304),
_xlpm.受入+_xlpm.余剰化受入-_xlpm.払出))</f>
        <v/>
      </c>
      <c r="M389" s="8" t="str">
        <f>IF($C389="","",_xlfn.LET(
_xlpm.受入,SUMIFS(tbl_ledger[数量],tbl_ledger[localId],$C389,tbl_ledger[イベント種類],"不良発生",tbl_ledger[ロットID],"="),
_xlpm.余剰化受入,SUMIFS(tbl_ledger[数量],tbl_ledger[localId],$C389,tbl_ledger[イベント種類],"余剰化",tbl_ledger[元状態],M$304),
_xlpm.払出,SUMIFS(tbl_ledger[数量],tbl_ledger[localId],$C389,tbl_ledger[ロットID],"=",tbl_ledger[元状態],M$304),
_xlpm.受入+_xlpm.余剰化受入-_xlpm.払出))</f>
        <v/>
      </c>
      <c r="N389" s="8" t="str">
        <f t="shared" si="15"/>
        <v/>
      </c>
    </row>
    <row r="390" spans="1:14" ht="15" customHeight="1" x14ac:dyDescent="0.25">
      <c r="A390" s="4" t="str">
        <f t="shared" si="14"/>
        <v/>
      </c>
      <c r="B390" s="4"/>
      <c r="C390" s="4" t="str">
        <f>IFERROR(INDEX(tbl_master[localId],ROW()-304),"")</f>
        <v/>
      </c>
      <c r="D390" s="8" t="str">
        <f>IF($C390="","",_xlfn.LET(
_xlpm.搬入計,SUMIFS(tbl_ledger[数量],tbl_ledger[localId],$C390,tbl_ledger[イベント種類],"搬入"),
_xlpm.割当計,SUMIF(V_充足確認!$B$2:$B$301,$C390,V_充足確認!$F$2:$F$301),
_xlpm.余剰化受入,SUMIFS(tbl_ledger[数量],tbl_ledger[localId],$C390,tbl_ledger[イベント種類],"余剰化",tbl_ledger[元状態],D$304),
_xlpm.払出,SUMIFS(tbl_ledger[数量],tbl_ledger[localId],$C390,tbl_ledger[ロットID],"=",tbl_ledger[元状態],D$304),
_xlpm.搬入計-_xlpm.割当計+_xlpm.余剰化受入-_xlpm.払出))</f>
        <v/>
      </c>
      <c r="E390" s="8" t="str">
        <f>IF($C390="","",_xlfn.LET(
_xlpm.受入,SUMIFS(tbl_ledger[数量],tbl_ledger[localId],$C390,tbl_ledger[イベント種類],"アニール開始",tbl_ledger[ロットID],"="),
_xlpm.余剰化受入,SUMIFS(tbl_ledger[数量],tbl_ledger[localId],$C390,tbl_ledger[イベント種類],"余剰化",tbl_ledger[元状態],E$304),
_xlpm.払出,SUMIFS(tbl_ledger[数量],tbl_ledger[localId],$C390,tbl_ledger[ロットID],"=",tbl_ledger[元状態],E$304),
_xlpm.受入+_xlpm.余剰化受入-_xlpm.払出))</f>
        <v/>
      </c>
      <c r="F390" s="8" t="str">
        <f>IF($C390="","",_xlfn.LET(
_xlpm.受入,SUMIFS(tbl_ledger[数量],tbl_ledger[localId],$C390,tbl_ledger[イベント種類],"アニール完了",tbl_ledger[ロットID],"="),
_xlpm.余剰化受入,SUMIFS(tbl_ledger[数量],tbl_ledger[localId],$C390,tbl_ledger[イベント種類],"余剰化",tbl_ledger[元状態],F$304),
_xlpm.払出,SUMIFS(tbl_ledger[数量],tbl_ledger[localId],$C390,tbl_ledger[ロットID],"=",tbl_ledger[元状態],F$304),
_xlpm.受入+_xlpm.余剰化受入-_xlpm.払出))</f>
        <v/>
      </c>
      <c r="G390" s="8" t="str">
        <f>IF($C390="","",_xlfn.LET(
_xlpm.受入,SUMIFS(tbl_ledger[数量],tbl_ledger[localId],$C390,tbl_ledger[イベント種類],"アセンブリ開始",tbl_ledger[ロットID],"="),
_xlpm.余剰化受入,SUMIFS(tbl_ledger[数量],tbl_ledger[localId],$C390,tbl_ledger[イベント種類],"余剰化",tbl_ledger[元状態],G$304),
_xlpm.払出,SUMIFS(tbl_ledger[数量],tbl_ledger[localId],$C390,tbl_ledger[ロットID],"=",tbl_ledger[元状態],G$304),
_xlpm.受入+_xlpm.余剰化受入-_xlpm.払出))</f>
        <v/>
      </c>
      <c r="H390" s="8" t="str">
        <f>IF($C390="","",_xlfn.LET(
_xlpm.受入,SUMIFS(tbl_ledger[数量],tbl_ledger[localId],$C390,tbl_ledger[イベント種類],"アセンブリ完了",tbl_ledger[ロットID],"="),
_xlpm.余剰化受入,SUMIFS(tbl_ledger[数量],tbl_ledger[localId],$C390,tbl_ledger[イベント種類],"余剰化",tbl_ledger[元状態],H$304),
_xlpm.払出,SUMIFS(tbl_ledger[数量],tbl_ledger[localId],$C390,tbl_ledger[ロットID],"=",tbl_ledger[元状態],H$304),
_xlpm.受入+_xlpm.余剰化受入-_xlpm.払出))</f>
        <v/>
      </c>
      <c r="I390" s="8" t="str">
        <f>IF($C390="","",_xlfn.LET(
_xlpm.受入,SUMIFS(tbl_ledger[数量],tbl_ledger[localId],$C390,tbl_ledger[イベント種類],"梱包開始",tbl_ledger[ロットID],"="),
_xlpm.余剰化受入,SUMIFS(tbl_ledger[数量],tbl_ledger[localId],$C390,tbl_ledger[イベント種類],"余剰化",tbl_ledger[元状態],I$304),
_xlpm.払出,SUMIFS(tbl_ledger[数量],tbl_ledger[localId],$C390,tbl_ledger[ロットID],"=",tbl_ledger[元状態],I$304),
_xlpm.受入+_xlpm.余剰化受入-_xlpm.払出))</f>
        <v/>
      </c>
      <c r="J390" s="8" t="str">
        <f>IF($C390="","",_xlfn.LET(
_xlpm.受入,SUMIFS(tbl_ledger[数量],tbl_ledger[localId],$C390,tbl_ledger[イベント種類],"梱包完了",tbl_ledger[ロットID],"="),
_xlpm.余剰化受入,SUMIFS(tbl_ledger[数量],tbl_ledger[localId],$C390,tbl_ledger[イベント種類],"余剰化",tbl_ledger[元状態],J$304),
_xlpm.払出,SUMIFS(tbl_ledger[数量],tbl_ledger[localId],$C390,tbl_ledger[ロットID],"=",tbl_ledger[元状態],J$304),
_xlpm.受入+_xlpm.余剰化受入-_xlpm.払出))</f>
        <v/>
      </c>
      <c r="K390" s="8" t="str">
        <f>IF($C390="","",_xlfn.LET(
_xlpm.受入,SUMIFS(tbl_ledger[数量],tbl_ledger[localId],$C390,tbl_ledger[イベント種類],"発送準備開始",tbl_ledger[ロットID],"="),
_xlpm.余剰化受入,SUMIFS(tbl_ledger[数量],tbl_ledger[localId],$C390,tbl_ledger[イベント種類],"余剰化",tbl_ledger[元状態],K$304),
_xlpm.払出,SUMIFS(tbl_ledger[数量],tbl_ledger[localId],$C390,tbl_ledger[ロットID],"=",tbl_ledger[元状態],K$304),
_xlpm.受入+_xlpm.余剰化受入-_xlpm.払出))</f>
        <v/>
      </c>
      <c r="L390" s="8" t="str">
        <f>IF($C390="","",_xlfn.LET(
_xlpm.受入,SUMIFS(tbl_ledger[数量],tbl_ledger[localId],$C390,tbl_ledger[イベント種類],"発送準備完了",tbl_ledger[ロットID],"="),
_xlpm.余剰化受入,SUMIFS(tbl_ledger[数量],tbl_ledger[localId],$C390,tbl_ledger[イベント種類],"余剰化",tbl_ledger[元状態],L$304),
_xlpm.払出,SUMIFS(tbl_ledger[数量],tbl_ledger[localId],$C390,tbl_ledger[ロットID],"=",tbl_ledger[元状態],L$304),
_xlpm.受入+_xlpm.余剰化受入-_xlpm.払出))</f>
        <v/>
      </c>
      <c r="M390" s="8" t="str">
        <f>IF($C390="","",_xlfn.LET(
_xlpm.受入,SUMIFS(tbl_ledger[数量],tbl_ledger[localId],$C390,tbl_ledger[イベント種類],"不良発生",tbl_ledger[ロットID],"="),
_xlpm.余剰化受入,SUMIFS(tbl_ledger[数量],tbl_ledger[localId],$C390,tbl_ledger[イベント種類],"余剰化",tbl_ledger[元状態],M$304),
_xlpm.払出,SUMIFS(tbl_ledger[数量],tbl_ledger[localId],$C390,tbl_ledger[ロットID],"=",tbl_ledger[元状態],M$304),
_xlpm.受入+_xlpm.余剰化受入-_xlpm.払出))</f>
        <v/>
      </c>
      <c r="N390" s="8" t="str">
        <f t="shared" si="15"/>
        <v/>
      </c>
    </row>
    <row r="391" spans="1:14" ht="15" customHeight="1" x14ac:dyDescent="0.25">
      <c r="A391" s="4" t="str">
        <f t="shared" si="14"/>
        <v/>
      </c>
      <c r="B391" s="4"/>
      <c r="C391" s="4" t="str">
        <f>IFERROR(INDEX(tbl_master[localId],ROW()-304),"")</f>
        <v/>
      </c>
      <c r="D391" s="8" t="str">
        <f>IF($C391="","",_xlfn.LET(
_xlpm.搬入計,SUMIFS(tbl_ledger[数量],tbl_ledger[localId],$C391,tbl_ledger[イベント種類],"搬入"),
_xlpm.割当計,SUMIF(V_充足確認!$B$2:$B$301,$C391,V_充足確認!$F$2:$F$301),
_xlpm.余剰化受入,SUMIFS(tbl_ledger[数量],tbl_ledger[localId],$C391,tbl_ledger[イベント種類],"余剰化",tbl_ledger[元状態],D$304),
_xlpm.払出,SUMIFS(tbl_ledger[数量],tbl_ledger[localId],$C391,tbl_ledger[ロットID],"=",tbl_ledger[元状態],D$304),
_xlpm.搬入計-_xlpm.割当計+_xlpm.余剰化受入-_xlpm.払出))</f>
        <v/>
      </c>
      <c r="E391" s="8" t="str">
        <f>IF($C391="","",_xlfn.LET(
_xlpm.受入,SUMIFS(tbl_ledger[数量],tbl_ledger[localId],$C391,tbl_ledger[イベント種類],"アニール開始",tbl_ledger[ロットID],"="),
_xlpm.余剰化受入,SUMIFS(tbl_ledger[数量],tbl_ledger[localId],$C391,tbl_ledger[イベント種類],"余剰化",tbl_ledger[元状態],E$304),
_xlpm.払出,SUMIFS(tbl_ledger[数量],tbl_ledger[localId],$C391,tbl_ledger[ロットID],"=",tbl_ledger[元状態],E$304),
_xlpm.受入+_xlpm.余剰化受入-_xlpm.払出))</f>
        <v/>
      </c>
      <c r="F391" s="8" t="str">
        <f>IF($C391="","",_xlfn.LET(
_xlpm.受入,SUMIFS(tbl_ledger[数量],tbl_ledger[localId],$C391,tbl_ledger[イベント種類],"アニール完了",tbl_ledger[ロットID],"="),
_xlpm.余剰化受入,SUMIFS(tbl_ledger[数量],tbl_ledger[localId],$C391,tbl_ledger[イベント種類],"余剰化",tbl_ledger[元状態],F$304),
_xlpm.払出,SUMIFS(tbl_ledger[数量],tbl_ledger[localId],$C391,tbl_ledger[ロットID],"=",tbl_ledger[元状態],F$304),
_xlpm.受入+_xlpm.余剰化受入-_xlpm.払出))</f>
        <v/>
      </c>
      <c r="G391" s="8" t="str">
        <f>IF($C391="","",_xlfn.LET(
_xlpm.受入,SUMIFS(tbl_ledger[数量],tbl_ledger[localId],$C391,tbl_ledger[イベント種類],"アセンブリ開始",tbl_ledger[ロットID],"="),
_xlpm.余剰化受入,SUMIFS(tbl_ledger[数量],tbl_ledger[localId],$C391,tbl_ledger[イベント種類],"余剰化",tbl_ledger[元状態],G$304),
_xlpm.払出,SUMIFS(tbl_ledger[数量],tbl_ledger[localId],$C391,tbl_ledger[ロットID],"=",tbl_ledger[元状態],G$304),
_xlpm.受入+_xlpm.余剰化受入-_xlpm.払出))</f>
        <v/>
      </c>
      <c r="H391" s="8" t="str">
        <f>IF($C391="","",_xlfn.LET(
_xlpm.受入,SUMIFS(tbl_ledger[数量],tbl_ledger[localId],$C391,tbl_ledger[イベント種類],"アセンブリ完了",tbl_ledger[ロットID],"="),
_xlpm.余剰化受入,SUMIFS(tbl_ledger[数量],tbl_ledger[localId],$C391,tbl_ledger[イベント種類],"余剰化",tbl_ledger[元状態],H$304),
_xlpm.払出,SUMIFS(tbl_ledger[数量],tbl_ledger[localId],$C391,tbl_ledger[ロットID],"=",tbl_ledger[元状態],H$304),
_xlpm.受入+_xlpm.余剰化受入-_xlpm.払出))</f>
        <v/>
      </c>
      <c r="I391" s="8" t="str">
        <f>IF($C391="","",_xlfn.LET(
_xlpm.受入,SUMIFS(tbl_ledger[数量],tbl_ledger[localId],$C391,tbl_ledger[イベント種類],"梱包開始",tbl_ledger[ロットID],"="),
_xlpm.余剰化受入,SUMIFS(tbl_ledger[数量],tbl_ledger[localId],$C391,tbl_ledger[イベント種類],"余剰化",tbl_ledger[元状態],I$304),
_xlpm.払出,SUMIFS(tbl_ledger[数量],tbl_ledger[localId],$C391,tbl_ledger[ロットID],"=",tbl_ledger[元状態],I$304),
_xlpm.受入+_xlpm.余剰化受入-_xlpm.払出))</f>
        <v/>
      </c>
      <c r="J391" s="8" t="str">
        <f>IF($C391="","",_xlfn.LET(
_xlpm.受入,SUMIFS(tbl_ledger[数量],tbl_ledger[localId],$C391,tbl_ledger[イベント種類],"梱包完了",tbl_ledger[ロットID],"="),
_xlpm.余剰化受入,SUMIFS(tbl_ledger[数量],tbl_ledger[localId],$C391,tbl_ledger[イベント種類],"余剰化",tbl_ledger[元状態],J$304),
_xlpm.払出,SUMIFS(tbl_ledger[数量],tbl_ledger[localId],$C391,tbl_ledger[ロットID],"=",tbl_ledger[元状態],J$304),
_xlpm.受入+_xlpm.余剰化受入-_xlpm.払出))</f>
        <v/>
      </c>
      <c r="K391" s="8" t="str">
        <f>IF($C391="","",_xlfn.LET(
_xlpm.受入,SUMIFS(tbl_ledger[数量],tbl_ledger[localId],$C391,tbl_ledger[イベント種類],"発送準備開始",tbl_ledger[ロットID],"="),
_xlpm.余剰化受入,SUMIFS(tbl_ledger[数量],tbl_ledger[localId],$C391,tbl_ledger[イベント種類],"余剰化",tbl_ledger[元状態],K$304),
_xlpm.払出,SUMIFS(tbl_ledger[数量],tbl_ledger[localId],$C391,tbl_ledger[ロットID],"=",tbl_ledger[元状態],K$304),
_xlpm.受入+_xlpm.余剰化受入-_xlpm.払出))</f>
        <v/>
      </c>
      <c r="L391" s="8" t="str">
        <f>IF($C391="","",_xlfn.LET(
_xlpm.受入,SUMIFS(tbl_ledger[数量],tbl_ledger[localId],$C391,tbl_ledger[イベント種類],"発送準備完了",tbl_ledger[ロットID],"="),
_xlpm.余剰化受入,SUMIFS(tbl_ledger[数量],tbl_ledger[localId],$C391,tbl_ledger[イベント種類],"余剰化",tbl_ledger[元状態],L$304),
_xlpm.払出,SUMIFS(tbl_ledger[数量],tbl_ledger[localId],$C391,tbl_ledger[ロットID],"=",tbl_ledger[元状態],L$304),
_xlpm.受入+_xlpm.余剰化受入-_xlpm.払出))</f>
        <v/>
      </c>
      <c r="M391" s="8" t="str">
        <f>IF($C391="","",_xlfn.LET(
_xlpm.受入,SUMIFS(tbl_ledger[数量],tbl_ledger[localId],$C391,tbl_ledger[イベント種類],"不良発生",tbl_ledger[ロットID],"="),
_xlpm.余剰化受入,SUMIFS(tbl_ledger[数量],tbl_ledger[localId],$C391,tbl_ledger[イベント種類],"余剰化",tbl_ledger[元状態],M$304),
_xlpm.払出,SUMIFS(tbl_ledger[数量],tbl_ledger[localId],$C391,tbl_ledger[ロットID],"=",tbl_ledger[元状態],M$304),
_xlpm.受入+_xlpm.余剰化受入-_xlpm.払出))</f>
        <v/>
      </c>
      <c r="N391" s="8" t="str">
        <f t="shared" si="15"/>
        <v/>
      </c>
    </row>
    <row r="392" spans="1:14" ht="15" customHeight="1" x14ac:dyDescent="0.25">
      <c r="A392" s="4" t="str">
        <f t="shared" si="14"/>
        <v/>
      </c>
      <c r="B392" s="4"/>
      <c r="C392" s="4" t="str">
        <f>IFERROR(INDEX(tbl_master[localId],ROW()-304),"")</f>
        <v/>
      </c>
      <c r="D392" s="8" t="str">
        <f>IF($C392="","",_xlfn.LET(
_xlpm.搬入計,SUMIFS(tbl_ledger[数量],tbl_ledger[localId],$C392,tbl_ledger[イベント種類],"搬入"),
_xlpm.割当計,SUMIF(V_充足確認!$B$2:$B$301,$C392,V_充足確認!$F$2:$F$301),
_xlpm.余剰化受入,SUMIFS(tbl_ledger[数量],tbl_ledger[localId],$C392,tbl_ledger[イベント種類],"余剰化",tbl_ledger[元状態],D$304),
_xlpm.払出,SUMIFS(tbl_ledger[数量],tbl_ledger[localId],$C392,tbl_ledger[ロットID],"=",tbl_ledger[元状態],D$304),
_xlpm.搬入計-_xlpm.割当計+_xlpm.余剰化受入-_xlpm.払出))</f>
        <v/>
      </c>
      <c r="E392" s="8" t="str">
        <f>IF($C392="","",_xlfn.LET(
_xlpm.受入,SUMIFS(tbl_ledger[数量],tbl_ledger[localId],$C392,tbl_ledger[イベント種類],"アニール開始",tbl_ledger[ロットID],"="),
_xlpm.余剰化受入,SUMIFS(tbl_ledger[数量],tbl_ledger[localId],$C392,tbl_ledger[イベント種類],"余剰化",tbl_ledger[元状態],E$304),
_xlpm.払出,SUMIFS(tbl_ledger[数量],tbl_ledger[localId],$C392,tbl_ledger[ロットID],"=",tbl_ledger[元状態],E$304),
_xlpm.受入+_xlpm.余剰化受入-_xlpm.払出))</f>
        <v/>
      </c>
      <c r="F392" s="8" t="str">
        <f>IF($C392="","",_xlfn.LET(
_xlpm.受入,SUMIFS(tbl_ledger[数量],tbl_ledger[localId],$C392,tbl_ledger[イベント種類],"アニール完了",tbl_ledger[ロットID],"="),
_xlpm.余剰化受入,SUMIFS(tbl_ledger[数量],tbl_ledger[localId],$C392,tbl_ledger[イベント種類],"余剰化",tbl_ledger[元状態],F$304),
_xlpm.払出,SUMIFS(tbl_ledger[数量],tbl_ledger[localId],$C392,tbl_ledger[ロットID],"=",tbl_ledger[元状態],F$304),
_xlpm.受入+_xlpm.余剰化受入-_xlpm.払出))</f>
        <v/>
      </c>
      <c r="G392" s="8" t="str">
        <f>IF($C392="","",_xlfn.LET(
_xlpm.受入,SUMIFS(tbl_ledger[数量],tbl_ledger[localId],$C392,tbl_ledger[イベント種類],"アセンブリ開始",tbl_ledger[ロットID],"="),
_xlpm.余剰化受入,SUMIFS(tbl_ledger[数量],tbl_ledger[localId],$C392,tbl_ledger[イベント種類],"余剰化",tbl_ledger[元状態],G$304),
_xlpm.払出,SUMIFS(tbl_ledger[数量],tbl_ledger[localId],$C392,tbl_ledger[ロットID],"=",tbl_ledger[元状態],G$304),
_xlpm.受入+_xlpm.余剰化受入-_xlpm.払出))</f>
        <v/>
      </c>
      <c r="H392" s="8" t="str">
        <f>IF($C392="","",_xlfn.LET(
_xlpm.受入,SUMIFS(tbl_ledger[数量],tbl_ledger[localId],$C392,tbl_ledger[イベント種類],"アセンブリ完了",tbl_ledger[ロットID],"="),
_xlpm.余剰化受入,SUMIFS(tbl_ledger[数量],tbl_ledger[localId],$C392,tbl_ledger[イベント種類],"余剰化",tbl_ledger[元状態],H$304),
_xlpm.払出,SUMIFS(tbl_ledger[数量],tbl_ledger[localId],$C392,tbl_ledger[ロットID],"=",tbl_ledger[元状態],H$304),
_xlpm.受入+_xlpm.余剰化受入-_xlpm.払出))</f>
        <v/>
      </c>
      <c r="I392" s="8" t="str">
        <f>IF($C392="","",_xlfn.LET(
_xlpm.受入,SUMIFS(tbl_ledger[数量],tbl_ledger[localId],$C392,tbl_ledger[イベント種類],"梱包開始",tbl_ledger[ロットID],"="),
_xlpm.余剰化受入,SUMIFS(tbl_ledger[数量],tbl_ledger[localId],$C392,tbl_ledger[イベント種類],"余剰化",tbl_ledger[元状態],I$304),
_xlpm.払出,SUMIFS(tbl_ledger[数量],tbl_ledger[localId],$C392,tbl_ledger[ロットID],"=",tbl_ledger[元状態],I$304),
_xlpm.受入+_xlpm.余剰化受入-_xlpm.払出))</f>
        <v/>
      </c>
      <c r="J392" s="8" t="str">
        <f>IF($C392="","",_xlfn.LET(
_xlpm.受入,SUMIFS(tbl_ledger[数量],tbl_ledger[localId],$C392,tbl_ledger[イベント種類],"梱包完了",tbl_ledger[ロットID],"="),
_xlpm.余剰化受入,SUMIFS(tbl_ledger[数量],tbl_ledger[localId],$C392,tbl_ledger[イベント種類],"余剰化",tbl_ledger[元状態],J$304),
_xlpm.払出,SUMIFS(tbl_ledger[数量],tbl_ledger[localId],$C392,tbl_ledger[ロットID],"=",tbl_ledger[元状態],J$304),
_xlpm.受入+_xlpm.余剰化受入-_xlpm.払出))</f>
        <v/>
      </c>
      <c r="K392" s="8" t="str">
        <f>IF($C392="","",_xlfn.LET(
_xlpm.受入,SUMIFS(tbl_ledger[数量],tbl_ledger[localId],$C392,tbl_ledger[イベント種類],"発送準備開始",tbl_ledger[ロットID],"="),
_xlpm.余剰化受入,SUMIFS(tbl_ledger[数量],tbl_ledger[localId],$C392,tbl_ledger[イベント種類],"余剰化",tbl_ledger[元状態],K$304),
_xlpm.払出,SUMIFS(tbl_ledger[数量],tbl_ledger[localId],$C392,tbl_ledger[ロットID],"=",tbl_ledger[元状態],K$304),
_xlpm.受入+_xlpm.余剰化受入-_xlpm.払出))</f>
        <v/>
      </c>
      <c r="L392" s="8" t="str">
        <f>IF($C392="","",_xlfn.LET(
_xlpm.受入,SUMIFS(tbl_ledger[数量],tbl_ledger[localId],$C392,tbl_ledger[イベント種類],"発送準備完了",tbl_ledger[ロットID],"="),
_xlpm.余剰化受入,SUMIFS(tbl_ledger[数量],tbl_ledger[localId],$C392,tbl_ledger[イベント種類],"余剰化",tbl_ledger[元状態],L$304),
_xlpm.払出,SUMIFS(tbl_ledger[数量],tbl_ledger[localId],$C392,tbl_ledger[ロットID],"=",tbl_ledger[元状態],L$304),
_xlpm.受入+_xlpm.余剰化受入-_xlpm.払出))</f>
        <v/>
      </c>
      <c r="M392" s="8" t="str">
        <f>IF($C392="","",_xlfn.LET(
_xlpm.受入,SUMIFS(tbl_ledger[数量],tbl_ledger[localId],$C392,tbl_ledger[イベント種類],"不良発生",tbl_ledger[ロットID],"="),
_xlpm.余剰化受入,SUMIFS(tbl_ledger[数量],tbl_ledger[localId],$C392,tbl_ledger[イベント種類],"余剰化",tbl_ledger[元状態],M$304),
_xlpm.払出,SUMIFS(tbl_ledger[数量],tbl_ledger[localId],$C392,tbl_ledger[ロットID],"=",tbl_ledger[元状態],M$304),
_xlpm.受入+_xlpm.余剰化受入-_xlpm.払出))</f>
        <v/>
      </c>
      <c r="N392" s="8" t="str">
        <f t="shared" si="15"/>
        <v/>
      </c>
    </row>
    <row r="393" spans="1:14" ht="15" customHeight="1" x14ac:dyDescent="0.25">
      <c r="A393" s="4" t="str">
        <f t="shared" si="14"/>
        <v/>
      </c>
      <c r="B393" s="4"/>
      <c r="C393" s="4" t="str">
        <f>IFERROR(INDEX(tbl_master[localId],ROW()-304),"")</f>
        <v/>
      </c>
      <c r="D393" s="8" t="str">
        <f>IF($C393="","",_xlfn.LET(
_xlpm.搬入計,SUMIFS(tbl_ledger[数量],tbl_ledger[localId],$C393,tbl_ledger[イベント種類],"搬入"),
_xlpm.割当計,SUMIF(V_充足確認!$B$2:$B$301,$C393,V_充足確認!$F$2:$F$301),
_xlpm.余剰化受入,SUMIFS(tbl_ledger[数量],tbl_ledger[localId],$C393,tbl_ledger[イベント種類],"余剰化",tbl_ledger[元状態],D$304),
_xlpm.払出,SUMIFS(tbl_ledger[数量],tbl_ledger[localId],$C393,tbl_ledger[ロットID],"=",tbl_ledger[元状態],D$304),
_xlpm.搬入計-_xlpm.割当計+_xlpm.余剰化受入-_xlpm.払出))</f>
        <v/>
      </c>
      <c r="E393" s="8" t="str">
        <f>IF($C393="","",_xlfn.LET(
_xlpm.受入,SUMIFS(tbl_ledger[数量],tbl_ledger[localId],$C393,tbl_ledger[イベント種類],"アニール開始",tbl_ledger[ロットID],"="),
_xlpm.余剰化受入,SUMIFS(tbl_ledger[数量],tbl_ledger[localId],$C393,tbl_ledger[イベント種類],"余剰化",tbl_ledger[元状態],E$304),
_xlpm.払出,SUMIFS(tbl_ledger[数量],tbl_ledger[localId],$C393,tbl_ledger[ロットID],"=",tbl_ledger[元状態],E$304),
_xlpm.受入+_xlpm.余剰化受入-_xlpm.払出))</f>
        <v/>
      </c>
      <c r="F393" s="8" t="str">
        <f>IF($C393="","",_xlfn.LET(
_xlpm.受入,SUMIFS(tbl_ledger[数量],tbl_ledger[localId],$C393,tbl_ledger[イベント種類],"アニール完了",tbl_ledger[ロットID],"="),
_xlpm.余剰化受入,SUMIFS(tbl_ledger[数量],tbl_ledger[localId],$C393,tbl_ledger[イベント種類],"余剰化",tbl_ledger[元状態],F$304),
_xlpm.払出,SUMIFS(tbl_ledger[数量],tbl_ledger[localId],$C393,tbl_ledger[ロットID],"=",tbl_ledger[元状態],F$304),
_xlpm.受入+_xlpm.余剰化受入-_xlpm.払出))</f>
        <v/>
      </c>
      <c r="G393" s="8" t="str">
        <f>IF($C393="","",_xlfn.LET(
_xlpm.受入,SUMIFS(tbl_ledger[数量],tbl_ledger[localId],$C393,tbl_ledger[イベント種類],"アセンブリ開始",tbl_ledger[ロットID],"="),
_xlpm.余剰化受入,SUMIFS(tbl_ledger[数量],tbl_ledger[localId],$C393,tbl_ledger[イベント種類],"余剰化",tbl_ledger[元状態],G$304),
_xlpm.払出,SUMIFS(tbl_ledger[数量],tbl_ledger[localId],$C393,tbl_ledger[ロットID],"=",tbl_ledger[元状態],G$304),
_xlpm.受入+_xlpm.余剰化受入-_xlpm.払出))</f>
        <v/>
      </c>
      <c r="H393" s="8" t="str">
        <f>IF($C393="","",_xlfn.LET(
_xlpm.受入,SUMIFS(tbl_ledger[数量],tbl_ledger[localId],$C393,tbl_ledger[イベント種類],"アセンブリ完了",tbl_ledger[ロットID],"="),
_xlpm.余剰化受入,SUMIFS(tbl_ledger[数量],tbl_ledger[localId],$C393,tbl_ledger[イベント種類],"余剰化",tbl_ledger[元状態],H$304),
_xlpm.払出,SUMIFS(tbl_ledger[数量],tbl_ledger[localId],$C393,tbl_ledger[ロットID],"=",tbl_ledger[元状態],H$304),
_xlpm.受入+_xlpm.余剰化受入-_xlpm.払出))</f>
        <v/>
      </c>
      <c r="I393" s="8" t="str">
        <f>IF($C393="","",_xlfn.LET(
_xlpm.受入,SUMIFS(tbl_ledger[数量],tbl_ledger[localId],$C393,tbl_ledger[イベント種類],"梱包開始",tbl_ledger[ロットID],"="),
_xlpm.余剰化受入,SUMIFS(tbl_ledger[数量],tbl_ledger[localId],$C393,tbl_ledger[イベント種類],"余剰化",tbl_ledger[元状態],I$304),
_xlpm.払出,SUMIFS(tbl_ledger[数量],tbl_ledger[localId],$C393,tbl_ledger[ロットID],"=",tbl_ledger[元状態],I$304),
_xlpm.受入+_xlpm.余剰化受入-_xlpm.払出))</f>
        <v/>
      </c>
      <c r="J393" s="8" t="str">
        <f>IF($C393="","",_xlfn.LET(
_xlpm.受入,SUMIFS(tbl_ledger[数量],tbl_ledger[localId],$C393,tbl_ledger[イベント種類],"梱包完了",tbl_ledger[ロットID],"="),
_xlpm.余剰化受入,SUMIFS(tbl_ledger[数量],tbl_ledger[localId],$C393,tbl_ledger[イベント種類],"余剰化",tbl_ledger[元状態],J$304),
_xlpm.払出,SUMIFS(tbl_ledger[数量],tbl_ledger[localId],$C393,tbl_ledger[ロットID],"=",tbl_ledger[元状態],J$304),
_xlpm.受入+_xlpm.余剰化受入-_xlpm.払出))</f>
        <v/>
      </c>
      <c r="K393" s="8" t="str">
        <f>IF($C393="","",_xlfn.LET(
_xlpm.受入,SUMIFS(tbl_ledger[数量],tbl_ledger[localId],$C393,tbl_ledger[イベント種類],"発送準備開始",tbl_ledger[ロットID],"="),
_xlpm.余剰化受入,SUMIFS(tbl_ledger[数量],tbl_ledger[localId],$C393,tbl_ledger[イベント種類],"余剰化",tbl_ledger[元状態],K$304),
_xlpm.払出,SUMIFS(tbl_ledger[数量],tbl_ledger[localId],$C393,tbl_ledger[ロットID],"=",tbl_ledger[元状態],K$304),
_xlpm.受入+_xlpm.余剰化受入-_xlpm.払出))</f>
        <v/>
      </c>
      <c r="L393" s="8" t="str">
        <f>IF($C393="","",_xlfn.LET(
_xlpm.受入,SUMIFS(tbl_ledger[数量],tbl_ledger[localId],$C393,tbl_ledger[イベント種類],"発送準備完了",tbl_ledger[ロットID],"="),
_xlpm.余剰化受入,SUMIFS(tbl_ledger[数量],tbl_ledger[localId],$C393,tbl_ledger[イベント種類],"余剰化",tbl_ledger[元状態],L$304),
_xlpm.払出,SUMIFS(tbl_ledger[数量],tbl_ledger[localId],$C393,tbl_ledger[ロットID],"=",tbl_ledger[元状態],L$304),
_xlpm.受入+_xlpm.余剰化受入-_xlpm.払出))</f>
        <v/>
      </c>
      <c r="M393" s="8" t="str">
        <f>IF($C393="","",_xlfn.LET(
_xlpm.受入,SUMIFS(tbl_ledger[数量],tbl_ledger[localId],$C393,tbl_ledger[イベント種類],"不良発生",tbl_ledger[ロットID],"="),
_xlpm.余剰化受入,SUMIFS(tbl_ledger[数量],tbl_ledger[localId],$C393,tbl_ledger[イベント種類],"余剰化",tbl_ledger[元状態],M$304),
_xlpm.払出,SUMIFS(tbl_ledger[数量],tbl_ledger[localId],$C393,tbl_ledger[ロットID],"=",tbl_ledger[元状態],M$304),
_xlpm.受入+_xlpm.余剰化受入-_xlpm.払出))</f>
        <v/>
      </c>
      <c r="N393" s="8" t="str">
        <f t="shared" si="15"/>
        <v/>
      </c>
    </row>
    <row r="394" spans="1:14" ht="15" customHeight="1" x14ac:dyDescent="0.25">
      <c r="A394" s="4" t="str">
        <f t="shared" si="14"/>
        <v/>
      </c>
      <c r="B394" s="4"/>
      <c r="C394" s="4" t="str">
        <f>IFERROR(INDEX(tbl_master[localId],ROW()-304),"")</f>
        <v/>
      </c>
      <c r="D394" s="8" t="str">
        <f>IF($C394="","",_xlfn.LET(
_xlpm.搬入計,SUMIFS(tbl_ledger[数量],tbl_ledger[localId],$C394,tbl_ledger[イベント種類],"搬入"),
_xlpm.割当計,SUMIF(V_充足確認!$B$2:$B$301,$C394,V_充足確認!$F$2:$F$301),
_xlpm.余剰化受入,SUMIFS(tbl_ledger[数量],tbl_ledger[localId],$C394,tbl_ledger[イベント種類],"余剰化",tbl_ledger[元状態],D$304),
_xlpm.払出,SUMIFS(tbl_ledger[数量],tbl_ledger[localId],$C394,tbl_ledger[ロットID],"=",tbl_ledger[元状態],D$304),
_xlpm.搬入計-_xlpm.割当計+_xlpm.余剰化受入-_xlpm.払出))</f>
        <v/>
      </c>
      <c r="E394" s="8" t="str">
        <f>IF($C394="","",_xlfn.LET(
_xlpm.受入,SUMIFS(tbl_ledger[数量],tbl_ledger[localId],$C394,tbl_ledger[イベント種類],"アニール開始",tbl_ledger[ロットID],"="),
_xlpm.余剰化受入,SUMIFS(tbl_ledger[数量],tbl_ledger[localId],$C394,tbl_ledger[イベント種類],"余剰化",tbl_ledger[元状態],E$304),
_xlpm.払出,SUMIFS(tbl_ledger[数量],tbl_ledger[localId],$C394,tbl_ledger[ロットID],"=",tbl_ledger[元状態],E$304),
_xlpm.受入+_xlpm.余剰化受入-_xlpm.払出))</f>
        <v/>
      </c>
      <c r="F394" s="8" t="str">
        <f>IF($C394="","",_xlfn.LET(
_xlpm.受入,SUMIFS(tbl_ledger[数量],tbl_ledger[localId],$C394,tbl_ledger[イベント種類],"アニール完了",tbl_ledger[ロットID],"="),
_xlpm.余剰化受入,SUMIFS(tbl_ledger[数量],tbl_ledger[localId],$C394,tbl_ledger[イベント種類],"余剰化",tbl_ledger[元状態],F$304),
_xlpm.払出,SUMIFS(tbl_ledger[数量],tbl_ledger[localId],$C394,tbl_ledger[ロットID],"=",tbl_ledger[元状態],F$304),
_xlpm.受入+_xlpm.余剰化受入-_xlpm.払出))</f>
        <v/>
      </c>
      <c r="G394" s="8" t="str">
        <f>IF($C394="","",_xlfn.LET(
_xlpm.受入,SUMIFS(tbl_ledger[数量],tbl_ledger[localId],$C394,tbl_ledger[イベント種類],"アセンブリ開始",tbl_ledger[ロットID],"="),
_xlpm.余剰化受入,SUMIFS(tbl_ledger[数量],tbl_ledger[localId],$C394,tbl_ledger[イベント種類],"余剰化",tbl_ledger[元状態],G$304),
_xlpm.払出,SUMIFS(tbl_ledger[数量],tbl_ledger[localId],$C394,tbl_ledger[ロットID],"=",tbl_ledger[元状態],G$304),
_xlpm.受入+_xlpm.余剰化受入-_xlpm.払出))</f>
        <v/>
      </c>
      <c r="H394" s="8" t="str">
        <f>IF($C394="","",_xlfn.LET(
_xlpm.受入,SUMIFS(tbl_ledger[数量],tbl_ledger[localId],$C394,tbl_ledger[イベント種類],"アセンブリ完了",tbl_ledger[ロットID],"="),
_xlpm.余剰化受入,SUMIFS(tbl_ledger[数量],tbl_ledger[localId],$C394,tbl_ledger[イベント種類],"余剰化",tbl_ledger[元状態],H$304),
_xlpm.払出,SUMIFS(tbl_ledger[数量],tbl_ledger[localId],$C394,tbl_ledger[ロットID],"=",tbl_ledger[元状態],H$304),
_xlpm.受入+_xlpm.余剰化受入-_xlpm.払出))</f>
        <v/>
      </c>
      <c r="I394" s="8" t="str">
        <f>IF($C394="","",_xlfn.LET(
_xlpm.受入,SUMIFS(tbl_ledger[数量],tbl_ledger[localId],$C394,tbl_ledger[イベント種類],"梱包開始",tbl_ledger[ロットID],"="),
_xlpm.余剰化受入,SUMIFS(tbl_ledger[数量],tbl_ledger[localId],$C394,tbl_ledger[イベント種類],"余剰化",tbl_ledger[元状態],I$304),
_xlpm.払出,SUMIFS(tbl_ledger[数量],tbl_ledger[localId],$C394,tbl_ledger[ロットID],"=",tbl_ledger[元状態],I$304),
_xlpm.受入+_xlpm.余剰化受入-_xlpm.払出))</f>
        <v/>
      </c>
      <c r="J394" s="8" t="str">
        <f>IF($C394="","",_xlfn.LET(
_xlpm.受入,SUMIFS(tbl_ledger[数量],tbl_ledger[localId],$C394,tbl_ledger[イベント種類],"梱包完了",tbl_ledger[ロットID],"="),
_xlpm.余剰化受入,SUMIFS(tbl_ledger[数量],tbl_ledger[localId],$C394,tbl_ledger[イベント種類],"余剰化",tbl_ledger[元状態],J$304),
_xlpm.払出,SUMIFS(tbl_ledger[数量],tbl_ledger[localId],$C394,tbl_ledger[ロットID],"=",tbl_ledger[元状態],J$304),
_xlpm.受入+_xlpm.余剰化受入-_xlpm.払出))</f>
        <v/>
      </c>
      <c r="K394" s="8" t="str">
        <f>IF($C394="","",_xlfn.LET(
_xlpm.受入,SUMIFS(tbl_ledger[数量],tbl_ledger[localId],$C394,tbl_ledger[イベント種類],"発送準備開始",tbl_ledger[ロットID],"="),
_xlpm.余剰化受入,SUMIFS(tbl_ledger[数量],tbl_ledger[localId],$C394,tbl_ledger[イベント種類],"余剰化",tbl_ledger[元状態],K$304),
_xlpm.払出,SUMIFS(tbl_ledger[数量],tbl_ledger[localId],$C394,tbl_ledger[ロットID],"=",tbl_ledger[元状態],K$304),
_xlpm.受入+_xlpm.余剰化受入-_xlpm.払出))</f>
        <v/>
      </c>
      <c r="L394" s="8" t="str">
        <f>IF($C394="","",_xlfn.LET(
_xlpm.受入,SUMIFS(tbl_ledger[数量],tbl_ledger[localId],$C394,tbl_ledger[イベント種類],"発送準備完了",tbl_ledger[ロットID],"="),
_xlpm.余剰化受入,SUMIFS(tbl_ledger[数量],tbl_ledger[localId],$C394,tbl_ledger[イベント種類],"余剰化",tbl_ledger[元状態],L$304),
_xlpm.払出,SUMIFS(tbl_ledger[数量],tbl_ledger[localId],$C394,tbl_ledger[ロットID],"=",tbl_ledger[元状態],L$304),
_xlpm.受入+_xlpm.余剰化受入-_xlpm.払出))</f>
        <v/>
      </c>
      <c r="M394" s="8" t="str">
        <f>IF($C394="","",_xlfn.LET(
_xlpm.受入,SUMIFS(tbl_ledger[数量],tbl_ledger[localId],$C394,tbl_ledger[イベント種類],"不良発生",tbl_ledger[ロットID],"="),
_xlpm.余剰化受入,SUMIFS(tbl_ledger[数量],tbl_ledger[localId],$C394,tbl_ledger[イベント種類],"余剰化",tbl_ledger[元状態],M$304),
_xlpm.払出,SUMIFS(tbl_ledger[数量],tbl_ledger[localId],$C394,tbl_ledger[ロットID],"=",tbl_ledger[元状態],M$304),
_xlpm.受入+_xlpm.余剰化受入-_xlpm.払出))</f>
        <v/>
      </c>
      <c r="N394" s="8" t="str">
        <f t="shared" si="15"/>
        <v/>
      </c>
    </row>
    <row r="395" spans="1:14" ht="15" customHeight="1" x14ac:dyDescent="0.25">
      <c r="A395" s="4" t="str">
        <f t="shared" si="14"/>
        <v/>
      </c>
      <c r="B395" s="4"/>
      <c r="C395" s="4" t="str">
        <f>IFERROR(INDEX(tbl_master[localId],ROW()-304),"")</f>
        <v/>
      </c>
      <c r="D395" s="8" t="str">
        <f>IF($C395="","",_xlfn.LET(
_xlpm.搬入計,SUMIFS(tbl_ledger[数量],tbl_ledger[localId],$C395,tbl_ledger[イベント種類],"搬入"),
_xlpm.割当計,SUMIF(V_充足確認!$B$2:$B$301,$C395,V_充足確認!$F$2:$F$301),
_xlpm.余剰化受入,SUMIFS(tbl_ledger[数量],tbl_ledger[localId],$C395,tbl_ledger[イベント種類],"余剰化",tbl_ledger[元状態],D$304),
_xlpm.払出,SUMIFS(tbl_ledger[数量],tbl_ledger[localId],$C395,tbl_ledger[ロットID],"=",tbl_ledger[元状態],D$304),
_xlpm.搬入計-_xlpm.割当計+_xlpm.余剰化受入-_xlpm.払出))</f>
        <v/>
      </c>
      <c r="E395" s="8" t="str">
        <f>IF($C395="","",_xlfn.LET(
_xlpm.受入,SUMIFS(tbl_ledger[数量],tbl_ledger[localId],$C395,tbl_ledger[イベント種類],"アニール開始",tbl_ledger[ロットID],"="),
_xlpm.余剰化受入,SUMIFS(tbl_ledger[数量],tbl_ledger[localId],$C395,tbl_ledger[イベント種類],"余剰化",tbl_ledger[元状態],E$304),
_xlpm.払出,SUMIFS(tbl_ledger[数量],tbl_ledger[localId],$C395,tbl_ledger[ロットID],"=",tbl_ledger[元状態],E$304),
_xlpm.受入+_xlpm.余剰化受入-_xlpm.払出))</f>
        <v/>
      </c>
      <c r="F395" s="8" t="str">
        <f>IF($C395="","",_xlfn.LET(
_xlpm.受入,SUMIFS(tbl_ledger[数量],tbl_ledger[localId],$C395,tbl_ledger[イベント種類],"アニール完了",tbl_ledger[ロットID],"="),
_xlpm.余剰化受入,SUMIFS(tbl_ledger[数量],tbl_ledger[localId],$C395,tbl_ledger[イベント種類],"余剰化",tbl_ledger[元状態],F$304),
_xlpm.払出,SUMIFS(tbl_ledger[数量],tbl_ledger[localId],$C395,tbl_ledger[ロットID],"=",tbl_ledger[元状態],F$304),
_xlpm.受入+_xlpm.余剰化受入-_xlpm.払出))</f>
        <v/>
      </c>
      <c r="G395" s="8" t="str">
        <f>IF($C395="","",_xlfn.LET(
_xlpm.受入,SUMIFS(tbl_ledger[数量],tbl_ledger[localId],$C395,tbl_ledger[イベント種類],"アセンブリ開始",tbl_ledger[ロットID],"="),
_xlpm.余剰化受入,SUMIFS(tbl_ledger[数量],tbl_ledger[localId],$C395,tbl_ledger[イベント種類],"余剰化",tbl_ledger[元状態],G$304),
_xlpm.払出,SUMIFS(tbl_ledger[数量],tbl_ledger[localId],$C395,tbl_ledger[ロットID],"=",tbl_ledger[元状態],G$304),
_xlpm.受入+_xlpm.余剰化受入-_xlpm.払出))</f>
        <v/>
      </c>
      <c r="H395" s="8" t="str">
        <f>IF($C395="","",_xlfn.LET(
_xlpm.受入,SUMIFS(tbl_ledger[数量],tbl_ledger[localId],$C395,tbl_ledger[イベント種類],"アセンブリ完了",tbl_ledger[ロットID],"="),
_xlpm.余剰化受入,SUMIFS(tbl_ledger[数量],tbl_ledger[localId],$C395,tbl_ledger[イベント種類],"余剰化",tbl_ledger[元状態],H$304),
_xlpm.払出,SUMIFS(tbl_ledger[数量],tbl_ledger[localId],$C395,tbl_ledger[ロットID],"=",tbl_ledger[元状態],H$304),
_xlpm.受入+_xlpm.余剰化受入-_xlpm.払出))</f>
        <v/>
      </c>
      <c r="I395" s="8" t="str">
        <f>IF($C395="","",_xlfn.LET(
_xlpm.受入,SUMIFS(tbl_ledger[数量],tbl_ledger[localId],$C395,tbl_ledger[イベント種類],"梱包開始",tbl_ledger[ロットID],"="),
_xlpm.余剰化受入,SUMIFS(tbl_ledger[数量],tbl_ledger[localId],$C395,tbl_ledger[イベント種類],"余剰化",tbl_ledger[元状態],I$304),
_xlpm.払出,SUMIFS(tbl_ledger[数量],tbl_ledger[localId],$C395,tbl_ledger[ロットID],"=",tbl_ledger[元状態],I$304),
_xlpm.受入+_xlpm.余剰化受入-_xlpm.払出))</f>
        <v/>
      </c>
      <c r="J395" s="8" t="str">
        <f>IF($C395="","",_xlfn.LET(
_xlpm.受入,SUMIFS(tbl_ledger[数量],tbl_ledger[localId],$C395,tbl_ledger[イベント種類],"梱包完了",tbl_ledger[ロットID],"="),
_xlpm.余剰化受入,SUMIFS(tbl_ledger[数量],tbl_ledger[localId],$C395,tbl_ledger[イベント種類],"余剰化",tbl_ledger[元状態],J$304),
_xlpm.払出,SUMIFS(tbl_ledger[数量],tbl_ledger[localId],$C395,tbl_ledger[ロットID],"=",tbl_ledger[元状態],J$304),
_xlpm.受入+_xlpm.余剰化受入-_xlpm.払出))</f>
        <v/>
      </c>
      <c r="K395" s="8" t="str">
        <f>IF($C395="","",_xlfn.LET(
_xlpm.受入,SUMIFS(tbl_ledger[数量],tbl_ledger[localId],$C395,tbl_ledger[イベント種類],"発送準備開始",tbl_ledger[ロットID],"="),
_xlpm.余剰化受入,SUMIFS(tbl_ledger[数量],tbl_ledger[localId],$C395,tbl_ledger[イベント種類],"余剰化",tbl_ledger[元状態],K$304),
_xlpm.払出,SUMIFS(tbl_ledger[数量],tbl_ledger[localId],$C395,tbl_ledger[ロットID],"=",tbl_ledger[元状態],K$304),
_xlpm.受入+_xlpm.余剰化受入-_xlpm.払出))</f>
        <v/>
      </c>
      <c r="L395" s="8" t="str">
        <f>IF($C395="","",_xlfn.LET(
_xlpm.受入,SUMIFS(tbl_ledger[数量],tbl_ledger[localId],$C395,tbl_ledger[イベント種類],"発送準備完了",tbl_ledger[ロットID],"="),
_xlpm.余剰化受入,SUMIFS(tbl_ledger[数量],tbl_ledger[localId],$C395,tbl_ledger[イベント種類],"余剰化",tbl_ledger[元状態],L$304),
_xlpm.払出,SUMIFS(tbl_ledger[数量],tbl_ledger[localId],$C395,tbl_ledger[ロットID],"=",tbl_ledger[元状態],L$304),
_xlpm.受入+_xlpm.余剰化受入-_xlpm.払出))</f>
        <v/>
      </c>
      <c r="M395" s="8" t="str">
        <f>IF($C395="","",_xlfn.LET(
_xlpm.受入,SUMIFS(tbl_ledger[数量],tbl_ledger[localId],$C395,tbl_ledger[イベント種類],"不良発生",tbl_ledger[ロットID],"="),
_xlpm.余剰化受入,SUMIFS(tbl_ledger[数量],tbl_ledger[localId],$C395,tbl_ledger[イベント種類],"余剰化",tbl_ledger[元状態],M$304),
_xlpm.払出,SUMIFS(tbl_ledger[数量],tbl_ledger[localId],$C395,tbl_ledger[ロットID],"=",tbl_ledger[元状態],M$304),
_xlpm.受入+_xlpm.余剰化受入-_xlpm.払出))</f>
        <v/>
      </c>
      <c r="N395" s="8" t="str">
        <f t="shared" si="15"/>
        <v/>
      </c>
    </row>
    <row r="396" spans="1:14" ht="15" customHeight="1" x14ac:dyDescent="0.25">
      <c r="A396" s="4" t="str">
        <f t="shared" si="14"/>
        <v/>
      </c>
      <c r="B396" s="4"/>
      <c r="C396" s="4" t="str">
        <f>IFERROR(INDEX(tbl_master[localId],ROW()-304),"")</f>
        <v/>
      </c>
      <c r="D396" s="8" t="str">
        <f>IF($C396="","",_xlfn.LET(
_xlpm.搬入計,SUMIFS(tbl_ledger[数量],tbl_ledger[localId],$C396,tbl_ledger[イベント種類],"搬入"),
_xlpm.割当計,SUMIF(V_充足確認!$B$2:$B$301,$C396,V_充足確認!$F$2:$F$301),
_xlpm.余剰化受入,SUMIFS(tbl_ledger[数量],tbl_ledger[localId],$C396,tbl_ledger[イベント種類],"余剰化",tbl_ledger[元状態],D$304),
_xlpm.払出,SUMIFS(tbl_ledger[数量],tbl_ledger[localId],$C396,tbl_ledger[ロットID],"=",tbl_ledger[元状態],D$304),
_xlpm.搬入計-_xlpm.割当計+_xlpm.余剰化受入-_xlpm.払出))</f>
        <v/>
      </c>
      <c r="E396" s="8" t="str">
        <f>IF($C396="","",_xlfn.LET(
_xlpm.受入,SUMIFS(tbl_ledger[数量],tbl_ledger[localId],$C396,tbl_ledger[イベント種類],"アニール開始",tbl_ledger[ロットID],"="),
_xlpm.余剰化受入,SUMIFS(tbl_ledger[数量],tbl_ledger[localId],$C396,tbl_ledger[イベント種類],"余剰化",tbl_ledger[元状態],E$304),
_xlpm.払出,SUMIFS(tbl_ledger[数量],tbl_ledger[localId],$C396,tbl_ledger[ロットID],"=",tbl_ledger[元状態],E$304),
_xlpm.受入+_xlpm.余剰化受入-_xlpm.払出))</f>
        <v/>
      </c>
      <c r="F396" s="8" t="str">
        <f>IF($C396="","",_xlfn.LET(
_xlpm.受入,SUMIFS(tbl_ledger[数量],tbl_ledger[localId],$C396,tbl_ledger[イベント種類],"アニール完了",tbl_ledger[ロットID],"="),
_xlpm.余剰化受入,SUMIFS(tbl_ledger[数量],tbl_ledger[localId],$C396,tbl_ledger[イベント種類],"余剰化",tbl_ledger[元状態],F$304),
_xlpm.払出,SUMIFS(tbl_ledger[数量],tbl_ledger[localId],$C396,tbl_ledger[ロットID],"=",tbl_ledger[元状態],F$304),
_xlpm.受入+_xlpm.余剰化受入-_xlpm.払出))</f>
        <v/>
      </c>
      <c r="G396" s="8" t="str">
        <f>IF($C396="","",_xlfn.LET(
_xlpm.受入,SUMIFS(tbl_ledger[数量],tbl_ledger[localId],$C396,tbl_ledger[イベント種類],"アセンブリ開始",tbl_ledger[ロットID],"="),
_xlpm.余剰化受入,SUMIFS(tbl_ledger[数量],tbl_ledger[localId],$C396,tbl_ledger[イベント種類],"余剰化",tbl_ledger[元状態],G$304),
_xlpm.払出,SUMIFS(tbl_ledger[数量],tbl_ledger[localId],$C396,tbl_ledger[ロットID],"=",tbl_ledger[元状態],G$304),
_xlpm.受入+_xlpm.余剰化受入-_xlpm.払出))</f>
        <v/>
      </c>
      <c r="H396" s="8" t="str">
        <f>IF($C396="","",_xlfn.LET(
_xlpm.受入,SUMIFS(tbl_ledger[数量],tbl_ledger[localId],$C396,tbl_ledger[イベント種類],"アセンブリ完了",tbl_ledger[ロットID],"="),
_xlpm.余剰化受入,SUMIFS(tbl_ledger[数量],tbl_ledger[localId],$C396,tbl_ledger[イベント種類],"余剰化",tbl_ledger[元状態],H$304),
_xlpm.払出,SUMIFS(tbl_ledger[数量],tbl_ledger[localId],$C396,tbl_ledger[ロットID],"=",tbl_ledger[元状態],H$304),
_xlpm.受入+_xlpm.余剰化受入-_xlpm.払出))</f>
        <v/>
      </c>
      <c r="I396" s="8" t="str">
        <f>IF($C396="","",_xlfn.LET(
_xlpm.受入,SUMIFS(tbl_ledger[数量],tbl_ledger[localId],$C396,tbl_ledger[イベント種類],"梱包開始",tbl_ledger[ロットID],"="),
_xlpm.余剰化受入,SUMIFS(tbl_ledger[数量],tbl_ledger[localId],$C396,tbl_ledger[イベント種類],"余剰化",tbl_ledger[元状態],I$304),
_xlpm.払出,SUMIFS(tbl_ledger[数量],tbl_ledger[localId],$C396,tbl_ledger[ロットID],"=",tbl_ledger[元状態],I$304),
_xlpm.受入+_xlpm.余剰化受入-_xlpm.払出))</f>
        <v/>
      </c>
      <c r="J396" s="8" t="str">
        <f>IF($C396="","",_xlfn.LET(
_xlpm.受入,SUMIFS(tbl_ledger[数量],tbl_ledger[localId],$C396,tbl_ledger[イベント種類],"梱包完了",tbl_ledger[ロットID],"="),
_xlpm.余剰化受入,SUMIFS(tbl_ledger[数量],tbl_ledger[localId],$C396,tbl_ledger[イベント種類],"余剰化",tbl_ledger[元状態],J$304),
_xlpm.払出,SUMIFS(tbl_ledger[数量],tbl_ledger[localId],$C396,tbl_ledger[ロットID],"=",tbl_ledger[元状態],J$304),
_xlpm.受入+_xlpm.余剰化受入-_xlpm.払出))</f>
        <v/>
      </c>
      <c r="K396" s="8" t="str">
        <f>IF($C396="","",_xlfn.LET(
_xlpm.受入,SUMIFS(tbl_ledger[数量],tbl_ledger[localId],$C396,tbl_ledger[イベント種類],"発送準備開始",tbl_ledger[ロットID],"="),
_xlpm.余剰化受入,SUMIFS(tbl_ledger[数量],tbl_ledger[localId],$C396,tbl_ledger[イベント種類],"余剰化",tbl_ledger[元状態],K$304),
_xlpm.払出,SUMIFS(tbl_ledger[数量],tbl_ledger[localId],$C396,tbl_ledger[ロットID],"=",tbl_ledger[元状態],K$304),
_xlpm.受入+_xlpm.余剰化受入-_xlpm.払出))</f>
        <v/>
      </c>
      <c r="L396" s="8" t="str">
        <f>IF($C396="","",_xlfn.LET(
_xlpm.受入,SUMIFS(tbl_ledger[数量],tbl_ledger[localId],$C396,tbl_ledger[イベント種類],"発送準備完了",tbl_ledger[ロットID],"="),
_xlpm.余剰化受入,SUMIFS(tbl_ledger[数量],tbl_ledger[localId],$C396,tbl_ledger[イベント種類],"余剰化",tbl_ledger[元状態],L$304),
_xlpm.払出,SUMIFS(tbl_ledger[数量],tbl_ledger[localId],$C396,tbl_ledger[ロットID],"=",tbl_ledger[元状態],L$304),
_xlpm.受入+_xlpm.余剰化受入-_xlpm.払出))</f>
        <v/>
      </c>
      <c r="M396" s="8" t="str">
        <f>IF($C396="","",_xlfn.LET(
_xlpm.受入,SUMIFS(tbl_ledger[数量],tbl_ledger[localId],$C396,tbl_ledger[イベント種類],"不良発生",tbl_ledger[ロットID],"="),
_xlpm.余剰化受入,SUMIFS(tbl_ledger[数量],tbl_ledger[localId],$C396,tbl_ledger[イベント種類],"余剰化",tbl_ledger[元状態],M$304),
_xlpm.払出,SUMIFS(tbl_ledger[数量],tbl_ledger[localId],$C396,tbl_ledger[ロットID],"=",tbl_ledger[元状態],M$304),
_xlpm.受入+_xlpm.余剰化受入-_xlpm.払出))</f>
        <v/>
      </c>
      <c r="N396" s="8" t="str">
        <f t="shared" si="15"/>
        <v/>
      </c>
    </row>
    <row r="397" spans="1:14" ht="15" customHeight="1" x14ac:dyDescent="0.25">
      <c r="A397" s="4" t="str">
        <f t="shared" si="14"/>
        <v/>
      </c>
      <c r="B397" s="4"/>
      <c r="C397" s="4" t="str">
        <f>IFERROR(INDEX(tbl_master[localId],ROW()-304),"")</f>
        <v/>
      </c>
      <c r="D397" s="8" t="str">
        <f>IF($C397="","",_xlfn.LET(
_xlpm.搬入計,SUMIFS(tbl_ledger[数量],tbl_ledger[localId],$C397,tbl_ledger[イベント種類],"搬入"),
_xlpm.割当計,SUMIF(V_充足確認!$B$2:$B$301,$C397,V_充足確認!$F$2:$F$301),
_xlpm.余剰化受入,SUMIFS(tbl_ledger[数量],tbl_ledger[localId],$C397,tbl_ledger[イベント種類],"余剰化",tbl_ledger[元状態],D$304),
_xlpm.払出,SUMIFS(tbl_ledger[数量],tbl_ledger[localId],$C397,tbl_ledger[ロットID],"=",tbl_ledger[元状態],D$304),
_xlpm.搬入計-_xlpm.割当計+_xlpm.余剰化受入-_xlpm.払出))</f>
        <v/>
      </c>
      <c r="E397" s="8" t="str">
        <f>IF($C397="","",_xlfn.LET(
_xlpm.受入,SUMIFS(tbl_ledger[数量],tbl_ledger[localId],$C397,tbl_ledger[イベント種類],"アニール開始",tbl_ledger[ロットID],"="),
_xlpm.余剰化受入,SUMIFS(tbl_ledger[数量],tbl_ledger[localId],$C397,tbl_ledger[イベント種類],"余剰化",tbl_ledger[元状態],E$304),
_xlpm.払出,SUMIFS(tbl_ledger[数量],tbl_ledger[localId],$C397,tbl_ledger[ロットID],"=",tbl_ledger[元状態],E$304),
_xlpm.受入+_xlpm.余剰化受入-_xlpm.払出))</f>
        <v/>
      </c>
      <c r="F397" s="8" t="str">
        <f>IF($C397="","",_xlfn.LET(
_xlpm.受入,SUMIFS(tbl_ledger[数量],tbl_ledger[localId],$C397,tbl_ledger[イベント種類],"アニール完了",tbl_ledger[ロットID],"="),
_xlpm.余剰化受入,SUMIFS(tbl_ledger[数量],tbl_ledger[localId],$C397,tbl_ledger[イベント種類],"余剰化",tbl_ledger[元状態],F$304),
_xlpm.払出,SUMIFS(tbl_ledger[数量],tbl_ledger[localId],$C397,tbl_ledger[ロットID],"=",tbl_ledger[元状態],F$304),
_xlpm.受入+_xlpm.余剰化受入-_xlpm.払出))</f>
        <v/>
      </c>
      <c r="G397" s="8" t="str">
        <f>IF($C397="","",_xlfn.LET(
_xlpm.受入,SUMIFS(tbl_ledger[数量],tbl_ledger[localId],$C397,tbl_ledger[イベント種類],"アセンブリ開始",tbl_ledger[ロットID],"="),
_xlpm.余剰化受入,SUMIFS(tbl_ledger[数量],tbl_ledger[localId],$C397,tbl_ledger[イベント種類],"余剰化",tbl_ledger[元状態],G$304),
_xlpm.払出,SUMIFS(tbl_ledger[数量],tbl_ledger[localId],$C397,tbl_ledger[ロットID],"=",tbl_ledger[元状態],G$304),
_xlpm.受入+_xlpm.余剰化受入-_xlpm.払出))</f>
        <v/>
      </c>
      <c r="H397" s="8" t="str">
        <f>IF($C397="","",_xlfn.LET(
_xlpm.受入,SUMIFS(tbl_ledger[数量],tbl_ledger[localId],$C397,tbl_ledger[イベント種類],"アセンブリ完了",tbl_ledger[ロットID],"="),
_xlpm.余剰化受入,SUMIFS(tbl_ledger[数量],tbl_ledger[localId],$C397,tbl_ledger[イベント種類],"余剰化",tbl_ledger[元状態],H$304),
_xlpm.払出,SUMIFS(tbl_ledger[数量],tbl_ledger[localId],$C397,tbl_ledger[ロットID],"=",tbl_ledger[元状態],H$304),
_xlpm.受入+_xlpm.余剰化受入-_xlpm.払出))</f>
        <v/>
      </c>
      <c r="I397" s="8" t="str">
        <f>IF($C397="","",_xlfn.LET(
_xlpm.受入,SUMIFS(tbl_ledger[数量],tbl_ledger[localId],$C397,tbl_ledger[イベント種類],"梱包開始",tbl_ledger[ロットID],"="),
_xlpm.余剰化受入,SUMIFS(tbl_ledger[数量],tbl_ledger[localId],$C397,tbl_ledger[イベント種類],"余剰化",tbl_ledger[元状態],I$304),
_xlpm.払出,SUMIFS(tbl_ledger[数量],tbl_ledger[localId],$C397,tbl_ledger[ロットID],"=",tbl_ledger[元状態],I$304),
_xlpm.受入+_xlpm.余剰化受入-_xlpm.払出))</f>
        <v/>
      </c>
      <c r="J397" s="8" t="str">
        <f>IF($C397="","",_xlfn.LET(
_xlpm.受入,SUMIFS(tbl_ledger[数量],tbl_ledger[localId],$C397,tbl_ledger[イベント種類],"梱包完了",tbl_ledger[ロットID],"="),
_xlpm.余剰化受入,SUMIFS(tbl_ledger[数量],tbl_ledger[localId],$C397,tbl_ledger[イベント種類],"余剰化",tbl_ledger[元状態],J$304),
_xlpm.払出,SUMIFS(tbl_ledger[数量],tbl_ledger[localId],$C397,tbl_ledger[ロットID],"=",tbl_ledger[元状態],J$304),
_xlpm.受入+_xlpm.余剰化受入-_xlpm.払出))</f>
        <v/>
      </c>
      <c r="K397" s="8" t="str">
        <f>IF($C397="","",_xlfn.LET(
_xlpm.受入,SUMIFS(tbl_ledger[数量],tbl_ledger[localId],$C397,tbl_ledger[イベント種類],"発送準備開始",tbl_ledger[ロットID],"="),
_xlpm.余剰化受入,SUMIFS(tbl_ledger[数量],tbl_ledger[localId],$C397,tbl_ledger[イベント種類],"余剰化",tbl_ledger[元状態],K$304),
_xlpm.払出,SUMIFS(tbl_ledger[数量],tbl_ledger[localId],$C397,tbl_ledger[ロットID],"=",tbl_ledger[元状態],K$304),
_xlpm.受入+_xlpm.余剰化受入-_xlpm.払出))</f>
        <v/>
      </c>
      <c r="L397" s="8" t="str">
        <f>IF($C397="","",_xlfn.LET(
_xlpm.受入,SUMIFS(tbl_ledger[数量],tbl_ledger[localId],$C397,tbl_ledger[イベント種類],"発送準備完了",tbl_ledger[ロットID],"="),
_xlpm.余剰化受入,SUMIFS(tbl_ledger[数量],tbl_ledger[localId],$C397,tbl_ledger[イベント種類],"余剰化",tbl_ledger[元状態],L$304),
_xlpm.払出,SUMIFS(tbl_ledger[数量],tbl_ledger[localId],$C397,tbl_ledger[ロットID],"=",tbl_ledger[元状態],L$304),
_xlpm.受入+_xlpm.余剰化受入-_xlpm.払出))</f>
        <v/>
      </c>
      <c r="M397" s="8" t="str">
        <f>IF($C397="","",_xlfn.LET(
_xlpm.受入,SUMIFS(tbl_ledger[数量],tbl_ledger[localId],$C397,tbl_ledger[イベント種類],"不良発生",tbl_ledger[ロットID],"="),
_xlpm.余剰化受入,SUMIFS(tbl_ledger[数量],tbl_ledger[localId],$C397,tbl_ledger[イベント種類],"余剰化",tbl_ledger[元状態],M$304),
_xlpm.払出,SUMIFS(tbl_ledger[数量],tbl_ledger[localId],$C397,tbl_ledger[ロットID],"=",tbl_ledger[元状態],M$304),
_xlpm.受入+_xlpm.余剰化受入-_xlpm.払出))</f>
        <v/>
      </c>
      <c r="N397" s="8" t="str">
        <f t="shared" si="15"/>
        <v/>
      </c>
    </row>
    <row r="398" spans="1:14" ht="15" customHeight="1" x14ac:dyDescent="0.25">
      <c r="A398" s="4" t="str">
        <f t="shared" si="14"/>
        <v/>
      </c>
      <c r="B398" s="4"/>
      <c r="C398" s="4" t="str">
        <f>IFERROR(INDEX(tbl_master[localId],ROW()-304),"")</f>
        <v/>
      </c>
      <c r="D398" s="8" t="str">
        <f>IF($C398="","",_xlfn.LET(
_xlpm.搬入計,SUMIFS(tbl_ledger[数量],tbl_ledger[localId],$C398,tbl_ledger[イベント種類],"搬入"),
_xlpm.割当計,SUMIF(V_充足確認!$B$2:$B$301,$C398,V_充足確認!$F$2:$F$301),
_xlpm.余剰化受入,SUMIFS(tbl_ledger[数量],tbl_ledger[localId],$C398,tbl_ledger[イベント種類],"余剰化",tbl_ledger[元状態],D$304),
_xlpm.払出,SUMIFS(tbl_ledger[数量],tbl_ledger[localId],$C398,tbl_ledger[ロットID],"=",tbl_ledger[元状態],D$304),
_xlpm.搬入計-_xlpm.割当計+_xlpm.余剰化受入-_xlpm.払出))</f>
        <v/>
      </c>
      <c r="E398" s="8" t="str">
        <f>IF($C398="","",_xlfn.LET(
_xlpm.受入,SUMIFS(tbl_ledger[数量],tbl_ledger[localId],$C398,tbl_ledger[イベント種類],"アニール開始",tbl_ledger[ロットID],"="),
_xlpm.余剰化受入,SUMIFS(tbl_ledger[数量],tbl_ledger[localId],$C398,tbl_ledger[イベント種類],"余剰化",tbl_ledger[元状態],E$304),
_xlpm.払出,SUMIFS(tbl_ledger[数量],tbl_ledger[localId],$C398,tbl_ledger[ロットID],"=",tbl_ledger[元状態],E$304),
_xlpm.受入+_xlpm.余剰化受入-_xlpm.払出))</f>
        <v/>
      </c>
      <c r="F398" s="8" t="str">
        <f>IF($C398="","",_xlfn.LET(
_xlpm.受入,SUMIFS(tbl_ledger[数量],tbl_ledger[localId],$C398,tbl_ledger[イベント種類],"アニール完了",tbl_ledger[ロットID],"="),
_xlpm.余剰化受入,SUMIFS(tbl_ledger[数量],tbl_ledger[localId],$C398,tbl_ledger[イベント種類],"余剰化",tbl_ledger[元状態],F$304),
_xlpm.払出,SUMIFS(tbl_ledger[数量],tbl_ledger[localId],$C398,tbl_ledger[ロットID],"=",tbl_ledger[元状態],F$304),
_xlpm.受入+_xlpm.余剰化受入-_xlpm.払出))</f>
        <v/>
      </c>
      <c r="G398" s="8" t="str">
        <f>IF($C398="","",_xlfn.LET(
_xlpm.受入,SUMIFS(tbl_ledger[数量],tbl_ledger[localId],$C398,tbl_ledger[イベント種類],"アセンブリ開始",tbl_ledger[ロットID],"="),
_xlpm.余剰化受入,SUMIFS(tbl_ledger[数量],tbl_ledger[localId],$C398,tbl_ledger[イベント種類],"余剰化",tbl_ledger[元状態],G$304),
_xlpm.払出,SUMIFS(tbl_ledger[数量],tbl_ledger[localId],$C398,tbl_ledger[ロットID],"=",tbl_ledger[元状態],G$304),
_xlpm.受入+_xlpm.余剰化受入-_xlpm.払出))</f>
        <v/>
      </c>
      <c r="H398" s="8" t="str">
        <f>IF($C398="","",_xlfn.LET(
_xlpm.受入,SUMIFS(tbl_ledger[数量],tbl_ledger[localId],$C398,tbl_ledger[イベント種類],"アセンブリ完了",tbl_ledger[ロットID],"="),
_xlpm.余剰化受入,SUMIFS(tbl_ledger[数量],tbl_ledger[localId],$C398,tbl_ledger[イベント種類],"余剰化",tbl_ledger[元状態],H$304),
_xlpm.払出,SUMIFS(tbl_ledger[数量],tbl_ledger[localId],$C398,tbl_ledger[ロットID],"=",tbl_ledger[元状態],H$304),
_xlpm.受入+_xlpm.余剰化受入-_xlpm.払出))</f>
        <v/>
      </c>
      <c r="I398" s="8" t="str">
        <f>IF($C398="","",_xlfn.LET(
_xlpm.受入,SUMIFS(tbl_ledger[数量],tbl_ledger[localId],$C398,tbl_ledger[イベント種類],"梱包開始",tbl_ledger[ロットID],"="),
_xlpm.余剰化受入,SUMIFS(tbl_ledger[数量],tbl_ledger[localId],$C398,tbl_ledger[イベント種類],"余剰化",tbl_ledger[元状態],I$304),
_xlpm.払出,SUMIFS(tbl_ledger[数量],tbl_ledger[localId],$C398,tbl_ledger[ロットID],"=",tbl_ledger[元状態],I$304),
_xlpm.受入+_xlpm.余剰化受入-_xlpm.払出))</f>
        <v/>
      </c>
      <c r="J398" s="8" t="str">
        <f>IF($C398="","",_xlfn.LET(
_xlpm.受入,SUMIFS(tbl_ledger[数量],tbl_ledger[localId],$C398,tbl_ledger[イベント種類],"梱包完了",tbl_ledger[ロットID],"="),
_xlpm.余剰化受入,SUMIFS(tbl_ledger[数量],tbl_ledger[localId],$C398,tbl_ledger[イベント種類],"余剰化",tbl_ledger[元状態],J$304),
_xlpm.払出,SUMIFS(tbl_ledger[数量],tbl_ledger[localId],$C398,tbl_ledger[ロットID],"=",tbl_ledger[元状態],J$304),
_xlpm.受入+_xlpm.余剰化受入-_xlpm.払出))</f>
        <v/>
      </c>
      <c r="K398" s="8" t="str">
        <f>IF($C398="","",_xlfn.LET(
_xlpm.受入,SUMIFS(tbl_ledger[数量],tbl_ledger[localId],$C398,tbl_ledger[イベント種類],"発送準備開始",tbl_ledger[ロットID],"="),
_xlpm.余剰化受入,SUMIFS(tbl_ledger[数量],tbl_ledger[localId],$C398,tbl_ledger[イベント種類],"余剰化",tbl_ledger[元状態],K$304),
_xlpm.払出,SUMIFS(tbl_ledger[数量],tbl_ledger[localId],$C398,tbl_ledger[ロットID],"=",tbl_ledger[元状態],K$304),
_xlpm.受入+_xlpm.余剰化受入-_xlpm.払出))</f>
        <v/>
      </c>
      <c r="L398" s="8" t="str">
        <f>IF($C398="","",_xlfn.LET(
_xlpm.受入,SUMIFS(tbl_ledger[数量],tbl_ledger[localId],$C398,tbl_ledger[イベント種類],"発送準備完了",tbl_ledger[ロットID],"="),
_xlpm.余剰化受入,SUMIFS(tbl_ledger[数量],tbl_ledger[localId],$C398,tbl_ledger[イベント種類],"余剰化",tbl_ledger[元状態],L$304),
_xlpm.払出,SUMIFS(tbl_ledger[数量],tbl_ledger[localId],$C398,tbl_ledger[ロットID],"=",tbl_ledger[元状態],L$304),
_xlpm.受入+_xlpm.余剰化受入-_xlpm.払出))</f>
        <v/>
      </c>
      <c r="M398" s="8" t="str">
        <f>IF($C398="","",_xlfn.LET(
_xlpm.受入,SUMIFS(tbl_ledger[数量],tbl_ledger[localId],$C398,tbl_ledger[イベント種類],"不良発生",tbl_ledger[ロットID],"="),
_xlpm.余剰化受入,SUMIFS(tbl_ledger[数量],tbl_ledger[localId],$C398,tbl_ledger[イベント種類],"余剰化",tbl_ledger[元状態],M$304),
_xlpm.払出,SUMIFS(tbl_ledger[数量],tbl_ledger[localId],$C398,tbl_ledger[ロットID],"=",tbl_ledger[元状態],M$304),
_xlpm.受入+_xlpm.余剰化受入-_xlpm.払出))</f>
        <v/>
      </c>
      <c r="N398" s="8" t="str">
        <f t="shared" si="15"/>
        <v/>
      </c>
    </row>
    <row r="399" spans="1:14" ht="15" customHeight="1" x14ac:dyDescent="0.25">
      <c r="A399" s="4" t="str">
        <f t="shared" si="14"/>
        <v/>
      </c>
      <c r="B399" s="4"/>
      <c r="C399" s="4" t="str">
        <f>IFERROR(INDEX(tbl_master[localId],ROW()-304),"")</f>
        <v/>
      </c>
      <c r="D399" s="8" t="str">
        <f>IF($C399="","",_xlfn.LET(
_xlpm.搬入計,SUMIFS(tbl_ledger[数量],tbl_ledger[localId],$C399,tbl_ledger[イベント種類],"搬入"),
_xlpm.割当計,SUMIF(V_充足確認!$B$2:$B$301,$C399,V_充足確認!$F$2:$F$301),
_xlpm.余剰化受入,SUMIFS(tbl_ledger[数量],tbl_ledger[localId],$C399,tbl_ledger[イベント種類],"余剰化",tbl_ledger[元状態],D$304),
_xlpm.払出,SUMIFS(tbl_ledger[数量],tbl_ledger[localId],$C399,tbl_ledger[ロットID],"=",tbl_ledger[元状態],D$304),
_xlpm.搬入計-_xlpm.割当計+_xlpm.余剰化受入-_xlpm.払出))</f>
        <v/>
      </c>
      <c r="E399" s="8" t="str">
        <f>IF($C399="","",_xlfn.LET(
_xlpm.受入,SUMIFS(tbl_ledger[数量],tbl_ledger[localId],$C399,tbl_ledger[イベント種類],"アニール開始",tbl_ledger[ロットID],"="),
_xlpm.余剰化受入,SUMIFS(tbl_ledger[数量],tbl_ledger[localId],$C399,tbl_ledger[イベント種類],"余剰化",tbl_ledger[元状態],E$304),
_xlpm.払出,SUMIFS(tbl_ledger[数量],tbl_ledger[localId],$C399,tbl_ledger[ロットID],"=",tbl_ledger[元状態],E$304),
_xlpm.受入+_xlpm.余剰化受入-_xlpm.払出))</f>
        <v/>
      </c>
      <c r="F399" s="8" t="str">
        <f>IF($C399="","",_xlfn.LET(
_xlpm.受入,SUMIFS(tbl_ledger[数量],tbl_ledger[localId],$C399,tbl_ledger[イベント種類],"アニール完了",tbl_ledger[ロットID],"="),
_xlpm.余剰化受入,SUMIFS(tbl_ledger[数量],tbl_ledger[localId],$C399,tbl_ledger[イベント種類],"余剰化",tbl_ledger[元状態],F$304),
_xlpm.払出,SUMIFS(tbl_ledger[数量],tbl_ledger[localId],$C399,tbl_ledger[ロットID],"=",tbl_ledger[元状態],F$304),
_xlpm.受入+_xlpm.余剰化受入-_xlpm.払出))</f>
        <v/>
      </c>
      <c r="G399" s="8" t="str">
        <f>IF($C399="","",_xlfn.LET(
_xlpm.受入,SUMIFS(tbl_ledger[数量],tbl_ledger[localId],$C399,tbl_ledger[イベント種類],"アセンブリ開始",tbl_ledger[ロットID],"="),
_xlpm.余剰化受入,SUMIFS(tbl_ledger[数量],tbl_ledger[localId],$C399,tbl_ledger[イベント種類],"余剰化",tbl_ledger[元状態],G$304),
_xlpm.払出,SUMIFS(tbl_ledger[数量],tbl_ledger[localId],$C399,tbl_ledger[ロットID],"=",tbl_ledger[元状態],G$304),
_xlpm.受入+_xlpm.余剰化受入-_xlpm.払出))</f>
        <v/>
      </c>
      <c r="H399" s="8" t="str">
        <f>IF($C399="","",_xlfn.LET(
_xlpm.受入,SUMIFS(tbl_ledger[数量],tbl_ledger[localId],$C399,tbl_ledger[イベント種類],"アセンブリ完了",tbl_ledger[ロットID],"="),
_xlpm.余剰化受入,SUMIFS(tbl_ledger[数量],tbl_ledger[localId],$C399,tbl_ledger[イベント種類],"余剰化",tbl_ledger[元状態],H$304),
_xlpm.払出,SUMIFS(tbl_ledger[数量],tbl_ledger[localId],$C399,tbl_ledger[ロットID],"=",tbl_ledger[元状態],H$304),
_xlpm.受入+_xlpm.余剰化受入-_xlpm.払出))</f>
        <v/>
      </c>
      <c r="I399" s="8" t="str">
        <f>IF($C399="","",_xlfn.LET(
_xlpm.受入,SUMIFS(tbl_ledger[数量],tbl_ledger[localId],$C399,tbl_ledger[イベント種類],"梱包開始",tbl_ledger[ロットID],"="),
_xlpm.余剰化受入,SUMIFS(tbl_ledger[数量],tbl_ledger[localId],$C399,tbl_ledger[イベント種類],"余剰化",tbl_ledger[元状態],I$304),
_xlpm.払出,SUMIFS(tbl_ledger[数量],tbl_ledger[localId],$C399,tbl_ledger[ロットID],"=",tbl_ledger[元状態],I$304),
_xlpm.受入+_xlpm.余剰化受入-_xlpm.払出))</f>
        <v/>
      </c>
      <c r="J399" s="8" t="str">
        <f>IF($C399="","",_xlfn.LET(
_xlpm.受入,SUMIFS(tbl_ledger[数量],tbl_ledger[localId],$C399,tbl_ledger[イベント種類],"梱包完了",tbl_ledger[ロットID],"="),
_xlpm.余剰化受入,SUMIFS(tbl_ledger[数量],tbl_ledger[localId],$C399,tbl_ledger[イベント種類],"余剰化",tbl_ledger[元状態],J$304),
_xlpm.払出,SUMIFS(tbl_ledger[数量],tbl_ledger[localId],$C399,tbl_ledger[ロットID],"=",tbl_ledger[元状態],J$304),
_xlpm.受入+_xlpm.余剰化受入-_xlpm.払出))</f>
        <v/>
      </c>
      <c r="K399" s="8" t="str">
        <f>IF($C399="","",_xlfn.LET(
_xlpm.受入,SUMIFS(tbl_ledger[数量],tbl_ledger[localId],$C399,tbl_ledger[イベント種類],"発送準備開始",tbl_ledger[ロットID],"="),
_xlpm.余剰化受入,SUMIFS(tbl_ledger[数量],tbl_ledger[localId],$C399,tbl_ledger[イベント種類],"余剰化",tbl_ledger[元状態],K$304),
_xlpm.払出,SUMIFS(tbl_ledger[数量],tbl_ledger[localId],$C399,tbl_ledger[ロットID],"=",tbl_ledger[元状態],K$304),
_xlpm.受入+_xlpm.余剰化受入-_xlpm.払出))</f>
        <v/>
      </c>
      <c r="L399" s="8" t="str">
        <f>IF($C399="","",_xlfn.LET(
_xlpm.受入,SUMIFS(tbl_ledger[数量],tbl_ledger[localId],$C399,tbl_ledger[イベント種類],"発送準備完了",tbl_ledger[ロットID],"="),
_xlpm.余剰化受入,SUMIFS(tbl_ledger[数量],tbl_ledger[localId],$C399,tbl_ledger[イベント種類],"余剰化",tbl_ledger[元状態],L$304),
_xlpm.払出,SUMIFS(tbl_ledger[数量],tbl_ledger[localId],$C399,tbl_ledger[ロットID],"=",tbl_ledger[元状態],L$304),
_xlpm.受入+_xlpm.余剰化受入-_xlpm.払出))</f>
        <v/>
      </c>
      <c r="M399" s="8" t="str">
        <f>IF($C399="","",_xlfn.LET(
_xlpm.受入,SUMIFS(tbl_ledger[数量],tbl_ledger[localId],$C399,tbl_ledger[イベント種類],"不良発生",tbl_ledger[ロットID],"="),
_xlpm.余剰化受入,SUMIFS(tbl_ledger[数量],tbl_ledger[localId],$C399,tbl_ledger[イベント種類],"余剰化",tbl_ledger[元状態],M$304),
_xlpm.払出,SUMIFS(tbl_ledger[数量],tbl_ledger[localId],$C399,tbl_ledger[ロットID],"=",tbl_ledger[元状態],M$304),
_xlpm.受入+_xlpm.余剰化受入-_xlpm.払出))</f>
        <v/>
      </c>
      <c r="N399" s="8" t="str">
        <f t="shared" si="15"/>
        <v/>
      </c>
    </row>
    <row r="400" spans="1:14" ht="15" customHeight="1" x14ac:dyDescent="0.25">
      <c r="A400" s="4" t="str">
        <f t="shared" si="14"/>
        <v/>
      </c>
      <c r="B400" s="4"/>
      <c r="C400" s="4" t="str">
        <f>IFERROR(INDEX(tbl_master[localId],ROW()-304),"")</f>
        <v/>
      </c>
      <c r="D400" s="8" t="str">
        <f>IF($C400="","",_xlfn.LET(
_xlpm.搬入計,SUMIFS(tbl_ledger[数量],tbl_ledger[localId],$C400,tbl_ledger[イベント種類],"搬入"),
_xlpm.割当計,SUMIF(V_充足確認!$B$2:$B$301,$C400,V_充足確認!$F$2:$F$301),
_xlpm.余剰化受入,SUMIFS(tbl_ledger[数量],tbl_ledger[localId],$C400,tbl_ledger[イベント種類],"余剰化",tbl_ledger[元状態],D$304),
_xlpm.払出,SUMIFS(tbl_ledger[数量],tbl_ledger[localId],$C400,tbl_ledger[ロットID],"=",tbl_ledger[元状態],D$304),
_xlpm.搬入計-_xlpm.割当計+_xlpm.余剰化受入-_xlpm.払出))</f>
        <v/>
      </c>
      <c r="E400" s="8" t="str">
        <f>IF($C400="","",_xlfn.LET(
_xlpm.受入,SUMIFS(tbl_ledger[数量],tbl_ledger[localId],$C400,tbl_ledger[イベント種類],"アニール開始",tbl_ledger[ロットID],"="),
_xlpm.余剰化受入,SUMIFS(tbl_ledger[数量],tbl_ledger[localId],$C400,tbl_ledger[イベント種類],"余剰化",tbl_ledger[元状態],E$304),
_xlpm.払出,SUMIFS(tbl_ledger[数量],tbl_ledger[localId],$C400,tbl_ledger[ロットID],"=",tbl_ledger[元状態],E$304),
_xlpm.受入+_xlpm.余剰化受入-_xlpm.払出))</f>
        <v/>
      </c>
      <c r="F400" s="8" t="str">
        <f>IF($C400="","",_xlfn.LET(
_xlpm.受入,SUMIFS(tbl_ledger[数量],tbl_ledger[localId],$C400,tbl_ledger[イベント種類],"アニール完了",tbl_ledger[ロットID],"="),
_xlpm.余剰化受入,SUMIFS(tbl_ledger[数量],tbl_ledger[localId],$C400,tbl_ledger[イベント種類],"余剰化",tbl_ledger[元状態],F$304),
_xlpm.払出,SUMIFS(tbl_ledger[数量],tbl_ledger[localId],$C400,tbl_ledger[ロットID],"=",tbl_ledger[元状態],F$304),
_xlpm.受入+_xlpm.余剰化受入-_xlpm.払出))</f>
        <v/>
      </c>
      <c r="G400" s="8" t="str">
        <f>IF($C400="","",_xlfn.LET(
_xlpm.受入,SUMIFS(tbl_ledger[数量],tbl_ledger[localId],$C400,tbl_ledger[イベント種類],"アセンブリ開始",tbl_ledger[ロットID],"="),
_xlpm.余剰化受入,SUMIFS(tbl_ledger[数量],tbl_ledger[localId],$C400,tbl_ledger[イベント種類],"余剰化",tbl_ledger[元状態],G$304),
_xlpm.払出,SUMIFS(tbl_ledger[数量],tbl_ledger[localId],$C400,tbl_ledger[ロットID],"=",tbl_ledger[元状態],G$304),
_xlpm.受入+_xlpm.余剰化受入-_xlpm.払出))</f>
        <v/>
      </c>
      <c r="H400" s="8" t="str">
        <f>IF($C400="","",_xlfn.LET(
_xlpm.受入,SUMIFS(tbl_ledger[数量],tbl_ledger[localId],$C400,tbl_ledger[イベント種類],"アセンブリ完了",tbl_ledger[ロットID],"="),
_xlpm.余剰化受入,SUMIFS(tbl_ledger[数量],tbl_ledger[localId],$C400,tbl_ledger[イベント種類],"余剰化",tbl_ledger[元状態],H$304),
_xlpm.払出,SUMIFS(tbl_ledger[数量],tbl_ledger[localId],$C400,tbl_ledger[ロットID],"=",tbl_ledger[元状態],H$304),
_xlpm.受入+_xlpm.余剰化受入-_xlpm.払出))</f>
        <v/>
      </c>
      <c r="I400" s="8" t="str">
        <f>IF($C400="","",_xlfn.LET(
_xlpm.受入,SUMIFS(tbl_ledger[数量],tbl_ledger[localId],$C400,tbl_ledger[イベント種類],"梱包開始",tbl_ledger[ロットID],"="),
_xlpm.余剰化受入,SUMIFS(tbl_ledger[数量],tbl_ledger[localId],$C400,tbl_ledger[イベント種類],"余剰化",tbl_ledger[元状態],I$304),
_xlpm.払出,SUMIFS(tbl_ledger[数量],tbl_ledger[localId],$C400,tbl_ledger[ロットID],"=",tbl_ledger[元状態],I$304),
_xlpm.受入+_xlpm.余剰化受入-_xlpm.払出))</f>
        <v/>
      </c>
      <c r="J400" s="8" t="str">
        <f>IF($C400="","",_xlfn.LET(
_xlpm.受入,SUMIFS(tbl_ledger[数量],tbl_ledger[localId],$C400,tbl_ledger[イベント種類],"梱包完了",tbl_ledger[ロットID],"="),
_xlpm.余剰化受入,SUMIFS(tbl_ledger[数量],tbl_ledger[localId],$C400,tbl_ledger[イベント種類],"余剰化",tbl_ledger[元状態],J$304),
_xlpm.払出,SUMIFS(tbl_ledger[数量],tbl_ledger[localId],$C400,tbl_ledger[ロットID],"=",tbl_ledger[元状態],J$304),
_xlpm.受入+_xlpm.余剰化受入-_xlpm.払出))</f>
        <v/>
      </c>
      <c r="K400" s="8" t="str">
        <f>IF($C400="","",_xlfn.LET(
_xlpm.受入,SUMIFS(tbl_ledger[数量],tbl_ledger[localId],$C400,tbl_ledger[イベント種類],"発送準備開始",tbl_ledger[ロットID],"="),
_xlpm.余剰化受入,SUMIFS(tbl_ledger[数量],tbl_ledger[localId],$C400,tbl_ledger[イベント種類],"余剰化",tbl_ledger[元状態],K$304),
_xlpm.払出,SUMIFS(tbl_ledger[数量],tbl_ledger[localId],$C400,tbl_ledger[ロットID],"=",tbl_ledger[元状態],K$304),
_xlpm.受入+_xlpm.余剰化受入-_xlpm.払出))</f>
        <v/>
      </c>
      <c r="L400" s="8" t="str">
        <f>IF($C400="","",_xlfn.LET(
_xlpm.受入,SUMIFS(tbl_ledger[数量],tbl_ledger[localId],$C400,tbl_ledger[イベント種類],"発送準備完了",tbl_ledger[ロットID],"="),
_xlpm.余剰化受入,SUMIFS(tbl_ledger[数量],tbl_ledger[localId],$C400,tbl_ledger[イベント種類],"余剰化",tbl_ledger[元状態],L$304),
_xlpm.払出,SUMIFS(tbl_ledger[数量],tbl_ledger[localId],$C400,tbl_ledger[ロットID],"=",tbl_ledger[元状態],L$304),
_xlpm.受入+_xlpm.余剰化受入-_xlpm.払出))</f>
        <v/>
      </c>
      <c r="M400" s="8" t="str">
        <f>IF($C400="","",_xlfn.LET(
_xlpm.受入,SUMIFS(tbl_ledger[数量],tbl_ledger[localId],$C400,tbl_ledger[イベント種類],"不良発生",tbl_ledger[ロットID],"="),
_xlpm.余剰化受入,SUMIFS(tbl_ledger[数量],tbl_ledger[localId],$C400,tbl_ledger[イベント種類],"余剰化",tbl_ledger[元状態],M$304),
_xlpm.払出,SUMIFS(tbl_ledger[数量],tbl_ledger[localId],$C400,tbl_ledger[ロットID],"=",tbl_ledger[元状態],M$304),
_xlpm.受入+_xlpm.余剰化受入-_xlpm.払出))</f>
        <v/>
      </c>
      <c r="N400" s="8" t="str">
        <f t="shared" si="15"/>
        <v/>
      </c>
    </row>
    <row r="401" spans="1:14" ht="15" customHeight="1" x14ac:dyDescent="0.25">
      <c r="A401" s="4" t="str">
        <f t="shared" si="14"/>
        <v/>
      </c>
      <c r="B401" s="4"/>
      <c r="C401" s="4" t="str">
        <f>IFERROR(INDEX(tbl_master[localId],ROW()-304),"")</f>
        <v/>
      </c>
      <c r="D401" s="8" t="str">
        <f>IF($C401="","",_xlfn.LET(
_xlpm.搬入計,SUMIFS(tbl_ledger[数量],tbl_ledger[localId],$C401,tbl_ledger[イベント種類],"搬入"),
_xlpm.割当計,SUMIF(V_充足確認!$B$2:$B$301,$C401,V_充足確認!$F$2:$F$301),
_xlpm.余剰化受入,SUMIFS(tbl_ledger[数量],tbl_ledger[localId],$C401,tbl_ledger[イベント種類],"余剰化",tbl_ledger[元状態],D$304),
_xlpm.払出,SUMIFS(tbl_ledger[数量],tbl_ledger[localId],$C401,tbl_ledger[ロットID],"=",tbl_ledger[元状態],D$304),
_xlpm.搬入計-_xlpm.割当計+_xlpm.余剰化受入-_xlpm.払出))</f>
        <v/>
      </c>
      <c r="E401" s="8" t="str">
        <f>IF($C401="","",_xlfn.LET(
_xlpm.受入,SUMIFS(tbl_ledger[数量],tbl_ledger[localId],$C401,tbl_ledger[イベント種類],"アニール開始",tbl_ledger[ロットID],"="),
_xlpm.余剰化受入,SUMIFS(tbl_ledger[数量],tbl_ledger[localId],$C401,tbl_ledger[イベント種類],"余剰化",tbl_ledger[元状態],E$304),
_xlpm.払出,SUMIFS(tbl_ledger[数量],tbl_ledger[localId],$C401,tbl_ledger[ロットID],"=",tbl_ledger[元状態],E$304),
_xlpm.受入+_xlpm.余剰化受入-_xlpm.払出))</f>
        <v/>
      </c>
      <c r="F401" s="8" t="str">
        <f>IF($C401="","",_xlfn.LET(
_xlpm.受入,SUMIFS(tbl_ledger[数量],tbl_ledger[localId],$C401,tbl_ledger[イベント種類],"アニール完了",tbl_ledger[ロットID],"="),
_xlpm.余剰化受入,SUMIFS(tbl_ledger[数量],tbl_ledger[localId],$C401,tbl_ledger[イベント種類],"余剰化",tbl_ledger[元状態],F$304),
_xlpm.払出,SUMIFS(tbl_ledger[数量],tbl_ledger[localId],$C401,tbl_ledger[ロットID],"=",tbl_ledger[元状態],F$304),
_xlpm.受入+_xlpm.余剰化受入-_xlpm.払出))</f>
        <v/>
      </c>
      <c r="G401" s="8" t="str">
        <f>IF($C401="","",_xlfn.LET(
_xlpm.受入,SUMIFS(tbl_ledger[数量],tbl_ledger[localId],$C401,tbl_ledger[イベント種類],"アセンブリ開始",tbl_ledger[ロットID],"="),
_xlpm.余剰化受入,SUMIFS(tbl_ledger[数量],tbl_ledger[localId],$C401,tbl_ledger[イベント種類],"余剰化",tbl_ledger[元状態],G$304),
_xlpm.払出,SUMIFS(tbl_ledger[数量],tbl_ledger[localId],$C401,tbl_ledger[ロットID],"=",tbl_ledger[元状態],G$304),
_xlpm.受入+_xlpm.余剰化受入-_xlpm.払出))</f>
        <v/>
      </c>
      <c r="H401" s="8" t="str">
        <f>IF($C401="","",_xlfn.LET(
_xlpm.受入,SUMIFS(tbl_ledger[数量],tbl_ledger[localId],$C401,tbl_ledger[イベント種類],"アセンブリ完了",tbl_ledger[ロットID],"="),
_xlpm.余剰化受入,SUMIFS(tbl_ledger[数量],tbl_ledger[localId],$C401,tbl_ledger[イベント種類],"余剰化",tbl_ledger[元状態],H$304),
_xlpm.払出,SUMIFS(tbl_ledger[数量],tbl_ledger[localId],$C401,tbl_ledger[ロットID],"=",tbl_ledger[元状態],H$304),
_xlpm.受入+_xlpm.余剰化受入-_xlpm.払出))</f>
        <v/>
      </c>
      <c r="I401" s="8" t="str">
        <f>IF($C401="","",_xlfn.LET(
_xlpm.受入,SUMIFS(tbl_ledger[数量],tbl_ledger[localId],$C401,tbl_ledger[イベント種類],"梱包開始",tbl_ledger[ロットID],"="),
_xlpm.余剰化受入,SUMIFS(tbl_ledger[数量],tbl_ledger[localId],$C401,tbl_ledger[イベント種類],"余剰化",tbl_ledger[元状態],I$304),
_xlpm.払出,SUMIFS(tbl_ledger[数量],tbl_ledger[localId],$C401,tbl_ledger[ロットID],"=",tbl_ledger[元状態],I$304),
_xlpm.受入+_xlpm.余剰化受入-_xlpm.払出))</f>
        <v/>
      </c>
      <c r="J401" s="8" t="str">
        <f>IF($C401="","",_xlfn.LET(
_xlpm.受入,SUMIFS(tbl_ledger[数量],tbl_ledger[localId],$C401,tbl_ledger[イベント種類],"梱包完了",tbl_ledger[ロットID],"="),
_xlpm.余剰化受入,SUMIFS(tbl_ledger[数量],tbl_ledger[localId],$C401,tbl_ledger[イベント種類],"余剰化",tbl_ledger[元状態],J$304),
_xlpm.払出,SUMIFS(tbl_ledger[数量],tbl_ledger[localId],$C401,tbl_ledger[ロットID],"=",tbl_ledger[元状態],J$304),
_xlpm.受入+_xlpm.余剰化受入-_xlpm.払出))</f>
        <v/>
      </c>
      <c r="K401" s="8" t="str">
        <f>IF($C401="","",_xlfn.LET(
_xlpm.受入,SUMIFS(tbl_ledger[数量],tbl_ledger[localId],$C401,tbl_ledger[イベント種類],"発送準備開始",tbl_ledger[ロットID],"="),
_xlpm.余剰化受入,SUMIFS(tbl_ledger[数量],tbl_ledger[localId],$C401,tbl_ledger[イベント種類],"余剰化",tbl_ledger[元状態],K$304),
_xlpm.払出,SUMIFS(tbl_ledger[数量],tbl_ledger[localId],$C401,tbl_ledger[ロットID],"=",tbl_ledger[元状態],K$304),
_xlpm.受入+_xlpm.余剰化受入-_xlpm.払出))</f>
        <v/>
      </c>
      <c r="L401" s="8" t="str">
        <f>IF($C401="","",_xlfn.LET(
_xlpm.受入,SUMIFS(tbl_ledger[数量],tbl_ledger[localId],$C401,tbl_ledger[イベント種類],"発送準備完了",tbl_ledger[ロットID],"="),
_xlpm.余剰化受入,SUMIFS(tbl_ledger[数量],tbl_ledger[localId],$C401,tbl_ledger[イベント種類],"余剰化",tbl_ledger[元状態],L$304),
_xlpm.払出,SUMIFS(tbl_ledger[数量],tbl_ledger[localId],$C401,tbl_ledger[ロットID],"=",tbl_ledger[元状態],L$304),
_xlpm.受入+_xlpm.余剰化受入-_xlpm.払出))</f>
        <v/>
      </c>
      <c r="M401" s="8" t="str">
        <f>IF($C401="","",_xlfn.LET(
_xlpm.受入,SUMIFS(tbl_ledger[数量],tbl_ledger[localId],$C401,tbl_ledger[イベント種類],"不良発生",tbl_ledger[ロットID],"="),
_xlpm.余剰化受入,SUMIFS(tbl_ledger[数量],tbl_ledger[localId],$C401,tbl_ledger[イベント種類],"余剰化",tbl_ledger[元状態],M$304),
_xlpm.払出,SUMIFS(tbl_ledger[数量],tbl_ledger[localId],$C401,tbl_ledger[ロットID],"=",tbl_ledger[元状態],M$304),
_xlpm.受入+_xlpm.余剰化受入-_xlpm.払出))</f>
        <v/>
      </c>
      <c r="N401" s="8" t="str">
        <f t="shared" ref="N401:N404" si="16">IF($C401="","",SUM(D401:M401))</f>
        <v/>
      </c>
    </row>
    <row r="402" spans="1:14" ht="15" customHeight="1" x14ac:dyDescent="0.25">
      <c r="A402" s="4" t="str">
        <f t="shared" si="14"/>
        <v/>
      </c>
      <c r="B402" s="4"/>
      <c r="C402" s="4" t="str">
        <f>IFERROR(INDEX(tbl_master[localId],ROW()-304),"")</f>
        <v/>
      </c>
      <c r="D402" s="8" t="str">
        <f>IF($C402="","",_xlfn.LET(
_xlpm.搬入計,SUMIFS(tbl_ledger[数量],tbl_ledger[localId],$C402,tbl_ledger[イベント種類],"搬入"),
_xlpm.割当計,SUMIF(V_充足確認!$B$2:$B$301,$C402,V_充足確認!$F$2:$F$301),
_xlpm.余剰化受入,SUMIFS(tbl_ledger[数量],tbl_ledger[localId],$C402,tbl_ledger[イベント種類],"余剰化",tbl_ledger[元状態],D$304),
_xlpm.払出,SUMIFS(tbl_ledger[数量],tbl_ledger[localId],$C402,tbl_ledger[ロットID],"=",tbl_ledger[元状態],D$304),
_xlpm.搬入計-_xlpm.割当計+_xlpm.余剰化受入-_xlpm.払出))</f>
        <v/>
      </c>
      <c r="E402" s="8" t="str">
        <f>IF($C402="","",_xlfn.LET(
_xlpm.受入,SUMIFS(tbl_ledger[数量],tbl_ledger[localId],$C402,tbl_ledger[イベント種類],"アニール開始",tbl_ledger[ロットID],"="),
_xlpm.余剰化受入,SUMIFS(tbl_ledger[数量],tbl_ledger[localId],$C402,tbl_ledger[イベント種類],"余剰化",tbl_ledger[元状態],E$304),
_xlpm.払出,SUMIFS(tbl_ledger[数量],tbl_ledger[localId],$C402,tbl_ledger[ロットID],"=",tbl_ledger[元状態],E$304),
_xlpm.受入+_xlpm.余剰化受入-_xlpm.払出))</f>
        <v/>
      </c>
      <c r="F402" s="8" t="str">
        <f>IF($C402="","",_xlfn.LET(
_xlpm.受入,SUMIFS(tbl_ledger[数量],tbl_ledger[localId],$C402,tbl_ledger[イベント種類],"アニール完了",tbl_ledger[ロットID],"="),
_xlpm.余剰化受入,SUMIFS(tbl_ledger[数量],tbl_ledger[localId],$C402,tbl_ledger[イベント種類],"余剰化",tbl_ledger[元状態],F$304),
_xlpm.払出,SUMIFS(tbl_ledger[数量],tbl_ledger[localId],$C402,tbl_ledger[ロットID],"=",tbl_ledger[元状態],F$304),
_xlpm.受入+_xlpm.余剰化受入-_xlpm.払出))</f>
        <v/>
      </c>
      <c r="G402" s="8" t="str">
        <f>IF($C402="","",_xlfn.LET(
_xlpm.受入,SUMIFS(tbl_ledger[数量],tbl_ledger[localId],$C402,tbl_ledger[イベント種類],"アセンブリ開始",tbl_ledger[ロットID],"="),
_xlpm.余剰化受入,SUMIFS(tbl_ledger[数量],tbl_ledger[localId],$C402,tbl_ledger[イベント種類],"余剰化",tbl_ledger[元状態],G$304),
_xlpm.払出,SUMIFS(tbl_ledger[数量],tbl_ledger[localId],$C402,tbl_ledger[ロットID],"=",tbl_ledger[元状態],G$304),
_xlpm.受入+_xlpm.余剰化受入-_xlpm.払出))</f>
        <v/>
      </c>
      <c r="H402" s="8" t="str">
        <f>IF($C402="","",_xlfn.LET(
_xlpm.受入,SUMIFS(tbl_ledger[数量],tbl_ledger[localId],$C402,tbl_ledger[イベント種類],"アセンブリ完了",tbl_ledger[ロットID],"="),
_xlpm.余剰化受入,SUMIFS(tbl_ledger[数量],tbl_ledger[localId],$C402,tbl_ledger[イベント種類],"余剰化",tbl_ledger[元状態],H$304),
_xlpm.払出,SUMIFS(tbl_ledger[数量],tbl_ledger[localId],$C402,tbl_ledger[ロットID],"=",tbl_ledger[元状態],H$304),
_xlpm.受入+_xlpm.余剰化受入-_xlpm.払出))</f>
        <v/>
      </c>
      <c r="I402" s="8" t="str">
        <f>IF($C402="","",_xlfn.LET(
_xlpm.受入,SUMIFS(tbl_ledger[数量],tbl_ledger[localId],$C402,tbl_ledger[イベント種類],"梱包開始",tbl_ledger[ロットID],"="),
_xlpm.余剰化受入,SUMIFS(tbl_ledger[数量],tbl_ledger[localId],$C402,tbl_ledger[イベント種類],"余剰化",tbl_ledger[元状態],I$304),
_xlpm.払出,SUMIFS(tbl_ledger[数量],tbl_ledger[localId],$C402,tbl_ledger[ロットID],"=",tbl_ledger[元状態],I$304),
_xlpm.受入+_xlpm.余剰化受入-_xlpm.払出))</f>
        <v/>
      </c>
      <c r="J402" s="8" t="str">
        <f>IF($C402="","",_xlfn.LET(
_xlpm.受入,SUMIFS(tbl_ledger[数量],tbl_ledger[localId],$C402,tbl_ledger[イベント種類],"梱包完了",tbl_ledger[ロットID],"="),
_xlpm.余剰化受入,SUMIFS(tbl_ledger[数量],tbl_ledger[localId],$C402,tbl_ledger[イベント種類],"余剰化",tbl_ledger[元状態],J$304),
_xlpm.払出,SUMIFS(tbl_ledger[数量],tbl_ledger[localId],$C402,tbl_ledger[ロットID],"=",tbl_ledger[元状態],J$304),
_xlpm.受入+_xlpm.余剰化受入-_xlpm.払出))</f>
        <v/>
      </c>
      <c r="K402" s="8" t="str">
        <f>IF($C402="","",_xlfn.LET(
_xlpm.受入,SUMIFS(tbl_ledger[数量],tbl_ledger[localId],$C402,tbl_ledger[イベント種類],"発送準備開始",tbl_ledger[ロットID],"="),
_xlpm.余剰化受入,SUMIFS(tbl_ledger[数量],tbl_ledger[localId],$C402,tbl_ledger[イベント種類],"余剰化",tbl_ledger[元状態],K$304),
_xlpm.払出,SUMIFS(tbl_ledger[数量],tbl_ledger[localId],$C402,tbl_ledger[ロットID],"=",tbl_ledger[元状態],K$304),
_xlpm.受入+_xlpm.余剰化受入-_xlpm.払出))</f>
        <v/>
      </c>
      <c r="L402" s="8" t="str">
        <f>IF($C402="","",_xlfn.LET(
_xlpm.受入,SUMIFS(tbl_ledger[数量],tbl_ledger[localId],$C402,tbl_ledger[イベント種類],"発送準備完了",tbl_ledger[ロットID],"="),
_xlpm.余剰化受入,SUMIFS(tbl_ledger[数量],tbl_ledger[localId],$C402,tbl_ledger[イベント種類],"余剰化",tbl_ledger[元状態],L$304),
_xlpm.払出,SUMIFS(tbl_ledger[数量],tbl_ledger[localId],$C402,tbl_ledger[ロットID],"=",tbl_ledger[元状態],L$304),
_xlpm.受入+_xlpm.余剰化受入-_xlpm.払出))</f>
        <v/>
      </c>
      <c r="M402" s="8" t="str">
        <f>IF($C402="","",_xlfn.LET(
_xlpm.受入,SUMIFS(tbl_ledger[数量],tbl_ledger[localId],$C402,tbl_ledger[イベント種類],"不良発生",tbl_ledger[ロットID],"="),
_xlpm.余剰化受入,SUMIFS(tbl_ledger[数量],tbl_ledger[localId],$C402,tbl_ledger[イベント種類],"余剰化",tbl_ledger[元状態],M$304),
_xlpm.払出,SUMIFS(tbl_ledger[数量],tbl_ledger[localId],$C402,tbl_ledger[ロットID],"=",tbl_ledger[元状態],M$304),
_xlpm.受入+_xlpm.余剰化受入-_xlpm.払出))</f>
        <v/>
      </c>
      <c r="N402" s="8" t="str">
        <f t="shared" si="16"/>
        <v/>
      </c>
    </row>
    <row r="403" spans="1:14" ht="15" customHeight="1" x14ac:dyDescent="0.25">
      <c r="A403" s="4" t="str">
        <f t="shared" si="14"/>
        <v/>
      </c>
      <c r="B403" s="4"/>
      <c r="C403" s="4" t="str">
        <f>IFERROR(INDEX(tbl_master[localId],ROW()-304),"")</f>
        <v/>
      </c>
      <c r="D403" s="8" t="str">
        <f>IF($C403="","",_xlfn.LET(
_xlpm.搬入計,SUMIFS(tbl_ledger[数量],tbl_ledger[localId],$C403,tbl_ledger[イベント種類],"搬入"),
_xlpm.割当計,SUMIF(V_充足確認!$B$2:$B$301,$C403,V_充足確認!$F$2:$F$301),
_xlpm.余剰化受入,SUMIFS(tbl_ledger[数量],tbl_ledger[localId],$C403,tbl_ledger[イベント種類],"余剰化",tbl_ledger[元状態],D$304),
_xlpm.払出,SUMIFS(tbl_ledger[数量],tbl_ledger[localId],$C403,tbl_ledger[ロットID],"=",tbl_ledger[元状態],D$304),
_xlpm.搬入計-_xlpm.割当計+_xlpm.余剰化受入-_xlpm.払出))</f>
        <v/>
      </c>
      <c r="E403" s="8" t="str">
        <f>IF($C403="","",_xlfn.LET(
_xlpm.受入,SUMIFS(tbl_ledger[数量],tbl_ledger[localId],$C403,tbl_ledger[イベント種類],"アニール開始",tbl_ledger[ロットID],"="),
_xlpm.余剰化受入,SUMIFS(tbl_ledger[数量],tbl_ledger[localId],$C403,tbl_ledger[イベント種類],"余剰化",tbl_ledger[元状態],E$304),
_xlpm.払出,SUMIFS(tbl_ledger[数量],tbl_ledger[localId],$C403,tbl_ledger[ロットID],"=",tbl_ledger[元状態],E$304),
_xlpm.受入+_xlpm.余剰化受入-_xlpm.払出))</f>
        <v/>
      </c>
      <c r="F403" s="8" t="str">
        <f>IF($C403="","",_xlfn.LET(
_xlpm.受入,SUMIFS(tbl_ledger[数量],tbl_ledger[localId],$C403,tbl_ledger[イベント種類],"アニール完了",tbl_ledger[ロットID],"="),
_xlpm.余剰化受入,SUMIFS(tbl_ledger[数量],tbl_ledger[localId],$C403,tbl_ledger[イベント種類],"余剰化",tbl_ledger[元状態],F$304),
_xlpm.払出,SUMIFS(tbl_ledger[数量],tbl_ledger[localId],$C403,tbl_ledger[ロットID],"=",tbl_ledger[元状態],F$304),
_xlpm.受入+_xlpm.余剰化受入-_xlpm.払出))</f>
        <v/>
      </c>
      <c r="G403" s="8" t="str">
        <f>IF($C403="","",_xlfn.LET(
_xlpm.受入,SUMIFS(tbl_ledger[数量],tbl_ledger[localId],$C403,tbl_ledger[イベント種類],"アセンブリ開始",tbl_ledger[ロットID],"="),
_xlpm.余剰化受入,SUMIFS(tbl_ledger[数量],tbl_ledger[localId],$C403,tbl_ledger[イベント種類],"余剰化",tbl_ledger[元状態],G$304),
_xlpm.払出,SUMIFS(tbl_ledger[数量],tbl_ledger[localId],$C403,tbl_ledger[ロットID],"=",tbl_ledger[元状態],G$304),
_xlpm.受入+_xlpm.余剰化受入-_xlpm.払出))</f>
        <v/>
      </c>
      <c r="H403" s="8" t="str">
        <f>IF($C403="","",_xlfn.LET(
_xlpm.受入,SUMIFS(tbl_ledger[数量],tbl_ledger[localId],$C403,tbl_ledger[イベント種類],"アセンブリ完了",tbl_ledger[ロットID],"="),
_xlpm.余剰化受入,SUMIFS(tbl_ledger[数量],tbl_ledger[localId],$C403,tbl_ledger[イベント種類],"余剰化",tbl_ledger[元状態],H$304),
_xlpm.払出,SUMIFS(tbl_ledger[数量],tbl_ledger[localId],$C403,tbl_ledger[ロットID],"=",tbl_ledger[元状態],H$304),
_xlpm.受入+_xlpm.余剰化受入-_xlpm.払出))</f>
        <v/>
      </c>
      <c r="I403" s="8" t="str">
        <f>IF($C403="","",_xlfn.LET(
_xlpm.受入,SUMIFS(tbl_ledger[数量],tbl_ledger[localId],$C403,tbl_ledger[イベント種類],"梱包開始",tbl_ledger[ロットID],"="),
_xlpm.余剰化受入,SUMIFS(tbl_ledger[数量],tbl_ledger[localId],$C403,tbl_ledger[イベント種類],"余剰化",tbl_ledger[元状態],I$304),
_xlpm.払出,SUMIFS(tbl_ledger[数量],tbl_ledger[localId],$C403,tbl_ledger[ロットID],"=",tbl_ledger[元状態],I$304),
_xlpm.受入+_xlpm.余剰化受入-_xlpm.払出))</f>
        <v/>
      </c>
      <c r="J403" s="8" t="str">
        <f>IF($C403="","",_xlfn.LET(
_xlpm.受入,SUMIFS(tbl_ledger[数量],tbl_ledger[localId],$C403,tbl_ledger[イベント種類],"梱包完了",tbl_ledger[ロットID],"="),
_xlpm.余剰化受入,SUMIFS(tbl_ledger[数量],tbl_ledger[localId],$C403,tbl_ledger[イベント種類],"余剰化",tbl_ledger[元状態],J$304),
_xlpm.払出,SUMIFS(tbl_ledger[数量],tbl_ledger[localId],$C403,tbl_ledger[ロットID],"=",tbl_ledger[元状態],J$304),
_xlpm.受入+_xlpm.余剰化受入-_xlpm.払出))</f>
        <v/>
      </c>
      <c r="K403" s="8" t="str">
        <f>IF($C403="","",_xlfn.LET(
_xlpm.受入,SUMIFS(tbl_ledger[数量],tbl_ledger[localId],$C403,tbl_ledger[イベント種類],"発送準備開始",tbl_ledger[ロットID],"="),
_xlpm.余剰化受入,SUMIFS(tbl_ledger[数量],tbl_ledger[localId],$C403,tbl_ledger[イベント種類],"余剰化",tbl_ledger[元状態],K$304),
_xlpm.払出,SUMIFS(tbl_ledger[数量],tbl_ledger[localId],$C403,tbl_ledger[ロットID],"=",tbl_ledger[元状態],K$304),
_xlpm.受入+_xlpm.余剰化受入-_xlpm.払出))</f>
        <v/>
      </c>
      <c r="L403" s="8" t="str">
        <f>IF($C403="","",_xlfn.LET(
_xlpm.受入,SUMIFS(tbl_ledger[数量],tbl_ledger[localId],$C403,tbl_ledger[イベント種類],"発送準備完了",tbl_ledger[ロットID],"="),
_xlpm.余剰化受入,SUMIFS(tbl_ledger[数量],tbl_ledger[localId],$C403,tbl_ledger[イベント種類],"余剰化",tbl_ledger[元状態],L$304),
_xlpm.払出,SUMIFS(tbl_ledger[数量],tbl_ledger[localId],$C403,tbl_ledger[ロットID],"=",tbl_ledger[元状態],L$304),
_xlpm.受入+_xlpm.余剰化受入-_xlpm.払出))</f>
        <v/>
      </c>
      <c r="M403" s="8" t="str">
        <f>IF($C403="","",_xlfn.LET(
_xlpm.受入,SUMIFS(tbl_ledger[数量],tbl_ledger[localId],$C403,tbl_ledger[イベント種類],"不良発生",tbl_ledger[ロットID],"="),
_xlpm.余剰化受入,SUMIFS(tbl_ledger[数量],tbl_ledger[localId],$C403,tbl_ledger[イベント種類],"余剰化",tbl_ledger[元状態],M$304),
_xlpm.払出,SUMIFS(tbl_ledger[数量],tbl_ledger[localId],$C403,tbl_ledger[ロットID],"=",tbl_ledger[元状態],M$304),
_xlpm.受入+_xlpm.余剰化受入-_xlpm.払出))</f>
        <v/>
      </c>
      <c r="N403" s="8" t="str">
        <f t="shared" si="16"/>
        <v/>
      </c>
    </row>
    <row r="404" spans="1:14" ht="15" customHeight="1" x14ac:dyDescent="0.25">
      <c r="A404" s="4" t="str">
        <f t="shared" si="14"/>
        <v/>
      </c>
      <c r="B404" s="4"/>
      <c r="C404" s="4" t="str">
        <f>IFERROR(INDEX(tbl_master[localId],ROW()-304),"")</f>
        <v/>
      </c>
      <c r="D404" s="8" t="str">
        <f>IF($C404="","",_xlfn.LET(
_xlpm.搬入計,SUMIFS(tbl_ledger[数量],tbl_ledger[localId],$C404,tbl_ledger[イベント種類],"搬入"),
_xlpm.割当計,SUMIF(V_充足確認!$B$2:$B$301,$C404,V_充足確認!$F$2:$F$301),
_xlpm.余剰化受入,SUMIFS(tbl_ledger[数量],tbl_ledger[localId],$C404,tbl_ledger[イベント種類],"余剰化",tbl_ledger[元状態],D$304),
_xlpm.払出,SUMIFS(tbl_ledger[数量],tbl_ledger[localId],$C404,tbl_ledger[ロットID],"=",tbl_ledger[元状態],D$304),
_xlpm.搬入計-_xlpm.割当計+_xlpm.余剰化受入-_xlpm.払出))</f>
        <v/>
      </c>
      <c r="E404" s="8" t="str">
        <f>IF($C404="","",_xlfn.LET(
_xlpm.受入,SUMIFS(tbl_ledger[数量],tbl_ledger[localId],$C404,tbl_ledger[イベント種類],"アニール開始",tbl_ledger[ロットID],"="),
_xlpm.余剰化受入,SUMIFS(tbl_ledger[数量],tbl_ledger[localId],$C404,tbl_ledger[イベント種類],"余剰化",tbl_ledger[元状態],E$304),
_xlpm.払出,SUMIFS(tbl_ledger[数量],tbl_ledger[localId],$C404,tbl_ledger[ロットID],"=",tbl_ledger[元状態],E$304),
_xlpm.受入+_xlpm.余剰化受入-_xlpm.払出))</f>
        <v/>
      </c>
      <c r="F404" s="8" t="str">
        <f>IF($C404="","",_xlfn.LET(
_xlpm.受入,SUMIFS(tbl_ledger[数量],tbl_ledger[localId],$C404,tbl_ledger[イベント種類],"アニール完了",tbl_ledger[ロットID],"="),
_xlpm.余剰化受入,SUMIFS(tbl_ledger[数量],tbl_ledger[localId],$C404,tbl_ledger[イベント種類],"余剰化",tbl_ledger[元状態],F$304),
_xlpm.払出,SUMIFS(tbl_ledger[数量],tbl_ledger[localId],$C404,tbl_ledger[ロットID],"=",tbl_ledger[元状態],F$304),
_xlpm.受入+_xlpm.余剰化受入-_xlpm.払出))</f>
        <v/>
      </c>
      <c r="G404" s="8" t="str">
        <f>IF($C404="","",_xlfn.LET(
_xlpm.受入,SUMIFS(tbl_ledger[数量],tbl_ledger[localId],$C404,tbl_ledger[イベント種類],"アセンブリ開始",tbl_ledger[ロットID],"="),
_xlpm.余剰化受入,SUMIFS(tbl_ledger[数量],tbl_ledger[localId],$C404,tbl_ledger[イベント種類],"余剰化",tbl_ledger[元状態],G$304),
_xlpm.払出,SUMIFS(tbl_ledger[数量],tbl_ledger[localId],$C404,tbl_ledger[ロットID],"=",tbl_ledger[元状態],G$304),
_xlpm.受入+_xlpm.余剰化受入-_xlpm.払出))</f>
        <v/>
      </c>
      <c r="H404" s="8" t="str">
        <f>IF($C404="","",_xlfn.LET(
_xlpm.受入,SUMIFS(tbl_ledger[数量],tbl_ledger[localId],$C404,tbl_ledger[イベント種類],"アセンブリ完了",tbl_ledger[ロットID],"="),
_xlpm.余剰化受入,SUMIFS(tbl_ledger[数量],tbl_ledger[localId],$C404,tbl_ledger[イベント種類],"余剰化",tbl_ledger[元状態],H$304),
_xlpm.払出,SUMIFS(tbl_ledger[数量],tbl_ledger[localId],$C404,tbl_ledger[ロットID],"=",tbl_ledger[元状態],H$304),
_xlpm.受入+_xlpm.余剰化受入-_xlpm.払出))</f>
        <v/>
      </c>
      <c r="I404" s="8" t="str">
        <f>IF($C404="","",_xlfn.LET(
_xlpm.受入,SUMIFS(tbl_ledger[数量],tbl_ledger[localId],$C404,tbl_ledger[イベント種類],"梱包開始",tbl_ledger[ロットID],"="),
_xlpm.余剰化受入,SUMIFS(tbl_ledger[数量],tbl_ledger[localId],$C404,tbl_ledger[イベント種類],"余剰化",tbl_ledger[元状態],I$304),
_xlpm.払出,SUMIFS(tbl_ledger[数量],tbl_ledger[localId],$C404,tbl_ledger[ロットID],"=",tbl_ledger[元状態],I$304),
_xlpm.受入+_xlpm.余剰化受入-_xlpm.払出))</f>
        <v/>
      </c>
      <c r="J404" s="8" t="str">
        <f>IF($C404="","",_xlfn.LET(
_xlpm.受入,SUMIFS(tbl_ledger[数量],tbl_ledger[localId],$C404,tbl_ledger[イベント種類],"梱包完了",tbl_ledger[ロットID],"="),
_xlpm.余剰化受入,SUMIFS(tbl_ledger[数量],tbl_ledger[localId],$C404,tbl_ledger[イベント種類],"余剰化",tbl_ledger[元状態],J$304),
_xlpm.払出,SUMIFS(tbl_ledger[数量],tbl_ledger[localId],$C404,tbl_ledger[ロットID],"=",tbl_ledger[元状態],J$304),
_xlpm.受入+_xlpm.余剰化受入-_xlpm.払出))</f>
        <v/>
      </c>
      <c r="K404" s="8" t="str">
        <f>IF($C404="","",_xlfn.LET(
_xlpm.受入,SUMIFS(tbl_ledger[数量],tbl_ledger[localId],$C404,tbl_ledger[イベント種類],"発送準備開始",tbl_ledger[ロットID],"="),
_xlpm.余剰化受入,SUMIFS(tbl_ledger[数量],tbl_ledger[localId],$C404,tbl_ledger[イベント種類],"余剰化",tbl_ledger[元状態],K$304),
_xlpm.払出,SUMIFS(tbl_ledger[数量],tbl_ledger[localId],$C404,tbl_ledger[ロットID],"=",tbl_ledger[元状態],K$304),
_xlpm.受入+_xlpm.余剰化受入-_xlpm.払出))</f>
        <v/>
      </c>
      <c r="L404" s="8" t="str">
        <f>IF($C404="","",_xlfn.LET(
_xlpm.受入,SUMIFS(tbl_ledger[数量],tbl_ledger[localId],$C404,tbl_ledger[イベント種類],"発送準備完了",tbl_ledger[ロットID],"="),
_xlpm.余剰化受入,SUMIFS(tbl_ledger[数量],tbl_ledger[localId],$C404,tbl_ledger[イベント種類],"余剰化",tbl_ledger[元状態],L$304),
_xlpm.払出,SUMIFS(tbl_ledger[数量],tbl_ledger[localId],$C404,tbl_ledger[ロットID],"=",tbl_ledger[元状態],L$304),
_xlpm.受入+_xlpm.余剰化受入-_xlpm.払出))</f>
        <v/>
      </c>
      <c r="M404" s="8" t="str">
        <f>IF($C404="","",_xlfn.LET(
_xlpm.受入,SUMIFS(tbl_ledger[数量],tbl_ledger[localId],$C404,tbl_ledger[イベント種類],"不良発生",tbl_ledger[ロットID],"="),
_xlpm.余剰化受入,SUMIFS(tbl_ledger[数量],tbl_ledger[localId],$C404,tbl_ledger[イベント種類],"余剰化",tbl_ledger[元状態],M$304),
_xlpm.払出,SUMIFS(tbl_ledger[数量],tbl_ledger[localId],$C404,tbl_ledger[ロットID],"=",tbl_ledger[元状態],M$304),
_xlpm.受入+_xlpm.余剰化受入-_xlpm.払出))</f>
        <v/>
      </c>
      <c r="N404" s="8" t="str">
        <f t="shared" si="16"/>
        <v/>
      </c>
    </row>
  </sheetData>
  <sheetProtection algorithmName="SHA-512" hashValue="BKy8vrbQgqiZABvlxcD9UW1iHBkFe2JpHUWJBMewx9hG8fgvxD6tB3EYdA/kgEhbBMbW0V83hqQzH1Eievofxw==" saltValue="hk3PVWhEJqnD/TIdexSFbQ==" spinCount="100000" sheet="1" objects="1" scenarios="1" autoFilter="0"/>
  <autoFilter ref="A1:N301" xr:uid="{00000000-0009-0000-0000-000003000000}"/>
  <phoneticPr fontId="4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2"/>
  <sheetViews>
    <sheetView tabSelected="1" workbookViewId="0">
      <pane ySplit="1" topLeftCell="A2" activePane="bottomLeft" state="frozen"/>
      <selection pane="bottomLeft" activeCell="E5" sqref="E5"/>
    </sheetView>
  </sheetViews>
  <sheetFormatPr defaultRowHeight="13.5" x14ac:dyDescent="0.15"/>
  <cols>
    <col min="1" max="1" width="6" customWidth="1"/>
    <col min="2" max="2" width="12" customWidth="1"/>
    <col min="3" max="3" width="15" customWidth="1"/>
    <col min="4" max="4" width="10" customWidth="1"/>
    <col min="5" max="5" width="30" customWidth="1"/>
    <col min="6" max="6" width="14.5" bestFit="1" customWidth="1"/>
    <col min="7" max="7" width="14" customWidth="1"/>
    <col min="8" max="8" width="8" customWidth="1"/>
    <col min="9" max="9" width="14" customWidth="1"/>
    <col min="10" max="10" width="10" customWidth="1"/>
    <col min="11" max="11" width="30" customWidth="1"/>
  </cols>
  <sheetData>
    <row r="1" spans="1:12" ht="15" customHeight="1" x14ac:dyDescent="0.25">
      <c r="A1" s="2" t="s">
        <v>0</v>
      </c>
      <c r="B1" s="2" t="s">
        <v>1</v>
      </c>
      <c r="C1" s="2" t="s">
        <v>2</v>
      </c>
      <c r="D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25">
      <c r="A2" s="2">
        <v>1</v>
      </c>
      <c r="B2" s="5">
        <v>46213</v>
      </c>
      <c r="C2" s="2" t="s">
        <v>12</v>
      </c>
      <c r="D2" t="s">
        <v>13</v>
      </c>
      <c r="E2" s="7" t="s">
        <v>14</v>
      </c>
      <c r="F2" s="2"/>
      <c r="G2" s="2"/>
      <c r="H2" s="2"/>
      <c r="I2" s="2">
        <v>20</v>
      </c>
      <c r="J2" s="2"/>
      <c r="K2" s="2" t="s">
        <v>15</v>
      </c>
      <c r="L2" s="2" t="s">
        <v>16</v>
      </c>
    </row>
    <row r="3" spans="1:12" ht="15" customHeight="1" x14ac:dyDescent="0.25">
      <c r="A3" s="2">
        <v>2</v>
      </c>
      <c r="B3" s="5">
        <v>46213</v>
      </c>
      <c r="C3" s="2" t="s">
        <v>12</v>
      </c>
      <c r="D3" t="s">
        <v>17</v>
      </c>
      <c r="E3" s="7" t="s">
        <v>18</v>
      </c>
      <c r="F3" s="2"/>
      <c r="G3" s="2"/>
      <c r="H3" s="2"/>
      <c r="I3" s="2">
        <v>12</v>
      </c>
      <c r="J3" s="2"/>
      <c r="K3" s="2" t="s">
        <v>19</v>
      </c>
      <c r="L3" s="2"/>
    </row>
    <row r="4" spans="1:12" ht="15" customHeight="1" x14ac:dyDescent="0.25">
      <c r="A4" s="2">
        <v>3</v>
      </c>
      <c r="B4" s="5">
        <v>46214</v>
      </c>
      <c r="C4" s="2" t="s">
        <v>12</v>
      </c>
      <c r="D4" t="s">
        <v>20</v>
      </c>
      <c r="E4" s="7" t="s">
        <v>21</v>
      </c>
      <c r="F4" s="2"/>
      <c r="G4" s="2"/>
      <c r="H4" s="2"/>
      <c r="I4" s="2">
        <v>6</v>
      </c>
      <c r="J4" s="2"/>
      <c r="K4" s="2" t="s">
        <v>19</v>
      </c>
      <c r="L4" s="2"/>
    </row>
    <row r="5" spans="1:12" ht="15" customHeight="1" x14ac:dyDescent="0.25">
      <c r="A5" s="2">
        <v>4</v>
      </c>
      <c r="B5" s="5">
        <v>46214</v>
      </c>
      <c r="C5" s="2" t="s">
        <v>22</v>
      </c>
      <c r="D5" t="s">
        <v>13</v>
      </c>
      <c r="E5" s="7" t="s">
        <v>14</v>
      </c>
      <c r="F5" s="2" t="s">
        <v>23</v>
      </c>
      <c r="G5" s="2"/>
      <c r="H5" s="2" t="s">
        <v>24</v>
      </c>
      <c r="I5" s="2">
        <v>8</v>
      </c>
      <c r="J5" s="2"/>
      <c r="K5" s="2" t="s">
        <v>15</v>
      </c>
      <c r="L5" s="2" t="s">
        <v>25</v>
      </c>
    </row>
    <row r="6" spans="1:12" ht="15" customHeight="1" x14ac:dyDescent="0.25">
      <c r="A6" s="2">
        <v>5</v>
      </c>
      <c r="B6" s="5">
        <v>46215</v>
      </c>
      <c r="C6" s="2" t="s">
        <v>26</v>
      </c>
      <c r="D6" t="s">
        <v>13</v>
      </c>
      <c r="E6" s="7" t="s">
        <v>14</v>
      </c>
      <c r="F6" s="2" t="s">
        <v>23</v>
      </c>
      <c r="G6" s="2"/>
      <c r="H6" s="2" t="s">
        <v>27</v>
      </c>
      <c r="I6" s="2">
        <v>8</v>
      </c>
      <c r="J6" s="2"/>
      <c r="K6" s="2" t="s">
        <v>15</v>
      </c>
      <c r="L6" s="2" t="s">
        <v>28</v>
      </c>
    </row>
    <row r="7" spans="1:12" ht="15" customHeight="1" x14ac:dyDescent="0.25">
      <c r="A7" s="2">
        <v>6</v>
      </c>
      <c r="B7" s="5">
        <v>46216</v>
      </c>
      <c r="C7" s="2" t="s">
        <v>29</v>
      </c>
      <c r="D7" t="s">
        <v>13</v>
      </c>
      <c r="E7" s="7" t="s">
        <v>14</v>
      </c>
      <c r="F7" s="2" t="s">
        <v>23</v>
      </c>
      <c r="G7" s="2"/>
      <c r="H7" s="2" t="s">
        <v>30</v>
      </c>
      <c r="I7" s="2">
        <v>8</v>
      </c>
      <c r="J7" s="2" t="s">
        <v>31</v>
      </c>
      <c r="K7" s="2" t="s">
        <v>15</v>
      </c>
      <c r="L7" s="2"/>
    </row>
    <row r="8" spans="1:12" ht="15" customHeight="1" x14ac:dyDescent="0.25">
      <c r="A8" s="2">
        <v>7</v>
      </c>
      <c r="B8" s="5">
        <v>46216</v>
      </c>
      <c r="C8" s="2" t="s">
        <v>22</v>
      </c>
      <c r="D8" t="s">
        <v>13</v>
      </c>
      <c r="E8" s="7" t="s">
        <v>14</v>
      </c>
      <c r="F8" s="2" t="s">
        <v>32</v>
      </c>
      <c r="G8" s="2"/>
      <c r="H8" s="2" t="s">
        <v>24</v>
      </c>
      <c r="I8" s="2">
        <v>6</v>
      </c>
      <c r="J8" s="2"/>
      <c r="K8" s="2" t="s">
        <v>15</v>
      </c>
      <c r="L8" s="2" t="s">
        <v>33</v>
      </c>
    </row>
    <row r="9" spans="1:12" ht="15" customHeight="1" x14ac:dyDescent="0.25">
      <c r="A9" s="2">
        <v>8</v>
      </c>
      <c r="B9" s="5">
        <v>46216</v>
      </c>
      <c r="C9" s="2" t="s">
        <v>34</v>
      </c>
      <c r="D9" t="s">
        <v>20</v>
      </c>
      <c r="E9" s="7" t="s">
        <v>21</v>
      </c>
      <c r="F9" s="2" t="s">
        <v>35</v>
      </c>
      <c r="G9" s="2"/>
      <c r="H9" s="2" t="s">
        <v>24</v>
      </c>
      <c r="I9" s="2">
        <v>6</v>
      </c>
      <c r="J9" s="2"/>
      <c r="K9" s="2" t="s">
        <v>19</v>
      </c>
      <c r="L9" s="2"/>
    </row>
    <row r="10" spans="1:12" ht="15" customHeight="1" x14ac:dyDescent="0.25">
      <c r="A10" s="2">
        <v>9</v>
      </c>
      <c r="B10" s="5">
        <v>46217</v>
      </c>
      <c r="C10" s="2" t="s">
        <v>26</v>
      </c>
      <c r="D10" t="s">
        <v>13</v>
      </c>
      <c r="E10" s="7" t="s">
        <v>14</v>
      </c>
      <c r="F10" s="2" t="s">
        <v>32</v>
      </c>
      <c r="G10" s="2"/>
      <c r="H10" s="2" t="s">
        <v>27</v>
      </c>
      <c r="I10" s="2">
        <v>6</v>
      </c>
      <c r="J10" s="2"/>
      <c r="K10" s="2" t="s">
        <v>15</v>
      </c>
      <c r="L10" s="2" t="s">
        <v>28</v>
      </c>
    </row>
    <row r="11" spans="1:12" ht="15" customHeight="1" x14ac:dyDescent="0.25">
      <c r="A11" s="2">
        <v>10</v>
      </c>
      <c r="B11" s="5">
        <v>46224</v>
      </c>
      <c r="C11" s="2" t="s">
        <v>12</v>
      </c>
      <c r="D11" t="s">
        <v>20</v>
      </c>
      <c r="E11" s="7" t="s">
        <v>21</v>
      </c>
      <c r="F11" s="2"/>
      <c r="G11" s="2"/>
      <c r="H11" s="2"/>
      <c r="I11" s="2">
        <v>5</v>
      </c>
      <c r="J11" s="2"/>
      <c r="K11" s="2" t="s">
        <v>15</v>
      </c>
      <c r="L11" s="2" t="s">
        <v>36</v>
      </c>
    </row>
    <row r="12" spans="1:12" ht="15" customHeight="1" x14ac:dyDescent="0.25">
      <c r="A12" s="2">
        <v>11</v>
      </c>
      <c r="B12" s="5">
        <v>46224</v>
      </c>
      <c r="C12" s="2" t="s">
        <v>37</v>
      </c>
      <c r="D12" t="s">
        <v>20</v>
      </c>
      <c r="E12" s="7" t="s">
        <v>21</v>
      </c>
      <c r="F12" s="2"/>
      <c r="G12" s="2"/>
      <c r="H12" s="2" t="s">
        <v>24</v>
      </c>
      <c r="I12" s="2">
        <v>3</v>
      </c>
      <c r="J12" s="2"/>
      <c r="K12" s="2" t="s">
        <v>15</v>
      </c>
      <c r="L12" s="2"/>
    </row>
  </sheetData>
  <sheetProtection algorithmName="SHA-512" hashValue="chup2U/SMgk/EntNywbmYUtGDjJO3uY1Fq5DO55wiNXxKwVJ9EH7E3eC/s+g5Q6rKQsG81ufSRqTGBOx0e76ZQ==" saltValue="SnJ/Nktov4ipwSFcUG/mCw==" spinCount="100000" sheet="1" objects="1" scenarios="1" autoFilter="0"/>
  <phoneticPr fontId="4"/>
  <dataValidations count="5">
    <dataValidation type="list" allowBlank="1" sqref="C2:C5002" xr:uid="{00000000-0002-0000-0400-000000000000}">
      <formula1>リスト_イベント種類</formula1>
    </dataValidation>
    <dataValidation type="list" allowBlank="1" sqref="E2:E5002" xr:uid="{00000000-0002-0000-0400-000001000000}">
      <formula1>品番一覧</formula1>
    </dataValidation>
    <dataValidation type="list" allowBlank="1" sqref="H2:H5002" xr:uid="{00000000-0002-0000-0400-000002000000}">
      <formula1>リスト_状態</formula1>
    </dataValidation>
    <dataValidation type="list" allowBlank="1" sqref="J2:J5002" xr:uid="{00000000-0002-0000-0400-000003000000}">
      <formula1>リスト_納期先</formula1>
    </dataValidation>
    <dataValidation type="list" allowBlank="1" sqref="D2:D5002" xr:uid="{00000000-0002-0000-0400-000004000000}">
      <formula1>localId一覧</formula1>
    </dataValidation>
  </dataValidation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"/>
  <sheetViews>
    <sheetView workbookViewId="0">
      <pane ySplit="1" topLeftCell="A2" activePane="bottomLeft" state="frozen"/>
      <selection pane="bottomLeft" activeCell="K12" sqref="K12"/>
    </sheetView>
  </sheetViews>
  <sheetFormatPr defaultRowHeight="13.5" x14ac:dyDescent="0.15"/>
  <cols>
    <col min="1" max="1" width="30" customWidth="1"/>
    <col min="2" max="3" width="10" customWidth="1"/>
    <col min="4" max="4" width="14" customWidth="1"/>
    <col min="5" max="5" width="8" customWidth="1"/>
    <col min="6" max="6" width="12" customWidth="1"/>
    <col min="7" max="7" width="17" customWidth="1"/>
  </cols>
  <sheetData>
    <row r="1" spans="1:8" ht="15" customHeight="1" x14ac:dyDescent="0.25">
      <c r="A1" s="2" t="s">
        <v>5</v>
      </c>
      <c r="B1" t="s">
        <v>3</v>
      </c>
      <c r="C1" s="2" t="s">
        <v>4</v>
      </c>
      <c r="D1" s="2" t="s">
        <v>114</v>
      </c>
      <c r="E1" s="2" t="s">
        <v>9</v>
      </c>
      <c r="F1" s="2" t="s">
        <v>115</v>
      </c>
      <c r="G1" s="2" t="s">
        <v>136</v>
      </c>
      <c r="H1" s="2" t="s">
        <v>137</v>
      </c>
    </row>
    <row r="2" spans="1:8" ht="15" customHeight="1" x14ac:dyDescent="0.25">
      <c r="A2" s="4" t="str">
        <f>IF(C2="","",IF($B2="!","!",$B2&amp;"_"&amp;TEXT(D2,"yyyy-mm-dd")&amp;IF(E2="","","_"&amp;E2)))</f>
        <v>a_002_2026-07-13_納期先A</v>
      </c>
      <c r="B2" t="str">
        <f>IF(C2="","",_xlfn.LET(
_xlpm.直接一致,IFERROR(MATCH(C2,tbl_master[品番],0),0),
_xlpm.文字一致,IFERROR(MATCH(C2&amp;"",tbl_master[品番],0),0),
_xlpm.行,IF(_xlpm.直接一致&gt;0,_xlpm.直接一致,_xlpm.文字一致),
IF(_xlpm.行=0,"!",INDEX(tbl_master[localId],_xlpm.行))))</f>
        <v>a_002</v>
      </c>
      <c r="C2" s="7" t="s">
        <v>14</v>
      </c>
      <c r="D2" s="5">
        <v>46216</v>
      </c>
      <c r="E2" s="2" t="s">
        <v>31</v>
      </c>
      <c r="F2" s="2">
        <v>5</v>
      </c>
      <c r="G2" s="2" t="s">
        <v>138</v>
      </c>
      <c r="H2" s="6">
        <v>46212.375</v>
      </c>
    </row>
    <row r="3" spans="1:8" ht="15" customHeight="1" x14ac:dyDescent="0.25">
      <c r="A3" s="4" t="str">
        <f>IF(C3="","",IF($B3="!","!",$B3&amp;"_"&amp;TEXT(D3,"yyyy-mm-dd")&amp;IF(E3="","","_"&amp;E3)))</f>
        <v>a_002_2026-07-13_納期先B</v>
      </c>
      <c r="B3" t="str">
        <f>IF(C3="","",_xlfn.LET(
_xlpm.直接一致,IFERROR(MATCH(C3,tbl_master[品番],0),0),
_xlpm.文字一致,IFERROR(MATCH(C3&amp;"",tbl_master[品番],0),0),
_xlpm.行,IF(_xlpm.直接一致&gt;0,_xlpm.直接一致,_xlpm.文字一致),
IF(_xlpm.行=0,"!",INDEX(tbl_master[localId],_xlpm.行))))</f>
        <v>a_002</v>
      </c>
      <c r="C3" s="7" t="s">
        <v>14</v>
      </c>
      <c r="D3" s="5">
        <v>46216</v>
      </c>
      <c r="E3" s="2" t="s">
        <v>139</v>
      </c>
      <c r="F3" s="2">
        <v>6</v>
      </c>
      <c r="G3" s="2" t="s">
        <v>138</v>
      </c>
      <c r="H3" s="6">
        <v>46212.375</v>
      </c>
    </row>
    <row r="4" spans="1:8" ht="15" customHeight="1" x14ac:dyDescent="0.25">
      <c r="A4" s="4" t="str">
        <f>IF(C4="","",IF($B4="!","!",$B4&amp;"_"&amp;TEXT(D4,"yyyy-mm-dd")&amp;IF(E4="","","_"&amp;E4)))</f>
        <v>a_001_2026-07-20</v>
      </c>
      <c r="B4" t="str">
        <f>IF(C4="","",_xlfn.LET(
_xlpm.直接一致,IFERROR(MATCH(C4,tbl_master[品番],0),0),
_xlpm.文字一致,IFERROR(MATCH(C4&amp;"",tbl_master[品番],0),0),
_xlpm.行,IF(_xlpm.直接一致&gt;0,_xlpm.直接一致,_xlpm.文字一致),
IF(_xlpm.行=0,"!",INDEX(tbl_master[localId],_xlpm.行))))</f>
        <v>a_001</v>
      </c>
      <c r="C4" s="7" t="s">
        <v>18</v>
      </c>
      <c r="D4" s="5">
        <v>46223</v>
      </c>
      <c r="E4" s="2"/>
      <c r="F4" s="2">
        <v>10</v>
      </c>
      <c r="G4" s="2" t="s">
        <v>138</v>
      </c>
      <c r="H4" s="6">
        <v>46212.375</v>
      </c>
    </row>
    <row r="5" spans="1:8" ht="15" customHeight="1" x14ac:dyDescent="0.25">
      <c r="A5" s="4" t="str">
        <f>IF(C5="","",IF($B5="!","!",$B5&amp;"_"&amp;TEXT(D5,"yyyy-mm-dd")&amp;IF(E5="","","_"&amp;E5)))</f>
        <v>b_001_2026-07-20</v>
      </c>
      <c r="B5" t="str">
        <f>IF(C5="","",_xlfn.LET(
_xlpm.直接一致,IFERROR(MATCH(C5,tbl_master[品番],0),0),
_xlpm.文字一致,IFERROR(MATCH(C5&amp;"",tbl_master[品番],0),0),
_xlpm.行,IF(_xlpm.直接一致&gt;0,_xlpm.直接一致,_xlpm.文字一致),
IF(_xlpm.行=0,"!",INDEX(tbl_master[localId],_xlpm.行))))</f>
        <v>b_001</v>
      </c>
      <c r="C5" s="7" t="s">
        <v>21</v>
      </c>
      <c r="D5" s="5">
        <v>46223</v>
      </c>
      <c r="E5" s="2"/>
      <c r="F5" s="2">
        <v>8</v>
      </c>
      <c r="G5" s="2" t="s">
        <v>138</v>
      </c>
      <c r="H5" s="6">
        <v>46212.375</v>
      </c>
    </row>
  </sheetData>
  <sheetProtection algorithmName="SHA-512" hashValue="DraQKx+Qs+lH7jgHk34IGzxhLQ4FGKlrCj2JYHO/KB/GSvN27r7x7DNVgjdEWX13cBIFaJTU7blu90tahV2Hjw==" saltValue="xGvt67skCyBtOk70iNioKw==" spinCount="100000" sheet="1" objects="1" scenarios="1" autoFilter="0"/>
  <phoneticPr fontId="4"/>
  <dataValidations count="3">
    <dataValidation type="list" allowBlank="1" sqref="C2:C2000" xr:uid="{00000000-0002-0000-0500-000000000000}">
      <formula1>品番一覧</formula1>
    </dataValidation>
    <dataValidation type="list" allowBlank="1" sqref="E2:E2000" xr:uid="{00000000-0002-0000-0500-000001000000}">
      <formula1>リスト_納期先</formula1>
    </dataValidation>
    <dataValidation type="list" allowBlank="1" sqref="G2:G2000" xr:uid="{00000000-0002-0000-0500-000002000000}">
      <formula1>リスト_計画状態</formula1>
    </dataValidation>
  </dataValidations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"/>
  <sheetViews>
    <sheetView workbookViewId="0">
      <pane ySplit="1" topLeftCell="A2" activePane="bottomLeft" state="frozen"/>
      <selection pane="bottomLeft"/>
    </sheetView>
  </sheetViews>
  <sheetFormatPr defaultRowHeight="13.5" x14ac:dyDescent="0.15"/>
  <cols>
    <col min="1" max="1" width="10" customWidth="1"/>
    <col min="2" max="3" width="12" customWidth="1"/>
    <col min="4" max="4" width="30" customWidth="1"/>
  </cols>
  <sheetData>
    <row r="1" spans="1:5" ht="15" customHeight="1" x14ac:dyDescent="0.25">
      <c r="A1" t="s">
        <v>3</v>
      </c>
      <c r="B1" s="2" t="s">
        <v>4</v>
      </c>
      <c r="C1" s="2" t="s">
        <v>140</v>
      </c>
      <c r="D1" s="2" t="s">
        <v>141</v>
      </c>
      <c r="E1" s="2" t="s">
        <v>11</v>
      </c>
    </row>
    <row r="2" spans="1:5" ht="15" customHeight="1" x14ac:dyDescent="0.25">
      <c r="A2" t="s">
        <v>17</v>
      </c>
      <c r="B2" s="7" t="s">
        <v>18</v>
      </c>
      <c r="C2" s="2" t="s">
        <v>142</v>
      </c>
      <c r="D2" s="2" t="s">
        <v>143</v>
      </c>
      <c r="E2" s="2" t="s">
        <v>144</v>
      </c>
    </row>
    <row r="3" spans="1:5" ht="15" customHeight="1" x14ac:dyDescent="0.25">
      <c r="A3" t="s">
        <v>13</v>
      </c>
      <c r="B3" s="7" t="s">
        <v>14</v>
      </c>
      <c r="C3" s="2" t="s">
        <v>145</v>
      </c>
      <c r="D3" s="2" t="s">
        <v>146</v>
      </c>
      <c r="E3" s="2" t="s">
        <v>144</v>
      </c>
    </row>
    <row r="4" spans="1:5" ht="15" customHeight="1" x14ac:dyDescent="0.25">
      <c r="A4" t="s">
        <v>20</v>
      </c>
      <c r="B4" s="7" t="s">
        <v>21</v>
      </c>
      <c r="C4" s="2" t="s">
        <v>147</v>
      </c>
      <c r="D4" s="2" t="s">
        <v>148</v>
      </c>
      <c r="E4" s="2" t="s">
        <v>144</v>
      </c>
    </row>
    <row r="5" spans="1:5" ht="15" customHeight="1" x14ac:dyDescent="0.25">
      <c r="A5" t="s">
        <v>149</v>
      </c>
      <c r="B5" s="7" t="s">
        <v>150</v>
      </c>
      <c r="C5" s="2" t="s">
        <v>151</v>
      </c>
      <c r="D5" s="2" t="s">
        <v>152</v>
      </c>
      <c r="E5" s="2" t="s">
        <v>144</v>
      </c>
    </row>
  </sheetData>
  <sheetProtection algorithmName="SHA-512" hashValue="Y9zUv5DlrRX4u87V1QvVHU+4xhtocVB13i5XhgmCqAuoGwRoAAKjhLM+y3O0zAT4y2zJNQeCAv6/3F435Ea9EA==" saltValue="RTNVMWT6jbvJtj2P7Uwnuw==" spinCount="100000" sheet="1" objects="1" scenarios="1" autoFilter="0"/>
  <phoneticPr fontId="4"/>
  <dataValidations count="1">
    <dataValidation type="list" allowBlank="1" sqref="D2:D500" xr:uid="{00000000-0002-0000-0600-000000000000}">
      <formula1>リスト_工程パターン</formula1>
    </dataValidation>
  </dataValidation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6"/>
  <sheetViews>
    <sheetView workbookViewId="0">
      <selection activeCell="G1" sqref="G1"/>
    </sheetView>
  </sheetViews>
  <sheetFormatPr defaultRowHeight="13.5" x14ac:dyDescent="0.15"/>
  <cols>
    <col min="1" max="2" width="16" customWidth="1"/>
    <col min="3" max="4" width="12" customWidth="1"/>
    <col min="5" max="5" width="30" customWidth="1"/>
    <col min="6" max="6" width="14" customWidth="1"/>
  </cols>
  <sheetData>
    <row r="1" spans="1:7" ht="15" customHeight="1" x14ac:dyDescent="0.25">
      <c r="A1" s="3" t="s">
        <v>2</v>
      </c>
      <c r="B1" s="3" t="s">
        <v>153</v>
      </c>
      <c r="C1" s="3" t="s">
        <v>136</v>
      </c>
      <c r="D1" s="3" t="s">
        <v>141</v>
      </c>
      <c r="E1" s="3" t="s">
        <v>154</v>
      </c>
      <c r="F1" s="3" t="s">
        <v>9</v>
      </c>
      <c r="G1" s="3" t="s">
        <v>10</v>
      </c>
    </row>
    <row r="2" spans="1:7" ht="15" customHeight="1" x14ac:dyDescent="0.25">
      <c r="A2" s="2" t="s">
        <v>12</v>
      </c>
      <c r="B2" s="2" t="s">
        <v>24</v>
      </c>
      <c r="C2" s="2" t="s">
        <v>138</v>
      </c>
      <c r="D2" s="2" t="s">
        <v>143</v>
      </c>
      <c r="E2" s="2" t="s">
        <v>155</v>
      </c>
      <c r="F2" s="2" t="s">
        <v>31</v>
      </c>
      <c r="G2" t="s">
        <v>15</v>
      </c>
    </row>
    <row r="3" spans="1:7" ht="15" customHeight="1" x14ac:dyDescent="0.25">
      <c r="A3" t="s">
        <v>34</v>
      </c>
      <c r="B3" t="s">
        <v>127</v>
      </c>
      <c r="C3" s="2" t="s">
        <v>156</v>
      </c>
      <c r="D3" s="2" t="s">
        <v>146</v>
      </c>
      <c r="E3" s="2" t="s">
        <v>157</v>
      </c>
      <c r="F3" s="2" t="s">
        <v>139</v>
      </c>
      <c r="G3" t="s">
        <v>19</v>
      </c>
    </row>
    <row r="4" spans="1:7" ht="15" customHeight="1" x14ac:dyDescent="0.25">
      <c r="A4" s="2" t="s">
        <v>158</v>
      </c>
      <c r="B4" s="2" t="s">
        <v>128</v>
      </c>
      <c r="D4" s="2" t="s">
        <v>148</v>
      </c>
      <c r="E4" s="2" t="s">
        <v>159</v>
      </c>
    </row>
    <row r="5" spans="1:7" ht="15" customHeight="1" x14ac:dyDescent="0.25">
      <c r="A5" s="2" t="s">
        <v>22</v>
      </c>
      <c r="B5" s="2" t="s">
        <v>27</v>
      </c>
      <c r="D5" s="2" t="s">
        <v>152</v>
      </c>
      <c r="E5" s="2" t="s">
        <v>160</v>
      </c>
    </row>
    <row r="6" spans="1:7" ht="15" customHeight="1" x14ac:dyDescent="0.25">
      <c r="A6" s="2" t="s">
        <v>26</v>
      </c>
      <c r="B6" s="2" t="s">
        <v>30</v>
      </c>
    </row>
    <row r="7" spans="1:7" ht="15" customHeight="1" x14ac:dyDescent="0.25">
      <c r="A7" s="2" t="s">
        <v>161</v>
      </c>
      <c r="B7" s="2" t="s">
        <v>129</v>
      </c>
    </row>
    <row r="8" spans="1:7" ht="15" customHeight="1" x14ac:dyDescent="0.25">
      <c r="A8" s="2" t="s">
        <v>29</v>
      </c>
      <c r="B8" s="2" t="s">
        <v>130</v>
      </c>
    </row>
    <row r="9" spans="1:7" ht="15" customHeight="1" x14ac:dyDescent="0.25">
      <c r="A9" s="2" t="s">
        <v>162</v>
      </c>
      <c r="B9" s="2" t="s">
        <v>131</v>
      </c>
    </row>
    <row r="10" spans="1:7" ht="15" customHeight="1" x14ac:dyDescent="0.25">
      <c r="A10" s="2" t="s">
        <v>132</v>
      </c>
      <c r="B10" s="2" t="s">
        <v>132</v>
      </c>
    </row>
    <row r="11" spans="1:7" ht="15" customHeight="1" x14ac:dyDescent="0.25">
      <c r="A11" s="2" t="s">
        <v>163</v>
      </c>
      <c r="B11" s="2" t="s">
        <v>133</v>
      </c>
    </row>
    <row r="12" spans="1:7" ht="15" customHeight="1" x14ac:dyDescent="0.25">
      <c r="A12" s="2" t="s">
        <v>164</v>
      </c>
    </row>
    <row r="13" spans="1:7" ht="15" customHeight="1" x14ac:dyDescent="0.25">
      <c r="A13" s="2" t="s">
        <v>165</v>
      </c>
    </row>
    <row r="14" spans="1:7" ht="15" customHeight="1" x14ac:dyDescent="0.25">
      <c r="A14" s="2" t="s">
        <v>37</v>
      </c>
    </row>
    <row r="15" spans="1:7" ht="15" customHeight="1" x14ac:dyDescent="0.25">
      <c r="A15" s="2" t="s">
        <v>166</v>
      </c>
    </row>
    <row r="16" spans="1:7" ht="15" customHeight="1" x14ac:dyDescent="0.25">
      <c r="A16" s="2" t="s">
        <v>167</v>
      </c>
    </row>
  </sheetData>
  <sheetProtection algorithmName="SHA-512" hashValue="eZ7Lle57KNq4d76mtGNRAZFnzZ+7MaikyURBL//aukVuSxd+/P+bCkxSSPFuZzcWPODGROlJt+jp5i1eUSW3jA==" saltValue="bJnGVN1L1Ls6/JHDYhafuA==" spinCount="100000" sheet="1" objects="1" scenarios="1" autoFilter="0"/>
  <phoneticPr fontId="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4</vt:i4>
      </vt:variant>
    </vt:vector>
  </HeadingPairs>
  <TitlesOfParts>
    <vt:vector size="12" baseType="lpstr">
      <vt:lpstr>説明</vt:lpstr>
      <vt:lpstr>業務フロー</vt:lpstr>
      <vt:lpstr>V_充足確認</vt:lpstr>
      <vt:lpstr>V_在庫内訳</vt:lpstr>
      <vt:lpstr>T_台帳</vt:lpstr>
      <vt:lpstr>T_納期計画</vt:lpstr>
      <vt:lpstr>M_品番</vt:lpstr>
      <vt:lpstr>M_リスト</vt:lpstr>
      <vt:lpstr>リスト_イベント種類</vt:lpstr>
      <vt:lpstr>リスト_計画状態</vt:lpstr>
      <vt:lpstr>リスト_工程パターン</vt:lpstr>
      <vt:lpstr>リスト_状態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local</dc:creator>
  <cp:lastModifiedBy>world hello</cp:lastModifiedBy>
  <dcterms:created xsi:type="dcterms:W3CDTF">2026-07-09T15:08:40Z</dcterms:created>
  <dcterms:modified xsi:type="dcterms:W3CDTF">2026-07-21T16:26:43Z</dcterms:modified>
</cp:coreProperties>
</file>