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LocalAppsWorks\InventoryManager\"/>
    </mc:Choice>
  </mc:AlternateContent>
  <xr:revisionPtr revIDLastSave="0" documentId="13_ncr:1_{7891F250-B3D1-450A-B985-5FB5B1C41DDF}" xr6:coauthVersionLast="47" xr6:coauthVersionMax="47" xr10:uidLastSave="{00000000-0000-0000-0000-000000000000}"/>
  <bookViews>
    <workbookView xWindow="20370" yWindow="-4725" windowWidth="29040" windowHeight="15990" xr2:uid="{00000000-000D-0000-FFFF-FFFF00000000}"/>
  </bookViews>
  <sheets>
    <sheet name="説明" sheetId="1" r:id="rId1"/>
    <sheet name="業務フロー" sheetId="2" r:id="rId2"/>
    <sheet name="V_充足確認" sheetId="3" r:id="rId3"/>
    <sheet name="V_在庫内訳" sheetId="4" r:id="rId4"/>
    <sheet name="T_台帳" sheetId="5" r:id="rId5"/>
    <sheet name="T_納期計画" sheetId="6" r:id="rId6"/>
    <sheet name="M_品番" sheetId="7" r:id="rId7"/>
    <sheet name="M_リスト" sheetId="8" r:id="rId8"/>
  </sheets>
  <definedNames>
    <definedName name="リスト_イベント種類">M_リスト!$A$2:$A$12</definedName>
    <definedName name="リスト_計画状態">M_リスト!$C$2:$C$3</definedName>
    <definedName name="リスト_工程パターン">M_リスト!$D$2:$D$5</definedName>
    <definedName name="リスト_状態">M_リスト!$B$2:$B$7</definedName>
    <definedName name="品番一覧">OFFSET(M_品番!$A$2,0,0,MAX(1,COUNTA(M_品番!$A:$A)-1),1)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4" i="6"/>
  <c r="A3" i="6"/>
  <c r="A2" i="6"/>
  <c r="C404" i="4"/>
  <c r="J404" i="4" s="1"/>
  <c r="C403" i="4"/>
  <c r="G403" i="4" s="1"/>
  <c r="C402" i="4"/>
  <c r="G402" i="4" s="1"/>
  <c r="E401" i="4"/>
  <c r="C401" i="4"/>
  <c r="H401" i="4" s="1"/>
  <c r="C400" i="4"/>
  <c r="G400" i="4" s="1"/>
  <c r="H399" i="4"/>
  <c r="C399" i="4"/>
  <c r="G399" i="4" s="1"/>
  <c r="C398" i="4"/>
  <c r="G398" i="4" s="1"/>
  <c r="F397" i="4"/>
  <c r="C397" i="4"/>
  <c r="H397" i="4" s="1"/>
  <c r="C396" i="4"/>
  <c r="D395" i="4"/>
  <c r="C395" i="4"/>
  <c r="G395" i="4" s="1"/>
  <c r="J394" i="4"/>
  <c r="E394" i="4"/>
  <c r="C394" i="4"/>
  <c r="G394" i="4" s="1"/>
  <c r="C393" i="4"/>
  <c r="H393" i="4" s="1"/>
  <c r="C392" i="4"/>
  <c r="H391" i="4"/>
  <c r="D391" i="4"/>
  <c r="C391" i="4"/>
  <c r="G391" i="4" s="1"/>
  <c r="C390" i="4"/>
  <c r="G390" i="4" s="1"/>
  <c r="F389" i="4"/>
  <c r="C389" i="4"/>
  <c r="H389" i="4" s="1"/>
  <c r="C388" i="4"/>
  <c r="C387" i="4"/>
  <c r="H387" i="4" s="1"/>
  <c r="J386" i="4"/>
  <c r="I386" i="4"/>
  <c r="F386" i="4"/>
  <c r="E386" i="4"/>
  <c r="D386" i="4"/>
  <c r="C386" i="4"/>
  <c r="G386" i="4" s="1"/>
  <c r="A386" i="4"/>
  <c r="I385" i="4"/>
  <c r="E385" i="4"/>
  <c r="C385" i="4"/>
  <c r="H385" i="4" s="1"/>
  <c r="A385" i="4"/>
  <c r="G384" i="4"/>
  <c r="C384" i="4"/>
  <c r="J384" i="4" s="1"/>
  <c r="A384" i="4"/>
  <c r="C383" i="4"/>
  <c r="C382" i="4"/>
  <c r="F381" i="4"/>
  <c r="C381" i="4"/>
  <c r="H381" i="4" s="1"/>
  <c r="J380" i="4"/>
  <c r="F380" i="4"/>
  <c r="C380" i="4"/>
  <c r="G380" i="4" s="1"/>
  <c r="A380" i="4"/>
  <c r="G379" i="4"/>
  <c r="C379" i="4"/>
  <c r="H379" i="4" s="1"/>
  <c r="J378" i="4"/>
  <c r="E378" i="4"/>
  <c r="C378" i="4"/>
  <c r="G378" i="4" s="1"/>
  <c r="J377" i="4"/>
  <c r="C377" i="4"/>
  <c r="G377" i="4" s="1"/>
  <c r="C376" i="4"/>
  <c r="G375" i="4"/>
  <c r="C375" i="4"/>
  <c r="E375" i="4" s="1"/>
  <c r="J374" i="4"/>
  <c r="I374" i="4"/>
  <c r="F374" i="4"/>
  <c r="E374" i="4"/>
  <c r="D374" i="4"/>
  <c r="C374" i="4"/>
  <c r="G374" i="4" s="1"/>
  <c r="A374" i="4"/>
  <c r="J373" i="4"/>
  <c r="E373" i="4"/>
  <c r="C373" i="4"/>
  <c r="G373" i="4" s="1"/>
  <c r="C372" i="4"/>
  <c r="G371" i="4"/>
  <c r="E371" i="4"/>
  <c r="C371" i="4"/>
  <c r="C370" i="4"/>
  <c r="C369" i="4"/>
  <c r="C368" i="4"/>
  <c r="G367" i="4"/>
  <c r="C367" i="4"/>
  <c r="E367" i="4" s="1"/>
  <c r="I366" i="4"/>
  <c r="F366" i="4"/>
  <c r="D366" i="4"/>
  <c r="C366" i="4"/>
  <c r="G366" i="4" s="1"/>
  <c r="A366" i="4"/>
  <c r="E365" i="4"/>
  <c r="C365" i="4"/>
  <c r="G365" i="4" s="1"/>
  <c r="C364" i="4"/>
  <c r="E363" i="4"/>
  <c r="C363" i="4"/>
  <c r="G363" i="4" s="1"/>
  <c r="J362" i="4"/>
  <c r="C362" i="4"/>
  <c r="C361" i="4"/>
  <c r="J361" i="4" s="1"/>
  <c r="H360" i="4"/>
  <c r="D360" i="4"/>
  <c r="C360" i="4"/>
  <c r="G360" i="4" s="1"/>
  <c r="J359" i="4"/>
  <c r="H359" i="4"/>
  <c r="C359" i="4"/>
  <c r="J358" i="4"/>
  <c r="F358" i="4"/>
  <c r="C358" i="4"/>
  <c r="C357" i="4"/>
  <c r="J357" i="4" s="1"/>
  <c r="D356" i="4"/>
  <c r="C356" i="4"/>
  <c r="G356" i="4" s="1"/>
  <c r="C355" i="4"/>
  <c r="C354" i="4"/>
  <c r="C353" i="4"/>
  <c r="H352" i="4"/>
  <c r="D352" i="4"/>
  <c r="C352" i="4"/>
  <c r="G352" i="4" s="1"/>
  <c r="J351" i="4"/>
  <c r="C351" i="4"/>
  <c r="J350" i="4"/>
  <c r="C350" i="4"/>
  <c r="G349" i="4"/>
  <c r="C349" i="4"/>
  <c r="C348" i="4"/>
  <c r="I347" i="4"/>
  <c r="F347" i="4"/>
  <c r="D347" i="4"/>
  <c r="C347" i="4"/>
  <c r="G347" i="4" s="1"/>
  <c r="A347" i="4"/>
  <c r="I346" i="4"/>
  <c r="F346" i="4"/>
  <c r="E346" i="4"/>
  <c r="C346" i="4"/>
  <c r="H346" i="4" s="1"/>
  <c r="A346" i="4"/>
  <c r="C345" i="4"/>
  <c r="C344" i="4"/>
  <c r="J343" i="4"/>
  <c r="I343" i="4"/>
  <c r="F343" i="4"/>
  <c r="E343" i="4"/>
  <c r="D343" i="4"/>
  <c r="C343" i="4"/>
  <c r="G343" i="4" s="1"/>
  <c r="A343" i="4"/>
  <c r="I342" i="4"/>
  <c r="E342" i="4"/>
  <c r="C342" i="4"/>
  <c r="H342" i="4" s="1"/>
  <c r="A342" i="4"/>
  <c r="C341" i="4"/>
  <c r="G341" i="4" s="1"/>
  <c r="H340" i="4"/>
  <c r="D340" i="4"/>
  <c r="C340" i="4"/>
  <c r="G340" i="4" s="1"/>
  <c r="J339" i="4"/>
  <c r="D339" i="4"/>
  <c r="C339" i="4"/>
  <c r="F338" i="4"/>
  <c r="C338" i="4"/>
  <c r="C337" i="4"/>
  <c r="D336" i="4"/>
  <c r="C336" i="4"/>
  <c r="H335" i="4"/>
  <c r="F335" i="4"/>
  <c r="E335" i="4"/>
  <c r="C335" i="4"/>
  <c r="A335" i="4"/>
  <c r="J334" i="4"/>
  <c r="F334" i="4"/>
  <c r="C334" i="4"/>
  <c r="J333" i="4"/>
  <c r="F333" i="4"/>
  <c r="C333" i="4"/>
  <c r="A333" i="4" s="1"/>
  <c r="C332" i="4"/>
  <c r="J331" i="4"/>
  <c r="I331" i="4"/>
  <c r="F331" i="4"/>
  <c r="E331" i="4"/>
  <c r="D331" i="4"/>
  <c r="C331" i="4"/>
  <c r="G331" i="4" s="1"/>
  <c r="A331" i="4"/>
  <c r="J330" i="4"/>
  <c r="I330" i="4"/>
  <c r="E330" i="4"/>
  <c r="C330" i="4"/>
  <c r="A330" i="4"/>
  <c r="C329" i="4"/>
  <c r="J329" i="4" s="1"/>
  <c r="H328" i="4"/>
  <c r="C328" i="4"/>
  <c r="D328" i="4" s="1"/>
  <c r="C327" i="4"/>
  <c r="I326" i="4"/>
  <c r="F326" i="4"/>
  <c r="E326" i="4"/>
  <c r="C326" i="4"/>
  <c r="H326" i="4" s="1"/>
  <c r="A326" i="4"/>
  <c r="J325" i="4"/>
  <c r="F325" i="4"/>
  <c r="C325" i="4"/>
  <c r="G325" i="4" s="1"/>
  <c r="A325" i="4"/>
  <c r="C324" i="4"/>
  <c r="H324" i="4" s="1"/>
  <c r="C323" i="4"/>
  <c r="E322" i="4"/>
  <c r="C322" i="4"/>
  <c r="C321" i="4"/>
  <c r="H320" i="4"/>
  <c r="D320" i="4"/>
  <c r="C320" i="4"/>
  <c r="G320" i="4" s="1"/>
  <c r="H319" i="4"/>
  <c r="E319" i="4"/>
  <c r="C319" i="4"/>
  <c r="J318" i="4"/>
  <c r="I318" i="4"/>
  <c r="C318" i="4"/>
  <c r="A318" i="4"/>
  <c r="J317" i="4"/>
  <c r="C317" i="4"/>
  <c r="F317" i="4" s="1"/>
  <c r="A317" i="4"/>
  <c r="C316" i="4"/>
  <c r="D315" i="4"/>
  <c r="C315" i="4"/>
  <c r="I314" i="4"/>
  <c r="F314" i="4"/>
  <c r="E314" i="4"/>
  <c r="C314" i="4"/>
  <c r="H314" i="4" s="1"/>
  <c r="A314" i="4"/>
  <c r="C313" i="4"/>
  <c r="J313" i="4" s="1"/>
  <c r="C312" i="4"/>
  <c r="D311" i="4"/>
  <c r="C311" i="4"/>
  <c r="E310" i="4"/>
  <c r="C310" i="4"/>
  <c r="C309" i="4"/>
  <c r="G309" i="4" s="1"/>
  <c r="G308" i="4"/>
  <c r="C308" i="4"/>
  <c r="E308" i="4" s="1"/>
  <c r="C307" i="4"/>
  <c r="C306" i="4"/>
  <c r="C305" i="4"/>
  <c r="A305" i="4" s="1"/>
  <c r="G2" i="4"/>
  <c r="B2" i="4"/>
  <c r="C2" i="4" s="1"/>
  <c r="A301" i="3"/>
  <c r="A300" i="3"/>
  <c r="M300" i="3" s="1"/>
  <c r="F299" i="3"/>
  <c r="A299" i="3"/>
  <c r="H298" i="3"/>
  <c r="F298" i="3"/>
  <c r="A298" i="3"/>
  <c r="H297" i="3"/>
  <c r="A297" i="3"/>
  <c r="E296" i="3"/>
  <c r="A296" i="3"/>
  <c r="M296" i="3" s="1"/>
  <c r="J295" i="3"/>
  <c r="B295" i="3"/>
  <c r="A295" i="3"/>
  <c r="M295" i="3" s="1"/>
  <c r="L294" i="3"/>
  <c r="J294" i="3"/>
  <c r="H294" i="3"/>
  <c r="G294" i="3"/>
  <c r="D294" i="3"/>
  <c r="C294" i="3"/>
  <c r="B294" i="3"/>
  <c r="A294" i="3"/>
  <c r="M294" i="3" s="1"/>
  <c r="L293" i="3"/>
  <c r="H293" i="3"/>
  <c r="D293" i="3"/>
  <c r="A293" i="3"/>
  <c r="K293" i="3" s="1"/>
  <c r="M292" i="3"/>
  <c r="A292" i="3"/>
  <c r="J291" i="3"/>
  <c r="B291" i="3"/>
  <c r="A291" i="3"/>
  <c r="M291" i="3" s="1"/>
  <c r="L290" i="3"/>
  <c r="J290" i="3"/>
  <c r="H290" i="3"/>
  <c r="G290" i="3"/>
  <c r="D290" i="3"/>
  <c r="C290" i="3"/>
  <c r="B290" i="3"/>
  <c r="A290" i="3"/>
  <c r="M290" i="3" s="1"/>
  <c r="L289" i="3"/>
  <c r="H289" i="3"/>
  <c r="D289" i="3"/>
  <c r="A289" i="3"/>
  <c r="K289" i="3" s="1"/>
  <c r="I288" i="3"/>
  <c r="A288" i="3"/>
  <c r="A287" i="3"/>
  <c r="A286" i="3"/>
  <c r="H285" i="3"/>
  <c r="A285" i="3"/>
  <c r="A284" i="3"/>
  <c r="M284" i="3" s="1"/>
  <c r="F283" i="3"/>
  <c r="A283" i="3"/>
  <c r="H282" i="3"/>
  <c r="F282" i="3"/>
  <c r="C282" i="3"/>
  <c r="A282" i="3"/>
  <c r="A281" i="3"/>
  <c r="I280" i="3"/>
  <c r="E280" i="3"/>
  <c r="A280" i="3"/>
  <c r="M280" i="3" s="1"/>
  <c r="J279" i="3"/>
  <c r="F279" i="3"/>
  <c r="B279" i="3"/>
  <c r="A279" i="3"/>
  <c r="M279" i="3" s="1"/>
  <c r="L278" i="3"/>
  <c r="J278" i="3"/>
  <c r="G278" i="3"/>
  <c r="D278" i="3"/>
  <c r="B278" i="3"/>
  <c r="A278" i="3"/>
  <c r="M278" i="3" s="1"/>
  <c r="L277" i="3"/>
  <c r="D277" i="3"/>
  <c r="A277" i="3"/>
  <c r="K277" i="3" s="1"/>
  <c r="M276" i="3"/>
  <c r="A276" i="3"/>
  <c r="J275" i="3"/>
  <c r="F275" i="3"/>
  <c r="B275" i="3"/>
  <c r="A275" i="3"/>
  <c r="M275" i="3" s="1"/>
  <c r="L274" i="3"/>
  <c r="J274" i="3"/>
  <c r="G274" i="3"/>
  <c r="D274" i="3"/>
  <c r="B274" i="3"/>
  <c r="A274" i="3"/>
  <c r="M274" i="3" s="1"/>
  <c r="L273" i="3"/>
  <c r="D273" i="3"/>
  <c r="A273" i="3"/>
  <c r="K273" i="3" s="1"/>
  <c r="I272" i="3"/>
  <c r="A272" i="3"/>
  <c r="A271" i="3"/>
  <c r="A270" i="3"/>
  <c r="K270" i="3" s="1"/>
  <c r="H269" i="3"/>
  <c r="A269" i="3"/>
  <c r="A268" i="3"/>
  <c r="M268" i="3" s="1"/>
  <c r="F267" i="3"/>
  <c r="A267" i="3"/>
  <c r="H266" i="3"/>
  <c r="F266" i="3"/>
  <c r="C266" i="3"/>
  <c r="A266" i="3"/>
  <c r="A265" i="3"/>
  <c r="E264" i="3"/>
  <c r="A264" i="3"/>
  <c r="M264" i="3" s="1"/>
  <c r="J263" i="3"/>
  <c r="B263" i="3"/>
  <c r="A263" i="3"/>
  <c r="M263" i="3" s="1"/>
  <c r="L262" i="3"/>
  <c r="J262" i="3"/>
  <c r="H262" i="3"/>
  <c r="G262" i="3"/>
  <c r="D262" i="3"/>
  <c r="C262" i="3"/>
  <c r="B262" i="3"/>
  <c r="A262" i="3"/>
  <c r="M262" i="3" s="1"/>
  <c r="L261" i="3"/>
  <c r="H261" i="3"/>
  <c r="D261" i="3"/>
  <c r="A261" i="3"/>
  <c r="K261" i="3" s="1"/>
  <c r="A260" i="3"/>
  <c r="M260" i="3" s="1"/>
  <c r="J259" i="3"/>
  <c r="B259" i="3"/>
  <c r="A259" i="3"/>
  <c r="L258" i="3"/>
  <c r="J258" i="3"/>
  <c r="H258" i="3"/>
  <c r="G258" i="3"/>
  <c r="D258" i="3"/>
  <c r="C258" i="3"/>
  <c r="B258" i="3"/>
  <c r="A258" i="3"/>
  <c r="M258" i="3" s="1"/>
  <c r="L257" i="3"/>
  <c r="H257" i="3"/>
  <c r="D257" i="3"/>
  <c r="A257" i="3"/>
  <c r="K257" i="3" s="1"/>
  <c r="E256" i="3"/>
  <c r="A256" i="3"/>
  <c r="M256" i="3" s="1"/>
  <c r="A255" i="3"/>
  <c r="K254" i="3"/>
  <c r="F254" i="3"/>
  <c r="D254" i="3"/>
  <c r="A254" i="3"/>
  <c r="L253" i="3"/>
  <c r="H253" i="3"/>
  <c r="A253" i="3"/>
  <c r="A252" i="3"/>
  <c r="M252" i="3" s="1"/>
  <c r="F251" i="3"/>
  <c r="A251" i="3"/>
  <c r="K250" i="3"/>
  <c r="J250" i="3"/>
  <c r="F250" i="3"/>
  <c r="D250" i="3"/>
  <c r="C250" i="3"/>
  <c r="A250" i="3"/>
  <c r="H249" i="3"/>
  <c r="A249" i="3"/>
  <c r="L249" i="3" s="1"/>
  <c r="I248" i="3"/>
  <c r="E248" i="3"/>
  <c r="A248" i="3"/>
  <c r="M248" i="3" s="1"/>
  <c r="J247" i="3"/>
  <c r="F247" i="3"/>
  <c r="B247" i="3"/>
  <c r="A247" i="3"/>
  <c r="M247" i="3" s="1"/>
  <c r="G246" i="3"/>
  <c r="A246" i="3"/>
  <c r="L245" i="3"/>
  <c r="A245" i="3"/>
  <c r="M244" i="3"/>
  <c r="A244" i="3"/>
  <c r="J243" i="3"/>
  <c r="F243" i="3"/>
  <c r="B243" i="3"/>
  <c r="A243" i="3"/>
  <c r="M243" i="3" s="1"/>
  <c r="J242" i="3"/>
  <c r="B242" i="3"/>
  <c r="A242" i="3"/>
  <c r="L242" i="3" s="1"/>
  <c r="A241" i="3"/>
  <c r="A240" i="3"/>
  <c r="J239" i="3"/>
  <c r="A239" i="3"/>
  <c r="E239" i="3" s="1"/>
  <c r="L238" i="3"/>
  <c r="G238" i="3"/>
  <c r="B238" i="3"/>
  <c r="A238" i="3"/>
  <c r="M238" i="3" s="1"/>
  <c r="A237" i="3"/>
  <c r="M236" i="3"/>
  <c r="H236" i="3"/>
  <c r="D236" i="3"/>
  <c r="B236" i="3"/>
  <c r="A236" i="3"/>
  <c r="J236" i="3" s="1"/>
  <c r="E235" i="3"/>
  <c r="A235" i="3"/>
  <c r="J235" i="3" s="1"/>
  <c r="J234" i="3"/>
  <c r="H234" i="3"/>
  <c r="D234" i="3"/>
  <c r="C234" i="3"/>
  <c r="A234" i="3"/>
  <c r="M234" i="3" s="1"/>
  <c r="L233" i="3"/>
  <c r="G233" i="3"/>
  <c r="B233" i="3"/>
  <c r="A233" i="3"/>
  <c r="M233" i="3" s="1"/>
  <c r="D232" i="3"/>
  <c r="A232" i="3"/>
  <c r="K232" i="3" s="1"/>
  <c r="A231" i="3"/>
  <c r="K230" i="3"/>
  <c r="F230" i="3"/>
  <c r="C230" i="3"/>
  <c r="A230" i="3"/>
  <c r="M230" i="3" s="1"/>
  <c r="L229" i="3"/>
  <c r="G229" i="3"/>
  <c r="B229" i="3"/>
  <c r="A229" i="3"/>
  <c r="M229" i="3" s="1"/>
  <c r="D228" i="3"/>
  <c r="A228" i="3"/>
  <c r="K228" i="3" s="1"/>
  <c r="E227" i="3"/>
  <c r="A227" i="3"/>
  <c r="M227" i="3" s="1"/>
  <c r="A226" i="3"/>
  <c r="L225" i="3"/>
  <c r="J225" i="3"/>
  <c r="H225" i="3"/>
  <c r="G225" i="3"/>
  <c r="D225" i="3"/>
  <c r="C225" i="3"/>
  <c r="B225" i="3"/>
  <c r="A225" i="3"/>
  <c r="M225" i="3" s="1"/>
  <c r="L224" i="3"/>
  <c r="H224" i="3"/>
  <c r="D224" i="3"/>
  <c r="A224" i="3"/>
  <c r="K224" i="3" s="1"/>
  <c r="A223" i="3"/>
  <c r="K222" i="3"/>
  <c r="J222" i="3"/>
  <c r="F222" i="3"/>
  <c r="C222" i="3"/>
  <c r="B222" i="3"/>
  <c r="A222" i="3"/>
  <c r="M222" i="3" s="1"/>
  <c r="K221" i="3"/>
  <c r="A221" i="3"/>
  <c r="F221" i="3" s="1"/>
  <c r="A220" i="3"/>
  <c r="E219" i="3"/>
  <c r="A219" i="3"/>
  <c r="M219" i="3" s="1"/>
  <c r="J218" i="3"/>
  <c r="B218" i="3"/>
  <c r="A218" i="3"/>
  <c r="M218" i="3" s="1"/>
  <c r="J217" i="3"/>
  <c r="H217" i="3"/>
  <c r="D217" i="3"/>
  <c r="C217" i="3"/>
  <c r="A217" i="3"/>
  <c r="M217" i="3" s="1"/>
  <c r="L216" i="3"/>
  <c r="H216" i="3"/>
  <c r="A216" i="3"/>
  <c r="K216" i="3" s="1"/>
  <c r="I215" i="3"/>
  <c r="E215" i="3"/>
  <c r="A215" i="3"/>
  <c r="M215" i="3" s="1"/>
  <c r="J214" i="3"/>
  <c r="B214" i="3"/>
  <c r="A214" i="3"/>
  <c r="M214" i="3" s="1"/>
  <c r="J213" i="3"/>
  <c r="H213" i="3"/>
  <c r="D213" i="3"/>
  <c r="C213" i="3"/>
  <c r="A213" i="3"/>
  <c r="M213" i="3" s="1"/>
  <c r="L212" i="3"/>
  <c r="H212" i="3"/>
  <c r="A212" i="3"/>
  <c r="K212" i="3" s="1"/>
  <c r="M211" i="3"/>
  <c r="I211" i="3"/>
  <c r="A211" i="3"/>
  <c r="E211" i="3" s="1"/>
  <c r="K210" i="3"/>
  <c r="J210" i="3"/>
  <c r="F210" i="3"/>
  <c r="C210" i="3"/>
  <c r="B210" i="3"/>
  <c r="A210" i="3"/>
  <c r="M210" i="3" s="1"/>
  <c r="K209" i="3"/>
  <c r="A209" i="3"/>
  <c r="F209" i="3" s="1"/>
  <c r="A208" i="3"/>
  <c r="A207" i="3"/>
  <c r="A206" i="3"/>
  <c r="G206" i="3" s="1"/>
  <c r="L205" i="3"/>
  <c r="J205" i="3"/>
  <c r="H205" i="3"/>
  <c r="G205" i="3"/>
  <c r="D205" i="3"/>
  <c r="C205" i="3"/>
  <c r="B205" i="3"/>
  <c r="A205" i="3"/>
  <c r="M205" i="3" s="1"/>
  <c r="L204" i="3"/>
  <c r="H204" i="3"/>
  <c r="D204" i="3"/>
  <c r="A204" i="3"/>
  <c r="K204" i="3" s="1"/>
  <c r="A203" i="3"/>
  <c r="K202" i="3"/>
  <c r="F202" i="3"/>
  <c r="C202" i="3"/>
  <c r="A202" i="3"/>
  <c r="M202" i="3" s="1"/>
  <c r="L201" i="3"/>
  <c r="G201" i="3"/>
  <c r="B201" i="3"/>
  <c r="A201" i="3"/>
  <c r="M201" i="3" s="1"/>
  <c r="A200" i="3"/>
  <c r="A199" i="3"/>
  <c r="G198" i="3"/>
  <c r="A198" i="3"/>
  <c r="L197" i="3"/>
  <c r="J197" i="3"/>
  <c r="H197" i="3"/>
  <c r="G197" i="3"/>
  <c r="D197" i="3"/>
  <c r="C197" i="3"/>
  <c r="B197" i="3"/>
  <c r="A197" i="3"/>
  <c r="M197" i="3" s="1"/>
  <c r="A196" i="3"/>
  <c r="M195" i="3"/>
  <c r="B195" i="3"/>
  <c r="A195" i="3"/>
  <c r="J195" i="3" s="1"/>
  <c r="G194" i="3"/>
  <c r="A194" i="3"/>
  <c r="L193" i="3"/>
  <c r="J193" i="3"/>
  <c r="H193" i="3"/>
  <c r="G193" i="3"/>
  <c r="D193" i="3"/>
  <c r="C193" i="3"/>
  <c r="B193" i="3"/>
  <c r="A193" i="3"/>
  <c r="M193" i="3" s="1"/>
  <c r="L192" i="3"/>
  <c r="A192" i="3"/>
  <c r="B191" i="3"/>
  <c r="A191" i="3"/>
  <c r="F191" i="3" s="1"/>
  <c r="G190" i="3"/>
  <c r="A190" i="3"/>
  <c r="L189" i="3"/>
  <c r="J189" i="3"/>
  <c r="H189" i="3"/>
  <c r="G189" i="3"/>
  <c r="D189" i="3"/>
  <c r="C189" i="3"/>
  <c r="B189" i="3"/>
  <c r="A189" i="3"/>
  <c r="M189" i="3" s="1"/>
  <c r="L188" i="3"/>
  <c r="E188" i="3"/>
  <c r="A188" i="3"/>
  <c r="H188" i="3" s="1"/>
  <c r="J187" i="3"/>
  <c r="B187" i="3"/>
  <c r="A187" i="3"/>
  <c r="F187" i="3" s="1"/>
  <c r="J186" i="3"/>
  <c r="B186" i="3"/>
  <c r="A186" i="3"/>
  <c r="M186" i="3" s="1"/>
  <c r="J185" i="3"/>
  <c r="H185" i="3"/>
  <c r="D185" i="3"/>
  <c r="C185" i="3"/>
  <c r="A185" i="3"/>
  <c r="M185" i="3" s="1"/>
  <c r="L184" i="3"/>
  <c r="D184" i="3"/>
  <c r="A184" i="3"/>
  <c r="H184" i="3" s="1"/>
  <c r="A183" i="3"/>
  <c r="K182" i="3"/>
  <c r="J182" i="3"/>
  <c r="F182" i="3"/>
  <c r="C182" i="3"/>
  <c r="B182" i="3"/>
  <c r="A182" i="3"/>
  <c r="M182" i="3" s="1"/>
  <c r="K181" i="3"/>
  <c r="F181" i="3"/>
  <c r="A181" i="3"/>
  <c r="A180" i="3"/>
  <c r="F179" i="3"/>
  <c r="E179" i="3"/>
  <c r="A179" i="3"/>
  <c r="M179" i="3" s="1"/>
  <c r="K178" i="3"/>
  <c r="J178" i="3"/>
  <c r="F178" i="3"/>
  <c r="C178" i="3"/>
  <c r="B178" i="3"/>
  <c r="A178" i="3"/>
  <c r="M178" i="3" s="1"/>
  <c r="D177" i="3"/>
  <c r="A177" i="3"/>
  <c r="M176" i="3"/>
  <c r="H176" i="3"/>
  <c r="E176" i="3"/>
  <c r="D176" i="3"/>
  <c r="A176" i="3"/>
  <c r="L176" i="3" s="1"/>
  <c r="J175" i="3"/>
  <c r="E175" i="3"/>
  <c r="A175" i="3"/>
  <c r="F175" i="3" s="1"/>
  <c r="K174" i="3"/>
  <c r="J174" i="3"/>
  <c r="F174" i="3"/>
  <c r="C174" i="3"/>
  <c r="B174" i="3"/>
  <c r="A174" i="3"/>
  <c r="M174" i="3" s="1"/>
  <c r="K173" i="3"/>
  <c r="D173" i="3"/>
  <c r="A173" i="3"/>
  <c r="F173" i="3" s="1"/>
  <c r="E172" i="3"/>
  <c r="A172" i="3"/>
  <c r="M172" i="3" s="1"/>
  <c r="A171" i="3"/>
  <c r="C170" i="3"/>
  <c r="A170" i="3"/>
  <c r="H169" i="3"/>
  <c r="B169" i="3"/>
  <c r="A169" i="3"/>
  <c r="D168" i="3"/>
  <c r="A168" i="3"/>
  <c r="A167" i="3"/>
  <c r="B166" i="3"/>
  <c r="A166" i="3"/>
  <c r="L165" i="3"/>
  <c r="J165" i="3"/>
  <c r="H165" i="3"/>
  <c r="G165" i="3"/>
  <c r="D165" i="3"/>
  <c r="C165" i="3"/>
  <c r="B165" i="3"/>
  <c r="A165" i="3"/>
  <c r="M165" i="3" s="1"/>
  <c r="A164" i="3"/>
  <c r="J163" i="3"/>
  <c r="E163" i="3"/>
  <c r="B163" i="3"/>
  <c r="A163" i="3"/>
  <c r="F163" i="3" s="1"/>
  <c r="A162" i="3"/>
  <c r="G162" i="3" s="1"/>
  <c r="L161" i="3"/>
  <c r="J161" i="3"/>
  <c r="H161" i="3"/>
  <c r="G161" i="3"/>
  <c r="D161" i="3"/>
  <c r="C161" i="3"/>
  <c r="B161" i="3"/>
  <c r="A161" i="3"/>
  <c r="M161" i="3" s="1"/>
  <c r="D160" i="3"/>
  <c r="A160" i="3"/>
  <c r="E160" i="3" s="1"/>
  <c r="B159" i="3"/>
  <c r="A159" i="3"/>
  <c r="F158" i="3"/>
  <c r="B158" i="3"/>
  <c r="A158" i="3"/>
  <c r="G158" i="3" s="1"/>
  <c r="L157" i="3"/>
  <c r="J157" i="3"/>
  <c r="H157" i="3"/>
  <c r="G157" i="3"/>
  <c r="D157" i="3"/>
  <c r="C157" i="3"/>
  <c r="B157" i="3"/>
  <c r="A157" i="3"/>
  <c r="M157" i="3" s="1"/>
  <c r="L156" i="3"/>
  <c r="E156" i="3"/>
  <c r="A156" i="3"/>
  <c r="M156" i="3" s="1"/>
  <c r="J155" i="3"/>
  <c r="B155" i="3"/>
  <c r="A155" i="3"/>
  <c r="F155" i="3" s="1"/>
  <c r="K154" i="3"/>
  <c r="G154" i="3"/>
  <c r="C154" i="3"/>
  <c r="B154" i="3"/>
  <c r="A154" i="3"/>
  <c r="K153" i="3"/>
  <c r="J153" i="3"/>
  <c r="D153" i="3"/>
  <c r="C153" i="3"/>
  <c r="A153" i="3"/>
  <c r="F153" i="3" s="1"/>
  <c r="L152" i="3"/>
  <c r="D152" i="3"/>
  <c r="A152" i="3"/>
  <c r="H152" i="3" s="1"/>
  <c r="A151" i="3"/>
  <c r="K150" i="3"/>
  <c r="J150" i="3"/>
  <c r="F150" i="3"/>
  <c r="C150" i="3"/>
  <c r="B150" i="3"/>
  <c r="A150" i="3"/>
  <c r="M150" i="3" s="1"/>
  <c r="A149" i="3"/>
  <c r="L149" i="3" s="1"/>
  <c r="A148" i="3"/>
  <c r="E147" i="3"/>
  <c r="A147" i="3"/>
  <c r="K146" i="3"/>
  <c r="J146" i="3"/>
  <c r="F146" i="3"/>
  <c r="C146" i="3"/>
  <c r="B146" i="3"/>
  <c r="A146" i="3"/>
  <c r="M146" i="3" s="1"/>
  <c r="L145" i="3"/>
  <c r="K145" i="3"/>
  <c r="J145" i="3"/>
  <c r="F145" i="3"/>
  <c r="D145" i="3"/>
  <c r="B145" i="3"/>
  <c r="A145" i="3"/>
  <c r="M144" i="3"/>
  <c r="H144" i="3"/>
  <c r="E144" i="3"/>
  <c r="D144" i="3"/>
  <c r="A144" i="3"/>
  <c r="L144" i="3" s="1"/>
  <c r="A143" i="3"/>
  <c r="M143" i="3" s="1"/>
  <c r="K142" i="3"/>
  <c r="J142" i="3"/>
  <c r="F142" i="3"/>
  <c r="C142" i="3"/>
  <c r="B142" i="3"/>
  <c r="A142" i="3"/>
  <c r="M142" i="3" s="1"/>
  <c r="L141" i="3"/>
  <c r="G141" i="3"/>
  <c r="B141" i="3"/>
  <c r="A141" i="3"/>
  <c r="M141" i="3" s="1"/>
  <c r="E140" i="3"/>
  <c r="D140" i="3"/>
  <c r="A140" i="3"/>
  <c r="H140" i="3" s="1"/>
  <c r="B139" i="3"/>
  <c r="A139" i="3"/>
  <c r="F139" i="3" s="1"/>
  <c r="A138" i="3"/>
  <c r="M138" i="3" s="1"/>
  <c r="L137" i="3"/>
  <c r="H137" i="3"/>
  <c r="G137" i="3"/>
  <c r="C137" i="3"/>
  <c r="B137" i="3"/>
  <c r="A137" i="3"/>
  <c r="M137" i="3" s="1"/>
  <c r="D136" i="3"/>
  <c r="A136" i="3"/>
  <c r="H136" i="3" s="1"/>
  <c r="A135" i="3"/>
  <c r="J135" i="3" s="1"/>
  <c r="J134" i="3"/>
  <c r="B134" i="3"/>
  <c r="A134" i="3"/>
  <c r="M134" i="3" s="1"/>
  <c r="L133" i="3"/>
  <c r="J133" i="3"/>
  <c r="H133" i="3"/>
  <c r="G133" i="3"/>
  <c r="D133" i="3"/>
  <c r="C133" i="3"/>
  <c r="B133" i="3"/>
  <c r="A133" i="3"/>
  <c r="M133" i="3" s="1"/>
  <c r="A132" i="3"/>
  <c r="M131" i="3"/>
  <c r="E131" i="3"/>
  <c r="B131" i="3"/>
  <c r="A131" i="3"/>
  <c r="J131" i="3" s="1"/>
  <c r="J130" i="3"/>
  <c r="B130" i="3"/>
  <c r="A130" i="3"/>
  <c r="M130" i="3" s="1"/>
  <c r="L129" i="3"/>
  <c r="J129" i="3"/>
  <c r="H129" i="3"/>
  <c r="G129" i="3"/>
  <c r="D129" i="3"/>
  <c r="C129" i="3"/>
  <c r="B129" i="3"/>
  <c r="A129" i="3"/>
  <c r="M129" i="3" s="1"/>
  <c r="M128" i="3"/>
  <c r="D128" i="3"/>
  <c r="A128" i="3"/>
  <c r="H128" i="3" s="1"/>
  <c r="E127" i="3"/>
  <c r="B127" i="3"/>
  <c r="A127" i="3"/>
  <c r="F127" i="3" s="1"/>
  <c r="J126" i="3"/>
  <c r="B126" i="3"/>
  <c r="A126" i="3"/>
  <c r="M126" i="3" s="1"/>
  <c r="L125" i="3"/>
  <c r="J125" i="3"/>
  <c r="H125" i="3"/>
  <c r="G125" i="3"/>
  <c r="D125" i="3"/>
  <c r="C125" i="3"/>
  <c r="B125" i="3"/>
  <c r="A125" i="3"/>
  <c r="M125" i="3" s="1"/>
  <c r="A124" i="3"/>
  <c r="H124" i="3" s="1"/>
  <c r="J123" i="3"/>
  <c r="B123" i="3"/>
  <c r="A123" i="3"/>
  <c r="F123" i="3" s="1"/>
  <c r="K122" i="3"/>
  <c r="J122" i="3"/>
  <c r="C122" i="3"/>
  <c r="B122" i="3"/>
  <c r="A122" i="3"/>
  <c r="M122" i="3" s="1"/>
  <c r="A121" i="3"/>
  <c r="M121" i="3" s="1"/>
  <c r="L120" i="3"/>
  <c r="D120" i="3"/>
  <c r="A120" i="3"/>
  <c r="H120" i="3" s="1"/>
  <c r="A119" i="3"/>
  <c r="J119" i="3" s="1"/>
  <c r="K118" i="3"/>
  <c r="J118" i="3"/>
  <c r="F118" i="3"/>
  <c r="C118" i="3"/>
  <c r="B118" i="3"/>
  <c r="A118" i="3"/>
  <c r="M118" i="3" s="1"/>
  <c r="L117" i="3"/>
  <c r="G117" i="3"/>
  <c r="B117" i="3"/>
  <c r="A117" i="3"/>
  <c r="M117" i="3" s="1"/>
  <c r="A116" i="3"/>
  <c r="L116" i="3" s="1"/>
  <c r="A115" i="3"/>
  <c r="E115" i="3" s="1"/>
  <c r="K114" i="3"/>
  <c r="J114" i="3"/>
  <c r="F114" i="3"/>
  <c r="C114" i="3"/>
  <c r="B114" i="3"/>
  <c r="A114" i="3"/>
  <c r="M114" i="3" s="1"/>
  <c r="L113" i="3"/>
  <c r="G113" i="3"/>
  <c r="B113" i="3"/>
  <c r="A113" i="3"/>
  <c r="M113" i="3" s="1"/>
  <c r="M112" i="3"/>
  <c r="H112" i="3"/>
  <c r="E112" i="3"/>
  <c r="D112" i="3"/>
  <c r="A112" i="3"/>
  <c r="L112" i="3" s="1"/>
  <c r="A111" i="3"/>
  <c r="F111" i="3" s="1"/>
  <c r="K110" i="3"/>
  <c r="J110" i="3"/>
  <c r="F110" i="3"/>
  <c r="C110" i="3"/>
  <c r="B110" i="3"/>
  <c r="A110" i="3"/>
  <c r="M110" i="3" s="1"/>
  <c r="L109" i="3"/>
  <c r="G109" i="3"/>
  <c r="B109" i="3"/>
  <c r="A109" i="3"/>
  <c r="M109" i="3" s="1"/>
  <c r="E108" i="3"/>
  <c r="D108" i="3"/>
  <c r="A108" i="3"/>
  <c r="H108" i="3" s="1"/>
  <c r="B107" i="3"/>
  <c r="A107" i="3"/>
  <c r="F107" i="3" s="1"/>
  <c r="A106" i="3"/>
  <c r="M106" i="3" s="1"/>
  <c r="L105" i="3"/>
  <c r="H105" i="3"/>
  <c r="G105" i="3"/>
  <c r="C105" i="3"/>
  <c r="B105" i="3"/>
  <c r="A105" i="3"/>
  <c r="M105" i="3" s="1"/>
  <c r="D104" i="3"/>
  <c r="A104" i="3"/>
  <c r="H104" i="3" s="1"/>
  <c r="A103" i="3"/>
  <c r="J102" i="3"/>
  <c r="B102" i="3"/>
  <c r="A102" i="3"/>
  <c r="M102" i="3" s="1"/>
  <c r="L101" i="3"/>
  <c r="J101" i="3"/>
  <c r="H101" i="3"/>
  <c r="G101" i="3"/>
  <c r="D101" i="3"/>
  <c r="C101" i="3"/>
  <c r="B101" i="3"/>
  <c r="A101" i="3"/>
  <c r="M101" i="3" s="1"/>
  <c r="A100" i="3"/>
  <c r="L100" i="3" s="1"/>
  <c r="M99" i="3"/>
  <c r="E99" i="3"/>
  <c r="B99" i="3"/>
  <c r="A99" i="3"/>
  <c r="J99" i="3" s="1"/>
  <c r="J98" i="3"/>
  <c r="B98" i="3"/>
  <c r="A98" i="3"/>
  <c r="M98" i="3" s="1"/>
  <c r="L97" i="3"/>
  <c r="J97" i="3"/>
  <c r="H97" i="3"/>
  <c r="G97" i="3"/>
  <c r="D97" i="3"/>
  <c r="C97" i="3"/>
  <c r="B97" i="3"/>
  <c r="A97" i="3"/>
  <c r="M97" i="3" s="1"/>
  <c r="M96" i="3"/>
  <c r="C96" i="3"/>
  <c r="A96" i="3"/>
  <c r="K96" i="3" s="1"/>
  <c r="A95" i="3"/>
  <c r="A94" i="3"/>
  <c r="I94" i="3" s="1"/>
  <c r="L93" i="3"/>
  <c r="H93" i="3"/>
  <c r="G93" i="3"/>
  <c r="C93" i="3"/>
  <c r="B93" i="3"/>
  <c r="A93" i="3"/>
  <c r="M93" i="3" s="1"/>
  <c r="I92" i="3"/>
  <c r="H92" i="3"/>
  <c r="A92" i="3"/>
  <c r="A91" i="3"/>
  <c r="M90" i="3"/>
  <c r="G90" i="3"/>
  <c r="C90" i="3"/>
  <c r="B90" i="3"/>
  <c r="A90" i="3"/>
  <c r="J90" i="3" s="1"/>
  <c r="L89" i="3"/>
  <c r="B89" i="3"/>
  <c r="A89" i="3"/>
  <c r="G89" i="3" s="1"/>
  <c r="M88" i="3"/>
  <c r="H88" i="3"/>
  <c r="D88" i="3"/>
  <c r="C88" i="3"/>
  <c r="A88" i="3"/>
  <c r="K88" i="3" s="1"/>
  <c r="A87" i="3"/>
  <c r="M86" i="3"/>
  <c r="C86" i="3"/>
  <c r="B86" i="3"/>
  <c r="A86" i="3"/>
  <c r="J86" i="3" s="1"/>
  <c r="A85" i="3"/>
  <c r="J85" i="3" s="1"/>
  <c r="M84" i="3"/>
  <c r="D84" i="3"/>
  <c r="C84" i="3"/>
  <c r="A84" i="3"/>
  <c r="K84" i="3" s="1"/>
  <c r="A83" i="3"/>
  <c r="I82" i="3"/>
  <c r="B82" i="3"/>
  <c r="A82" i="3"/>
  <c r="M82" i="3" s="1"/>
  <c r="L81" i="3"/>
  <c r="J81" i="3"/>
  <c r="H81" i="3"/>
  <c r="G81" i="3"/>
  <c r="D81" i="3"/>
  <c r="C81" i="3"/>
  <c r="B81" i="3"/>
  <c r="A81" i="3"/>
  <c r="M81" i="3" s="1"/>
  <c r="I80" i="3"/>
  <c r="C80" i="3"/>
  <c r="A80" i="3"/>
  <c r="M80" i="3" s="1"/>
  <c r="A79" i="3"/>
  <c r="I78" i="3"/>
  <c r="G78" i="3"/>
  <c r="A78" i="3"/>
  <c r="L77" i="3"/>
  <c r="H77" i="3"/>
  <c r="G77" i="3"/>
  <c r="C77" i="3"/>
  <c r="B77" i="3"/>
  <c r="A77" i="3"/>
  <c r="M77" i="3" s="1"/>
  <c r="I76" i="3"/>
  <c r="H76" i="3"/>
  <c r="A76" i="3"/>
  <c r="A75" i="3"/>
  <c r="M74" i="3"/>
  <c r="G74" i="3"/>
  <c r="C74" i="3"/>
  <c r="B74" i="3"/>
  <c r="A74" i="3"/>
  <c r="J74" i="3" s="1"/>
  <c r="L73" i="3"/>
  <c r="G73" i="3"/>
  <c r="F73" i="3"/>
  <c r="B73" i="3"/>
  <c r="A73" i="3"/>
  <c r="M72" i="3"/>
  <c r="H72" i="3"/>
  <c r="D72" i="3"/>
  <c r="C72" i="3"/>
  <c r="A72" i="3"/>
  <c r="K72" i="3" s="1"/>
  <c r="A71" i="3"/>
  <c r="M71" i="3" s="1"/>
  <c r="M70" i="3"/>
  <c r="C70" i="3"/>
  <c r="B70" i="3"/>
  <c r="A70" i="3"/>
  <c r="J70" i="3" s="1"/>
  <c r="D69" i="3"/>
  <c r="A69" i="3"/>
  <c r="J69" i="3" s="1"/>
  <c r="M68" i="3"/>
  <c r="D68" i="3"/>
  <c r="C68" i="3"/>
  <c r="A68" i="3"/>
  <c r="K68" i="3" s="1"/>
  <c r="A67" i="3"/>
  <c r="M66" i="3"/>
  <c r="I66" i="3"/>
  <c r="B66" i="3"/>
  <c r="A66" i="3"/>
  <c r="L65" i="3"/>
  <c r="J65" i="3"/>
  <c r="H65" i="3"/>
  <c r="G65" i="3"/>
  <c r="D65" i="3"/>
  <c r="C65" i="3"/>
  <c r="B65" i="3"/>
  <c r="A65" i="3"/>
  <c r="M65" i="3" s="1"/>
  <c r="M64" i="3"/>
  <c r="I64" i="3"/>
  <c r="C64" i="3"/>
  <c r="A64" i="3"/>
  <c r="A63" i="3"/>
  <c r="I62" i="3"/>
  <c r="G62" i="3"/>
  <c r="A62" i="3"/>
  <c r="L61" i="3"/>
  <c r="H61" i="3"/>
  <c r="G61" i="3"/>
  <c r="C61" i="3"/>
  <c r="B61" i="3"/>
  <c r="A61" i="3"/>
  <c r="M61" i="3" s="1"/>
  <c r="I60" i="3"/>
  <c r="A60" i="3"/>
  <c r="H60" i="3" s="1"/>
  <c r="A59" i="3"/>
  <c r="M58" i="3"/>
  <c r="G58" i="3"/>
  <c r="C58" i="3"/>
  <c r="B58" i="3"/>
  <c r="A58" i="3"/>
  <c r="J58" i="3" s="1"/>
  <c r="G57" i="3"/>
  <c r="A57" i="3"/>
  <c r="F57" i="3" s="1"/>
  <c r="M56" i="3"/>
  <c r="H56" i="3"/>
  <c r="D56" i="3"/>
  <c r="C56" i="3"/>
  <c r="A56" i="3"/>
  <c r="K56" i="3" s="1"/>
  <c r="A55" i="3"/>
  <c r="M55" i="3" s="1"/>
  <c r="M54" i="3"/>
  <c r="C54" i="3"/>
  <c r="B54" i="3"/>
  <c r="A54" i="3"/>
  <c r="J54" i="3" s="1"/>
  <c r="F53" i="3"/>
  <c r="A53" i="3"/>
  <c r="D53" i="3" s="1"/>
  <c r="A52" i="3"/>
  <c r="I52" i="3" s="1"/>
  <c r="A51" i="3"/>
  <c r="M51" i="3" s="1"/>
  <c r="I50" i="3"/>
  <c r="G50" i="3"/>
  <c r="B50" i="3"/>
  <c r="A50" i="3"/>
  <c r="L49" i="3"/>
  <c r="J49" i="3"/>
  <c r="H49" i="3"/>
  <c r="G49" i="3"/>
  <c r="D49" i="3"/>
  <c r="C49" i="3"/>
  <c r="B49" i="3"/>
  <c r="A49" i="3"/>
  <c r="M49" i="3" s="1"/>
  <c r="I48" i="3"/>
  <c r="A48" i="3"/>
  <c r="H48" i="3" s="1"/>
  <c r="A47" i="3"/>
  <c r="M47" i="3" s="1"/>
  <c r="A46" i="3"/>
  <c r="I46" i="3" s="1"/>
  <c r="A45" i="3"/>
  <c r="L45" i="3" s="1"/>
  <c r="A44" i="3"/>
  <c r="I44" i="3" s="1"/>
  <c r="A43" i="3"/>
  <c r="M42" i="3"/>
  <c r="G42" i="3"/>
  <c r="C42" i="3"/>
  <c r="B42" i="3"/>
  <c r="A42" i="3"/>
  <c r="J42" i="3" s="1"/>
  <c r="A41" i="3"/>
  <c r="M41" i="3" s="1"/>
  <c r="M40" i="3"/>
  <c r="H40" i="3"/>
  <c r="D40" i="3"/>
  <c r="C40" i="3"/>
  <c r="A40" i="3"/>
  <c r="K40" i="3" s="1"/>
  <c r="A39" i="3"/>
  <c r="M38" i="3"/>
  <c r="B38" i="3"/>
  <c r="A38" i="3"/>
  <c r="J38" i="3" s="1"/>
  <c r="J37" i="3"/>
  <c r="H37" i="3"/>
  <c r="D37" i="3"/>
  <c r="C37" i="3"/>
  <c r="A37" i="3"/>
  <c r="M37" i="3" s="1"/>
  <c r="M36" i="3"/>
  <c r="C36" i="3"/>
  <c r="A36" i="3"/>
  <c r="K36" i="3" s="1"/>
  <c r="A35" i="3"/>
  <c r="M35" i="3" s="1"/>
  <c r="A34" i="3"/>
  <c r="J34" i="3" s="1"/>
  <c r="L33" i="3"/>
  <c r="J33" i="3"/>
  <c r="H33" i="3"/>
  <c r="G33" i="3"/>
  <c r="D33" i="3"/>
  <c r="C33" i="3"/>
  <c r="B33" i="3"/>
  <c r="A33" i="3"/>
  <c r="M33" i="3" s="1"/>
  <c r="A32" i="3"/>
  <c r="J32" i="3" s="1"/>
  <c r="J31" i="3"/>
  <c r="F31" i="3"/>
  <c r="A31" i="3"/>
  <c r="M31" i="3" s="1"/>
  <c r="K30" i="3"/>
  <c r="J30" i="3"/>
  <c r="F30" i="3"/>
  <c r="C30" i="3"/>
  <c r="B30" i="3"/>
  <c r="A30" i="3"/>
  <c r="M30" i="3" s="1"/>
  <c r="A29" i="3"/>
  <c r="M29" i="3" s="1"/>
  <c r="A28" i="3"/>
  <c r="L28" i="3" s="1"/>
  <c r="B27" i="3"/>
  <c r="A27" i="3"/>
  <c r="M27" i="3" s="1"/>
  <c r="A26" i="3"/>
  <c r="M26" i="3" s="1"/>
  <c r="L25" i="3"/>
  <c r="J25" i="3"/>
  <c r="H25" i="3"/>
  <c r="G25" i="3"/>
  <c r="D25" i="3"/>
  <c r="C25" i="3"/>
  <c r="B25" i="3"/>
  <c r="A25" i="3"/>
  <c r="M25" i="3" s="1"/>
  <c r="A24" i="3"/>
  <c r="L24" i="3" s="1"/>
  <c r="J23" i="3"/>
  <c r="F23" i="3"/>
  <c r="A23" i="3"/>
  <c r="M23" i="3" s="1"/>
  <c r="K22" i="3"/>
  <c r="J22" i="3"/>
  <c r="F22" i="3"/>
  <c r="C22" i="3"/>
  <c r="B22" i="3"/>
  <c r="A22" i="3"/>
  <c r="M22" i="3" s="1"/>
  <c r="A21" i="3"/>
  <c r="M21" i="3" s="1"/>
  <c r="A20" i="3"/>
  <c r="L20" i="3" s="1"/>
  <c r="B19" i="3"/>
  <c r="A19" i="3"/>
  <c r="M19" i="3" s="1"/>
  <c r="A18" i="3"/>
  <c r="M18" i="3" s="1"/>
  <c r="L17" i="3"/>
  <c r="J17" i="3"/>
  <c r="H17" i="3"/>
  <c r="G17" i="3"/>
  <c r="D17" i="3"/>
  <c r="C17" i="3"/>
  <c r="B17" i="3"/>
  <c r="A17" i="3"/>
  <c r="M17" i="3" s="1"/>
  <c r="A16" i="3"/>
  <c r="L16" i="3" s="1"/>
  <c r="J15" i="3"/>
  <c r="F15" i="3"/>
  <c r="A15" i="3"/>
  <c r="M15" i="3" s="1"/>
  <c r="K14" i="3"/>
  <c r="J14" i="3"/>
  <c r="F14" i="3"/>
  <c r="C14" i="3"/>
  <c r="B14" i="3"/>
  <c r="A14" i="3"/>
  <c r="M14" i="3" s="1"/>
  <c r="A13" i="3"/>
  <c r="M13" i="3" s="1"/>
  <c r="A12" i="3"/>
  <c r="L12" i="3" s="1"/>
  <c r="B11" i="3"/>
  <c r="A11" i="3"/>
  <c r="M11" i="3" s="1"/>
  <c r="A10" i="3"/>
  <c r="M10" i="3" s="1"/>
  <c r="L9" i="3"/>
  <c r="J9" i="3"/>
  <c r="H9" i="3"/>
  <c r="G9" i="3"/>
  <c r="D9" i="3"/>
  <c r="C9" i="3"/>
  <c r="B9" i="3"/>
  <c r="A9" i="3"/>
  <c r="M9" i="3" s="1"/>
  <c r="A8" i="3"/>
  <c r="L8" i="3" s="1"/>
  <c r="J7" i="3"/>
  <c r="F7" i="3"/>
  <c r="A7" i="3"/>
  <c r="M7" i="3" s="1"/>
  <c r="K6" i="3"/>
  <c r="J6" i="3"/>
  <c r="F6" i="3"/>
  <c r="C6" i="3"/>
  <c r="B6" i="3"/>
  <c r="A6" i="3"/>
  <c r="M6" i="3" s="1"/>
  <c r="G5" i="3"/>
  <c r="B5" i="3"/>
  <c r="A5" i="3"/>
  <c r="H5" i="3" s="1"/>
  <c r="A4" i="3"/>
  <c r="B3" i="3"/>
  <c r="A3" i="3"/>
  <c r="F3" i="3" s="1"/>
  <c r="F2" i="3"/>
  <c r="C2" i="3"/>
  <c r="B2" i="3"/>
  <c r="A2" i="3"/>
  <c r="C5" i="3" l="1"/>
  <c r="G2" i="3"/>
  <c r="K2" i="3" s="1"/>
  <c r="M2" i="3" s="1"/>
  <c r="D5" i="3"/>
  <c r="G6" i="3"/>
  <c r="B7" i="3"/>
  <c r="F9" i="3"/>
  <c r="K9" i="3"/>
  <c r="C10" i="3"/>
  <c r="K10" i="3"/>
  <c r="J11" i="3"/>
  <c r="C13" i="3"/>
  <c r="H13" i="3"/>
  <c r="G14" i="3"/>
  <c r="B15" i="3"/>
  <c r="F17" i="3"/>
  <c r="K17" i="3"/>
  <c r="C18" i="3"/>
  <c r="K18" i="3"/>
  <c r="J19" i="3"/>
  <c r="C21" i="3"/>
  <c r="H21" i="3"/>
  <c r="G22" i="3"/>
  <c r="B23" i="3"/>
  <c r="F25" i="3"/>
  <c r="K25" i="3"/>
  <c r="C26" i="3"/>
  <c r="K26" i="3"/>
  <c r="J27" i="3"/>
  <c r="C29" i="3"/>
  <c r="H29" i="3"/>
  <c r="G30" i="3"/>
  <c r="B31" i="3"/>
  <c r="F33" i="3"/>
  <c r="K33" i="3"/>
  <c r="C34" i="3"/>
  <c r="H36" i="3"/>
  <c r="B37" i="3"/>
  <c r="G37" i="3"/>
  <c r="L37" i="3"/>
  <c r="G38" i="3"/>
  <c r="I40" i="3"/>
  <c r="C41" i="3"/>
  <c r="H41" i="3"/>
  <c r="H44" i="3"/>
  <c r="C45" i="3"/>
  <c r="K45" i="3"/>
  <c r="G46" i="3"/>
  <c r="C48" i="3"/>
  <c r="J50" i="3"/>
  <c r="C50" i="3"/>
  <c r="M50" i="3"/>
  <c r="D52" i="3"/>
  <c r="C53" i="3"/>
  <c r="K53" i="3"/>
  <c r="B57" i="3"/>
  <c r="L57" i="3"/>
  <c r="J62" i="3"/>
  <c r="C62" i="3"/>
  <c r="M62" i="3"/>
  <c r="B62" i="3"/>
  <c r="K64" i="3"/>
  <c r="H64" i="3"/>
  <c r="D64" i="3"/>
  <c r="J66" i="3"/>
  <c r="G66" i="3"/>
  <c r="C66" i="3"/>
  <c r="M73" i="3"/>
  <c r="J73" i="3"/>
  <c r="D73" i="3"/>
  <c r="H73" i="3"/>
  <c r="C73" i="3"/>
  <c r="K73" i="3"/>
  <c r="K76" i="3"/>
  <c r="D76" i="3"/>
  <c r="M76" i="3"/>
  <c r="C76" i="3"/>
  <c r="F85" i="3"/>
  <c r="F5" i="3"/>
  <c r="K5" i="3" s="1"/>
  <c r="F10" i="3"/>
  <c r="D13" i="3"/>
  <c r="J13" i="3"/>
  <c r="F18" i="3"/>
  <c r="D21" i="3"/>
  <c r="J21" i="3"/>
  <c r="F26" i="3"/>
  <c r="D29" i="3"/>
  <c r="J29" i="3"/>
  <c r="G34" i="3"/>
  <c r="I36" i="3"/>
  <c r="I38" i="3"/>
  <c r="D41" i="3"/>
  <c r="J41" i="3"/>
  <c r="F45" i="3"/>
  <c r="M69" i="3"/>
  <c r="H69" i="3"/>
  <c r="C69" i="3"/>
  <c r="L69" i="3"/>
  <c r="G69" i="3"/>
  <c r="B69" i="3"/>
  <c r="K69" i="3"/>
  <c r="J78" i="3"/>
  <c r="C78" i="3"/>
  <c r="M78" i="3"/>
  <c r="B78" i="3"/>
  <c r="K80" i="3"/>
  <c r="H80" i="3"/>
  <c r="D80" i="3"/>
  <c r="J82" i="3"/>
  <c r="G82" i="3"/>
  <c r="C82" i="3"/>
  <c r="M89" i="3"/>
  <c r="J89" i="3"/>
  <c r="D89" i="3"/>
  <c r="H89" i="3"/>
  <c r="C89" i="3"/>
  <c r="K89" i="3"/>
  <c r="K92" i="3"/>
  <c r="D92" i="3"/>
  <c r="M92" i="3"/>
  <c r="C92" i="3"/>
  <c r="G10" i="3"/>
  <c r="F13" i="3"/>
  <c r="K13" i="3"/>
  <c r="G18" i="3"/>
  <c r="F21" i="3"/>
  <c r="K21" i="3"/>
  <c r="G26" i="3"/>
  <c r="F29" i="3"/>
  <c r="K29" i="3"/>
  <c r="I34" i="3"/>
  <c r="F41" i="3"/>
  <c r="K41" i="3"/>
  <c r="K44" i="3"/>
  <c r="M44" i="3"/>
  <c r="C44" i="3"/>
  <c r="M45" i="3"/>
  <c r="J45" i="3"/>
  <c r="D45" i="3"/>
  <c r="G45" i="3"/>
  <c r="J46" i="3"/>
  <c r="M46" i="3"/>
  <c r="B46" i="3"/>
  <c r="K52" i="3"/>
  <c r="H52" i="3"/>
  <c r="M52" i="3"/>
  <c r="M85" i="3"/>
  <c r="H85" i="3"/>
  <c r="C85" i="3"/>
  <c r="L85" i="3"/>
  <c r="G85" i="3"/>
  <c r="B85" i="3"/>
  <c r="K85" i="3"/>
  <c r="J94" i="3"/>
  <c r="C94" i="3"/>
  <c r="M94" i="3"/>
  <c r="B94" i="3"/>
  <c r="B10" i="3"/>
  <c r="J10" i="3"/>
  <c r="F11" i="3"/>
  <c r="B13" i="3"/>
  <c r="G13" i="3"/>
  <c r="L13" i="3"/>
  <c r="B18" i="3"/>
  <c r="J18" i="3"/>
  <c r="F19" i="3"/>
  <c r="B21" i="3"/>
  <c r="G21" i="3"/>
  <c r="L21" i="3"/>
  <c r="B26" i="3"/>
  <c r="J26" i="3"/>
  <c r="F27" i="3"/>
  <c r="B29" i="3"/>
  <c r="G29" i="3"/>
  <c r="L29" i="3"/>
  <c r="B34" i="3"/>
  <c r="M34" i="3"/>
  <c r="D36" i="3"/>
  <c r="F37" i="3"/>
  <c r="K37" i="3"/>
  <c r="C38" i="3"/>
  <c r="B41" i="3"/>
  <c r="G41" i="3"/>
  <c r="L41" i="3"/>
  <c r="D44" i="3"/>
  <c r="B45" i="3"/>
  <c r="H45" i="3"/>
  <c r="C46" i="3"/>
  <c r="K48" i="3"/>
  <c r="D48" i="3"/>
  <c r="M48" i="3"/>
  <c r="C52" i="3"/>
  <c r="M53" i="3"/>
  <c r="H53" i="3"/>
  <c r="L53" i="3"/>
  <c r="G53" i="3"/>
  <c r="B53" i="3"/>
  <c r="J53" i="3"/>
  <c r="M57" i="3"/>
  <c r="J57" i="3"/>
  <c r="D57" i="3"/>
  <c r="H57" i="3"/>
  <c r="C57" i="3"/>
  <c r="K57" i="3"/>
  <c r="K60" i="3"/>
  <c r="D60" i="3"/>
  <c r="M60" i="3"/>
  <c r="C60" i="3"/>
  <c r="F69" i="3"/>
  <c r="D85" i="3"/>
  <c r="F89" i="3"/>
  <c r="G94" i="3"/>
  <c r="I96" i="3"/>
  <c r="G98" i="3"/>
  <c r="G102" i="3"/>
  <c r="F106" i="3"/>
  <c r="F109" i="3"/>
  <c r="K109" i="3"/>
  <c r="J111" i="3"/>
  <c r="F113" i="3"/>
  <c r="K113" i="3"/>
  <c r="F115" i="3"/>
  <c r="F117" i="3"/>
  <c r="K117" i="3"/>
  <c r="D121" i="3"/>
  <c r="J121" i="3"/>
  <c r="L124" i="3"/>
  <c r="G126" i="3"/>
  <c r="L128" i="3"/>
  <c r="G130" i="3"/>
  <c r="G134" i="3"/>
  <c r="F138" i="3"/>
  <c r="F141" i="3"/>
  <c r="K141" i="3"/>
  <c r="M147" i="3"/>
  <c r="B147" i="3"/>
  <c r="F149" i="3"/>
  <c r="F159" i="3"/>
  <c r="J159" i="3"/>
  <c r="M160" i="3"/>
  <c r="M166" i="3"/>
  <c r="K166" i="3"/>
  <c r="C166" i="3"/>
  <c r="J166" i="3"/>
  <c r="M169" i="3"/>
  <c r="J169" i="3"/>
  <c r="D169" i="3"/>
  <c r="G169" i="3"/>
  <c r="M170" i="3"/>
  <c r="J170" i="3"/>
  <c r="B170" i="3"/>
  <c r="K170" i="3"/>
  <c r="D172" i="3"/>
  <c r="B173" i="3"/>
  <c r="J173" i="3"/>
  <c r="M177" i="3"/>
  <c r="H177" i="3"/>
  <c r="C177" i="3"/>
  <c r="L177" i="3"/>
  <c r="G177" i="3"/>
  <c r="B177" i="3"/>
  <c r="K177" i="3"/>
  <c r="M194" i="3"/>
  <c r="F194" i="3"/>
  <c r="K194" i="3"/>
  <c r="C194" i="3"/>
  <c r="J194" i="3"/>
  <c r="B194" i="3"/>
  <c r="G106" i="3"/>
  <c r="M111" i="3"/>
  <c r="J115" i="3"/>
  <c r="F121" i="3"/>
  <c r="K121" i="3"/>
  <c r="M124" i="3"/>
  <c r="G138" i="3"/>
  <c r="F143" i="3"/>
  <c r="B143" i="3"/>
  <c r="M149" i="3"/>
  <c r="H149" i="3"/>
  <c r="C149" i="3"/>
  <c r="G149" i="3"/>
  <c r="M162" i="3"/>
  <c r="K162" i="3"/>
  <c r="C162" i="3"/>
  <c r="J162" i="3"/>
  <c r="F171" i="3"/>
  <c r="J171" i="3"/>
  <c r="H200" i="3"/>
  <c r="L200" i="3"/>
  <c r="D200" i="3"/>
  <c r="M226" i="3"/>
  <c r="F226" i="3"/>
  <c r="K226" i="3"/>
  <c r="C226" i="3"/>
  <c r="J226" i="3"/>
  <c r="B226" i="3"/>
  <c r="M240" i="3"/>
  <c r="H240" i="3"/>
  <c r="I240" i="3"/>
  <c r="D240" i="3"/>
  <c r="B240" i="3"/>
  <c r="M255" i="3"/>
  <c r="J255" i="3"/>
  <c r="F255" i="3"/>
  <c r="B255" i="3"/>
  <c r="K265" i="3"/>
  <c r="L265" i="3"/>
  <c r="D265" i="3"/>
  <c r="H265" i="3"/>
  <c r="M286" i="3"/>
  <c r="L286" i="3"/>
  <c r="G286" i="3"/>
  <c r="B286" i="3"/>
  <c r="J286" i="3"/>
  <c r="D286" i="3"/>
  <c r="H286" i="3"/>
  <c r="F286" i="3"/>
  <c r="C286" i="3"/>
  <c r="K286" i="3"/>
  <c r="I42" i="3"/>
  <c r="F49" i="3"/>
  <c r="K49" i="3"/>
  <c r="G54" i="3"/>
  <c r="I56" i="3"/>
  <c r="I58" i="3"/>
  <c r="D61" i="3"/>
  <c r="J61" i="3"/>
  <c r="F65" i="3"/>
  <c r="K65" i="3"/>
  <c r="H68" i="3"/>
  <c r="G70" i="3"/>
  <c r="I72" i="3"/>
  <c r="I74" i="3"/>
  <c r="D77" i="3"/>
  <c r="J77" i="3"/>
  <c r="F81" i="3"/>
  <c r="K81" i="3"/>
  <c r="H84" i="3"/>
  <c r="G86" i="3"/>
  <c r="I88" i="3"/>
  <c r="I90" i="3"/>
  <c r="D93" i="3"/>
  <c r="J93" i="3"/>
  <c r="D96" i="3"/>
  <c r="F97" i="3"/>
  <c r="K97" i="3"/>
  <c r="C98" i="3"/>
  <c r="K98" i="3"/>
  <c r="F99" i="3"/>
  <c r="F101" i="3"/>
  <c r="K101" i="3"/>
  <c r="C102" i="3"/>
  <c r="K102" i="3"/>
  <c r="L104" i="3"/>
  <c r="D105" i="3"/>
  <c r="J105" i="3"/>
  <c r="B106" i="3"/>
  <c r="J106" i="3"/>
  <c r="J107" i="3"/>
  <c r="L108" i="3"/>
  <c r="C109" i="3"/>
  <c r="H109" i="3"/>
  <c r="G110" i="3"/>
  <c r="B111" i="3"/>
  <c r="C113" i="3"/>
  <c r="H113" i="3"/>
  <c r="G114" i="3"/>
  <c r="B115" i="3"/>
  <c r="M115" i="3"/>
  <c r="C117" i="3"/>
  <c r="H117" i="3"/>
  <c r="G118" i="3"/>
  <c r="B121" i="3"/>
  <c r="G121" i="3"/>
  <c r="L121" i="3"/>
  <c r="F122" i="3"/>
  <c r="D124" i="3"/>
  <c r="F125" i="3"/>
  <c r="K125" i="3"/>
  <c r="C126" i="3"/>
  <c r="K126" i="3"/>
  <c r="J127" i="3"/>
  <c r="E128" i="3"/>
  <c r="F129" i="3"/>
  <c r="K129" i="3"/>
  <c r="C130" i="3"/>
  <c r="K130" i="3"/>
  <c r="F131" i="3"/>
  <c r="F133" i="3"/>
  <c r="K133" i="3"/>
  <c r="C134" i="3"/>
  <c r="K134" i="3"/>
  <c r="L136" i="3"/>
  <c r="D137" i="3"/>
  <c r="J137" i="3"/>
  <c r="B138" i="3"/>
  <c r="J138" i="3"/>
  <c r="J139" i="3"/>
  <c r="L140" i="3"/>
  <c r="C141" i="3"/>
  <c r="H141" i="3"/>
  <c r="G142" i="3"/>
  <c r="E143" i="3"/>
  <c r="M145" i="3"/>
  <c r="H145" i="3"/>
  <c r="C145" i="3"/>
  <c r="G145" i="3"/>
  <c r="F147" i="3"/>
  <c r="B149" i="3"/>
  <c r="J149" i="3"/>
  <c r="M154" i="3"/>
  <c r="F154" i="3"/>
  <c r="J154" i="3"/>
  <c r="E159" i="3"/>
  <c r="H160" i="3"/>
  <c r="B162" i="3"/>
  <c r="M163" i="3"/>
  <c r="F166" i="3"/>
  <c r="H168" i="3"/>
  <c r="L168" i="3"/>
  <c r="C169" i="3"/>
  <c r="K169" i="3"/>
  <c r="F170" i="3"/>
  <c r="B171" i="3"/>
  <c r="F177" i="3"/>
  <c r="M190" i="3"/>
  <c r="F190" i="3"/>
  <c r="K190" i="3"/>
  <c r="C190" i="3"/>
  <c r="J190" i="3"/>
  <c r="B190" i="3"/>
  <c r="H192" i="3"/>
  <c r="E192" i="3"/>
  <c r="M192" i="3"/>
  <c r="D192" i="3"/>
  <c r="M198" i="3"/>
  <c r="F198" i="3"/>
  <c r="K198" i="3"/>
  <c r="C198" i="3"/>
  <c r="J198" i="3"/>
  <c r="B198" i="3"/>
  <c r="M203" i="3"/>
  <c r="E203" i="3"/>
  <c r="K208" i="3"/>
  <c r="L208" i="3"/>
  <c r="H208" i="3"/>
  <c r="D208" i="3"/>
  <c r="K220" i="3"/>
  <c r="L220" i="3"/>
  <c r="H220" i="3"/>
  <c r="D220" i="3"/>
  <c r="G226" i="3"/>
  <c r="K237" i="3"/>
  <c r="E237" i="3"/>
  <c r="K241" i="3"/>
  <c r="H241" i="3"/>
  <c r="L241" i="3"/>
  <c r="D241" i="3"/>
  <c r="M246" i="3"/>
  <c r="H246" i="3"/>
  <c r="C246" i="3"/>
  <c r="L246" i="3"/>
  <c r="F246" i="3"/>
  <c r="K246" i="3"/>
  <c r="D246" i="3"/>
  <c r="J246" i="3"/>
  <c r="B246" i="3"/>
  <c r="I54" i="3"/>
  <c r="F61" i="3"/>
  <c r="K61" i="3"/>
  <c r="I68" i="3"/>
  <c r="I70" i="3"/>
  <c r="F77" i="3"/>
  <c r="K77" i="3"/>
  <c r="I84" i="3"/>
  <c r="I86" i="3"/>
  <c r="F93" i="3"/>
  <c r="K93" i="3"/>
  <c r="H96" i="3"/>
  <c r="F98" i="3"/>
  <c r="F102" i="3"/>
  <c r="F105" i="3"/>
  <c r="K105" i="3"/>
  <c r="C106" i="3"/>
  <c r="K106" i="3"/>
  <c r="M108" i="3"/>
  <c r="D109" i="3"/>
  <c r="J109" i="3"/>
  <c r="E111" i="3"/>
  <c r="D113" i="3"/>
  <c r="J113" i="3"/>
  <c r="D117" i="3"/>
  <c r="J117" i="3"/>
  <c r="C121" i="3"/>
  <c r="H121" i="3"/>
  <c r="G122" i="3"/>
  <c r="E124" i="3"/>
  <c r="F126" i="3"/>
  <c r="M127" i="3"/>
  <c r="F130" i="3"/>
  <c r="F134" i="3"/>
  <c r="F137" i="3"/>
  <c r="K137" i="3"/>
  <c r="C138" i="3"/>
  <c r="K138" i="3"/>
  <c r="M140" i="3"/>
  <c r="D141" i="3"/>
  <c r="J141" i="3"/>
  <c r="J143" i="3"/>
  <c r="J147" i="3"/>
  <c r="D149" i="3"/>
  <c r="K149" i="3"/>
  <c r="M153" i="3"/>
  <c r="L153" i="3"/>
  <c r="G153" i="3"/>
  <c r="B153" i="3"/>
  <c r="H153" i="3"/>
  <c r="H156" i="3"/>
  <c r="D156" i="3"/>
  <c r="M158" i="3"/>
  <c r="K158" i="3"/>
  <c r="C158" i="3"/>
  <c r="J158" i="3"/>
  <c r="M159" i="3"/>
  <c r="L160" i="3"/>
  <c r="F162" i="3"/>
  <c r="G166" i="3"/>
  <c r="F169" i="3"/>
  <c r="L169" i="3"/>
  <c r="G170" i="3"/>
  <c r="H172" i="3"/>
  <c r="L172" i="3"/>
  <c r="M173" i="3"/>
  <c r="H173" i="3"/>
  <c r="C173" i="3"/>
  <c r="L173" i="3"/>
  <c r="G173" i="3"/>
  <c r="J177" i="3"/>
  <c r="M181" i="3"/>
  <c r="J181" i="3"/>
  <c r="D181" i="3"/>
  <c r="H181" i="3"/>
  <c r="C181" i="3"/>
  <c r="L181" i="3"/>
  <c r="G181" i="3"/>
  <c r="B181" i="3"/>
  <c r="M206" i="3"/>
  <c r="F206" i="3"/>
  <c r="K206" i="3"/>
  <c r="C206" i="3"/>
  <c r="J206" i="3"/>
  <c r="B206" i="3"/>
  <c r="M209" i="3"/>
  <c r="J209" i="3"/>
  <c r="D209" i="3"/>
  <c r="H209" i="3"/>
  <c r="C209" i="3"/>
  <c r="L209" i="3"/>
  <c r="G209" i="3"/>
  <c r="B209" i="3"/>
  <c r="M221" i="3"/>
  <c r="J221" i="3"/>
  <c r="D221" i="3"/>
  <c r="H221" i="3"/>
  <c r="C221" i="3"/>
  <c r="L221" i="3"/>
  <c r="G221" i="3"/>
  <c r="B221" i="3"/>
  <c r="M231" i="3"/>
  <c r="I231" i="3"/>
  <c r="E231" i="3"/>
  <c r="M270" i="3"/>
  <c r="J270" i="3"/>
  <c r="D270" i="3"/>
  <c r="L270" i="3"/>
  <c r="G270" i="3"/>
  <c r="B270" i="3"/>
  <c r="H270" i="3"/>
  <c r="F270" i="3"/>
  <c r="C270" i="3"/>
  <c r="K281" i="3"/>
  <c r="D281" i="3"/>
  <c r="L281" i="3"/>
  <c r="H281" i="3"/>
  <c r="G307" i="4"/>
  <c r="I307" i="4"/>
  <c r="D307" i="4"/>
  <c r="F307" i="4"/>
  <c r="A307" i="4"/>
  <c r="G323" i="4"/>
  <c r="I323" i="4"/>
  <c r="D323" i="4"/>
  <c r="F323" i="4"/>
  <c r="E323" i="4"/>
  <c r="H323" i="4"/>
  <c r="A323" i="4"/>
  <c r="G327" i="4"/>
  <c r="J327" i="4"/>
  <c r="E327" i="4"/>
  <c r="F327" i="4"/>
  <c r="D327" i="4"/>
  <c r="H327" i="4"/>
  <c r="A327" i="4"/>
  <c r="M175" i="3"/>
  <c r="J179" i="3"/>
  <c r="F185" i="3"/>
  <c r="K185" i="3"/>
  <c r="C186" i="3"/>
  <c r="K186" i="3"/>
  <c r="M188" i="3"/>
  <c r="E191" i="3"/>
  <c r="E195" i="3"/>
  <c r="C201" i="3"/>
  <c r="H201" i="3"/>
  <c r="G202" i="3"/>
  <c r="F213" i="3"/>
  <c r="K213" i="3"/>
  <c r="C214" i="3"/>
  <c r="K214" i="3"/>
  <c r="F217" i="3"/>
  <c r="K217" i="3"/>
  <c r="C218" i="3"/>
  <c r="K218" i="3"/>
  <c r="I227" i="3"/>
  <c r="H228" i="3"/>
  <c r="C229" i="3"/>
  <c r="H229" i="3"/>
  <c r="G230" i="3"/>
  <c r="H232" i="3"/>
  <c r="C233" i="3"/>
  <c r="H233" i="3"/>
  <c r="F234" i="3"/>
  <c r="K234" i="3"/>
  <c r="C238" i="3"/>
  <c r="H238" i="3"/>
  <c r="D242" i="3"/>
  <c r="K242" i="3"/>
  <c r="K245" i="3"/>
  <c r="H245" i="3"/>
  <c r="M251" i="3"/>
  <c r="J251" i="3"/>
  <c r="M254" i="3"/>
  <c r="L254" i="3"/>
  <c r="G254" i="3"/>
  <c r="B254" i="3"/>
  <c r="H254" i="3"/>
  <c r="I256" i="3"/>
  <c r="M271" i="3"/>
  <c r="B271" i="3"/>
  <c r="J271" i="3"/>
  <c r="M287" i="3"/>
  <c r="J287" i="3"/>
  <c r="B287" i="3"/>
  <c r="M298" i="3"/>
  <c r="J298" i="3"/>
  <c r="D298" i="3"/>
  <c r="L298" i="3"/>
  <c r="G298" i="3"/>
  <c r="B298" i="3"/>
  <c r="K298" i="3"/>
  <c r="K301" i="3"/>
  <c r="L301" i="3"/>
  <c r="D301" i="3"/>
  <c r="E307" i="4"/>
  <c r="J323" i="4"/>
  <c r="I327" i="4"/>
  <c r="G146" i="3"/>
  <c r="G150" i="3"/>
  <c r="F157" i="3"/>
  <c r="K157" i="3"/>
  <c r="F161" i="3"/>
  <c r="K161" i="3"/>
  <c r="F165" i="3"/>
  <c r="K165" i="3"/>
  <c r="G174" i="3"/>
  <c r="B175" i="3"/>
  <c r="G178" i="3"/>
  <c r="B179" i="3"/>
  <c r="G182" i="3"/>
  <c r="B185" i="3"/>
  <c r="G185" i="3"/>
  <c r="L185" i="3"/>
  <c r="F186" i="3"/>
  <c r="D188" i="3"/>
  <c r="F189" i="3"/>
  <c r="K189" i="3"/>
  <c r="J191" i="3"/>
  <c r="F193" i="3"/>
  <c r="K193" i="3"/>
  <c r="F195" i="3"/>
  <c r="F197" i="3"/>
  <c r="K197" i="3"/>
  <c r="D201" i="3"/>
  <c r="J201" i="3"/>
  <c r="B202" i="3"/>
  <c r="J202" i="3"/>
  <c r="F205" i="3"/>
  <c r="K205" i="3"/>
  <c r="G210" i="3"/>
  <c r="D212" i="3"/>
  <c r="B213" i="3"/>
  <c r="G213" i="3"/>
  <c r="L213" i="3"/>
  <c r="F214" i="3"/>
  <c r="D216" i="3"/>
  <c r="B217" i="3"/>
  <c r="G217" i="3"/>
  <c r="L217" i="3"/>
  <c r="F218" i="3"/>
  <c r="G222" i="3"/>
  <c r="F225" i="3"/>
  <c r="K225" i="3"/>
  <c r="L228" i="3"/>
  <c r="D229" i="3"/>
  <c r="J229" i="3"/>
  <c r="B230" i="3"/>
  <c r="J230" i="3"/>
  <c r="L232" i="3"/>
  <c r="D233" i="3"/>
  <c r="J233" i="3"/>
  <c r="B234" i="3"/>
  <c r="G234" i="3"/>
  <c r="L234" i="3"/>
  <c r="I236" i="3"/>
  <c r="D238" i="3"/>
  <c r="J238" i="3"/>
  <c r="F242" i="3"/>
  <c r="D245" i="3"/>
  <c r="M250" i="3"/>
  <c r="L250" i="3"/>
  <c r="G250" i="3"/>
  <c r="B250" i="3"/>
  <c r="H250" i="3"/>
  <c r="B251" i="3"/>
  <c r="K253" i="3"/>
  <c r="D253" i="3"/>
  <c r="C254" i="3"/>
  <c r="J254" i="3"/>
  <c r="M259" i="3"/>
  <c r="F259" i="3"/>
  <c r="M266" i="3"/>
  <c r="J266" i="3"/>
  <c r="D266" i="3"/>
  <c r="L266" i="3"/>
  <c r="G266" i="3"/>
  <c r="B266" i="3"/>
  <c r="K266" i="3"/>
  <c r="K269" i="3"/>
  <c r="L269" i="3"/>
  <c r="D269" i="3"/>
  <c r="F271" i="3"/>
  <c r="M282" i="3"/>
  <c r="L282" i="3"/>
  <c r="G282" i="3"/>
  <c r="B282" i="3"/>
  <c r="J282" i="3"/>
  <c r="D282" i="3"/>
  <c r="K282" i="3"/>
  <c r="K285" i="3"/>
  <c r="D285" i="3"/>
  <c r="L285" i="3"/>
  <c r="F287" i="3"/>
  <c r="C298" i="3"/>
  <c r="M299" i="3"/>
  <c r="B299" i="3"/>
  <c r="J299" i="3"/>
  <c r="H301" i="3"/>
  <c r="G306" i="4"/>
  <c r="A306" i="4"/>
  <c r="H307" i="4"/>
  <c r="G312" i="4"/>
  <c r="E312" i="4"/>
  <c r="D312" i="4"/>
  <c r="I312" i="4"/>
  <c r="G186" i="3"/>
  <c r="M191" i="3"/>
  <c r="F201" i="3"/>
  <c r="K201" i="3"/>
  <c r="G214" i="3"/>
  <c r="G218" i="3"/>
  <c r="F229" i="3"/>
  <c r="K229" i="3"/>
  <c r="F233" i="3"/>
  <c r="K233" i="3"/>
  <c r="F238" i="3"/>
  <c r="K238" i="3"/>
  <c r="M242" i="3"/>
  <c r="H242" i="3"/>
  <c r="C242" i="3"/>
  <c r="G242" i="3"/>
  <c r="K249" i="3"/>
  <c r="D249" i="3"/>
  <c r="M267" i="3"/>
  <c r="B267" i="3"/>
  <c r="J267" i="3"/>
  <c r="M272" i="3"/>
  <c r="E272" i="3"/>
  <c r="M283" i="3"/>
  <c r="J283" i="3"/>
  <c r="B283" i="3"/>
  <c r="M288" i="3"/>
  <c r="E288" i="3"/>
  <c r="K297" i="3"/>
  <c r="L297" i="3"/>
  <c r="D297" i="3"/>
  <c r="I306" i="4"/>
  <c r="F274" i="3"/>
  <c r="K274" i="3"/>
  <c r="F278" i="3"/>
  <c r="K278" i="3"/>
  <c r="D308" i="4"/>
  <c r="J310" i="4"/>
  <c r="A310" i="4"/>
  <c r="G311" i="4"/>
  <c r="J311" i="4"/>
  <c r="E311" i="4"/>
  <c r="I311" i="4"/>
  <c r="G315" i="4"/>
  <c r="J315" i="4"/>
  <c r="E315" i="4"/>
  <c r="I315" i="4"/>
  <c r="H322" i="4"/>
  <c r="I322" i="4"/>
  <c r="A322" i="4"/>
  <c r="G336" i="4"/>
  <c r="H336" i="4"/>
  <c r="H338" i="4"/>
  <c r="E338" i="4"/>
  <c r="G339" i="4"/>
  <c r="F339" i="4"/>
  <c r="A339" i="4"/>
  <c r="I339" i="4"/>
  <c r="G355" i="4"/>
  <c r="F355" i="4"/>
  <c r="A355" i="4"/>
  <c r="I355" i="4"/>
  <c r="D355" i="4"/>
  <c r="G370" i="4"/>
  <c r="J370" i="4"/>
  <c r="E370" i="4"/>
  <c r="I370" i="4"/>
  <c r="D370" i="4"/>
  <c r="F370" i="4"/>
  <c r="A370" i="4"/>
  <c r="G382" i="4"/>
  <c r="J382" i="4"/>
  <c r="E382" i="4"/>
  <c r="I382" i="4"/>
  <c r="D382" i="4"/>
  <c r="F382" i="4"/>
  <c r="A382" i="4"/>
  <c r="G344" i="4"/>
  <c r="D344" i="4"/>
  <c r="G351" i="4"/>
  <c r="I351" i="4"/>
  <c r="D351" i="4"/>
  <c r="F351" i="4"/>
  <c r="A351" i="4"/>
  <c r="H354" i="4"/>
  <c r="E354" i="4"/>
  <c r="I354" i="4"/>
  <c r="A354" i="4"/>
  <c r="E355" i="4"/>
  <c r="H370" i="4"/>
  <c r="H382" i="4"/>
  <c r="F258" i="3"/>
  <c r="K258" i="3"/>
  <c r="F262" i="3"/>
  <c r="K262" i="3"/>
  <c r="F263" i="3"/>
  <c r="I264" i="3"/>
  <c r="H273" i="3"/>
  <c r="C274" i="3"/>
  <c r="H274" i="3"/>
  <c r="H277" i="3"/>
  <c r="C278" i="3"/>
  <c r="H278" i="3"/>
  <c r="F290" i="3"/>
  <c r="K290" i="3"/>
  <c r="F291" i="3"/>
  <c r="F294" i="3"/>
  <c r="K294" i="3"/>
  <c r="F295" i="3"/>
  <c r="I296" i="3"/>
  <c r="I308" i="4"/>
  <c r="G310" i="4"/>
  <c r="F311" i="4"/>
  <c r="F315" i="4"/>
  <c r="H318" i="4"/>
  <c r="E318" i="4"/>
  <c r="G319" i="4"/>
  <c r="F319" i="4"/>
  <c r="A319" i="4"/>
  <c r="I319" i="4"/>
  <c r="F322" i="4"/>
  <c r="H334" i="4"/>
  <c r="I334" i="4"/>
  <c r="A334" i="4"/>
  <c r="I338" i="4"/>
  <c r="E339" i="4"/>
  <c r="H344" i="4"/>
  <c r="G348" i="4"/>
  <c r="D348" i="4"/>
  <c r="H350" i="4"/>
  <c r="I350" i="4"/>
  <c r="A350" i="4"/>
  <c r="E350" i="4"/>
  <c r="E351" i="4"/>
  <c r="F354" i="4"/>
  <c r="H355" i="4"/>
  <c r="G359" i="4"/>
  <c r="I359" i="4"/>
  <c r="D359" i="4"/>
  <c r="F359" i="4"/>
  <c r="A359" i="4"/>
  <c r="H362" i="4"/>
  <c r="E362" i="4"/>
  <c r="I362" i="4"/>
  <c r="A362" i="4"/>
  <c r="G369" i="4"/>
  <c r="E369" i="4"/>
  <c r="A311" i="4"/>
  <c r="H311" i="4"/>
  <c r="A315" i="4"/>
  <c r="H315" i="4"/>
  <c r="F318" i="4"/>
  <c r="D319" i="4"/>
  <c r="J319" i="4"/>
  <c r="J322" i="4"/>
  <c r="H330" i="4"/>
  <c r="F330" i="4"/>
  <c r="E334" i="4"/>
  <c r="G335" i="4"/>
  <c r="I335" i="4"/>
  <c r="D335" i="4"/>
  <c r="J335" i="4"/>
  <c r="A338" i="4"/>
  <c r="J338" i="4"/>
  <c r="H339" i="4"/>
  <c r="H348" i="4"/>
  <c r="F350" i="4"/>
  <c r="H351" i="4"/>
  <c r="J354" i="4"/>
  <c r="J355" i="4"/>
  <c r="H358" i="4"/>
  <c r="I358" i="4"/>
  <c r="A358" i="4"/>
  <c r="E358" i="4"/>
  <c r="E359" i="4"/>
  <c r="F362" i="4"/>
  <c r="J369" i="4"/>
  <c r="J314" i="4"/>
  <c r="J326" i="4"/>
  <c r="H331" i="4"/>
  <c r="F342" i="4"/>
  <c r="H343" i="4"/>
  <c r="J346" i="4"/>
  <c r="E347" i="4"/>
  <c r="J347" i="4"/>
  <c r="H356" i="4"/>
  <c r="J365" i="4"/>
  <c r="E366" i="4"/>
  <c r="J366" i="4"/>
  <c r="H374" i="4"/>
  <c r="E377" i="4"/>
  <c r="D378" i="4"/>
  <c r="I378" i="4"/>
  <c r="E381" i="4"/>
  <c r="F385" i="4"/>
  <c r="H386" i="4"/>
  <c r="D387" i="4"/>
  <c r="E389" i="4"/>
  <c r="A390" i="4"/>
  <c r="F390" i="4"/>
  <c r="A393" i="4"/>
  <c r="I393" i="4"/>
  <c r="D394" i="4"/>
  <c r="I394" i="4"/>
  <c r="H395" i="4"/>
  <c r="E397" i="4"/>
  <c r="A398" i="4"/>
  <c r="F398" i="4"/>
  <c r="F401" i="4"/>
  <c r="D402" i="4"/>
  <c r="H390" i="4"/>
  <c r="J393" i="4"/>
  <c r="H398" i="4"/>
  <c r="D399" i="4"/>
  <c r="A401" i="4"/>
  <c r="I401" i="4"/>
  <c r="E402" i="4"/>
  <c r="D403" i="4"/>
  <c r="J342" i="4"/>
  <c r="H347" i="4"/>
  <c r="H366" i="4"/>
  <c r="A378" i="4"/>
  <c r="F378" i="4"/>
  <c r="A381" i="4"/>
  <c r="I381" i="4"/>
  <c r="J385" i="4"/>
  <c r="A389" i="4"/>
  <c r="I389" i="4"/>
  <c r="D390" i="4"/>
  <c r="I390" i="4"/>
  <c r="E393" i="4"/>
  <c r="A394" i="4"/>
  <c r="F394" i="4"/>
  <c r="A397" i="4"/>
  <c r="I397" i="4"/>
  <c r="D398" i="4"/>
  <c r="I398" i="4"/>
  <c r="J401" i="4"/>
  <c r="H402" i="4"/>
  <c r="H403" i="4"/>
  <c r="H378" i="4"/>
  <c r="J381" i="4"/>
  <c r="J389" i="4"/>
  <c r="E390" i="4"/>
  <c r="J390" i="4"/>
  <c r="F393" i="4"/>
  <c r="H394" i="4"/>
  <c r="J397" i="4"/>
  <c r="E398" i="4"/>
  <c r="J398" i="4"/>
  <c r="I402" i="4"/>
  <c r="I8" i="3"/>
  <c r="I12" i="3"/>
  <c r="M12" i="3"/>
  <c r="E16" i="3"/>
  <c r="M16" i="3"/>
  <c r="I20" i="3"/>
  <c r="M20" i="3"/>
  <c r="I24" i="3"/>
  <c r="I28" i="3"/>
  <c r="E32" i="3"/>
  <c r="I32" i="3"/>
  <c r="F35" i="3"/>
  <c r="L35" i="3"/>
  <c r="K39" i="3"/>
  <c r="G39" i="3"/>
  <c r="C39" i="3"/>
  <c r="K43" i="3"/>
  <c r="G43" i="3"/>
  <c r="C43" i="3"/>
  <c r="L43" i="3"/>
  <c r="F47" i="3"/>
  <c r="F51" i="3"/>
  <c r="F55" i="3"/>
  <c r="K59" i="3"/>
  <c r="G59" i="3"/>
  <c r="C59" i="3"/>
  <c r="K63" i="3"/>
  <c r="G63" i="3"/>
  <c r="C63" i="3"/>
  <c r="L63" i="3"/>
  <c r="K67" i="3"/>
  <c r="G67" i="3"/>
  <c r="C67" i="3"/>
  <c r="L67" i="3"/>
  <c r="F71" i="3"/>
  <c r="K75" i="3"/>
  <c r="G75" i="3"/>
  <c r="C75" i="3"/>
  <c r="K79" i="3"/>
  <c r="G79" i="3"/>
  <c r="C79" i="3"/>
  <c r="F79" i="3"/>
  <c r="L79" i="3"/>
  <c r="K83" i="3"/>
  <c r="G83" i="3"/>
  <c r="C83" i="3"/>
  <c r="L83" i="3"/>
  <c r="K87" i="3"/>
  <c r="G87" i="3"/>
  <c r="C87" i="3"/>
  <c r="L87" i="3"/>
  <c r="K91" i="3"/>
  <c r="G91" i="3"/>
  <c r="C91" i="3"/>
  <c r="L91" i="3"/>
  <c r="K95" i="3"/>
  <c r="G95" i="3"/>
  <c r="C95" i="3"/>
  <c r="F95" i="3"/>
  <c r="L95" i="3"/>
  <c r="I100" i="3"/>
  <c r="L103" i="3"/>
  <c r="H103" i="3"/>
  <c r="D103" i="3"/>
  <c r="K103" i="3"/>
  <c r="G103" i="3"/>
  <c r="C103" i="3"/>
  <c r="I103" i="3"/>
  <c r="I119" i="3"/>
  <c r="K132" i="3"/>
  <c r="G132" i="3"/>
  <c r="C132" i="3"/>
  <c r="J132" i="3"/>
  <c r="F132" i="3"/>
  <c r="B132" i="3"/>
  <c r="I135" i="3"/>
  <c r="K148" i="3"/>
  <c r="G148" i="3"/>
  <c r="C148" i="3"/>
  <c r="J148" i="3"/>
  <c r="F148" i="3"/>
  <c r="B148" i="3"/>
  <c r="L151" i="3"/>
  <c r="H151" i="3"/>
  <c r="D151" i="3"/>
  <c r="K151" i="3"/>
  <c r="G151" i="3"/>
  <c r="C151" i="3"/>
  <c r="K164" i="3"/>
  <c r="G164" i="3"/>
  <c r="C164" i="3"/>
  <c r="J164" i="3"/>
  <c r="F164" i="3"/>
  <c r="B164" i="3"/>
  <c r="L167" i="3"/>
  <c r="H167" i="3"/>
  <c r="D167" i="3"/>
  <c r="K167" i="3"/>
  <c r="G167" i="3"/>
  <c r="C167" i="3"/>
  <c r="K180" i="3"/>
  <c r="G180" i="3"/>
  <c r="C180" i="3"/>
  <c r="J180" i="3"/>
  <c r="F180" i="3"/>
  <c r="B180" i="3"/>
  <c r="L183" i="3"/>
  <c r="H183" i="3"/>
  <c r="D183" i="3"/>
  <c r="K183" i="3"/>
  <c r="G183" i="3"/>
  <c r="C183" i="3"/>
  <c r="K196" i="3"/>
  <c r="G196" i="3"/>
  <c r="C196" i="3"/>
  <c r="J196" i="3"/>
  <c r="F196" i="3"/>
  <c r="B196" i="3"/>
  <c r="I196" i="3"/>
  <c r="L199" i="3"/>
  <c r="H199" i="3"/>
  <c r="D199" i="3"/>
  <c r="K199" i="3"/>
  <c r="G199" i="3"/>
  <c r="C199" i="3"/>
  <c r="I199" i="3"/>
  <c r="L207" i="3"/>
  <c r="H207" i="3"/>
  <c r="D207" i="3"/>
  <c r="K207" i="3"/>
  <c r="G207" i="3"/>
  <c r="C207" i="3"/>
  <c r="J207" i="3"/>
  <c r="F207" i="3"/>
  <c r="B207" i="3"/>
  <c r="L223" i="3"/>
  <c r="H223" i="3"/>
  <c r="D223" i="3"/>
  <c r="K223" i="3"/>
  <c r="G223" i="3"/>
  <c r="C223" i="3"/>
  <c r="J223" i="3"/>
  <c r="F223" i="3"/>
  <c r="B223" i="3"/>
  <c r="D2" i="3"/>
  <c r="H2" i="3"/>
  <c r="C3" i="3"/>
  <c r="G3" i="3"/>
  <c r="K3" i="3"/>
  <c r="M3" i="3" s="1"/>
  <c r="B4" i="3"/>
  <c r="I4" i="3" s="1"/>
  <c r="F4" i="3"/>
  <c r="E5" i="3"/>
  <c r="I5" i="3"/>
  <c r="J5" i="3" s="1"/>
  <c r="D6" i="3"/>
  <c r="H6" i="3"/>
  <c r="L6" i="3"/>
  <c r="C7" i="3"/>
  <c r="G7" i="3"/>
  <c r="K7" i="3"/>
  <c r="B8" i="3"/>
  <c r="F8" i="3"/>
  <c r="J8" i="3"/>
  <c r="E9" i="3"/>
  <c r="I9" i="3"/>
  <c r="D10" i="3"/>
  <c r="H10" i="3"/>
  <c r="L10" i="3"/>
  <c r="C11" i="3"/>
  <c r="G11" i="3"/>
  <c r="K11" i="3"/>
  <c r="B12" i="3"/>
  <c r="F12" i="3"/>
  <c r="J12" i="3"/>
  <c r="E13" i="3"/>
  <c r="I13" i="3"/>
  <c r="D14" i="3"/>
  <c r="H14" i="3"/>
  <c r="L14" i="3"/>
  <c r="C15" i="3"/>
  <c r="G15" i="3"/>
  <c r="K15" i="3"/>
  <c r="B16" i="3"/>
  <c r="F16" i="3"/>
  <c r="J16" i="3"/>
  <c r="E17" i="3"/>
  <c r="I17" i="3"/>
  <c r="D18" i="3"/>
  <c r="H18" i="3"/>
  <c r="L18" i="3"/>
  <c r="C19" i="3"/>
  <c r="G19" i="3"/>
  <c r="K19" i="3"/>
  <c r="B20" i="3"/>
  <c r="F20" i="3"/>
  <c r="J20" i="3"/>
  <c r="E21" i="3"/>
  <c r="I21" i="3"/>
  <c r="D22" i="3"/>
  <c r="H22" i="3"/>
  <c r="L22" i="3"/>
  <c r="C23" i="3"/>
  <c r="G23" i="3"/>
  <c r="K23" i="3"/>
  <c r="B24" i="3"/>
  <c r="F24" i="3"/>
  <c r="J24" i="3"/>
  <c r="E25" i="3"/>
  <c r="I25" i="3"/>
  <c r="D26" i="3"/>
  <c r="H26" i="3"/>
  <c r="L26" i="3"/>
  <c r="C27" i="3"/>
  <c r="G27" i="3"/>
  <c r="K27" i="3"/>
  <c r="B28" i="3"/>
  <c r="F28" i="3"/>
  <c r="J28" i="3"/>
  <c r="E29" i="3"/>
  <c r="I29" i="3"/>
  <c r="D30" i="3"/>
  <c r="H30" i="3"/>
  <c r="L30" i="3"/>
  <c r="C31" i="3"/>
  <c r="G31" i="3"/>
  <c r="K31" i="3"/>
  <c r="B32" i="3"/>
  <c r="F32" i="3"/>
  <c r="K32" i="3"/>
  <c r="E34" i="3"/>
  <c r="B35" i="3"/>
  <c r="H35" i="3"/>
  <c r="E36" i="3"/>
  <c r="E38" i="3"/>
  <c r="B39" i="3"/>
  <c r="H39" i="3"/>
  <c r="M39" i="3"/>
  <c r="E40" i="3"/>
  <c r="E42" i="3"/>
  <c r="B43" i="3"/>
  <c r="H43" i="3"/>
  <c r="M43" i="3"/>
  <c r="E44" i="3"/>
  <c r="E46" i="3"/>
  <c r="B47" i="3"/>
  <c r="H47" i="3"/>
  <c r="E48" i="3"/>
  <c r="E50" i="3"/>
  <c r="B51" i="3"/>
  <c r="H51" i="3"/>
  <c r="E52" i="3"/>
  <c r="E54" i="3"/>
  <c r="B55" i="3"/>
  <c r="H55" i="3"/>
  <c r="E56" i="3"/>
  <c r="E58" i="3"/>
  <c r="B59" i="3"/>
  <c r="H59" i="3"/>
  <c r="M59" i="3"/>
  <c r="E60" i="3"/>
  <c r="E62" i="3"/>
  <c r="B63" i="3"/>
  <c r="H63" i="3"/>
  <c r="M63" i="3"/>
  <c r="E64" i="3"/>
  <c r="E66" i="3"/>
  <c r="B67" i="3"/>
  <c r="H67" i="3"/>
  <c r="M67" i="3"/>
  <c r="E68" i="3"/>
  <c r="E70" i="3"/>
  <c r="B71" i="3"/>
  <c r="H71" i="3"/>
  <c r="E72" i="3"/>
  <c r="E74" i="3"/>
  <c r="B75" i="3"/>
  <c r="H75" i="3"/>
  <c r="M75" i="3"/>
  <c r="E76" i="3"/>
  <c r="E78" i="3"/>
  <c r="B79" i="3"/>
  <c r="H79" i="3"/>
  <c r="M79" i="3"/>
  <c r="E80" i="3"/>
  <c r="E82" i="3"/>
  <c r="B83" i="3"/>
  <c r="H83" i="3"/>
  <c r="M83" i="3"/>
  <c r="E84" i="3"/>
  <c r="E86" i="3"/>
  <c r="B87" i="3"/>
  <c r="H87" i="3"/>
  <c r="M87" i="3"/>
  <c r="E88" i="3"/>
  <c r="E90" i="3"/>
  <c r="B91" i="3"/>
  <c r="H91" i="3"/>
  <c r="M91" i="3"/>
  <c r="E92" i="3"/>
  <c r="E94" i="3"/>
  <c r="B95" i="3"/>
  <c r="H95" i="3"/>
  <c r="M95" i="3"/>
  <c r="E96" i="3"/>
  <c r="L99" i="3"/>
  <c r="H99" i="3"/>
  <c r="D99" i="3"/>
  <c r="K99" i="3"/>
  <c r="G99" i="3"/>
  <c r="C99" i="3"/>
  <c r="I99" i="3"/>
  <c r="D100" i="3"/>
  <c r="B103" i="3"/>
  <c r="J103" i="3"/>
  <c r="E104" i="3"/>
  <c r="M104" i="3"/>
  <c r="E107" i="3"/>
  <c r="M107" i="3"/>
  <c r="K112" i="3"/>
  <c r="G112" i="3"/>
  <c r="C112" i="3"/>
  <c r="J112" i="3"/>
  <c r="F112" i="3"/>
  <c r="B112" i="3"/>
  <c r="I112" i="3"/>
  <c r="L115" i="3"/>
  <c r="H115" i="3"/>
  <c r="D115" i="3"/>
  <c r="K115" i="3"/>
  <c r="G115" i="3"/>
  <c r="C115" i="3"/>
  <c r="I115" i="3"/>
  <c r="D116" i="3"/>
  <c r="B119" i="3"/>
  <c r="E120" i="3"/>
  <c r="M120" i="3"/>
  <c r="E123" i="3"/>
  <c r="M123" i="3"/>
  <c r="K128" i="3"/>
  <c r="G128" i="3"/>
  <c r="C128" i="3"/>
  <c r="J128" i="3"/>
  <c r="F128" i="3"/>
  <c r="B128" i="3"/>
  <c r="I128" i="3"/>
  <c r="L131" i="3"/>
  <c r="H131" i="3"/>
  <c r="D131" i="3"/>
  <c r="K131" i="3"/>
  <c r="G131" i="3"/>
  <c r="C131" i="3"/>
  <c r="I131" i="3"/>
  <c r="D132" i="3"/>
  <c r="L132" i="3"/>
  <c r="B135" i="3"/>
  <c r="E136" i="3"/>
  <c r="M136" i="3"/>
  <c r="E139" i="3"/>
  <c r="M139" i="3"/>
  <c r="K144" i="3"/>
  <c r="G144" i="3"/>
  <c r="C144" i="3"/>
  <c r="J144" i="3"/>
  <c r="F144" i="3"/>
  <c r="B144" i="3"/>
  <c r="I144" i="3"/>
  <c r="L147" i="3"/>
  <c r="H147" i="3"/>
  <c r="D147" i="3"/>
  <c r="K147" i="3"/>
  <c r="G147" i="3"/>
  <c r="C147" i="3"/>
  <c r="I147" i="3"/>
  <c r="D148" i="3"/>
  <c r="L148" i="3"/>
  <c r="B151" i="3"/>
  <c r="J151" i="3"/>
  <c r="E152" i="3"/>
  <c r="M152" i="3"/>
  <c r="E155" i="3"/>
  <c r="M155" i="3"/>
  <c r="K160" i="3"/>
  <c r="G160" i="3"/>
  <c r="C160" i="3"/>
  <c r="J160" i="3"/>
  <c r="F160" i="3"/>
  <c r="B160" i="3"/>
  <c r="I160" i="3"/>
  <c r="L163" i="3"/>
  <c r="H163" i="3"/>
  <c r="D163" i="3"/>
  <c r="K163" i="3"/>
  <c r="G163" i="3"/>
  <c r="C163" i="3"/>
  <c r="I163" i="3"/>
  <c r="D164" i="3"/>
  <c r="L164" i="3"/>
  <c r="B167" i="3"/>
  <c r="J167" i="3"/>
  <c r="E168" i="3"/>
  <c r="M168" i="3"/>
  <c r="E171" i="3"/>
  <c r="M171" i="3"/>
  <c r="K176" i="3"/>
  <c r="G176" i="3"/>
  <c r="C176" i="3"/>
  <c r="J176" i="3"/>
  <c r="F176" i="3"/>
  <c r="B176" i="3"/>
  <c r="I176" i="3"/>
  <c r="L179" i="3"/>
  <c r="H179" i="3"/>
  <c r="D179" i="3"/>
  <c r="K179" i="3"/>
  <c r="G179" i="3"/>
  <c r="C179" i="3"/>
  <c r="I179" i="3"/>
  <c r="D180" i="3"/>
  <c r="L180" i="3"/>
  <c r="B183" i="3"/>
  <c r="J183" i="3"/>
  <c r="E184" i="3"/>
  <c r="M184" i="3"/>
  <c r="E187" i="3"/>
  <c r="M187" i="3"/>
  <c r="K192" i="3"/>
  <c r="G192" i="3"/>
  <c r="C192" i="3"/>
  <c r="J192" i="3"/>
  <c r="F192" i="3"/>
  <c r="B192" i="3"/>
  <c r="I192" i="3"/>
  <c r="L195" i="3"/>
  <c r="H195" i="3"/>
  <c r="D195" i="3"/>
  <c r="K195" i="3"/>
  <c r="G195" i="3"/>
  <c r="C195" i="3"/>
  <c r="I195" i="3"/>
  <c r="D196" i="3"/>
  <c r="L196" i="3"/>
  <c r="B199" i="3"/>
  <c r="J199" i="3"/>
  <c r="E200" i="3"/>
  <c r="M200" i="3"/>
  <c r="I203" i="3"/>
  <c r="E207" i="3"/>
  <c r="L211" i="3"/>
  <c r="H211" i="3"/>
  <c r="D211" i="3"/>
  <c r="K211" i="3"/>
  <c r="G211" i="3"/>
  <c r="C211" i="3"/>
  <c r="J211" i="3"/>
  <c r="F211" i="3"/>
  <c r="B211" i="3"/>
  <c r="I219" i="3"/>
  <c r="E223" i="3"/>
  <c r="L227" i="3"/>
  <c r="H227" i="3"/>
  <c r="D227" i="3"/>
  <c r="K227" i="3"/>
  <c r="G227" i="3"/>
  <c r="C227" i="3"/>
  <c r="J227" i="3"/>
  <c r="F227" i="3"/>
  <c r="B227" i="3"/>
  <c r="E8" i="3"/>
  <c r="M8" i="3"/>
  <c r="E12" i="3"/>
  <c r="I16" i="3"/>
  <c r="E20" i="3"/>
  <c r="E24" i="3"/>
  <c r="M24" i="3"/>
  <c r="E28" i="3"/>
  <c r="M28" i="3"/>
  <c r="K35" i="3"/>
  <c r="G35" i="3"/>
  <c r="C35" i="3"/>
  <c r="F39" i="3"/>
  <c r="L39" i="3"/>
  <c r="F43" i="3"/>
  <c r="K47" i="3"/>
  <c r="G47" i="3"/>
  <c r="C47" i="3"/>
  <c r="L47" i="3"/>
  <c r="K51" i="3"/>
  <c r="G51" i="3"/>
  <c r="C51" i="3"/>
  <c r="L51" i="3"/>
  <c r="K55" i="3"/>
  <c r="G55" i="3"/>
  <c r="C55" i="3"/>
  <c r="L55" i="3"/>
  <c r="F59" i="3"/>
  <c r="L59" i="3"/>
  <c r="F63" i="3"/>
  <c r="F67" i="3"/>
  <c r="K71" i="3"/>
  <c r="G71" i="3"/>
  <c r="C71" i="3"/>
  <c r="L71" i="3"/>
  <c r="F75" i="3"/>
  <c r="L75" i="3"/>
  <c r="F83" i="3"/>
  <c r="F87" i="3"/>
  <c r="F91" i="3"/>
  <c r="K100" i="3"/>
  <c r="G100" i="3"/>
  <c r="C100" i="3"/>
  <c r="J100" i="3"/>
  <c r="F100" i="3"/>
  <c r="B100" i="3"/>
  <c r="K116" i="3"/>
  <c r="G116" i="3"/>
  <c r="C116" i="3"/>
  <c r="J116" i="3"/>
  <c r="F116" i="3"/>
  <c r="B116" i="3"/>
  <c r="I116" i="3"/>
  <c r="L119" i="3"/>
  <c r="H119" i="3"/>
  <c r="D119" i="3"/>
  <c r="K119" i="3"/>
  <c r="G119" i="3"/>
  <c r="C119" i="3"/>
  <c r="I132" i="3"/>
  <c r="L135" i="3"/>
  <c r="H135" i="3"/>
  <c r="D135" i="3"/>
  <c r="K135" i="3"/>
  <c r="G135" i="3"/>
  <c r="C135" i="3"/>
  <c r="I148" i="3"/>
  <c r="I151" i="3"/>
  <c r="I164" i="3"/>
  <c r="I167" i="3"/>
  <c r="I180" i="3"/>
  <c r="I183" i="3"/>
  <c r="E2" i="3"/>
  <c r="I2" i="3"/>
  <c r="D3" i="3"/>
  <c r="H3" i="3"/>
  <c r="C4" i="3"/>
  <c r="G4" i="3"/>
  <c r="K4" i="3" s="1"/>
  <c r="E6" i="3"/>
  <c r="I6" i="3"/>
  <c r="D7" i="3"/>
  <c r="H7" i="3"/>
  <c r="L7" i="3"/>
  <c r="C8" i="3"/>
  <c r="G8" i="3"/>
  <c r="K8" i="3"/>
  <c r="E10" i="3"/>
  <c r="I10" i="3"/>
  <c r="D11" i="3"/>
  <c r="H11" i="3"/>
  <c r="L11" i="3"/>
  <c r="C12" i="3"/>
  <c r="G12" i="3"/>
  <c r="K12" i="3"/>
  <c r="E14" i="3"/>
  <c r="I14" i="3"/>
  <c r="D15" i="3"/>
  <c r="H15" i="3"/>
  <c r="L15" i="3"/>
  <c r="C16" i="3"/>
  <c r="G16" i="3"/>
  <c r="K16" i="3"/>
  <c r="E18" i="3"/>
  <c r="I18" i="3"/>
  <c r="D19" i="3"/>
  <c r="H19" i="3"/>
  <c r="L19" i="3"/>
  <c r="C20" i="3"/>
  <c r="G20" i="3"/>
  <c r="K20" i="3"/>
  <c r="E22" i="3"/>
  <c r="I22" i="3"/>
  <c r="D23" i="3"/>
  <c r="H23" i="3"/>
  <c r="L23" i="3"/>
  <c r="C24" i="3"/>
  <c r="G24" i="3"/>
  <c r="K24" i="3"/>
  <c r="E26" i="3"/>
  <c r="I26" i="3"/>
  <c r="D27" i="3"/>
  <c r="H27" i="3"/>
  <c r="L27" i="3"/>
  <c r="C28" i="3"/>
  <c r="G28" i="3"/>
  <c r="K28" i="3"/>
  <c r="E30" i="3"/>
  <c r="I30" i="3"/>
  <c r="D31" i="3"/>
  <c r="H31" i="3"/>
  <c r="L31" i="3"/>
  <c r="C32" i="3"/>
  <c r="G32" i="3"/>
  <c r="L32" i="3"/>
  <c r="L34" i="3"/>
  <c r="H34" i="3"/>
  <c r="D34" i="3"/>
  <c r="F34" i="3"/>
  <c r="K34" i="3"/>
  <c r="D35" i="3"/>
  <c r="I35" i="3"/>
  <c r="J36" i="3"/>
  <c r="F36" i="3"/>
  <c r="B36" i="3"/>
  <c r="G36" i="3"/>
  <c r="L36" i="3"/>
  <c r="L38" i="3"/>
  <c r="H38" i="3"/>
  <c r="D38" i="3"/>
  <c r="F38" i="3"/>
  <c r="K38" i="3"/>
  <c r="D39" i="3"/>
  <c r="I39" i="3"/>
  <c r="J40" i="3"/>
  <c r="F40" i="3"/>
  <c r="B40" i="3"/>
  <c r="G40" i="3"/>
  <c r="L40" i="3"/>
  <c r="L42" i="3"/>
  <c r="H42" i="3"/>
  <c r="D42" i="3"/>
  <c r="F42" i="3"/>
  <c r="K42" i="3"/>
  <c r="D43" i="3"/>
  <c r="I43" i="3"/>
  <c r="J44" i="3"/>
  <c r="F44" i="3"/>
  <c r="B44" i="3"/>
  <c r="G44" i="3"/>
  <c r="L44" i="3"/>
  <c r="L46" i="3"/>
  <c r="H46" i="3"/>
  <c r="D46" i="3"/>
  <c r="F46" i="3"/>
  <c r="K46" i="3"/>
  <c r="D47" i="3"/>
  <c r="I47" i="3"/>
  <c r="J48" i="3"/>
  <c r="F48" i="3"/>
  <c r="B48" i="3"/>
  <c r="G48" i="3"/>
  <c r="L48" i="3"/>
  <c r="L50" i="3"/>
  <c r="H50" i="3"/>
  <c r="D50" i="3"/>
  <c r="F50" i="3"/>
  <c r="K50" i="3"/>
  <c r="D51" i="3"/>
  <c r="I51" i="3"/>
  <c r="J52" i="3"/>
  <c r="F52" i="3"/>
  <c r="B52" i="3"/>
  <c r="G52" i="3"/>
  <c r="L52" i="3"/>
  <c r="L54" i="3"/>
  <c r="H54" i="3"/>
  <c r="D54" i="3"/>
  <c r="F54" i="3"/>
  <c r="K54" i="3"/>
  <c r="D55" i="3"/>
  <c r="I55" i="3"/>
  <c r="J56" i="3"/>
  <c r="F56" i="3"/>
  <c r="B56" i="3"/>
  <c r="G56" i="3"/>
  <c r="L56" i="3"/>
  <c r="L58" i="3"/>
  <c r="H58" i="3"/>
  <c r="D58" i="3"/>
  <c r="F58" i="3"/>
  <c r="K58" i="3"/>
  <c r="D59" i="3"/>
  <c r="I59" i="3"/>
  <c r="J60" i="3"/>
  <c r="F60" i="3"/>
  <c r="B60" i="3"/>
  <c r="G60" i="3"/>
  <c r="L60" i="3"/>
  <c r="L62" i="3"/>
  <c r="H62" i="3"/>
  <c r="D62" i="3"/>
  <c r="F62" i="3"/>
  <c r="K62" i="3"/>
  <c r="D63" i="3"/>
  <c r="I63" i="3"/>
  <c r="J64" i="3"/>
  <c r="F64" i="3"/>
  <c r="B64" i="3"/>
  <c r="G64" i="3"/>
  <c r="L64" i="3"/>
  <c r="L66" i="3"/>
  <c r="H66" i="3"/>
  <c r="D66" i="3"/>
  <c r="F66" i="3"/>
  <c r="K66" i="3"/>
  <c r="D67" i="3"/>
  <c r="I67" i="3"/>
  <c r="J68" i="3"/>
  <c r="F68" i="3"/>
  <c r="B68" i="3"/>
  <c r="G68" i="3"/>
  <c r="L68" i="3"/>
  <c r="L70" i="3"/>
  <c r="H70" i="3"/>
  <c r="D70" i="3"/>
  <c r="F70" i="3"/>
  <c r="K70" i="3"/>
  <c r="D71" i="3"/>
  <c r="I71" i="3"/>
  <c r="J72" i="3"/>
  <c r="F72" i="3"/>
  <c r="B72" i="3"/>
  <c r="G72" i="3"/>
  <c r="L72" i="3"/>
  <c r="L74" i="3"/>
  <c r="H74" i="3"/>
  <c r="D74" i="3"/>
  <c r="F74" i="3"/>
  <c r="K74" i="3"/>
  <c r="D75" i="3"/>
  <c r="I75" i="3"/>
  <c r="J76" i="3"/>
  <c r="F76" i="3"/>
  <c r="B76" i="3"/>
  <c r="G76" i="3"/>
  <c r="L76" i="3"/>
  <c r="L78" i="3"/>
  <c r="H78" i="3"/>
  <c r="D78" i="3"/>
  <c r="F78" i="3"/>
  <c r="K78" i="3"/>
  <c r="D79" i="3"/>
  <c r="I79" i="3"/>
  <c r="J80" i="3"/>
  <c r="F80" i="3"/>
  <c r="B80" i="3"/>
  <c r="G80" i="3"/>
  <c r="L80" i="3"/>
  <c r="L82" i="3"/>
  <c r="H82" i="3"/>
  <c r="D82" i="3"/>
  <c r="F82" i="3"/>
  <c r="K82" i="3"/>
  <c r="D83" i="3"/>
  <c r="I83" i="3"/>
  <c r="J84" i="3"/>
  <c r="F84" i="3"/>
  <c r="B84" i="3"/>
  <c r="G84" i="3"/>
  <c r="L84" i="3"/>
  <c r="L86" i="3"/>
  <c r="H86" i="3"/>
  <c r="D86" i="3"/>
  <c r="F86" i="3"/>
  <c r="K86" i="3"/>
  <c r="D87" i="3"/>
  <c r="I87" i="3"/>
  <c r="J88" i="3"/>
  <c r="F88" i="3"/>
  <c r="B88" i="3"/>
  <c r="G88" i="3"/>
  <c r="L88" i="3"/>
  <c r="L90" i="3"/>
  <c r="H90" i="3"/>
  <c r="D90" i="3"/>
  <c r="F90" i="3"/>
  <c r="K90" i="3"/>
  <c r="D91" i="3"/>
  <c r="I91" i="3"/>
  <c r="J92" i="3"/>
  <c r="F92" i="3"/>
  <c r="B92" i="3"/>
  <c r="G92" i="3"/>
  <c r="L92" i="3"/>
  <c r="L94" i="3"/>
  <c r="H94" i="3"/>
  <c r="D94" i="3"/>
  <c r="F94" i="3"/>
  <c r="K94" i="3"/>
  <c r="D95" i="3"/>
  <c r="I95" i="3"/>
  <c r="J96" i="3"/>
  <c r="F96" i="3"/>
  <c r="B96" i="3"/>
  <c r="G96" i="3"/>
  <c r="L96" i="3"/>
  <c r="E100" i="3"/>
  <c r="M100" i="3"/>
  <c r="E103" i="3"/>
  <c r="M103" i="3"/>
  <c r="K108" i="3"/>
  <c r="G108" i="3"/>
  <c r="C108" i="3"/>
  <c r="J108" i="3"/>
  <c r="F108" i="3"/>
  <c r="B108" i="3"/>
  <c r="I108" i="3"/>
  <c r="L111" i="3"/>
  <c r="H111" i="3"/>
  <c r="D111" i="3"/>
  <c r="K111" i="3"/>
  <c r="G111" i="3"/>
  <c r="C111" i="3"/>
  <c r="I111" i="3"/>
  <c r="E116" i="3"/>
  <c r="M116" i="3"/>
  <c r="E119" i="3"/>
  <c r="M119" i="3"/>
  <c r="K124" i="3"/>
  <c r="G124" i="3"/>
  <c r="C124" i="3"/>
  <c r="J124" i="3"/>
  <c r="F124" i="3"/>
  <c r="B124" i="3"/>
  <c r="I124" i="3"/>
  <c r="L127" i="3"/>
  <c r="H127" i="3"/>
  <c r="D127" i="3"/>
  <c r="K127" i="3"/>
  <c r="G127" i="3"/>
  <c r="C127" i="3"/>
  <c r="I127" i="3"/>
  <c r="E132" i="3"/>
  <c r="M132" i="3"/>
  <c r="E135" i="3"/>
  <c r="M135" i="3"/>
  <c r="K140" i="3"/>
  <c r="G140" i="3"/>
  <c r="C140" i="3"/>
  <c r="J140" i="3"/>
  <c r="F140" i="3"/>
  <c r="B140" i="3"/>
  <c r="I140" i="3"/>
  <c r="L143" i="3"/>
  <c r="H143" i="3"/>
  <c r="D143" i="3"/>
  <c r="K143" i="3"/>
  <c r="G143" i="3"/>
  <c r="C143" i="3"/>
  <c r="I143" i="3"/>
  <c r="E148" i="3"/>
  <c r="M148" i="3"/>
  <c r="E151" i="3"/>
  <c r="M151" i="3"/>
  <c r="K156" i="3"/>
  <c r="G156" i="3"/>
  <c r="C156" i="3"/>
  <c r="J156" i="3"/>
  <c r="F156" i="3"/>
  <c r="B156" i="3"/>
  <c r="I156" i="3"/>
  <c r="L159" i="3"/>
  <c r="H159" i="3"/>
  <c r="D159" i="3"/>
  <c r="K159" i="3"/>
  <c r="G159" i="3"/>
  <c r="C159" i="3"/>
  <c r="I159" i="3"/>
  <c r="E164" i="3"/>
  <c r="M164" i="3"/>
  <c r="E167" i="3"/>
  <c r="M167" i="3"/>
  <c r="K172" i="3"/>
  <c r="G172" i="3"/>
  <c r="C172" i="3"/>
  <c r="J172" i="3"/>
  <c r="F172" i="3"/>
  <c r="B172" i="3"/>
  <c r="I172" i="3"/>
  <c r="L175" i="3"/>
  <c r="H175" i="3"/>
  <c r="D175" i="3"/>
  <c r="K175" i="3"/>
  <c r="G175" i="3"/>
  <c r="C175" i="3"/>
  <c r="I175" i="3"/>
  <c r="E180" i="3"/>
  <c r="M180" i="3"/>
  <c r="E183" i="3"/>
  <c r="M183" i="3"/>
  <c r="K188" i="3"/>
  <c r="G188" i="3"/>
  <c r="C188" i="3"/>
  <c r="J188" i="3"/>
  <c r="F188" i="3"/>
  <c r="B188" i="3"/>
  <c r="I188" i="3"/>
  <c r="L191" i="3"/>
  <c r="H191" i="3"/>
  <c r="D191" i="3"/>
  <c r="K191" i="3"/>
  <c r="G191" i="3"/>
  <c r="C191" i="3"/>
  <c r="I191" i="3"/>
  <c r="E196" i="3"/>
  <c r="M196" i="3"/>
  <c r="E199" i="3"/>
  <c r="M199" i="3"/>
  <c r="I207" i="3"/>
  <c r="L215" i="3"/>
  <c r="H215" i="3"/>
  <c r="D215" i="3"/>
  <c r="K215" i="3"/>
  <c r="G215" i="3"/>
  <c r="C215" i="3"/>
  <c r="J215" i="3"/>
  <c r="F215" i="3"/>
  <c r="B215" i="3"/>
  <c r="I223" i="3"/>
  <c r="L231" i="3"/>
  <c r="H231" i="3"/>
  <c r="D231" i="3"/>
  <c r="K231" i="3"/>
  <c r="G231" i="3"/>
  <c r="C231" i="3"/>
  <c r="J231" i="3"/>
  <c r="F231" i="3"/>
  <c r="B231" i="3"/>
  <c r="E4" i="3"/>
  <c r="E3" i="3"/>
  <c r="I3" i="3"/>
  <c r="D4" i="3"/>
  <c r="H4" i="3"/>
  <c r="E7" i="3"/>
  <c r="I7" i="3"/>
  <c r="D8" i="3"/>
  <c r="H8" i="3"/>
  <c r="E11" i="3"/>
  <c r="I11" i="3"/>
  <c r="D12" i="3"/>
  <c r="H12" i="3"/>
  <c r="E15" i="3"/>
  <c r="I15" i="3"/>
  <c r="D16" i="3"/>
  <c r="H16" i="3"/>
  <c r="E19" i="3"/>
  <c r="I19" i="3"/>
  <c r="D20" i="3"/>
  <c r="H20" i="3"/>
  <c r="E23" i="3"/>
  <c r="I23" i="3"/>
  <c r="D24" i="3"/>
  <c r="H24" i="3"/>
  <c r="E27" i="3"/>
  <c r="I27" i="3"/>
  <c r="D28" i="3"/>
  <c r="H28" i="3"/>
  <c r="E31" i="3"/>
  <c r="I31" i="3"/>
  <c r="D32" i="3"/>
  <c r="H32" i="3"/>
  <c r="M32" i="3"/>
  <c r="E35" i="3"/>
  <c r="J35" i="3"/>
  <c r="E39" i="3"/>
  <c r="J39" i="3"/>
  <c r="E43" i="3"/>
  <c r="J43" i="3"/>
  <c r="E47" i="3"/>
  <c r="J47" i="3"/>
  <c r="E51" i="3"/>
  <c r="J51" i="3"/>
  <c r="E55" i="3"/>
  <c r="J55" i="3"/>
  <c r="E59" i="3"/>
  <c r="J59" i="3"/>
  <c r="E63" i="3"/>
  <c r="J63" i="3"/>
  <c r="E67" i="3"/>
  <c r="J67" i="3"/>
  <c r="E71" i="3"/>
  <c r="J71" i="3"/>
  <c r="E75" i="3"/>
  <c r="J75" i="3"/>
  <c r="E79" i="3"/>
  <c r="J79" i="3"/>
  <c r="E83" i="3"/>
  <c r="J83" i="3"/>
  <c r="E87" i="3"/>
  <c r="J87" i="3"/>
  <c r="E91" i="3"/>
  <c r="J91" i="3"/>
  <c r="E95" i="3"/>
  <c r="J95" i="3"/>
  <c r="H100" i="3"/>
  <c r="F103" i="3"/>
  <c r="K104" i="3"/>
  <c r="G104" i="3"/>
  <c r="C104" i="3"/>
  <c r="J104" i="3"/>
  <c r="F104" i="3"/>
  <c r="B104" i="3"/>
  <c r="I104" i="3"/>
  <c r="L107" i="3"/>
  <c r="H107" i="3"/>
  <c r="D107" i="3"/>
  <c r="K107" i="3"/>
  <c r="G107" i="3"/>
  <c r="C107" i="3"/>
  <c r="I107" i="3"/>
  <c r="H116" i="3"/>
  <c r="F119" i="3"/>
  <c r="K120" i="3"/>
  <c r="G120" i="3"/>
  <c r="C120" i="3"/>
  <c r="J120" i="3"/>
  <c r="F120" i="3"/>
  <c r="B120" i="3"/>
  <c r="I120" i="3"/>
  <c r="L123" i="3"/>
  <c r="H123" i="3"/>
  <c r="D123" i="3"/>
  <c r="K123" i="3"/>
  <c r="G123" i="3"/>
  <c r="C123" i="3"/>
  <c r="I123" i="3"/>
  <c r="H132" i="3"/>
  <c r="F135" i="3"/>
  <c r="K136" i="3"/>
  <c r="G136" i="3"/>
  <c r="C136" i="3"/>
  <c r="J136" i="3"/>
  <c r="F136" i="3"/>
  <c r="B136" i="3"/>
  <c r="I136" i="3"/>
  <c r="L139" i="3"/>
  <c r="H139" i="3"/>
  <c r="D139" i="3"/>
  <c r="K139" i="3"/>
  <c r="G139" i="3"/>
  <c r="C139" i="3"/>
  <c r="I139" i="3"/>
  <c r="H148" i="3"/>
  <c r="F151" i="3"/>
  <c r="K152" i="3"/>
  <c r="G152" i="3"/>
  <c r="C152" i="3"/>
  <c r="J152" i="3"/>
  <c r="F152" i="3"/>
  <c r="B152" i="3"/>
  <c r="I152" i="3"/>
  <c r="L155" i="3"/>
  <c r="H155" i="3"/>
  <c r="D155" i="3"/>
  <c r="K155" i="3"/>
  <c r="G155" i="3"/>
  <c r="C155" i="3"/>
  <c r="I155" i="3"/>
  <c r="H164" i="3"/>
  <c r="F167" i="3"/>
  <c r="K168" i="3"/>
  <c r="G168" i="3"/>
  <c r="C168" i="3"/>
  <c r="J168" i="3"/>
  <c r="F168" i="3"/>
  <c r="B168" i="3"/>
  <c r="I168" i="3"/>
  <c r="L171" i="3"/>
  <c r="H171" i="3"/>
  <c r="D171" i="3"/>
  <c r="K171" i="3"/>
  <c r="G171" i="3"/>
  <c r="C171" i="3"/>
  <c r="I171" i="3"/>
  <c r="H180" i="3"/>
  <c r="F183" i="3"/>
  <c r="K184" i="3"/>
  <c r="G184" i="3"/>
  <c r="C184" i="3"/>
  <c r="J184" i="3"/>
  <c r="F184" i="3"/>
  <c r="B184" i="3"/>
  <c r="I184" i="3"/>
  <c r="L187" i="3"/>
  <c r="H187" i="3"/>
  <c r="D187" i="3"/>
  <c r="K187" i="3"/>
  <c r="G187" i="3"/>
  <c r="C187" i="3"/>
  <c r="I187" i="3"/>
  <c r="H196" i="3"/>
  <c r="F199" i="3"/>
  <c r="K200" i="3"/>
  <c r="G200" i="3"/>
  <c r="C200" i="3"/>
  <c r="J200" i="3"/>
  <c r="F200" i="3"/>
  <c r="B200" i="3"/>
  <c r="I200" i="3"/>
  <c r="L203" i="3"/>
  <c r="H203" i="3"/>
  <c r="D203" i="3"/>
  <c r="K203" i="3"/>
  <c r="G203" i="3"/>
  <c r="C203" i="3"/>
  <c r="J203" i="3"/>
  <c r="F203" i="3"/>
  <c r="B203" i="3"/>
  <c r="M207" i="3"/>
  <c r="L219" i="3"/>
  <c r="H219" i="3"/>
  <c r="D219" i="3"/>
  <c r="K219" i="3"/>
  <c r="G219" i="3"/>
  <c r="C219" i="3"/>
  <c r="J219" i="3"/>
  <c r="F219" i="3"/>
  <c r="B219" i="3"/>
  <c r="M223" i="3"/>
  <c r="E204" i="3"/>
  <c r="I204" i="3"/>
  <c r="M204" i="3"/>
  <c r="E208" i="3"/>
  <c r="I208" i="3"/>
  <c r="M208" i="3"/>
  <c r="E212" i="3"/>
  <c r="I212" i="3"/>
  <c r="M212" i="3"/>
  <c r="E216" i="3"/>
  <c r="I216" i="3"/>
  <c r="M216" i="3"/>
  <c r="E220" i="3"/>
  <c r="I220" i="3"/>
  <c r="M220" i="3"/>
  <c r="E224" i="3"/>
  <c r="I224" i="3"/>
  <c r="M224" i="3"/>
  <c r="E228" i="3"/>
  <c r="I228" i="3"/>
  <c r="M228" i="3"/>
  <c r="E232" i="3"/>
  <c r="I232" i="3"/>
  <c r="M232" i="3"/>
  <c r="L235" i="3"/>
  <c r="H235" i="3"/>
  <c r="D235" i="3"/>
  <c r="F235" i="3"/>
  <c r="K235" i="3"/>
  <c r="J237" i="3"/>
  <c r="F237" i="3"/>
  <c r="B237" i="3"/>
  <c r="G237" i="3"/>
  <c r="L237" i="3"/>
  <c r="L239" i="3"/>
  <c r="H239" i="3"/>
  <c r="D239" i="3"/>
  <c r="F239" i="3"/>
  <c r="K239" i="3"/>
  <c r="L244" i="3"/>
  <c r="H244" i="3"/>
  <c r="D244" i="3"/>
  <c r="K244" i="3"/>
  <c r="G244" i="3"/>
  <c r="C244" i="3"/>
  <c r="J244" i="3"/>
  <c r="F244" i="3"/>
  <c r="B244" i="3"/>
  <c r="L252" i="3"/>
  <c r="H252" i="3"/>
  <c r="D252" i="3"/>
  <c r="K252" i="3"/>
  <c r="G252" i="3"/>
  <c r="C252" i="3"/>
  <c r="J252" i="3"/>
  <c r="F252" i="3"/>
  <c r="B252" i="3"/>
  <c r="L260" i="3"/>
  <c r="H260" i="3"/>
  <c r="D260" i="3"/>
  <c r="K260" i="3"/>
  <c r="G260" i="3"/>
  <c r="C260" i="3"/>
  <c r="J260" i="3"/>
  <c r="F260" i="3"/>
  <c r="B260" i="3"/>
  <c r="L268" i="3"/>
  <c r="H268" i="3"/>
  <c r="D268" i="3"/>
  <c r="K268" i="3"/>
  <c r="G268" i="3"/>
  <c r="C268" i="3"/>
  <c r="J268" i="3"/>
  <c r="F268" i="3"/>
  <c r="B268" i="3"/>
  <c r="L276" i="3"/>
  <c r="H276" i="3"/>
  <c r="D276" i="3"/>
  <c r="K276" i="3"/>
  <c r="G276" i="3"/>
  <c r="C276" i="3"/>
  <c r="J276" i="3"/>
  <c r="F276" i="3"/>
  <c r="B276" i="3"/>
  <c r="L284" i="3"/>
  <c r="H284" i="3"/>
  <c r="D284" i="3"/>
  <c r="K284" i="3"/>
  <c r="G284" i="3"/>
  <c r="C284" i="3"/>
  <c r="J284" i="3"/>
  <c r="F284" i="3"/>
  <c r="B284" i="3"/>
  <c r="L292" i="3"/>
  <c r="H292" i="3"/>
  <c r="D292" i="3"/>
  <c r="K292" i="3"/>
  <c r="G292" i="3"/>
  <c r="C292" i="3"/>
  <c r="J292" i="3"/>
  <c r="F292" i="3"/>
  <c r="B292" i="3"/>
  <c r="L300" i="3"/>
  <c r="H300" i="3"/>
  <c r="D300" i="3"/>
  <c r="K300" i="3"/>
  <c r="G300" i="3"/>
  <c r="C300" i="3"/>
  <c r="J300" i="3"/>
  <c r="F300" i="3"/>
  <c r="B300" i="3"/>
  <c r="E33" i="3"/>
  <c r="I33" i="3"/>
  <c r="E37" i="3"/>
  <c r="I37" i="3"/>
  <c r="E41" i="3"/>
  <c r="I41" i="3"/>
  <c r="E45" i="3"/>
  <c r="I45" i="3"/>
  <c r="E49" i="3"/>
  <c r="I49" i="3"/>
  <c r="E53" i="3"/>
  <c r="I53" i="3"/>
  <c r="E57" i="3"/>
  <c r="I57" i="3"/>
  <c r="E61" i="3"/>
  <c r="I61" i="3"/>
  <c r="E65" i="3"/>
  <c r="I65" i="3"/>
  <c r="E69" i="3"/>
  <c r="I69" i="3"/>
  <c r="E73" i="3"/>
  <c r="I73" i="3"/>
  <c r="E77" i="3"/>
  <c r="I77" i="3"/>
  <c r="E81" i="3"/>
  <c r="I81" i="3"/>
  <c r="E85" i="3"/>
  <c r="I85" i="3"/>
  <c r="E89" i="3"/>
  <c r="I89" i="3"/>
  <c r="E93" i="3"/>
  <c r="I93" i="3"/>
  <c r="E97" i="3"/>
  <c r="I97" i="3"/>
  <c r="D98" i="3"/>
  <c r="H98" i="3"/>
  <c r="L98" i="3"/>
  <c r="E101" i="3"/>
  <c r="I101" i="3"/>
  <c r="D102" i="3"/>
  <c r="H102" i="3"/>
  <c r="L102" i="3"/>
  <c r="E105" i="3"/>
  <c r="I105" i="3"/>
  <c r="D106" i="3"/>
  <c r="H106" i="3"/>
  <c r="L106" i="3"/>
  <c r="E109" i="3"/>
  <c r="I109" i="3"/>
  <c r="D110" i="3"/>
  <c r="H110" i="3"/>
  <c r="L110" i="3"/>
  <c r="E113" i="3"/>
  <c r="I113" i="3"/>
  <c r="D114" i="3"/>
  <c r="H114" i="3"/>
  <c r="L114" i="3"/>
  <c r="E117" i="3"/>
  <c r="I117" i="3"/>
  <c r="D118" i="3"/>
  <c r="H118" i="3"/>
  <c r="L118" i="3"/>
  <c r="E121" i="3"/>
  <c r="I121" i="3"/>
  <c r="D122" i="3"/>
  <c r="H122" i="3"/>
  <c r="L122" i="3"/>
  <c r="E125" i="3"/>
  <c r="I125" i="3"/>
  <c r="D126" i="3"/>
  <c r="H126" i="3"/>
  <c r="L126" i="3"/>
  <c r="E129" i="3"/>
  <c r="I129" i="3"/>
  <c r="D130" i="3"/>
  <c r="H130" i="3"/>
  <c r="L130" i="3"/>
  <c r="E133" i="3"/>
  <c r="I133" i="3"/>
  <c r="D134" i="3"/>
  <c r="H134" i="3"/>
  <c r="L134" i="3"/>
  <c r="E137" i="3"/>
  <c r="I137" i="3"/>
  <c r="D138" i="3"/>
  <c r="H138" i="3"/>
  <c r="L138" i="3"/>
  <c r="E141" i="3"/>
  <c r="I141" i="3"/>
  <c r="D142" i="3"/>
  <c r="H142" i="3"/>
  <c r="L142" i="3"/>
  <c r="E145" i="3"/>
  <c r="I145" i="3"/>
  <c r="D146" i="3"/>
  <c r="H146" i="3"/>
  <c r="L146" i="3"/>
  <c r="E149" i="3"/>
  <c r="I149" i="3"/>
  <c r="D150" i="3"/>
  <c r="H150" i="3"/>
  <c r="L150" i="3"/>
  <c r="E153" i="3"/>
  <c r="I153" i="3"/>
  <c r="D154" i="3"/>
  <c r="H154" i="3"/>
  <c r="L154" i="3"/>
  <c r="E157" i="3"/>
  <c r="I157" i="3"/>
  <c r="D158" i="3"/>
  <c r="H158" i="3"/>
  <c r="L158" i="3"/>
  <c r="E161" i="3"/>
  <c r="I161" i="3"/>
  <c r="D162" i="3"/>
  <c r="H162" i="3"/>
  <c r="L162" i="3"/>
  <c r="E165" i="3"/>
  <c r="I165" i="3"/>
  <c r="D166" i="3"/>
  <c r="H166" i="3"/>
  <c r="L166" i="3"/>
  <c r="E169" i="3"/>
  <c r="I169" i="3"/>
  <c r="D170" i="3"/>
  <c r="H170" i="3"/>
  <c r="L170" i="3"/>
  <c r="E173" i="3"/>
  <c r="I173" i="3"/>
  <c r="D174" i="3"/>
  <c r="H174" i="3"/>
  <c r="L174" i="3"/>
  <c r="E177" i="3"/>
  <c r="I177" i="3"/>
  <c r="D178" i="3"/>
  <c r="H178" i="3"/>
  <c r="L178" i="3"/>
  <c r="E181" i="3"/>
  <c r="I181" i="3"/>
  <c r="D182" i="3"/>
  <c r="H182" i="3"/>
  <c r="L182" i="3"/>
  <c r="E185" i="3"/>
  <c r="I185" i="3"/>
  <c r="D186" i="3"/>
  <c r="H186" i="3"/>
  <c r="L186" i="3"/>
  <c r="E189" i="3"/>
  <c r="I189" i="3"/>
  <c r="D190" i="3"/>
  <c r="H190" i="3"/>
  <c r="L190" i="3"/>
  <c r="E193" i="3"/>
  <c r="I193" i="3"/>
  <c r="D194" i="3"/>
  <c r="H194" i="3"/>
  <c r="L194" i="3"/>
  <c r="E197" i="3"/>
  <c r="I197" i="3"/>
  <c r="D198" i="3"/>
  <c r="H198" i="3"/>
  <c r="L198" i="3"/>
  <c r="E201" i="3"/>
  <c r="I201" i="3"/>
  <c r="D202" i="3"/>
  <c r="H202" i="3"/>
  <c r="L202" i="3"/>
  <c r="B204" i="3"/>
  <c r="F204" i="3"/>
  <c r="J204" i="3"/>
  <c r="E205" i="3"/>
  <c r="I205" i="3"/>
  <c r="D206" i="3"/>
  <c r="H206" i="3"/>
  <c r="L206" i="3"/>
  <c r="B208" i="3"/>
  <c r="F208" i="3"/>
  <c r="J208" i="3"/>
  <c r="E209" i="3"/>
  <c r="I209" i="3"/>
  <c r="D210" i="3"/>
  <c r="H210" i="3"/>
  <c r="L210" i="3"/>
  <c r="B212" i="3"/>
  <c r="F212" i="3"/>
  <c r="J212" i="3"/>
  <c r="E213" i="3"/>
  <c r="I213" i="3"/>
  <c r="D214" i="3"/>
  <c r="H214" i="3"/>
  <c r="L214" i="3"/>
  <c r="B216" i="3"/>
  <c r="F216" i="3"/>
  <c r="J216" i="3"/>
  <c r="E217" i="3"/>
  <c r="I217" i="3"/>
  <c r="D218" i="3"/>
  <c r="H218" i="3"/>
  <c r="L218" i="3"/>
  <c r="B220" i="3"/>
  <c r="F220" i="3"/>
  <c r="J220" i="3"/>
  <c r="E221" i="3"/>
  <c r="I221" i="3"/>
  <c r="D222" i="3"/>
  <c r="H222" i="3"/>
  <c r="L222" i="3"/>
  <c r="B224" i="3"/>
  <c r="F224" i="3"/>
  <c r="J224" i="3"/>
  <c r="E225" i="3"/>
  <c r="I225" i="3"/>
  <c r="D226" i="3"/>
  <c r="H226" i="3"/>
  <c r="L226" i="3"/>
  <c r="B228" i="3"/>
  <c r="F228" i="3"/>
  <c r="J228" i="3"/>
  <c r="E229" i="3"/>
  <c r="I229" i="3"/>
  <c r="D230" i="3"/>
  <c r="H230" i="3"/>
  <c r="L230" i="3"/>
  <c r="B232" i="3"/>
  <c r="F232" i="3"/>
  <c r="J232" i="3"/>
  <c r="E233" i="3"/>
  <c r="I233" i="3"/>
  <c r="B235" i="3"/>
  <c r="G235" i="3"/>
  <c r="M235" i="3"/>
  <c r="E236" i="3"/>
  <c r="C237" i="3"/>
  <c r="H237" i="3"/>
  <c r="M237" i="3"/>
  <c r="B239" i="3"/>
  <c r="G239" i="3"/>
  <c r="M239" i="3"/>
  <c r="E240" i="3"/>
  <c r="E244" i="3"/>
  <c r="E252" i="3"/>
  <c r="E260" i="3"/>
  <c r="E268" i="3"/>
  <c r="E276" i="3"/>
  <c r="E284" i="3"/>
  <c r="E292" i="3"/>
  <c r="E300" i="3"/>
  <c r="E98" i="3"/>
  <c r="I98" i="3"/>
  <c r="E102" i="3"/>
  <c r="I102" i="3"/>
  <c r="E106" i="3"/>
  <c r="I106" i="3"/>
  <c r="E110" i="3"/>
  <c r="I110" i="3"/>
  <c r="E114" i="3"/>
  <c r="I114" i="3"/>
  <c r="E118" i="3"/>
  <c r="I118" i="3"/>
  <c r="E122" i="3"/>
  <c r="I122" i="3"/>
  <c r="E126" i="3"/>
  <c r="I126" i="3"/>
  <c r="E130" i="3"/>
  <c r="I130" i="3"/>
  <c r="E134" i="3"/>
  <c r="I134" i="3"/>
  <c r="E138" i="3"/>
  <c r="I138" i="3"/>
  <c r="E142" i="3"/>
  <c r="I142" i="3"/>
  <c r="E146" i="3"/>
  <c r="I146" i="3"/>
  <c r="E150" i="3"/>
  <c r="I150" i="3"/>
  <c r="E154" i="3"/>
  <c r="I154" i="3"/>
  <c r="E158" i="3"/>
  <c r="I158" i="3"/>
  <c r="E162" i="3"/>
  <c r="I162" i="3"/>
  <c r="E166" i="3"/>
  <c r="I166" i="3"/>
  <c r="E170" i="3"/>
  <c r="I170" i="3"/>
  <c r="E174" i="3"/>
  <c r="I174" i="3"/>
  <c r="E178" i="3"/>
  <c r="I178" i="3"/>
  <c r="E182" i="3"/>
  <c r="I182" i="3"/>
  <c r="E186" i="3"/>
  <c r="I186" i="3"/>
  <c r="E190" i="3"/>
  <c r="I190" i="3"/>
  <c r="E194" i="3"/>
  <c r="I194" i="3"/>
  <c r="E198" i="3"/>
  <c r="I198" i="3"/>
  <c r="E202" i="3"/>
  <c r="I202" i="3"/>
  <c r="C204" i="3"/>
  <c r="G204" i="3"/>
  <c r="E206" i="3"/>
  <c r="I206" i="3"/>
  <c r="C208" i="3"/>
  <c r="G208" i="3"/>
  <c r="E210" i="3"/>
  <c r="I210" i="3"/>
  <c r="C212" i="3"/>
  <c r="G212" i="3"/>
  <c r="E214" i="3"/>
  <c r="I214" i="3"/>
  <c r="C216" i="3"/>
  <c r="G216" i="3"/>
  <c r="E218" i="3"/>
  <c r="I218" i="3"/>
  <c r="C220" i="3"/>
  <c r="G220" i="3"/>
  <c r="E222" i="3"/>
  <c r="I222" i="3"/>
  <c r="C224" i="3"/>
  <c r="G224" i="3"/>
  <c r="E226" i="3"/>
  <c r="I226" i="3"/>
  <c r="C228" i="3"/>
  <c r="G228" i="3"/>
  <c r="E230" i="3"/>
  <c r="I230" i="3"/>
  <c r="C232" i="3"/>
  <c r="G232" i="3"/>
  <c r="C235" i="3"/>
  <c r="I235" i="3"/>
  <c r="K236" i="3"/>
  <c r="G236" i="3"/>
  <c r="C236" i="3"/>
  <c r="F236" i="3"/>
  <c r="L236" i="3"/>
  <c r="D237" i="3"/>
  <c r="I237" i="3"/>
  <c r="C239" i="3"/>
  <c r="I239" i="3"/>
  <c r="L240" i="3"/>
  <c r="K240" i="3"/>
  <c r="G240" i="3"/>
  <c r="C240" i="3"/>
  <c r="J240" i="3"/>
  <c r="F240" i="3"/>
  <c r="I244" i="3"/>
  <c r="L248" i="3"/>
  <c r="H248" i="3"/>
  <c r="D248" i="3"/>
  <c r="K248" i="3"/>
  <c r="G248" i="3"/>
  <c r="C248" i="3"/>
  <c r="J248" i="3"/>
  <c r="F248" i="3"/>
  <c r="B248" i="3"/>
  <c r="I252" i="3"/>
  <c r="L256" i="3"/>
  <c r="H256" i="3"/>
  <c r="D256" i="3"/>
  <c r="K256" i="3"/>
  <c r="G256" i="3"/>
  <c r="C256" i="3"/>
  <c r="J256" i="3"/>
  <c r="F256" i="3"/>
  <c r="B256" i="3"/>
  <c r="I260" i="3"/>
  <c r="L264" i="3"/>
  <c r="H264" i="3"/>
  <c r="D264" i="3"/>
  <c r="K264" i="3"/>
  <c r="G264" i="3"/>
  <c r="C264" i="3"/>
  <c r="J264" i="3"/>
  <c r="F264" i="3"/>
  <c r="B264" i="3"/>
  <c r="I268" i="3"/>
  <c r="L272" i="3"/>
  <c r="H272" i="3"/>
  <c r="D272" i="3"/>
  <c r="K272" i="3"/>
  <c r="G272" i="3"/>
  <c r="C272" i="3"/>
  <c r="J272" i="3"/>
  <c r="F272" i="3"/>
  <c r="B272" i="3"/>
  <c r="I276" i="3"/>
  <c r="L280" i="3"/>
  <c r="H280" i="3"/>
  <c r="D280" i="3"/>
  <c r="K280" i="3"/>
  <c r="G280" i="3"/>
  <c r="C280" i="3"/>
  <c r="J280" i="3"/>
  <c r="F280" i="3"/>
  <c r="B280" i="3"/>
  <c r="I284" i="3"/>
  <c r="L288" i="3"/>
  <c r="H288" i="3"/>
  <c r="D288" i="3"/>
  <c r="K288" i="3"/>
  <c r="G288" i="3"/>
  <c r="C288" i="3"/>
  <c r="J288" i="3"/>
  <c r="F288" i="3"/>
  <c r="B288" i="3"/>
  <c r="I292" i="3"/>
  <c r="L296" i="3"/>
  <c r="H296" i="3"/>
  <c r="D296" i="3"/>
  <c r="K296" i="3"/>
  <c r="G296" i="3"/>
  <c r="C296" i="3"/>
  <c r="J296" i="3"/>
  <c r="F296" i="3"/>
  <c r="B296" i="3"/>
  <c r="I300" i="3"/>
  <c r="E241" i="3"/>
  <c r="I241" i="3"/>
  <c r="M241" i="3"/>
  <c r="C243" i="3"/>
  <c r="G243" i="3"/>
  <c r="K243" i="3"/>
  <c r="E245" i="3"/>
  <c r="I245" i="3"/>
  <c r="M245" i="3"/>
  <c r="C247" i="3"/>
  <c r="G247" i="3"/>
  <c r="K247" i="3"/>
  <c r="E249" i="3"/>
  <c r="I249" i="3"/>
  <c r="M249" i="3"/>
  <c r="C251" i="3"/>
  <c r="G251" i="3"/>
  <c r="K251" i="3"/>
  <c r="E253" i="3"/>
  <c r="I253" i="3"/>
  <c r="M253" i="3"/>
  <c r="C255" i="3"/>
  <c r="G255" i="3"/>
  <c r="K255" i="3"/>
  <c r="E257" i="3"/>
  <c r="I257" i="3"/>
  <c r="M257" i="3"/>
  <c r="C259" i="3"/>
  <c r="G259" i="3"/>
  <c r="K259" i="3"/>
  <c r="E261" i="3"/>
  <c r="I261" i="3"/>
  <c r="M261" i="3"/>
  <c r="C263" i="3"/>
  <c r="G263" i="3"/>
  <c r="K263" i="3"/>
  <c r="E265" i="3"/>
  <c r="I265" i="3"/>
  <c r="M265" i="3"/>
  <c r="C267" i="3"/>
  <c r="G267" i="3"/>
  <c r="K267" i="3"/>
  <c r="E269" i="3"/>
  <c r="I269" i="3"/>
  <c r="M269" i="3"/>
  <c r="C271" i="3"/>
  <c r="G271" i="3"/>
  <c r="K271" i="3"/>
  <c r="E273" i="3"/>
  <c r="I273" i="3"/>
  <c r="M273" i="3"/>
  <c r="C275" i="3"/>
  <c r="G275" i="3"/>
  <c r="K275" i="3"/>
  <c r="E277" i="3"/>
  <c r="I277" i="3"/>
  <c r="M277" i="3"/>
  <c r="C279" i="3"/>
  <c r="G279" i="3"/>
  <c r="K279" i="3"/>
  <c r="E281" i="3"/>
  <c r="I281" i="3"/>
  <c r="M281" i="3"/>
  <c r="C283" i="3"/>
  <c r="G283" i="3"/>
  <c r="K283" i="3"/>
  <c r="E285" i="3"/>
  <c r="I285" i="3"/>
  <c r="M285" i="3"/>
  <c r="C287" i="3"/>
  <c r="G287" i="3"/>
  <c r="K287" i="3"/>
  <c r="E289" i="3"/>
  <c r="I289" i="3"/>
  <c r="M289" i="3"/>
  <c r="C291" i="3"/>
  <c r="G291" i="3"/>
  <c r="K291" i="3"/>
  <c r="E293" i="3"/>
  <c r="I293" i="3"/>
  <c r="M293" i="3"/>
  <c r="C295" i="3"/>
  <c r="G295" i="3"/>
  <c r="K295" i="3"/>
  <c r="E297" i="3"/>
  <c r="I297" i="3"/>
  <c r="M297" i="3"/>
  <c r="C299" i="3"/>
  <c r="G299" i="3"/>
  <c r="K299" i="3"/>
  <c r="E301" i="3"/>
  <c r="I301" i="3"/>
  <c r="M301" i="3"/>
  <c r="D2" i="4"/>
  <c r="H2" i="4"/>
  <c r="B3" i="4"/>
  <c r="E234" i="3"/>
  <c r="I234" i="3"/>
  <c r="E238" i="3"/>
  <c r="I238" i="3"/>
  <c r="B241" i="3"/>
  <c r="F241" i="3"/>
  <c r="J241" i="3"/>
  <c r="E242" i="3"/>
  <c r="I242" i="3"/>
  <c r="D243" i="3"/>
  <c r="H243" i="3"/>
  <c r="L243" i="3"/>
  <c r="B245" i="3"/>
  <c r="F245" i="3"/>
  <c r="J245" i="3"/>
  <c r="E246" i="3"/>
  <c r="I246" i="3"/>
  <c r="D247" i="3"/>
  <c r="H247" i="3"/>
  <c r="L247" i="3"/>
  <c r="B249" i="3"/>
  <c r="F249" i="3"/>
  <c r="J249" i="3"/>
  <c r="E250" i="3"/>
  <c r="I250" i="3"/>
  <c r="D251" i="3"/>
  <c r="H251" i="3"/>
  <c r="L251" i="3"/>
  <c r="B253" i="3"/>
  <c r="F253" i="3"/>
  <c r="J253" i="3"/>
  <c r="E254" i="3"/>
  <c r="I254" i="3"/>
  <c r="D255" i="3"/>
  <c r="H255" i="3"/>
  <c r="L255" i="3"/>
  <c r="B257" i="3"/>
  <c r="F257" i="3"/>
  <c r="J257" i="3"/>
  <c r="E258" i="3"/>
  <c r="I258" i="3"/>
  <c r="D259" i="3"/>
  <c r="H259" i="3"/>
  <c r="L259" i="3"/>
  <c r="B261" i="3"/>
  <c r="F261" i="3"/>
  <c r="J261" i="3"/>
  <c r="E262" i="3"/>
  <c r="I262" i="3"/>
  <c r="D263" i="3"/>
  <c r="H263" i="3"/>
  <c r="L263" i="3"/>
  <c r="B265" i="3"/>
  <c r="F265" i="3"/>
  <c r="J265" i="3"/>
  <c r="E266" i="3"/>
  <c r="I266" i="3"/>
  <c r="D267" i="3"/>
  <c r="H267" i="3"/>
  <c r="L267" i="3"/>
  <c r="B269" i="3"/>
  <c r="F269" i="3"/>
  <c r="J269" i="3"/>
  <c r="E270" i="3"/>
  <c r="I270" i="3"/>
  <c r="D271" i="3"/>
  <c r="H271" i="3"/>
  <c r="L271" i="3"/>
  <c r="B273" i="3"/>
  <c r="F273" i="3"/>
  <c r="J273" i="3"/>
  <c r="E274" i="3"/>
  <c r="I274" i="3"/>
  <c r="D275" i="3"/>
  <c r="H275" i="3"/>
  <c r="L275" i="3"/>
  <c r="B277" i="3"/>
  <c r="F277" i="3"/>
  <c r="J277" i="3"/>
  <c r="E278" i="3"/>
  <c r="I278" i="3"/>
  <c r="D279" i="3"/>
  <c r="H279" i="3"/>
  <c r="L279" i="3"/>
  <c r="B281" i="3"/>
  <c r="F281" i="3"/>
  <c r="J281" i="3"/>
  <c r="E282" i="3"/>
  <c r="I282" i="3"/>
  <c r="D283" i="3"/>
  <c r="H283" i="3"/>
  <c r="L283" i="3"/>
  <c r="B285" i="3"/>
  <c r="F285" i="3"/>
  <c r="J285" i="3"/>
  <c r="E286" i="3"/>
  <c r="I286" i="3"/>
  <c r="D287" i="3"/>
  <c r="H287" i="3"/>
  <c r="L287" i="3"/>
  <c r="B289" i="3"/>
  <c r="F289" i="3"/>
  <c r="J289" i="3"/>
  <c r="E290" i="3"/>
  <c r="I290" i="3"/>
  <c r="D291" i="3"/>
  <c r="H291" i="3"/>
  <c r="L291" i="3"/>
  <c r="B293" i="3"/>
  <c r="F293" i="3"/>
  <c r="J293" i="3"/>
  <c r="E294" i="3"/>
  <c r="I294" i="3"/>
  <c r="D295" i="3"/>
  <c r="H295" i="3"/>
  <c r="L295" i="3"/>
  <c r="B297" i="3"/>
  <c r="F297" i="3"/>
  <c r="J297" i="3"/>
  <c r="E298" i="3"/>
  <c r="I298" i="3"/>
  <c r="D299" i="3"/>
  <c r="H299" i="3"/>
  <c r="L299" i="3"/>
  <c r="B301" i="3"/>
  <c r="F301" i="3"/>
  <c r="J301" i="3"/>
  <c r="A2" i="4"/>
  <c r="E2" i="4"/>
  <c r="I2" i="4"/>
  <c r="C241" i="3"/>
  <c r="G241" i="3"/>
  <c r="E243" i="3"/>
  <c r="I243" i="3"/>
  <c r="C245" i="3"/>
  <c r="G245" i="3"/>
  <c r="E247" i="3"/>
  <c r="I247" i="3"/>
  <c r="C249" i="3"/>
  <c r="G249" i="3"/>
  <c r="E251" i="3"/>
  <c r="I251" i="3"/>
  <c r="C253" i="3"/>
  <c r="G253" i="3"/>
  <c r="E255" i="3"/>
  <c r="I255" i="3"/>
  <c r="C257" i="3"/>
  <c r="G257" i="3"/>
  <c r="E259" i="3"/>
  <c r="I259" i="3"/>
  <c r="C261" i="3"/>
  <c r="G261" i="3"/>
  <c r="E263" i="3"/>
  <c r="I263" i="3"/>
  <c r="C265" i="3"/>
  <c r="G265" i="3"/>
  <c r="E267" i="3"/>
  <c r="I267" i="3"/>
  <c r="C269" i="3"/>
  <c r="G269" i="3"/>
  <c r="E271" i="3"/>
  <c r="I271" i="3"/>
  <c r="C273" i="3"/>
  <c r="G273" i="3"/>
  <c r="E275" i="3"/>
  <c r="I275" i="3"/>
  <c r="C277" i="3"/>
  <c r="G277" i="3"/>
  <c r="E279" i="3"/>
  <c r="I279" i="3"/>
  <c r="C281" i="3"/>
  <c r="G281" i="3"/>
  <c r="E283" i="3"/>
  <c r="I283" i="3"/>
  <c r="C285" i="3"/>
  <c r="G285" i="3"/>
  <c r="E287" i="3"/>
  <c r="I287" i="3"/>
  <c r="C289" i="3"/>
  <c r="G289" i="3"/>
  <c r="E291" i="3"/>
  <c r="I291" i="3"/>
  <c r="C293" i="3"/>
  <c r="G293" i="3"/>
  <c r="E295" i="3"/>
  <c r="I295" i="3"/>
  <c r="C297" i="3"/>
  <c r="G297" i="3"/>
  <c r="E299" i="3"/>
  <c r="I299" i="3"/>
  <c r="C301" i="3"/>
  <c r="G301" i="3"/>
  <c r="F2" i="4"/>
  <c r="B4" i="4"/>
  <c r="I305" i="4"/>
  <c r="E305" i="4"/>
  <c r="D305" i="4"/>
  <c r="G305" i="4"/>
  <c r="F305" i="4"/>
  <c r="H305" i="4"/>
  <c r="J307" i="4"/>
  <c r="H306" i="4"/>
  <c r="D306" i="4"/>
  <c r="F306" i="4"/>
  <c r="E306" i="4"/>
  <c r="F309" i="4"/>
  <c r="G313" i="4"/>
  <c r="J316" i="4"/>
  <c r="F316" i="4"/>
  <c r="A316" i="4"/>
  <c r="I316" i="4"/>
  <c r="E316" i="4"/>
  <c r="I321" i="4"/>
  <c r="E321" i="4"/>
  <c r="H321" i="4"/>
  <c r="D321" i="4"/>
  <c r="G324" i="4"/>
  <c r="G329" i="4"/>
  <c r="J332" i="4"/>
  <c r="F332" i="4"/>
  <c r="A332" i="4"/>
  <c r="I332" i="4"/>
  <c r="E332" i="4"/>
  <c r="I337" i="4"/>
  <c r="E337" i="4"/>
  <c r="H337" i="4"/>
  <c r="D337" i="4"/>
  <c r="J345" i="4"/>
  <c r="F345" i="4"/>
  <c r="A345" i="4"/>
  <c r="I345" i="4"/>
  <c r="E345" i="4"/>
  <c r="H345" i="4"/>
  <c r="D345" i="4"/>
  <c r="A309" i="4"/>
  <c r="H310" i="4"/>
  <c r="D310" i="4"/>
  <c r="I310" i="4"/>
  <c r="A313" i="4"/>
  <c r="D316" i="4"/>
  <c r="I317" i="4"/>
  <c r="E317" i="4"/>
  <c r="H317" i="4"/>
  <c r="D317" i="4"/>
  <c r="F321" i="4"/>
  <c r="J328" i="4"/>
  <c r="F328" i="4"/>
  <c r="A328" i="4"/>
  <c r="I328" i="4"/>
  <c r="E328" i="4"/>
  <c r="A329" i="4"/>
  <c r="D332" i="4"/>
  <c r="I333" i="4"/>
  <c r="E333" i="4"/>
  <c r="H333" i="4"/>
  <c r="D333" i="4"/>
  <c r="F337" i="4"/>
  <c r="J341" i="4"/>
  <c r="F341" i="4"/>
  <c r="A341" i="4"/>
  <c r="I341" i="4"/>
  <c r="E341" i="4"/>
  <c r="H341" i="4"/>
  <c r="D341" i="4"/>
  <c r="G345" i="4"/>
  <c r="I309" i="4"/>
  <c r="E309" i="4"/>
  <c r="H309" i="4"/>
  <c r="I313" i="4"/>
  <c r="E313" i="4"/>
  <c r="H313" i="4"/>
  <c r="D313" i="4"/>
  <c r="G316" i="4"/>
  <c r="G321" i="4"/>
  <c r="J324" i="4"/>
  <c r="F324" i="4"/>
  <c r="A324" i="4"/>
  <c r="I324" i="4"/>
  <c r="E324" i="4"/>
  <c r="I329" i="4"/>
  <c r="E329" i="4"/>
  <c r="H329" i="4"/>
  <c r="D329" i="4"/>
  <c r="G332" i="4"/>
  <c r="G337" i="4"/>
  <c r="J353" i="4"/>
  <c r="F353" i="4"/>
  <c r="A353" i="4"/>
  <c r="I353" i="4"/>
  <c r="E353" i="4"/>
  <c r="H353" i="4"/>
  <c r="D353" i="4"/>
  <c r="J308" i="4"/>
  <c r="F308" i="4"/>
  <c r="A308" i="4"/>
  <c r="H308" i="4"/>
  <c r="D309" i="4"/>
  <c r="J309" i="4"/>
  <c r="F310" i="4"/>
  <c r="J312" i="4"/>
  <c r="F312" i="4"/>
  <c r="A312" i="4"/>
  <c r="H312" i="4"/>
  <c r="F313" i="4"/>
  <c r="H316" i="4"/>
  <c r="G317" i="4"/>
  <c r="J320" i="4"/>
  <c r="F320" i="4"/>
  <c r="A320" i="4"/>
  <c r="I320" i="4"/>
  <c r="E320" i="4"/>
  <c r="A321" i="4"/>
  <c r="J321" i="4"/>
  <c r="D324" i="4"/>
  <c r="I325" i="4"/>
  <c r="E325" i="4"/>
  <c r="H325" i="4"/>
  <c r="D325" i="4"/>
  <c r="G328" i="4"/>
  <c r="F329" i="4"/>
  <c r="H332" i="4"/>
  <c r="G333" i="4"/>
  <c r="J336" i="4"/>
  <c r="F336" i="4"/>
  <c r="A336" i="4"/>
  <c r="I336" i="4"/>
  <c r="E336" i="4"/>
  <c r="A337" i="4"/>
  <c r="J337" i="4"/>
  <c r="J349" i="4"/>
  <c r="F349" i="4"/>
  <c r="A349" i="4"/>
  <c r="I349" i="4"/>
  <c r="E349" i="4"/>
  <c r="H349" i="4"/>
  <c r="D349" i="4"/>
  <c r="G353" i="4"/>
  <c r="G357" i="4"/>
  <c r="G361" i="4"/>
  <c r="I364" i="4"/>
  <c r="E364" i="4"/>
  <c r="H364" i="4"/>
  <c r="I368" i="4"/>
  <c r="E368" i="4"/>
  <c r="H368" i="4"/>
  <c r="I372" i="4"/>
  <c r="E372" i="4"/>
  <c r="H372" i="4"/>
  <c r="I376" i="4"/>
  <c r="E376" i="4"/>
  <c r="H376" i="4"/>
  <c r="J383" i="4"/>
  <c r="F383" i="4"/>
  <c r="A383" i="4"/>
  <c r="I383" i="4"/>
  <c r="E383" i="4"/>
  <c r="I388" i="4"/>
  <c r="E388" i="4"/>
  <c r="H388" i="4"/>
  <c r="D388" i="4"/>
  <c r="J396" i="4"/>
  <c r="F396" i="4"/>
  <c r="A396" i="4"/>
  <c r="I396" i="4"/>
  <c r="E396" i="4"/>
  <c r="H396" i="4"/>
  <c r="D396" i="4"/>
  <c r="G314" i="4"/>
  <c r="G318" i="4"/>
  <c r="G322" i="4"/>
  <c r="G326" i="4"/>
  <c r="G330" i="4"/>
  <c r="G334" i="4"/>
  <c r="G338" i="4"/>
  <c r="E340" i="4"/>
  <c r="I340" i="4"/>
  <c r="G342" i="4"/>
  <c r="E344" i="4"/>
  <c r="I344" i="4"/>
  <c r="G346" i="4"/>
  <c r="E348" i="4"/>
  <c r="I348" i="4"/>
  <c r="G350" i="4"/>
  <c r="E352" i="4"/>
  <c r="I352" i="4"/>
  <c r="G354" i="4"/>
  <c r="E356" i="4"/>
  <c r="I356" i="4"/>
  <c r="D357" i="4"/>
  <c r="H357" i="4"/>
  <c r="G358" i="4"/>
  <c r="E360" i="4"/>
  <c r="I360" i="4"/>
  <c r="D361" i="4"/>
  <c r="H361" i="4"/>
  <c r="G362" i="4"/>
  <c r="J363" i="4"/>
  <c r="F363" i="4"/>
  <c r="A363" i="4"/>
  <c r="H363" i="4"/>
  <c r="D364" i="4"/>
  <c r="J364" i="4"/>
  <c r="F365" i="4"/>
  <c r="J367" i="4"/>
  <c r="F367" i="4"/>
  <c r="A367" i="4"/>
  <c r="H367" i="4"/>
  <c r="D368" i="4"/>
  <c r="J368" i="4"/>
  <c r="F369" i="4"/>
  <c r="J371" i="4"/>
  <c r="F371" i="4"/>
  <c r="A371" i="4"/>
  <c r="H371" i="4"/>
  <c r="D372" i="4"/>
  <c r="J372" i="4"/>
  <c r="F373" i="4"/>
  <c r="J375" i="4"/>
  <c r="F375" i="4"/>
  <c r="A375" i="4"/>
  <c r="H375" i="4"/>
  <c r="D376" i="4"/>
  <c r="J376" i="4"/>
  <c r="F377" i="4"/>
  <c r="J379" i="4"/>
  <c r="F379" i="4"/>
  <c r="A379" i="4"/>
  <c r="I379" i="4"/>
  <c r="E379" i="4"/>
  <c r="D383" i="4"/>
  <c r="I384" i="4"/>
  <c r="E384" i="4"/>
  <c r="H384" i="4"/>
  <c r="D384" i="4"/>
  <c r="G387" i="4"/>
  <c r="F388" i="4"/>
  <c r="J392" i="4"/>
  <c r="F392" i="4"/>
  <c r="A392" i="4"/>
  <c r="I392" i="4"/>
  <c r="E392" i="4"/>
  <c r="H392" i="4"/>
  <c r="D392" i="4"/>
  <c r="G396" i="4"/>
  <c r="D314" i="4"/>
  <c r="D318" i="4"/>
  <c r="D322" i="4"/>
  <c r="D326" i="4"/>
  <c r="D330" i="4"/>
  <c r="D334" i="4"/>
  <c r="D338" i="4"/>
  <c r="A340" i="4"/>
  <c r="F340" i="4"/>
  <c r="J340" i="4"/>
  <c r="D342" i="4"/>
  <c r="A344" i="4"/>
  <c r="F344" i="4"/>
  <c r="J344" i="4"/>
  <c r="D346" i="4"/>
  <c r="A348" i="4"/>
  <c r="F348" i="4"/>
  <c r="J348" i="4"/>
  <c r="D350" i="4"/>
  <c r="A352" i="4"/>
  <c r="F352" i="4"/>
  <c r="J352" i="4"/>
  <c r="D354" i="4"/>
  <c r="A356" i="4"/>
  <c r="F356" i="4"/>
  <c r="J356" i="4"/>
  <c r="E357" i="4"/>
  <c r="I357" i="4"/>
  <c r="D358" i="4"/>
  <c r="A360" i="4"/>
  <c r="F360" i="4"/>
  <c r="J360" i="4"/>
  <c r="E361" i="4"/>
  <c r="I361" i="4"/>
  <c r="D362" i="4"/>
  <c r="D363" i="4"/>
  <c r="I363" i="4"/>
  <c r="F364" i="4"/>
  <c r="A365" i="4"/>
  <c r="D367" i="4"/>
  <c r="I367" i="4"/>
  <c r="F368" i="4"/>
  <c r="A369" i="4"/>
  <c r="D371" i="4"/>
  <c r="I371" i="4"/>
  <c r="F372" i="4"/>
  <c r="A373" i="4"/>
  <c r="D375" i="4"/>
  <c r="I375" i="4"/>
  <c r="F376" i="4"/>
  <c r="A377" i="4"/>
  <c r="D379" i="4"/>
  <c r="I380" i="4"/>
  <c r="E380" i="4"/>
  <c r="H380" i="4"/>
  <c r="D380" i="4"/>
  <c r="G383" i="4"/>
  <c r="F384" i="4"/>
  <c r="G388" i="4"/>
  <c r="G392" i="4"/>
  <c r="A357" i="4"/>
  <c r="F357" i="4"/>
  <c r="A361" i="4"/>
  <c r="F361" i="4"/>
  <c r="A364" i="4"/>
  <c r="G364" i="4"/>
  <c r="H365" i="4"/>
  <c r="D365" i="4"/>
  <c r="I365" i="4"/>
  <c r="A368" i="4"/>
  <c r="G368" i="4"/>
  <c r="H369" i="4"/>
  <c r="D369" i="4"/>
  <c r="I369" i="4"/>
  <c r="A372" i="4"/>
  <c r="G372" i="4"/>
  <c r="H373" i="4"/>
  <c r="D373" i="4"/>
  <c r="I373" i="4"/>
  <c r="A376" i="4"/>
  <c r="G376" i="4"/>
  <c r="H377" i="4"/>
  <c r="D377" i="4"/>
  <c r="I377" i="4"/>
  <c r="H383" i="4"/>
  <c r="J387" i="4"/>
  <c r="F387" i="4"/>
  <c r="A387" i="4"/>
  <c r="I387" i="4"/>
  <c r="E387" i="4"/>
  <c r="A388" i="4"/>
  <c r="J388" i="4"/>
  <c r="J400" i="4"/>
  <c r="F400" i="4"/>
  <c r="A400" i="4"/>
  <c r="I400" i="4"/>
  <c r="E400" i="4"/>
  <c r="H400" i="4"/>
  <c r="D400" i="4"/>
  <c r="G404" i="4"/>
  <c r="G381" i="4"/>
  <c r="G385" i="4"/>
  <c r="G389" i="4"/>
  <c r="E391" i="4"/>
  <c r="I391" i="4"/>
  <c r="G393" i="4"/>
  <c r="E395" i="4"/>
  <c r="I395" i="4"/>
  <c r="G397" i="4"/>
  <c r="E399" i="4"/>
  <c r="I399" i="4"/>
  <c r="G401" i="4"/>
  <c r="A402" i="4"/>
  <c r="F402" i="4"/>
  <c r="J402" i="4"/>
  <c r="E403" i="4"/>
  <c r="I403" i="4"/>
  <c r="D404" i="4"/>
  <c r="H404" i="4"/>
  <c r="D381" i="4"/>
  <c r="D385" i="4"/>
  <c r="D389" i="4"/>
  <c r="A391" i="4"/>
  <c r="F391" i="4"/>
  <c r="J391" i="4"/>
  <c r="D393" i="4"/>
  <c r="A395" i="4"/>
  <c r="F395" i="4"/>
  <c r="J395" i="4"/>
  <c r="D397" i="4"/>
  <c r="A399" i="4"/>
  <c r="F399" i="4"/>
  <c r="J399" i="4"/>
  <c r="D401" i="4"/>
  <c r="A403" i="4"/>
  <c r="F403" i="4"/>
  <c r="J403" i="4"/>
  <c r="E404" i="4"/>
  <c r="I404" i="4"/>
  <c r="A404" i="4"/>
  <c r="F404" i="4"/>
  <c r="J2" i="4" l="1"/>
  <c r="J305" i="4"/>
  <c r="L5" i="3"/>
  <c r="M5" i="3" s="1"/>
  <c r="J306" i="4"/>
  <c r="J4" i="3"/>
  <c r="L4" i="3" s="1"/>
  <c r="M4" i="3" s="1"/>
  <c r="J2" i="3"/>
  <c r="L2" i="3" s="1"/>
  <c r="B5" i="4"/>
  <c r="F4" i="4"/>
  <c r="I4" i="4"/>
  <c r="E4" i="4"/>
  <c r="A4" i="4"/>
  <c r="H4" i="4"/>
  <c r="D4" i="4"/>
  <c r="C4" i="4"/>
  <c r="G4" i="4"/>
  <c r="H3" i="4"/>
  <c r="D3" i="4"/>
  <c r="G3" i="4"/>
  <c r="C3" i="4"/>
  <c r="J3" i="4"/>
  <c r="F3" i="4"/>
  <c r="I3" i="4"/>
  <c r="E3" i="4"/>
  <c r="A3" i="4"/>
  <c r="J3" i="3"/>
  <c r="L3" i="3" s="1"/>
  <c r="J4" i="4" l="1"/>
  <c r="H5" i="4"/>
  <c r="D5" i="4"/>
  <c r="G5" i="4"/>
  <c r="C5" i="4"/>
  <c r="F5" i="4"/>
  <c r="I5" i="4"/>
  <c r="E5" i="4"/>
  <c r="J5" i="4" s="1"/>
  <c r="A5" i="4"/>
  <c r="B6" i="4"/>
  <c r="J6" i="4" l="1"/>
  <c r="F6" i="4"/>
  <c r="I6" i="4"/>
  <c r="E6" i="4"/>
  <c r="A6" i="4"/>
  <c r="H6" i="4"/>
  <c r="D6" i="4"/>
  <c r="G6" i="4"/>
  <c r="C6" i="4"/>
  <c r="B7" i="4"/>
  <c r="B8" i="4" s="1"/>
  <c r="B9" i="4" l="1"/>
  <c r="J8" i="4"/>
  <c r="F8" i="4"/>
  <c r="I8" i="4"/>
  <c r="E8" i="4"/>
  <c r="A8" i="4"/>
  <c r="H8" i="4"/>
  <c r="D8" i="4"/>
  <c r="G8" i="4"/>
  <c r="C8" i="4"/>
  <c r="H7" i="4"/>
  <c r="D7" i="4"/>
  <c r="G7" i="4"/>
  <c r="C7" i="4"/>
  <c r="J7" i="4"/>
  <c r="F7" i="4"/>
  <c r="E7" i="4"/>
  <c r="A7" i="4"/>
  <c r="I7" i="4"/>
  <c r="B10" i="4"/>
  <c r="H9" i="4" l="1"/>
  <c r="D9" i="4"/>
  <c r="G9" i="4"/>
  <c r="C9" i="4"/>
  <c r="J9" i="4"/>
  <c r="F9" i="4"/>
  <c r="A9" i="4"/>
  <c r="I9" i="4"/>
  <c r="E9" i="4"/>
  <c r="J10" i="4"/>
  <c r="F10" i="4"/>
  <c r="I10" i="4"/>
  <c r="E10" i="4"/>
  <c r="A10" i="4"/>
  <c r="H10" i="4"/>
  <c r="D10" i="4"/>
  <c r="G10" i="4"/>
  <c r="C10" i="4"/>
  <c r="B11" i="4"/>
  <c r="H11" i="4" l="1"/>
  <c r="D11" i="4"/>
  <c r="G11" i="4"/>
  <c r="C11" i="4"/>
  <c r="J11" i="4"/>
  <c r="F11" i="4"/>
  <c r="I11" i="4"/>
  <c r="E11" i="4"/>
  <c r="A11" i="4"/>
  <c r="B12" i="4"/>
  <c r="J12" i="4" l="1"/>
  <c r="F12" i="4"/>
  <c r="I12" i="4"/>
  <c r="E12" i="4"/>
  <c r="A12" i="4"/>
  <c r="H12" i="4"/>
  <c r="D12" i="4"/>
  <c r="C12" i="4"/>
  <c r="G12" i="4"/>
  <c r="B13" i="4"/>
  <c r="H13" i="4" l="1"/>
  <c r="D13" i="4"/>
  <c r="G13" i="4"/>
  <c r="C13" i="4"/>
  <c r="J13" i="4"/>
  <c r="F13" i="4"/>
  <c r="I13" i="4"/>
  <c r="E13" i="4"/>
  <c r="A13" i="4"/>
  <c r="B14" i="4"/>
  <c r="J14" i="4" l="1"/>
  <c r="F14" i="4"/>
  <c r="I14" i="4"/>
  <c r="E14" i="4"/>
  <c r="A14" i="4"/>
  <c r="H14" i="4"/>
  <c r="D14" i="4"/>
  <c r="G14" i="4"/>
  <c r="C14" i="4"/>
  <c r="B15" i="4"/>
  <c r="H15" i="4" l="1"/>
  <c r="D15" i="4"/>
  <c r="G15" i="4"/>
  <c r="C15" i="4"/>
  <c r="J15" i="4"/>
  <c r="F15" i="4"/>
  <c r="E15" i="4"/>
  <c r="A15" i="4"/>
  <c r="I15" i="4"/>
  <c r="B16" i="4"/>
  <c r="J16" i="4" l="1"/>
  <c r="F16" i="4"/>
  <c r="I16" i="4"/>
  <c r="E16" i="4"/>
  <c r="A16" i="4"/>
  <c r="H16" i="4"/>
  <c r="D16" i="4"/>
  <c r="G16" i="4"/>
  <c r="C16" i="4"/>
  <c r="B17" i="4"/>
  <c r="H17" i="4" l="1"/>
  <c r="D17" i="4"/>
  <c r="G17" i="4"/>
  <c r="C17" i="4"/>
  <c r="J17" i="4"/>
  <c r="F17" i="4"/>
  <c r="A17" i="4"/>
  <c r="I17" i="4"/>
  <c r="E17" i="4"/>
  <c r="B18" i="4"/>
  <c r="J18" i="4" l="1"/>
  <c r="F18" i="4"/>
  <c r="I18" i="4"/>
  <c r="E18" i="4"/>
  <c r="A18" i="4"/>
  <c r="H18" i="4"/>
  <c r="D18" i="4"/>
  <c r="G18" i="4"/>
  <c r="C18" i="4"/>
  <c r="B19" i="4"/>
  <c r="H19" i="4" l="1"/>
  <c r="D19" i="4"/>
  <c r="G19" i="4"/>
  <c r="C19" i="4"/>
  <c r="J19" i="4"/>
  <c r="F19" i="4"/>
  <c r="I19" i="4"/>
  <c r="E19" i="4"/>
  <c r="A19" i="4"/>
  <c r="B20" i="4"/>
  <c r="J20" i="4" l="1"/>
  <c r="F20" i="4"/>
  <c r="I20" i="4"/>
  <c r="E20" i="4"/>
  <c r="A20" i="4"/>
  <c r="H20" i="4"/>
  <c r="D20" i="4"/>
  <c r="C20" i="4"/>
  <c r="G20" i="4"/>
  <c r="B21" i="4"/>
  <c r="H21" i="4" l="1"/>
  <c r="D21" i="4"/>
  <c r="G21" i="4"/>
  <c r="C21" i="4"/>
  <c r="J21" i="4"/>
  <c r="F21" i="4"/>
  <c r="I21" i="4"/>
  <c r="E21" i="4"/>
  <c r="A21" i="4"/>
  <c r="B22" i="4"/>
  <c r="J22" i="4" l="1"/>
  <c r="F22" i="4"/>
  <c r="I22" i="4"/>
  <c r="E22" i="4"/>
  <c r="A22" i="4"/>
  <c r="H22" i="4"/>
  <c r="D22" i="4"/>
  <c r="G22" i="4"/>
  <c r="C22" i="4"/>
  <c r="B23" i="4"/>
  <c r="H23" i="4" l="1"/>
  <c r="D23" i="4"/>
  <c r="G23" i="4"/>
  <c r="C23" i="4"/>
  <c r="J23" i="4"/>
  <c r="F23" i="4"/>
  <c r="E23" i="4"/>
  <c r="A23" i="4"/>
  <c r="I23" i="4"/>
  <c r="B24" i="4"/>
  <c r="J24" i="4" l="1"/>
  <c r="F24" i="4"/>
  <c r="I24" i="4"/>
  <c r="E24" i="4"/>
  <c r="A24" i="4"/>
  <c r="H24" i="4"/>
  <c r="D24" i="4"/>
  <c r="G24" i="4"/>
  <c r="C24" i="4"/>
  <c r="B25" i="4"/>
  <c r="H25" i="4" l="1"/>
  <c r="D25" i="4"/>
  <c r="G25" i="4"/>
  <c r="C25" i="4"/>
  <c r="J25" i="4"/>
  <c r="F25" i="4"/>
  <c r="A25" i="4"/>
  <c r="I25" i="4"/>
  <c r="E25" i="4"/>
  <c r="B26" i="4"/>
  <c r="J26" i="4" l="1"/>
  <c r="F26" i="4"/>
  <c r="I26" i="4"/>
  <c r="E26" i="4"/>
  <c r="A26" i="4"/>
  <c r="H26" i="4"/>
  <c r="D26" i="4"/>
  <c r="G26" i="4"/>
  <c r="C26" i="4"/>
  <c r="B27" i="4"/>
  <c r="H27" i="4" l="1"/>
  <c r="D27" i="4"/>
  <c r="G27" i="4"/>
  <c r="C27" i="4"/>
  <c r="J27" i="4"/>
  <c r="F27" i="4"/>
  <c r="I27" i="4"/>
  <c r="E27" i="4"/>
  <c r="A27" i="4"/>
  <c r="B28" i="4"/>
  <c r="J28" i="4" l="1"/>
  <c r="F28" i="4"/>
  <c r="I28" i="4"/>
  <c r="E28" i="4"/>
  <c r="A28" i="4"/>
  <c r="H28" i="4"/>
  <c r="D28" i="4"/>
  <c r="C28" i="4"/>
  <c r="G28" i="4"/>
  <c r="B29" i="4"/>
  <c r="H29" i="4" l="1"/>
  <c r="D29" i="4"/>
  <c r="G29" i="4"/>
  <c r="C29" i="4"/>
  <c r="J29" i="4"/>
  <c r="F29" i="4"/>
  <c r="I29" i="4"/>
  <c r="E29" i="4"/>
  <c r="A29" i="4"/>
  <c r="B30" i="4"/>
  <c r="J30" i="4" l="1"/>
  <c r="F30" i="4"/>
  <c r="I30" i="4"/>
  <c r="E30" i="4"/>
  <c r="A30" i="4"/>
  <c r="H30" i="4"/>
  <c r="D30" i="4"/>
  <c r="G30" i="4"/>
  <c r="C30" i="4"/>
  <c r="B31" i="4"/>
  <c r="H31" i="4" l="1"/>
  <c r="D31" i="4"/>
  <c r="G31" i="4"/>
  <c r="C31" i="4"/>
  <c r="J31" i="4"/>
  <c r="F31" i="4"/>
  <c r="E31" i="4"/>
  <c r="A31" i="4"/>
  <c r="I31" i="4"/>
  <c r="B32" i="4"/>
  <c r="J32" i="4" l="1"/>
  <c r="F32" i="4"/>
  <c r="I32" i="4"/>
  <c r="E32" i="4"/>
  <c r="A32" i="4"/>
  <c r="H32" i="4"/>
  <c r="D32" i="4"/>
  <c r="G32" i="4"/>
  <c r="C32" i="4"/>
  <c r="B33" i="4"/>
  <c r="H33" i="4" l="1"/>
  <c r="D33" i="4"/>
  <c r="G33" i="4"/>
  <c r="C33" i="4"/>
  <c r="J33" i="4"/>
  <c r="F33" i="4"/>
  <c r="A33" i="4"/>
  <c r="I33" i="4"/>
  <c r="E33" i="4"/>
  <c r="B34" i="4"/>
  <c r="J34" i="4" l="1"/>
  <c r="F34" i="4"/>
  <c r="I34" i="4"/>
  <c r="E34" i="4"/>
  <c r="A34" i="4"/>
  <c r="H34" i="4"/>
  <c r="D34" i="4"/>
  <c r="G34" i="4"/>
  <c r="C34" i="4"/>
  <c r="B35" i="4"/>
  <c r="H35" i="4" l="1"/>
  <c r="D35" i="4"/>
  <c r="G35" i="4"/>
  <c r="C35" i="4"/>
  <c r="J35" i="4"/>
  <c r="F35" i="4"/>
  <c r="I35" i="4"/>
  <c r="E35" i="4"/>
  <c r="A35" i="4"/>
  <c r="B36" i="4"/>
  <c r="J36" i="4" l="1"/>
  <c r="F36" i="4"/>
  <c r="I36" i="4"/>
  <c r="E36" i="4"/>
  <c r="A36" i="4"/>
  <c r="H36" i="4"/>
  <c r="D36" i="4"/>
  <c r="C36" i="4"/>
  <c r="G36" i="4"/>
  <c r="B37" i="4"/>
  <c r="H37" i="4" l="1"/>
  <c r="D37" i="4"/>
  <c r="G37" i="4"/>
  <c r="C37" i="4"/>
  <c r="J37" i="4"/>
  <c r="F37" i="4"/>
  <c r="I37" i="4"/>
  <c r="E37" i="4"/>
  <c r="A37" i="4"/>
  <c r="B38" i="4"/>
  <c r="J38" i="4" l="1"/>
  <c r="F38" i="4"/>
  <c r="I38" i="4"/>
  <c r="E38" i="4"/>
  <c r="A38" i="4"/>
  <c r="H38" i="4"/>
  <c r="D38" i="4"/>
  <c r="G38" i="4"/>
  <c r="C38" i="4"/>
  <c r="B39" i="4"/>
  <c r="H39" i="4" l="1"/>
  <c r="D39" i="4"/>
  <c r="G39" i="4"/>
  <c r="C39" i="4"/>
  <c r="J39" i="4"/>
  <c r="F39" i="4"/>
  <c r="E39" i="4"/>
  <c r="A39" i="4"/>
  <c r="I39" i="4"/>
  <c r="B40" i="4"/>
  <c r="G40" i="4" l="1"/>
  <c r="C40" i="4"/>
  <c r="H40" i="4"/>
  <c r="F40" i="4"/>
  <c r="A40" i="4"/>
  <c r="J40" i="4"/>
  <c r="E40" i="4"/>
  <c r="I40" i="4"/>
  <c r="D40" i="4"/>
  <c r="B41" i="4"/>
  <c r="I41" i="4" l="1"/>
  <c r="E41" i="4"/>
  <c r="A41" i="4"/>
  <c r="H41" i="4"/>
  <c r="C41" i="4"/>
  <c r="G41" i="4"/>
  <c r="F41" i="4"/>
  <c r="D41" i="4"/>
  <c r="J41" i="4"/>
  <c r="B42" i="4"/>
  <c r="G42" i="4" l="1"/>
  <c r="C42" i="4"/>
  <c r="I42" i="4"/>
  <c r="D42" i="4"/>
  <c r="H42" i="4"/>
  <c r="F42" i="4"/>
  <c r="A42" i="4"/>
  <c r="J42" i="4"/>
  <c r="E42" i="4"/>
  <c r="B43" i="4"/>
  <c r="I43" i="4" l="1"/>
  <c r="E43" i="4"/>
  <c r="A43" i="4"/>
  <c r="J43" i="4"/>
  <c r="D43" i="4"/>
  <c r="H43" i="4"/>
  <c r="C43" i="4"/>
  <c r="G43" i="4"/>
  <c r="F43" i="4"/>
  <c r="B44" i="4"/>
  <c r="G44" i="4" l="1"/>
  <c r="C44" i="4"/>
  <c r="J44" i="4"/>
  <c r="E44" i="4"/>
  <c r="I44" i="4"/>
  <c r="D44" i="4"/>
  <c r="H44" i="4"/>
  <c r="F44" i="4"/>
  <c r="A44" i="4"/>
  <c r="B45" i="4"/>
  <c r="I45" i="4" l="1"/>
  <c r="E45" i="4"/>
  <c r="A45" i="4"/>
  <c r="F45" i="4"/>
  <c r="J45" i="4"/>
  <c r="D45" i="4"/>
  <c r="H45" i="4"/>
  <c r="C45" i="4"/>
  <c r="G45" i="4"/>
  <c r="B46" i="4"/>
  <c r="G46" i="4" l="1"/>
  <c r="C46" i="4"/>
  <c r="F46" i="4"/>
  <c r="A46" i="4"/>
  <c r="J46" i="4"/>
  <c r="E46" i="4"/>
  <c r="I46" i="4"/>
  <c r="D46" i="4"/>
  <c r="H46" i="4"/>
  <c r="B47" i="4"/>
  <c r="I47" i="4" l="1"/>
  <c r="E47" i="4"/>
  <c r="A47" i="4"/>
  <c r="G47" i="4"/>
  <c r="F47" i="4"/>
  <c r="J47" i="4"/>
  <c r="D47" i="4"/>
  <c r="H47" i="4"/>
  <c r="C47" i="4"/>
  <c r="B48" i="4"/>
  <c r="G48" i="4" l="1"/>
  <c r="C48" i="4"/>
  <c r="H48" i="4"/>
  <c r="F48" i="4"/>
  <c r="A48" i="4"/>
  <c r="J48" i="4"/>
  <c r="E48" i="4"/>
  <c r="I48" i="4"/>
  <c r="D48" i="4"/>
  <c r="B49" i="4"/>
  <c r="I49" i="4" l="1"/>
  <c r="E49" i="4"/>
  <c r="A49" i="4"/>
  <c r="H49" i="4"/>
  <c r="C49" i="4"/>
  <c r="G49" i="4"/>
  <c r="F49" i="4"/>
  <c r="J49" i="4"/>
  <c r="D49" i="4"/>
  <c r="B50" i="4"/>
  <c r="G50" i="4" l="1"/>
  <c r="C50" i="4"/>
  <c r="I50" i="4"/>
  <c r="D50" i="4"/>
  <c r="H50" i="4"/>
  <c r="F50" i="4"/>
  <c r="A50" i="4"/>
  <c r="J50" i="4"/>
  <c r="E50" i="4"/>
  <c r="B51" i="4"/>
  <c r="I51" i="4" l="1"/>
  <c r="E51" i="4"/>
  <c r="A51" i="4"/>
  <c r="J51" i="4"/>
  <c r="D51" i="4"/>
  <c r="H51" i="4"/>
  <c r="C51" i="4"/>
  <c r="G51" i="4"/>
  <c r="F51" i="4"/>
  <c r="B52" i="4"/>
  <c r="G52" i="4" l="1"/>
  <c r="C52" i="4"/>
  <c r="J52" i="4"/>
  <c r="E52" i="4"/>
  <c r="I52" i="4"/>
  <c r="D52" i="4"/>
  <c r="H52" i="4"/>
  <c r="A52" i="4"/>
  <c r="F52" i="4"/>
  <c r="B53" i="4"/>
  <c r="I53" i="4" l="1"/>
  <c r="E53" i="4"/>
  <c r="A53" i="4"/>
  <c r="F53" i="4"/>
  <c r="J53" i="4"/>
  <c r="D53" i="4"/>
  <c r="H53" i="4"/>
  <c r="C53" i="4"/>
  <c r="G53" i="4"/>
  <c r="B54" i="4"/>
  <c r="G54" i="4" l="1"/>
  <c r="C54" i="4"/>
  <c r="F54" i="4"/>
  <c r="A54" i="4"/>
  <c r="J54" i="4"/>
  <c r="E54" i="4"/>
  <c r="I54" i="4"/>
  <c r="D54" i="4"/>
  <c r="H54" i="4"/>
  <c r="B55" i="4"/>
  <c r="I55" i="4" l="1"/>
  <c r="E55" i="4"/>
  <c r="A55" i="4"/>
  <c r="G55" i="4"/>
  <c r="F55" i="4"/>
  <c r="J55" i="4"/>
  <c r="D55" i="4"/>
  <c r="H55" i="4"/>
  <c r="C55" i="4"/>
  <c r="B56" i="4"/>
  <c r="G56" i="4" l="1"/>
  <c r="C56" i="4"/>
  <c r="H56" i="4"/>
  <c r="F56" i="4"/>
  <c r="A56" i="4"/>
  <c r="J56" i="4"/>
  <c r="E56" i="4"/>
  <c r="D56" i="4"/>
  <c r="I56" i="4"/>
  <c r="B57" i="4"/>
  <c r="J57" i="4" l="1"/>
  <c r="F57" i="4"/>
  <c r="I57" i="4"/>
  <c r="E57" i="4"/>
  <c r="A57" i="4"/>
  <c r="C57" i="4"/>
  <c r="H57" i="4"/>
  <c r="G57" i="4"/>
  <c r="D57" i="4"/>
  <c r="B58" i="4"/>
  <c r="H58" i="4" l="1"/>
  <c r="D58" i="4"/>
  <c r="G58" i="4"/>
  <c r="C58" i="4"/>
  <c r="J58" i="4"/>
  <c r="F58" i="4"/>
  <c r="A58" i="4"/>
  <c r="I58" i="4"/>
  <c r="E58" i="4"/>
  <c r="B59" i="4"/>
  <c r="J59" i="4" l="1"/>
  <c r="F59" i="4"/>
  <c r="I59" i="4"/>
  <c r="E59" i="4"/>
  <c r="A59" i="4"/>
  <c r="H59" i="4"/>
  <c r="D59" i="4"/>
  <c r="C59" i="4"/>
  <c r="G59" i="4"/>
  <c r="B60" i="4"/>
  <c r="H60" i="4" l="1"/>
  <c r="D60" i="4"/>
  <c r="G60" i="4"/>
  <c r="C60" i="4"/>
  <c r="J60" i="4"/>
  <c r="F60" i="4"/>
  <c r="I60" i="4"/>
  <c r="E60" i="4"/>
  <c r="A60" i="4"/>
  <c r="B61" i="4"/>
  <c r="J61" i="4" l="1"/>
  <c r="F61" i="4"/>
  <c r="I61" i="4"/>
  <c r="E61" i="4"/>
  <c r="A61" i="4"/>
  <c r="H61" i="4"/>
  <c r="D61" i="4"/>
  <c r="G61" i="4"/>
  <c r="C61" i="4"/>
  <c r="B62" i="4"/>
  <c r="H62" i="4" l="1"/>
  <c r="D62" i="4"/>
  <c r="G62" i="4"/>
  <c r="C62" i="4"/>
  <c r="J62" i="4"/>
  <c r="F62" i="4"/>
  <c r="E62" i="4"/>
  <c r="A62" i="4"/>
  <c r="I62" i="4"/>
  <c r="B63" i="4"/>
  <c r="J63" i="4" l="1"/>
  <c r="F63" i="4"/>
  <c r="I63" i="4"/>
  <c r="E63" i="4"/>
  <c r="A63" i="4"/>
  <c r="H63" i="4"/>
  <c r="D63" i="4"/>
  <c r="G63" i="4"/>
  <c r="C63" i="4"/>
  <c r="B64" i="4"/>
  <c r="H64" i="4" l="1"/>
  <c r="D64" i="4"/>
  <c r="G64" i="4"/>
  <c r="C64" i="4"/>
  <c r="J64" i="4"/>
  <c r="F64" i="4"/>
  <c r="A64" i="4"/>
  <c r="I64" i="4"/>
  <c r="E64" i="4"/>
  <c r="B65" i="4"/>
  <c r="J65" i="4" l="1"/>
  <c r="F65" i="4"/>
  <c r="I65" i="4"/>
  <c r="E65" i="4"/>
  <c r="A65" i="4"/>
  <c r="H65" i="4"/>
  <c r="D65" i="4"/>
  <c r="G65" i="4"/>
  <c r="C65" i="4"/>
  <c r="B66" i="4"/>
  <c r="H66" i="4" l="1"/>
  <c r="D66" i="4"/>
  <c r="G66" i="4"/>
  <c r="C66" i="4"/>
  <c r="J66" i="4"/>
  <c r="F66" i="4"/>
  <c r="I66" i="4"/>
  <c r="E66" i="4"/>
  <c r="A66" i="4"/>
  <c r="B67" i="4"/>
  <c r="J67" i="4" l="1"/>
  <c r="F67" i="4"/>
  <c r="I67" i="4"/>
  <c r="E67" i="4"/>
  <c r="A67" i="4"/>
  <c r="H67" i="4"/>
  <c r="D67" i="4"/>
  <c r="C67" i="4"/>
  <c r="G67" i="4"/>
  <c r="B68" i="4"/>
  <c r="H68" i="4" l="1"/>
  <c r="D68" i="4"/>
  <c r="G68" i="4"/>
  <c r="C68" i="4"/>
  <c r="J68" i="4"/>
  <c r="F68" i="4"/>
  <c r="I68" i="4"/>
  <c r="E68" i="4"/>
  <c r="A68" i="4"/>
  <c r="B69" i="4"/>
  <c r="J69" i="4" l="1"/>
  <c r="F69" i="4"/>
  <c r="I69" i="4"/>
  <c r="E69" i="4"/>
  <c r="A69" i="4"/>
  <c r="H69" i="4"/>
  <c r="D69" i="4"/>
  <c r="G69" i="4"/>
  <c r="C69" i="4"/>
  <c r="B70" i="4"/>
  <c r="H70" i="4" l="1"/>
  <c r="D70" i="4"/>
  <c r="G70" i="4"/>
  <c r="C70" i="4"/>
  <c r="J70" i="4"/>
  <c r="F70" i="4"/>
  <c r="E70" i="4"/>
  <c r="A70" i="4"/>
  <c r="I70" i="4"/>
  <c r="B71" i="4"/>
  <c r="J71" i="4" l="1"/>
  <c r="F71" i="4"/>
  <c r="I71" i="4"/>
  <c r="E71" i="4"/>
  <c r="A71" i="4"/>
  <c r="H71" i="4"/>
  <c r="D71" i="4"/>
  <c r="G71" i="4"/>
  <c r="C71" i="4"/>
  <c r="B72" i="4"/>
  <c r="H72" i="4" l="1"/>
  <c r="D72" i="4"/>
  <c r="G72" i="4"/>
  <c r="C72" i="4"/>
  <c r="J72" i="4"/>
  <c r="F72" i="4"/>
  <c r="A72" i="4"/>
  <c r="I72" i="4"/>
  <c r="E72" i="4"/>
  <c r="B73" i="4"/>
  <c r="J73" i="4" l="1"/>
  <c r="F73" i="4"/>
  <c r="I73" i="4"/>
  <c r="E73" i="4"/>
  <c r="A73" i="4"/>
  <c r="H73" i="4"/>
  <c r="D73" i="4"/>
  <c r="G73" i="4"/>
  <c r="C73" i="4"/>
  <c r="B74" i="4"/>
  <c r="H74" i="4" l="1"/>
  <c r="D74" i="4"/>
  <c r="G74" i="4"/>
  <c r="C74" i="4"/>
  <c r="J74" i="4"/>
  <c r="F74" i="4"/>
  <c r="I74" i="4"/>
  <c r="E74" i="4"/>
  <c r="A74" i="4"/>
  <c r="B75" i="4"/>
  <c r="J75" i="4" l="1"/>
  <c r="F75" i="4"/>
  <c r="I75" i="4"/>
  <c r="E75" i="4"/>
  <c r="A75" i="4"/>
  <c r="H75" i="4"/>
  <c r="D75" i="4"/>
  <c r="C75" i="4"/>
  <c r="G75" i="4"/>
  <c r="B76" i="4"/>
  <c r="H76" i="4" l="1"/>
  <c r="D76" i="4"/>
  <c r="G76" i="4"/>
  <c r="C76" i="4"/>
  <c r="J76" i="4"/>
  <c r="F76" i="4"/>
  <c r="I76" i="4"/>
  <c r="E76" i="4"/>
  <c r="A76" i="4"/>
  <c r="B77" i="4"/>
  <c r="J77" i="4" l="1"/>
  <c r="F77" i="4"/>
  <c r="I77" i="4"/>
  <c r="E77" i="4"/>
  <c r="A77" i="4"/>
  <c r="H77" i="4"/>
  <c r="D77" i="4"/>
  <c r="G77" i="4"/>
  <c r="C77" i="4"/>
  <c r="B78" i="4"/>
  <c r="H78" i="4" l="1"/>
  <c r="D78" i="4"/>
  <c r="G78" i="4"/>
  <c r="C78" i="4"/>
  <c r="J78" i="4"/>
  <c r="F78" i="4"/>
  <c r="E78" i="4"/>
  <c r="A78" i="4"/>
  <c r="I78" i="4"/>
  <c r="B79" i="4"/>
  <c r="J79" i="4" l="1"/>
  <c r="F79" i="4"/>
  <c r="I79" i="4"/>
  <c r="E79" i="4"/>
  <c r="A79" i="4"/>
  <c r="H79" i="4"/>
  <c r="D79" i="4"/>
  <c r="G79" i="4"/>
  <c r="C79" i="4"/>
  <c r="B80" i="4"/>
  <c r="H80" i="4" l="1"/>
  <c r="D80" i="4"/>
  <c r="G80" i="4"/>
  <c r="C80" i="4"/>
  <c r="J80" i="4"/>
  <c r="F80" i="4"/>
  <c r="A80" i="4"/>
  <c r="I80" i="4"/>
  <c r="E80" i="4"/>
  <c r="B81" i="4"/>
  <c r="J81" i="4" l="1"/>
  <c r="F81" i="4"/>
  <c r="I81" i="4"/>
  <c r="E81" i="4"/>
  <c r="A81" i="4"/>
  <c r="H81" i="4"/>
  <c r="D81" i="4"/>
  <c r="G81" i="4"/>
  <c r="C81" i="4"/>
  <c r="B82" i="4"/>
  <c r="H82" i="4" l="1"/>
  <c r="D82" i="4"/>
  <c r="G82" i="4"/>
  <c r="C82" i="4"/>
  <c r="J82" i="4"/>
  <c r="F82" i="4"/>
  <c r="I82" i="4"/>
  <c r="E82" i="4"/>
  <c r="A82" i="4"/>
  <c r="B83" i="4"/>
  <c r="J83" i="4" l="1"/>
  <c r="F83" i="4"/>
  <c r="I83" i="4"/>
  <c r="E83" i="4"/>
  <c r="A83" i="4"/>
  <c r="H83" i="4"/>
  <c r="D83" i="4"/>
  <c r="C83" i="4"/>
  <c r="G83" i="4"/>
  <c r="B84" i="4"/>
  <c r="H84" i="4" l="1"/>
  <c r="D84" i="4"/>
  <c r="G84" i="4"/>
  <c r="C84" i="4"/>
  <c r="J84" i="4"/>
  <c r="F84" i="4"/>
  <c r="I84" i="4"/>
  <c r="E84" i="4"/>
  <c r="A84" i="4"/>
  <c r="B85" i="4"/>
  <c r="J85" i="4" l="1"/>
  <c r="F85" i="4"/>
  <c r="I85" i="4"/>
  <c r="E85" i="4"/>
  <c r="A85" i="4"/>
  <c r="H85" i="4"/>
  <c r="D85" i="4"/>
  <c r="G85" i="4"/>
  <c r="C85" i="4"/>
  <c r="B86" i="4"/>
  <c r="H86" i="4" l="1"/>
  <c r="D86" i="4"/>
  <c r="G86" i="4"/>
  <c r="C86" i="4"/>
  <c r="J86" i="4"/>
  <c r="F86" i="4"/>
  <c r="E86" i="4"/>
  <c r="A86" i="4"/>
  <c r="I86" i="4"/>
  <c r="B87" i="4"/>
  <c r="J87" i="4" l="1"/>
  <c r="F87" i="4"/>
  <c r="I87" i="4"/>
  <c r="E87" i="4"/>
  <c r="A87" i="4"/>
  <c r="H87" i="4"/>
  <c r="D87" i="4"/>
  <c r="G87" i="4"/>
  <c r="C87" i="4"/>
  <c r="B88" i="4"/>
  <c r="H88" i="4" l="1"/>
  <c r="D88" i="4"/>
  <c r="G88" i="4"/>
  <c r="C88" i="4"/>
  <c r="J88" i="4"/>
  <c r="F88" i="4"/>
  <c r="A88" i="4"/>
  <c r="I88" i="4"/>
  <c r="E88" i="4"/>
  <c r="B89" i="4"/>
  <c r="J89" i="4" l="1"/>
  <c r="F89" i="4"/>
  <c r="I89" i="4"/>
  <c r="E89" i="4"/>
  <c r="A89" i="4"/>
  <c r="H89" i="4"/>
  <c r="D89" i="4"/>
  <c r="G89" i="4"/>
  <c r="C89" i="4"/>
  <c r="B90" i="4"/>
  <c r="H90" i="4" l="1"/>
  <c r="D90" i="4"/>
  <c r="G90" i="4"/>
  <c r="C90" i="4"/>
  <c r="J90" i="4"/>
  <c r="F90" i="4"/>
  <c r="I90" i="4"/>
  <c r="E90" i="4"/>
  <c r="A90" i="4"/>
  <c r="B91" i="4"/>
  <c r="J91" i="4" l="1"/>
  <c r="F91" i="4"/>
  <c r="I91" i="4"/>
  <c r="E91" i="4"/>
  <c r="A91" i="4"/>
  <c r="H91" i="4"/>
  <c r="D91" i="4"/>
  <c r="C91" i="4"/>
  <c r="G91" i="4"/>
  <c r="B92" i="4"/>
  <c r="H92" i="4" l="1"/>
  <c r="D92" i="4"/>
  <c r="G92" i="4"/>
  <c r="C92" i="4"/>
  <c r="J92" i="4"/>
  <c r="F92" i="4"/>
  <c r="I92" i="4"/>
  <c r="E92" i="4"/>
  <c r="A92" i="4"/>
  <c r="B93" i="4"/>
  <c r="J93" i="4" l="1"/>
  <c r="F93" i="4"/>
  <c r="I93" i="4"/>
  <c r="E93" i="4"/>
  <c r="A93" i="4"/>
  <c r="H93" i="4"/>
  <c r="D93" i="4"/>
  <c r="G93" i="4"/>
  <c r="C93" i="4"/>
  <c r="B94" i="4"/>
  <c r="H94" i="4" l="1"/>
  <c r="D94" i="4"/>
  <c r="G94" i="4"/>
  <c r="C94" i="4"/>
  <c r="J94" i="4"/>
  <c r="F94" i="4"/>
  <c r="E94" i="4"/>
  <c r="A94" i="4"/>
  <c r="I94" i="4"/>
  <c r="B95" i="4"/>
  <c r="J95" i="4" l="1"/>
  <c r="F95" i="4"/>
  <c r="I95" i="4"/>
  <c r="E95" i="4"/>
  <c r="A95" i="4"/>
  <c r="H95" i="4"/>
  <c r="D95" i="4"/>
  <c r="G95" i="4"/>
  <c r="C95" i="4"/>
  <c r="B96" i="4"/>
  <c r="H96" i="4" l="1"/>
  <c r="D96" i="4"/>
  <c r="G96" i="4"/>
  <c r="C96" i="4"/>
  <c r="J96" i="4"/>
  <c r="F96" i="4"/>
  <c r="A96" i="4"/>
  <c r="I96" i="4"/>
  <c r="E96" i="4"/>
  <c r="B97" i="4"/>
  <c r="J97" i="4" l="1"/>
  <c r="F97" i="4"/>
  <c r="I97" i="4"/>
  <c r="E97" i="4"/>
  <c r="A97" i="4"/>
  <c r="H97" i="4"/>
  <c r="D97" i="4"/>
  <c r="G97" i="4"/>
  <c r="C97" i="4"/>
  <c r="B98" i="4"/>
  <c r="H98" i="4" l="1"/>
  <c r="D98" i="4"/>
  <c r="G98" i="4"/>
  <c r="C98" i="4"/>
  <c r="J98" i="4"/>
  <c r="F98" i="4"/>
  <c r="I98" i="4"/>
  <c r="E98" i="4"/>
  <c r="A98" i="4"/>
  <c r="B99" i="4"/>
  <c r="J99" i="4" l="1"/>
  <c r="F99" i="4"/>
  <c r="I99" i="4"/>
  <c r="E99" i="4"/>
  <c r="A99" i="4"/>
  <c r="H99" i="4"/>
  <c r="D99" i="4"/>
  <c r="C99" i="4"/>
  <c r="G99" i="4"/>
  <c r="B100" i="4"/>
  <c r="H100" i="4" l="1"/>
  <c r="D100" i="4"/>
  <c r="G100" i="4"/>
  <c r="C100" i="4"/>
  <c r="J100" i="4"/>
  <c r="F100" i="4"/>
  <c r="I100" i="4"/>
  <c r="E100" i="4"/>
  <c r="A100" i="4"/>
  <c r="B101" i="4"/>
  <c r="J101" i="4" l="1"/>
  <c r="F101" i="4"/>
  <c r="I101" i="4"/>
  <c r="E101" i="4"/>
  <c r="A101" i="4"/>
  <c r="H101" i="4"/>
  <c r="D101" i="4"/>
  <c r="G101" i="4"/>
  <c r="C101" i="4"/>
  <c r="B102" i="4"/>
  <c r="H102" i="4" l="1"/>
  <c r="D102" i="4"/>
  <c r="G102" i="4"/>
  <c r="C102" i="4"/>
  <c r="J102" i="4"/>
  <c r="F102" i="4"/>
  <c r="E102" i="4"/>
  <c r="A102" i="4"/>
  <c r="I102" i="4"/>
  <c r="B103" i="4"/>
  <c r="J103" i="4" l="1"/>
  <c r="F103" i="4"/>
  <c r="I103" i="4"/>
  <c r="E103" i="4"/>
  <c r="A103" i="4"/>
  <c r="H103" i="4"/>
  <c r="D103" i="4"/>
  <c r="G103" i="4"/>
  <c r="C103" i="4"/>
  <c r="B104" i="4"/>
  <c r="H104" i="4" l="1"/>
  <c r="D104" i="4"/>
  <c r="G104" i="4"/>
  <c r="C104" i="4"/>
  <c r="J104" i="4"/>
  <c r="F104" i="4"/>
  <c r="A104" i="4"/>
  <c r="I104" i="4"/>
  <c r="E104" i="4"/>
  <c r="B105" i="4"/>
  <c r="J105" i="4" l="1"/>
  <c r="F105" i="4"/>
  <c r="I105" i="4"/>
  <c r="E105" i="4"/>
  <c r="A105" i="4"/>
  <c r="H105" i="4"/>
  <c r="D105" i="4"/>
  <c r="G105" i="4"/>
  <c r="C105" i="4"/>
  <c r="B106" i="4"/>
  <c r="H106" i="4" l="1"/>
  <c r="D106" i="4"/>
  <c r="G106" i="4"/>
  <c r="C106" i="4"/>
  <c r="J106" i="4"/>
  <c r="F106" i="4"/>
  <c r="I106" i="4"/>
  <c r="E106" i="4"/>
  <c r="A106" i="4"/>
  <c r="B107" i="4"/>
  <c r="J107" i="4" l="1"/>
  <c r="F107" i="4"/>
  <c r="I107" i="4"/>
  <c r="E107" i="4"/>
  <c r="A107" i="4"/>
  <c r="H107" i="4"/>
  <c r="D107" i="4"/>
  <c r="C107" i="4"/>
  <c r="G107" i="4"/>
  <c r="B108" i="4"/>
  <c r="H108" i="4" l="1"/>
  <c r="D108" i="4"/>
  <c r="G108" i="4"/>
  <c r="C108" i="4"/>
  <c r="J108" i="4"/>
  <c r="F108" i="4"/>
  <c r="I108" i="4"/>
  <c r="E108" i="4"/>
  <c r="A108" i="4"/>
  <c r="B109" i="4"/>
  <c r="J109" i="4" l="1"/>
  <c r="F109" i="4"/>
  <c r="I109" i="4"/>
  <c r="E109" i="4"/>
  <c r="A109" i="4"/>
  <c r="H109" i="4"/>
  <c r="D109" i="4"/>
  <c r="G109" i="4"/>
  <c r="C109" i="4"/>
  <c r="B110" i="4"/>
  <c r="H110" i="4" l="1"/>
  <c r="D110" i="4"/>
  <c r="G110" i="4"/>
  <c r="C110" i="4"/>
  <c r="J110" i="4"/>
  <c r="F110" i="4"/>
  <c r="E110" i="4"/>
  <c r="A110" i="4"/>
  <c r="I110" i="4"/>
  <c r="B111" i="4"/>
  <c r="J111" i="4" l="1"/>
  <c r="F111" i="4"/>
  <c r="I111" i="4"/>
  <c r="E111" i="4"/>
  <c r="A111" i="4"/>
  <c r="H111" i="4"/>
  <c r="D111" i="4"/>
  <c r="G111" i="4"/>
  <c r="C111" i="4"/>
  <c r="B112" i="4"/>
  <c r="H112" i="4" l="1"/>
  <c r="D112" i="4"/>
  <c r="G112" i="4"/>
  <c r="C112" i="4"/>
  <c r="J112" i="4"/>
  <c r="F112" i="4"/>
  <c r="A112" i="4"/>
  <c r="I112" i="4"/>
  <c r="E112" i="4"/>
  <c r="B113" i="4"/>
  <c r="J113" i="4" l="1"/>
  <c r="F113" i="4"/>
  <c r="I113" i="4"/>
  <c r="E113" i="4"/>
  <c r="A113" i="4"/>
  <c r="H113" i="4"/>
  <c r="D113" i="4"/>
  <c r="G113" i="4"/>
  <c r="C113" i="4"/>
  <c r="B114" i="4"/>
  <c r="H114" i="4" l="1"/>
  <c r="D114" i="4"/>
  <c r="G114" i="4"/>
  <c r="C114" i="4"/>
  <c r="J114" i="4"/>
  <c r="F114" i="4"/>
  <c r="I114" i="4"/>
  <c r="E114" i="4"/>
  <c r="A114" i="4"/>
  <c r="B115" i="4"/>
  <c r="J115" i="4" l="1"/>
  <c r="F115" i="4"/>
  <c r="I115" i="4"/>
  <c r="E115" i="4"/>
  <c r="A115" i="4"/>
  <c r="H115" i="4"/>
  <c r="D115" i="4"/>
  <c r="C115" i="4"/>
  <c r="G115" i="4"/>
  <c r="B116" i="4"/>
  <c r="H116" i="4" l="1"/>
  <c r="D116" i="4"/>
  <c r="G116" i="4"/>
  <c r="C116" i="4"/>
  <c r="J116" i="4"/>
  <c r="F116" i="4"/>
  <c r="I116" i="4"/>
  <c r="E116" i="4"/>
  <c r="A116" i="4"/>
  <c r="B117" i="4"/>
  <c r="J117" i="4" l="1"/>
  <c r="F117" i="4"/>
  <c r="I117" i="4"/>
  <c r="E117" i="4"/>
  <c r="A117" i="4"/>
  <c r="H117" i="4"/>
  <c r="D117" i="4"/>
  <c r="G117" i="4"/>
  <c r="C117" i="4"/>
  <c r="B118" i="4"/>
  <c r="H118" i="4" l="1"/>
  <c r="D118" i="4"/>
  <c r="G118" i="4"/>
  <c r="C118" i="4"/>
  <c r="J118" i="4"/>
  <c r="F118" i="4"/>
  <c r="E118" i="4"/>
  <c r="A118" i="4"/>
  <c r="I118" i="4"/>
  <c r="B119" i="4"/>
  <c r="J119" i="4" l="1"/>
  <c r="F119" i="4"/>
  <c r="I119" i="4"/>
  <c r="E119" i="4"/>
  <c r="A119" i="4"/>
  <c r="H119" i="4"/>
  <c r="D119" i="4"/>
  <c r="G119" i="4"/>
  <c r="C119" i="4"/>
  <c r="B120" i="4"/>
  <c r="H120" i="4" l="1"/>
  <c r="D120" i="4"/>
  <c r="G120" i="4"/>
  <c r="C120" i="4"/>
  <c r="J120" i="4"/>
  <c r="F120" i="4"/>
  <c r="A120" i="4"/>
  <c r="I120" i="4"/>
  <c r="E120" i="4"/>
  <c r="B121" i="4"/>
  <c r="J121" i="4" l="1"/>
  <c r="F121" i="4"/>
  <c r="I121" i="4"/>
  <c r="E121" i="4"/>
  <c r="A121" i="4"/>
  <c r="H121" i="4"/>
  <c r="D121" i="4"/>
  <c r="G121" i="4"/>
  <c r="C121" i="4"/>
  <c r="B122" i="4"/>
  <c r="H122" i="4" l="1"/>
  <c r="D122" i="4"/>
  <c r="G122" i="4"/>
  <c r="C122" i="4"/>
  <c r="J122" i="4"/>
  <c r="F122" i="4"/>
  <c r="I122" i="4"/>
  <c r="E122" i="4"/>
  <c r="A122" i="4"/>
  <c r="B123" i="4"/>
  <c r="J123" i="4" l="1"/>
  <c r="F123" i="4"/>
  <c r="I123" i="4"/>
  <c r="E123" i="4"/>
  <c r="A123" i="4"/>
  <c r="H123" i="4"/>
  <c r="D123" i="4"/>
  <c r="C123" i="4"/>
  <c r="G123" i="4"/>
  <c r="B124" i="4"/>
  <c r="H124" i="4" l="1"/>
  <c r="D124" i="4"/>
  <c r="G124" i="4"/>
  <c r="C124" i="4"/>
  <c r="J124" i="4"/>
  <c r="F124" i="4"/>
  <c r="I124" i="4"/>
  <c r="E124" i="4"/>
  <c r="A124" i="4"/>
  <c r="B125" i="4"/>
  <c r="J125" i="4" l="1"/>
  <c r="F125" i="4"/>
  <c r="I125" i="4"/>
  <c r="E125" i="4"/>
  <c r="A125" i="4"/>
  <c r="H125" i="4"/>
  <c r="D125" i="4"/>
  <c r="G125" i="4"/>
  <c r="C125" i="4"/>
  <c r="B126" i="4"/>
  <c r="H126" i="4" l="1"/>
  <c r="D126" i="4"/>
  <c r="G126" i="4"/>
  <c r="C126" i="4"/>
  <c r="J126" i="4"/>
  <c r="F126" i="4"/>
  <c r="E126" i="4"/>
  <c r="A126" i="4"/>
  <c r="I126" i="4"/>
  <c r="B127" i="4"/>
  <c r="J127" i="4" l="1"/>
  <c r="F127" i="4"/>
  <c r="I127" i="4"/>
  <c r="E127" i="4"/>
  <c r="A127" i="4"/>
  <c r="H127" i="4"/>
  <c r="D127" i="4"/>
  <c r="G127" i="4"/>
  <c r="C127" i="4"/>
  <c r="B128" i="4"/>
  <c r="H128" i="4" l="1"/>
  <c r="D128" i="4"/>
  <c r="G128" i="4"/>
  <c r="C128" i="4"/>
  <c r="J128" i="4"/>
  <c r="F128" i="4"/>
  <c r="A128" i="4"/>
  <c r="I128" i="4"/>
  <c r="E128" i="4"/>
  <c r="B129" i="4"/>
  <c r="J129" i="4" l="1"/>
  <c r="F129" i="4"/>
  <c r="I129" i="4"/>
  <c r="E129" i="4"/>
  <c r="A129" i="4"/>
  <c r="H129" i="4"/>
  <c r="D129" i="4"/>
  <c r="G129" i="4"/>
  <c r="C129" i="4"/>
  <c r="B130" i="4"/>
  <c r="H130" i="4" l="1"/>
  <c r="D130" i="4"/>
  <c r="G130" i="4"/>
  <c r="C130" i="4"/>
  <c r="J130" i="4"/>
  <c r="F130" i="4"/>
  <c r="I130" i="4"/>
  <c r="E130" i="4"/>
  <c r="A130" i="4"/>
  <c r="B131" i="4"/>
  <c r="J131" i="4" l="1"/>
  <c r="F131" i="4"/>
  <c r="I131" i="4"/>
  <c r="E131" i="4"/>
  <c r="A131" i="4"/>
  <c r="H131" i="4"/>
  <c r="D131" i="4"/>
  <c r="C131" i="4"/>
  <c r="G131" i="4"/>
  <c r="B132" i="4"/>
  <c r="H132" i="4" l="1"/>
  <c r="D132" i="4"/>
  <c r="G132" i="4"/>
  <c r="C132" i="4"/>
  <c r="J132" i="4"/>
  <c r="F132" i="4"/>
  <c r="I132" i="4"/>
  <c r="E132" i="4"/>
  <c r="A132" i="4"/>
  <c r="B133" i="4"/>
  <c r="J133" i="4" l="1"/>
  <c r="F133" i="4"/>
  <c r="I133" i="4"/>
  <c r="E133" i="4"/>
  <c r="A133" i="4"/>
  <c r="H133" i="4"/>
  <c r="D133" i="4"/>
  <c r="G133" i="4"/>
  <c r="C133" i="4"/>
  <c r="B134" i="4"/>
  <c r="H134" i="4" l="1"/>
  <c r="D134" i="4"/>
  <c r="G134" i="4"/>
  <c r="C134" i="4"/>
  <c r="J134" i="4"/>
  <c r="F134" i="4"/>
  <c r="E134" i="4"/>
  <c r="A134" i="4"/>
  <c r="I134" i="4"/>
  <c r="B135" i="4"/>
  <c r="J135" i="4" l="1"/>
  <c r="F135" i="4"/>
  <c r="I135" i="4"/>
  <c r="E135" i="4"/>
  <c r="A135" i="4"/>
  <c r="H135" i="4"/>
  <c r="D135" i="4"/>
  <c r="G135" i="4"/>
  <c r="C135" i="4"/>
  <c r="B136" i="4"/>
  <c r="H136" i="4" l="1"/>
  <c r="D136" i="4"/>
  <c r="G136" i="4"/>
  <c r="C136" i="4"/>
  <c r="J136" i="4"/>
  <c r="F136" i="4"/>
  <c r="A136" i="4"/>
  <c r="I136" i="4"/>
  <c r="E136" i="4"/>
  <c r="B137" i="4"/>
  <c r="J137" i="4" l="1"/>
  <c r="F137" i="4"/>
  <c r="I137" i="4"/>
  <c r="E137" i="4"/>
  <c r="A137" i="4"/>
  <c r="H137" i="4"/>
  <c r="D137" i="4"/>
  <c r="G137" i="4"/>
  <c r="C137" i="4"/>
  <c r="B138" i="4"/>
  <c r="H138" i="4" l="1"/>
  <c r="D138" i="4"/>
  <c r="G138" i="4"/>
  <c r="C138" i="4"/>
  <c r="J138" i="4"/>
  <c r="F138" i="4"/>
  <c r="I138" i="4"/>
  <c r="E138" i="4"/>
  <c r="A138" i="4"/>
  <c r="B139" i="4"/>
  <c r="J139" i="4" l="1"/>
  <c r="F139" i="4"/>
  <c r="I139" i="4"/>
  <c r="E139" i="4"/>
  <c r="A139" i="4"/>
  <c r="H139" i="4"/>
  <c r="D139" i="4"/>
  <c r="C139" i="4"/>
  <c r="G139" i="4"/>
  <c r="B140" i="4"/>
  <c r="H140" i="4" l="1"/>
  <c r="D140" i="4"/>
  <c r="G140" i="4"/>
  <c r="C140" i="4"/>
  <c r="J140" i="4"/>
  <c r="F140" i="4"/>
  <c r="I140" i="4"/>
  <c r="E140" i="4"/>
  <c r="A140" i="4"/>
  <c r="B141" i="4"/>
  <c r="J141" i="4" l="1"/>
  <c r="F141" i="4"/>
  <c r="I141" i="4"/>
  <c r="E141" i="4"/>
  <c r="A141" i="4"/>
  <c r="H141" i="4"/>
  <c r="D141" i="4"/>
  <c r="G141" i="4"/>
  <c r="C141" i="4"/>
  <c r="B142" i="4"/>
  <c r="H142" i="4" l="1"/>
  <c r="D142" i="4"/>
  <c r="G142" i="4"/>
  <c r="C142" i="4"/>
  <c r="J142" i="4"/>
  <c r="F142" i="4"/>
  <c r="E142" i="4"/>
  <c r="A142" i="4"/>
  <c r="I142" i="4"/>
  <c r="B143" i="4"/>
  <c r="J143" i="4" l="1"/>
  <c r="F143" i="4"/>
  <c r="I143" i="4"/>
  <c r="E143" i="4"/>
  <c r="A143" i="4"/>
  <c r="H143" i="4"/>
  <c r="D143" i="4"/>
  <c r="G143" i="4"/>
  <c r="C143" i="4"/>
  <c r="B144" i="4"/>
  <c r="H144" i="4" l="1"/>
  <c r="D144" i="4"/>
  <c r="G144" i="4"/>
  <c r="C144" i="4"/>
  <c r="J144" i="4"/>
  <c r="F144" i="4"/>
  <c r="A144" i="4"/>
  <c r="I144" i="4"/>
  <c r="E144" i="4"/>
  <c r="B145" i="4"/>
  <c r="J145" i="4" l="1"/>
  <c r="F145" i="4"/>
  <c r="I145" i="4"/>
  <c r="E145" i="4"/>
  <c r="A145" i="4"/>
  <c r="H145" i="4"/>
  <c r="D145" i="4"/>
  <c r="G145" i="4"/>
  <c r="C145" i="4"/>
  <c r="B146" i="4"/>
  <c r="H146" i="4" l="1"/>
  <c r="D146" i="4"/>
  <c r="G146" i="4"/>
  <c r="C146" i="4"/>
  <c r="J146" i="4"/>
  <c r="F146" i="4"/>
  <c r="I146" i="4"/>
  <c r="E146" i="4"/>
  <c r="A146" i="4"/>
  <c r="B147" i="4"/>
  <c r="I147" i="4" l="1"/>
  <c r="E147" i="4"/>
  <c r="G147" i="4"/>
  <c r="F147" i="4"/>
  <c r="A147" i="4"/>
  <c r="J147" i="4"/>
  <c r="D147" i="4"/>
  <c r="C147" i="4"/>
  <c r="H147" i="4"/>
  <c r="B148" i="4"/>
  <c r="G148" i="4" l="1"/>
  <c r="C148" i="4"/>
  <c r="H148" i="4"/>
  <c r="F148" i="4"/>
  <c r="A148" i="4"/>
  <c r="J148" i="4"/>
  <c r="E148" i="4"/>
  <c r="I148" i="4"/>
  <c r="D148" i="4"/>
  <c r="B149" i="4"/>
  <c r="I149" i="4" l="1"/>
  <c r="E149" i="4"/>
  <c r="A149" i="4"/>
  <c r="H149" i="4"/>
  <c r="C149" i="4"/>
  <c r="G149" i="4"/>
  <c r="F149" i="4"/>
  <c r="D149" i="4"/>
  <c r="J149" i="4"/>
  <c r="B150" i="4"/>
  <c r="G150" i="4" l="1"/>
  <c r="C150" i="4"/>
  <c r="J150" i="4"/>
  <c r="F150" i="4"/>
  <c r="D150" i="4"/>
  <c r="I150" i="4"/>
  <c r="H150" i="4"/>
  <c r="A150" i="4"/>
  <c r="E150" i="4"/>
  <c r="B151" i="4"/>
  <c r="I151" i="4" l="1"/>
  <c r="E151" i="4"/>
  <c r="A151" i="4"/>
  <c r="H151" i="4"/>
  <c r="D151" i="4"/>
  <c r="J151" i="4"/>
  <c r="G151" i="4"/>
  <c r="F151" i="4"/>
  <c r="C151" i="4"/>
  <c r="B152" i="4"/>
  <c r="J152" i="4" l="1"/>
  <c r="G152" i="4"/>
  <c r="C152" i="4"/>
  <c r="F152" i="4"/>
  <c r="H152" i="4"/>
  <c r="E152" i="4"/>
  <c r="D152" i="4"/>
  <c r="A152" i="4"/>
  <c r="I152" i="4"/>
  <c r="B153" i="4"/>
  <c r="H153" i="4" l="1"/>
  <c r="D153" i="4"/>
  <c r="G153" i="4"/>
  <c r="F153" i="4"/>
  <c r="A153" i="4"/>
  <c r="I153" i="4"/>
  <c r="E153" i="4"/>
  <c r="C153" i="4"/>
  <c r="J153" i="4"/>
  <c r="B154" i="4"/>
  <c r="J154" i="4" l="1"/>
  <c r="F154" i="4"/>
  <c r="H154" i="4"/>
  <c r="C154" i="4"/>
  <c r="G154" i="4"/>
  <c r="A154" i="4"/>
  <c r="I154" i="4"/>
  <c r="E154" i="4"/>
  <c r="D154" i="4"/>
  <c r="B155" i="4"/>
  <c r="H155" i="4" l="1"/>
  <c r="D155" i="4"/>
  <c r="I155" i="4"/>
  <c r="C155" i="4"/>
  <c r="G155" i="4"/>
  <c r="J155" i="4"/>
  <c r="F155" i="4"/>
  <c r="E155" i="4"/>
  <c r="A155" i="4"/>
  <c r="B156" i="4"/>
  <c r="J156" i="4" l="1"/>
  <c r="F156" i="4"/>
  <c r="I156" i="4"/>
  <c r="D156" i="4"/>
  <c r="H156" i="4"/>
  <c r="C156" i="4"/>
  <c r="G156" i="4"/>
  <c r="E156" i="4"/>
  <c r="A156" i="4"/>
  <c r="B157" i="4"/>
  <c r="H157" i="4" l="1"/>
  <c r="D157" i="4"/>
  <c r="J157" i="4"/>
  <c r="E157" i="4"/>
  <c r="I157" i="4"/>
  <c r="C157" i="4"/>
  <c r="A157" i="4"/>
  <c r="G157" i="4"/>
  <c r="F157" i="4"/>
  <c r="B158" i="4"/>
  <c r="J158" i="4" l="1"/>
  <c r="F158" i="4"/>
  <c r="E158" i="4"/>
  <c r="I158" i="4"/>
  <c r="D158" i="4"/>
  <c r="A158" i="4"/>
  <c r="H158" i="4"/>
  <c r="G158" i="4"/>
  <c r="C158" i="4"/>
  <c r="B159" i="4"/>
  <c r="H159" i="4" l="1"/>
  <c r="D159" i="4"/>
  <c r="F159" i="4"/>
  <c r="A159" i="4"/>
  <c r="J159" i="4"/>
  <c r="E159" i="4"/>
  <c r="I159" i="4"/>
  <c r="G159" i="4"/>
  <c r="C159" i="4"/>
  <c r="B160" i="4"/>
  <c r="J160" i="4" l="1"/>
  <c r="F160" i="4"/>
  <c r="G160" i="4"/>
  <c r="A160" i="4"/>
  <c r="E160" i="4"/>
  <c r="C160" i="4"/>
  <c r="I160" i="4"/>
  <c r="H160" i="4"/>
  <c r="D160" i="4"/>
  <c r="B161" i="4"/>
  <c r="H161" i="4" l="1"/>
  <c r="D161" i="4"/>
  <c r="G161" i="4"/>
  <c r="F161" i="4"/>
  <c r="A161" i="4"/>
  <c r="C161" i="4"/>
  <c r="J161" i="4"/>
  <c r="I161" i="4"/>
  <c r="E161" i="4"/>
  <c r="B162" i="4"/>
  <c r="J162" i="4" l="1"/>
  <c r="F162" i="4"/>
  <c r="H162" i="4"/>
  <c r="C162" i="4"/>
  <c r="G162" i="4"/>
  <c r="A162" i="4"/>
  <c r="D162" i="4"/>
  <c r="I162" i="4"/>
  <c r="E162" i="4"/>
  <c r="B163" i="4"/>
  <c r="H163" i="4" l="1"/>
  <c r="D163" i="4"/>
  <c r="I163" i="4"/>
  <c r="C163" i="4"/>
  <c r="G163" i="4"/>
  <c r="E163" i="4"/>
  <c r="A163" i="4"/>
  <c r="J163" i="4"/>
  <c r="F163" i="4"/>
  <c r="B164" i="4"/>
  <c r="J164" i="4" l="1"/>
  <c r="F164" i="4"/>
  <c r="I164" i="4"/>
  <c r="D164" i="4"/>
  <c r="H164" i="4"/>
  <c r="C164" i="4"/>
  <c r="E164" i="4"/>
  <c r="A164" i="4"/>
  <c r="G164" i="4"/>
  <c r="B165" i="4"/>
  <c r="H165" i="4" l="1"/>
  <c r="D165" i="4"/>
  <c r="J165" i="4"/>
  <c r="E165" i="4"/>
  <c r="I165" i="4"/>
  <c r="C165" i="4"/>
  <c r="F165" i="4"/>
  <c r="A165" i="4"/>
  <c r="G165" i="4"/>
  <c r="B166" i="4"/>
  <c r="J166" i="4" l="1"/>
  <c r="F166" i="4"/>
  <c r="E166" i="4"/>
  <c r="I166" i="4"/>
  <c r="D166" i="4"/>
  <c r="G166" i="4"/>
  <c r="C166" i="4"/>
  <c r="A166" i="4"/>
  <c r="H166" i="4"/>
  <c r="B167" i="4"/>
  <c r="H167" i="4" l="1"/>
  <c r="D167" i="4"/>
  <c r="F167" i="4"/>
  <c r="A167" i="4"/>
  <c r="J167" i="4"/>
  <c r="E167" i="4"/>
  <c r="G167" i="4"/>
  <c r="C167" i="4"/>
  <c r="I167" i="4"/>
  <c r="B168" i="4"/>
  <c r="J168" i="4" l="1"/>
  <c r="F168" i="4"/>
  <c r="G168" i="4"/>
  <c r="A168" i="4"/>
  <c r="E168" i="4"/>
  <c r="H168" i="4"/>
  <c r="D168" i="4"/>
  <c r="C168" i="4"/>
  <c r="I168" i="4"/>
  <c r="B169" i="4"/>
  <c r="H169" i="4" l="1"/>
  <c r="D169" i="4"/>
  <c r="G169" i="4"/>
  <c r="F169" i="4"/>
  <c r="A169" i="4"/>
  <c r="I169" i="4"/>
  <c r="E169" i="4"/>
  <c r="C169" i="4"/>
  <c r="J169" i="4"/>
  <c r="B170" i="4"/>
  <c r="J170" i="4" l="1"/>
  <c r="F170" i="4"/>
  <c r="H170" i="4"/>
  <c r="C170" i="4"/>
  <c r="G170" i="4"/>
  <c r="A170" i="4"/>
  <c r="I170" i="4"/>
  <c r="E170" i="4"/>
  <c r="D170" i="4"/>
  <c r="B171" i="4"/>
  <c r="H171" i="4" l="1"/>
  <c r="D171" i="4"/>
  <c r="I171" i="4"/>
  <c r="C171" i="4"/>
  <c r="G171" i="4"/>
  <c r="J171" i="4"/>
  <c r="F171" i="4"/>
  <c r="E171" i="4"/>
  <c r="A171" i="4"/>
  <c r="B172" i="4"/>
  <c r="J172" i="4" l="1"/>
  <c r="F172" i="4"/>
  <c r="I172" i="4"/>
  <c r="D172" i="4"/>
  <c r="H172" i="4"/>
  <c r="C172" i="4"/>
  <c r="G172" i="4"/>
  <c r="E172" i="4"/>
  <c r="A172" i="4"/>
  <c r="B173" i="4"/>
  <c r="H173" i="4" l="1"/>
  <c r="D173" i="4"/>
  <c r="J173" i="4"/>
  <c r="E173" i="4"/>
  <c r="I173" i="4"/>
  <c r="C173" i="4"/>
  <c r="A173" i="4"/>
  <c r="G173" i="4"/>
  <c r="F173" i="4"/>
  <c r="B174" i="4"/>
  <c r="J174" i="4" l="1"/>
  <c r="F174" i="4"/>
  <c r="E174" i="4"/>
  <c r="I174" i="4"/>
  <c r="D174" i="4"/>
  <c r="A174" i="4"/>
  <c r="H174" i="4"/>
  <c r="G174" i="4"/>
  <c r="C174" i="4"/>
  <c r="B175" i="4"/>
  <c r="H175" i="4" l="1"/>
  <c r="D175" i="4"/>
  <c r="F175" i="4"/>
  <c r="A175" i="4"/>
  <c r="J175" i="4"/>
  <c r="E175" i="4"/>
  <c r="I175" i="4"/>
  <c r="G175" i="4"/>
  <c r="C175" i="4"/>
  <c r="B176" i="4"/>
  <c r="J176" i="4" l="1"/>
  <c r="F176" i="4"/>
  <c r="G176" i="4"/>
  <c r="A176" i="4"/>
  <c r="E176" i="4"/>
  <c r="C176" i="4"/>
  <c r="I176" i="4"/>
  <c r="H176" i="4"/>
  <c r="D176" i="4"/>
  <c r="B177" i="4"/>
  <c r="H177" i="4" l="1"/>
  <c r="D177" i="4"/>
  <c r="G177" i="4"/>
  <c r="F177" i="4"/>
  <c r="A177" i="4"/>
  <c r="C177" i="4"/>
  <c r="J177" i="4"/>
  <c r="I177" i="4"/>
  <c r="E177" i="4"/>
  <c r="B178" i="4"/>
  <c r="J178" i="4" l="1"/>
  <c r="F178" i="4"/>
  <c r="H178" i="4"/>
  <c r="C178" i="4"/>
  <c r="G178" i="4"/>
  <c r="A178" i="4"/>
  <c r="D178" i="4"/>
  <c r="I178" i="4"/>
  <c r="E178" i="4"/>
  <c r="B179" i="4"/>
  <c r="H179" i="4" l="1"/>
  <c r="D179" i="4"/>
  <c r="I179" i="4"/>
  <c r="C179" i="4"/>
  <c r="G179" i="4"/>
  <c r="E179" i="4"/>
  <c r="A179" i="4"/>
  <c r="J179" i="4"/>
  <c r="F179" i="4"/>
  <c r="B180" i="4"/>
  <c r="J180" i="4" l="1"/>
  <c r="F180" i="4"/>
  <c r="I180" i="4"/>
  <c r="D180" i="4"/>
  <c r="H180" i="4"/>
  <c r="C180" i="4"/>
  <c r="E180" i="4"/>
  <c r="A180" i="4"/>
  <c r="G180" i="4"/>
  <c r="B181" i="4"/>
  <c r="H181" i="4" l="1"/>
  <c r="D181" i="4"/>
  <c r="J181" i="4"/>
  <c r="E181" i="4"/>
  <c r="I181" i="4"/>
  <c r="C181" i="4"/>
  <c r="F181" i="4"/>
  <c r="A181" i="4"/>
  <c r="G181" i="4"/>
  <c r="B182" i="4"/>
  <c r="J182" i="4" l="1"/>
  <c r="F182" i="4"/>
  <c r="E182" i="4"/>
  <c r="I182" i="4"/>
  <c r="D182" i="4"/>
  <c r="G182" i="4"/>
  <c r="C182" i="4"/>
  <c r="A182" i="4"/>
  <c r="H182" i="4"/>
  <c r="B183" i="4"/>
  <c r="H183" i="4" l="1"/>
  <c r="D183" i="4"/>
  <c r="F183" i="4"/>
  <c r="A183" i="4"/>
  <c r="J183" i="4"/>
  <c r="E183" i="4"/>
  <c r="G183" i="4"/>
  <c r="C183" i="4"/>
  <c r="I183" i="4"/>
  <c r="B184" i="4"/>
  <c r="J184" i="4" l="1"/>
  <c r="F184" i="4"/>
  <c r="G184" i="4"/>
  <c r="A184" i="4"/>
  <c r="E184" i="4"/>
  <c r="H184" i="4"/>
  <c r="D184" i="4"/>
  <c r="C184" i="4"/>
  <c r="I184" i="4"/>
  <c r="B185" i="4"/>
  <c r="H185" i="4" l="1"/>
  <c r="D185" i="4"/>
  <c r="G185" i="4"/>
  <c r="F185" i="4"/>
  <c r="A185" i="4"/>
  <c r="I185" i="4"/>
  <c r="E185" i="4"/>
  <c r="C185" i="4"/>
  <c r="J185" i="4"/>
  <c r="B186" i="4"/>
  <c r="J186" i="4" l="1"/>
  <c r="F186" i="4"/>
  <c r="H186" i="4"/>
  <c r="C186" i="4"/>
  <c r="G186" i="4"/>
  <c r="A186" i="4"/>
  <c r="I186" i="4"/>
  <c r="E186" i="4"/>
  <c r="D186" i="4"/>
  <c r="B187" i="4"/>
  <c r="H187" i="4" l="1"/>
  <c r="D187" i="4"/>
  <c r="I187" i="4"/>
  <c r="C187" i="4"/>
  <c r="G187" i="4"/>
  <c r="J187" i="4"/>
  <c r="F187" i="4"/>
  <c r="E187" i="4"/>
  <c r="A187" i="4"/>
  <c r="B188" i="4"/>
  <c r="J188" i="4" l="1"/>
  <c r="F188" i="4"/>
  <c r="I188" i="4"/>
  <c r="D188" i="4"/>
  <c r="H188" i="4"/>
  <c r="C188" i="4"/>
  <c r="G188" i="4"/>
  <c r="E188" i="4"/>
  <c r="A188" i="4"/>
  <c r="B189" i="4"/>
  <c r="H189" i="4" l="1"/>
  <c r="D189" i="4"/>
  <c r="J189" i="4"/>
  <c r="E189" i="4"/>
  <c r="I189" i="4"/>
  <c r="C189" i="4"/>
  <c r="A189" i="4"/>
  <c r="G189" i="4"/>
  <c r="F189" i="4"/>
  <c r="B190" i="4"/>
  <c r="J190" i="4" l="1"/>
  <c r="F190" i="4"/>
  <c r="E190" i="4"/>
  <c r="I190" i="4"/>
  <c r="D190" i="4"/>
  <c r="A190" i="4"/>
  <c r="H190" i="4"/>
  <c r="G190" i="4"/>
  <c r="C190" i="4"/>
  <c r="B191" i="4"/>
  <c r="H191" i="4" l="1"/>
  <c r="D191" i="4"/>
  <c r="F191" i="4"/>
  <c r="A191" i="4"/>
  <c r="J191" i="4"/>
  <c r="E191" i="4"/>
  <c r="I191" i="4"/>
  <c r="G191" i="4"/>
  <c r="C191" i="4"/>
  <c r="B192" i="4"/>
  <c r="J192" i="4" l="1"/>
  <c r="F192" i="4"/>
  <c r="G192" i="4"/>
  <c r="A192" i="4"/>
  <c r="E192" i="4"/>
  <c r="C192" i="4"/>
  <c r="I192" i="4"/>
  <c r="H192" i="4"/>
  <c r="D192" i="4"/>
  <c r="B193" i="4"/>
  <c r="H193" i="4" l="1"/>
  <c r="D193" i="4"/>
  <c r="G193" i="4"/>
  <c r="F193" i="4"/>
  <c r="A193" i="4"/>
  <c r="C193" i="4"/>
  <c r="J193" i="4"/>
  <c r="I193" i="4"/>
  <c r="E193" i="4"/>
  <c r="B194" i="4"/>
  <c r="J194" i="4" l="1"/>
  <c r="F194" i="4"/>
  <c r="H194" i="4"/>
  <c r="C194" i="4"/>
  <c r="G194" i="4"/>
  <c r="A194" i="4"/>
  <c r="D194" i="4"/>
  <c r="I194" i="4"/>
  <c r="E194" i="4"/>
  <c r="B195" i="4"/>
  <c r="H195" i="4" l="1"/>
  <c r="D195" i="4"/>
  <c r="I195" i="4"/>
  <c r="C195" i="4"/>
  <c r="G195" i="4"/>
  <c r="E195" i="4"/>
  <c r="A195" i="4"/>
  <c r="J195" i="4"/>
  <c r="F195" i="4"/>
  <c r="B196" i="4"/>
  <c r="J196" i="4" l="1"/>
  <c r="F196" i="4"/>
  <c r="I196" i="4"/>
  <c r="D196" i="4"/>
  <c r="H196" i="4"/>
  <c r="C196" i="4"/>
  <c r="E196" i="4"/>
  <c r="A196" i="4"/>
  <c r="G196" i="4"/>
  <c r="B197" i="4"/>
  <c r="H197" i="4" l="1"/>
  <c r="D197" i="4"/>
  <c r="J197" i="4"/>
  <c r="E197" i="4"/>
  <c r="I197" i="4"/>
  <c r="C197" i="4"/>
  <c r="F197" i="4"/>
  <c r="A197" i="4"/>
  <c r="G197" i="4"/>
  <c r="B198" i="4"/>
  <c r="J198" i="4" l="1"/>
  <c r="F198" i="4"/>
  <c r="E198" i="4"/>
  <c r="I198" i="4"/>
  <c r="D198" i="4"/>
  <c r="G198" i="4"/>
  <c r="C198" i="4"/>
  <c r="A198" i="4"/>
  <c r="H198" i="4"/>
  <c r="B199" i="4"/>
  <c r="H199" i="4" l="1"/>
  <c r="D199" i="4"/>
  <c r="J199" i="4"/>
  <c r="F199" i="4"/>
  <c r="A199" i="4"/>
  <c r="E199" i="4"/>
  <c r="G199" i="4"/>
  <c r="C199" i="4"/>
  <c r="I199" i="4"/>
  <c r="B200" i="4"/>
  <c r="J200" i="4" l="1"/>
  <c r="F200" i="4"/>
  <c r="H200" i="4"/>
  <c r="D200" i="4"/>
  <c r="C200" i="4"/>
  <c r="I200" i="4"/>
  <c r="A200" i="4"/>
  <c r="G200" i="4"/>
  <c r="E200" i="4"/>
  <c r="B201" i="4"/>
  <c r="H201" i="4" l="1"/>
  <c r="D201" i="4"/>
  <c r="J201" i="4"/>
  <c r="F201" i="4"/>
  <c r="I201" i="4"/>
  <c r="A201" i="4"/>
  <c r="G201" i="4"/>
  <c r="C201" i="4"/>
  <c r="E201" i="4"/>
  <c r="B202" i="4"/>
  <c r="J202" i="4" l="1"/>
  <c r="F202" i="4"/>
  <c r="H202" i="4"/>
  <c r="D202" i="4"/>
  <c r="G202" i="4"/>
  <c r="E202" i="4"/>
  <c r="I202" i="4"/>
  <c r="C202" i="4"/>
  <c r="A202" i="4"/>
  <c r="B203" i="4"/>
  <c r="H203" i="4" l="1"/>
  <c r="D203" i="4"/>
  <c r="J203" i="4"/>
  <c r="F203" i="4"/>
  <c r="E203" i="4"/>
  <c r="C203" i="4"/>
  <c r="I203" i="4"/>
  <c r="G203" i="4"/>
  <c r="A203" i="4"/>
  <c r="B204" i="4"/>
  <c r="J204" i="4" l="1"/>
  <c r="F204" i="4"/>
  <c r="H204" i="4"/>
  <c r="D204" i="4"/>
  <c r="C204" i="4"/>
  <c r="I204" i="4"/>
  <c r="A204" i="4"/>
  <c r="G204" i="4"/>
  <c r="E204" i="4"/>
  <c r="B205" i="4"/>
  <c r="H205" i="4" l="1"/>
  <c r="D205" i="4"/>
  <c r="J205" i="4"/>
  <c r="F205" i="4"/>
  <c r="I205" i="4"/>
  <c r="A205" i="4"/>
  <c r="G205" i="4"/>
  <c r="E205" i="4"/>
  <c r="C205" i="4"/>
  <c r="B206" i="4"/>
  <c r="J206" i="4" l="1"/>
  <c r="F206" i="4"/>
  <c r="H206" i="4"/>
  <c r="D206" i="4"/>
  <c r="G206" i="4"/>
  <c r="E206" i="4"/>
  <c r="C206" i="4"/>
  <c r="I206" i="4"/>
  <c r="A206" i="4"/>
  <c r="B207" i="4"/>
  <c r="H207" i="4" l="1"/>
  <c r="D207" i="4"/>
  <c r="J207" i="4"/>
  <c r="F207" i="4"/>
  <c r="E207" i="4"/>
  <c r="C207" i="4"/>
  <c r="I207" i="4"/>
  <c r="A207" i="4"/>
  <c r="G207" i="4"/>
  <c r="B208" i="4"/>
  <c r="J208" i="4" l="1"/>
  <c r="F208" i="4"/>
  <c r="H208" i="4"/>
  <c r="D208" i="4"/>
  <c r="C208" i="4"/>
  <c r="I208" i="4"/>
  <c r="A208" i="4"/>
  <c r="G208" i="4"/>
  <c r="E208" i="4"/>
  <c r="B209" i="4"/>
  <c r="H209" i="4" l="1"/>
  <c r="D209" i="4"/>
  <c r="J209" i="4"/>
  <c r="F209" i="4"/>
  <c r="I209" i="4"/>
  <c r="A209" i="4"/>
  <c r="G209" i="4"/>
  <c r="E209" i="4"/>
  <c r="C209" i="4"/>
  <c r="B210" i="4"/>
  <c r="J210" i="4" l="1"/>
  <c r="F210" i="4"/>
  <c r="H210" i="4"/>
  <c r="D210" i="4"/>
  <c r="G210" i="4"/>
  <c r="E210" i="4"/>
  <c r="C210" i="4"/>
  <c r="I210" i="4"/>
  <c r="A210" i="4"/>
  <c r="B211" i="4"/>
  <c r="H211" i="4" l="1"/>
  <c r="D211" i="4"/>
  <c r="J211" i="4"/>
  <c r="F211" i="4"/>
  <c r="E211" i="4"/>
  <c r="C211" i="4"/>
  <c r="I211" i="4"/>
  <c r="A211" i="4"/>
  <c r="G211" i="4"/>
  <c r="B212" i="4"/>
  <c r="J212" i="4" l="1"/>
  <c r="F212" i="4"/>
  <c r="H212" i="4"/>
  <c r="D212" i="4"/>
  <c r="C212" i="4"/>
  <c r="I212" i="4"/>
  <c r="A212" i="4"/>
  <c r="G212" i="4"/>
  <c r="E212" i="4"/>
  <c r="B213" i="4"/>
  <c r="H213" i="4" l="1"/>
  <c r="D213" i="4"/>
  <c r="J213" i="4"/>
  <c r="F213" i="4"/>
  <c r="I213" i="4"/>
  <c r="A213" i="4"/>
  <c r="G213" i="4"/>
  <c r="E213" i="4"/>
  <c r="C213" i="4"/>
  <c r="B214" i="4"/>
  <c r="J214" i="4" l="1"/>
  <c r="F214" i="4"/>
  <c r="H214" i="4"/>
  <c r="D214" i="4"/>
  <c r="G214" i="4"/>
  <c r="E214" i="4"/>
  <c r="C214" i="4"/>
  <c r="I214" i="4"/>
  <c r="A214" i="4"/>
  <c r="B215" i="4"/>
  <c r="H215" i="4" l="1"/>
  <c r="D215" i="4"/>
  <c r="J215" i="4"/>
  <c r="F215" i="4"/>
  <c r="E215" i="4"/>
  <c r="C215" i="4"/>
  <c r="I215" i="4"/>
  <c r="A215" i="4"/>
  <c r="G215" i="4"/>
  <c r="B216" i="4"/>
  <c r="J216" i="4" l="1"/>
  <c r="F216" i="4"/>
  <c r="H216" i="4"/>
  <c r="D216" i="4"/>
  <c r="C216" i="4"/>
  <c r="I216" i="4"/>
  <c r="A216" i="4"/>
  <c r="G216" i="4"/>
  <c r="E216" i="4"/>
  <c r="B217" i="4"/>
  <c r="H217" i="4" l="1"/>
  <c r="D217" i="4"/>
  <c r="J217" i="4"/>
  <c r="F217" i="4"/>
  <c r="I217" i="4"/>
  <c r="A217" i="4"/>
  <c r="G217" i="4"/>
  <c r="E217" i="4"/>
  <c r="C217" i="4"/>
  <c r="B218" i="4"/>
  <c r="J218" i="4" l="1"/>
  <c r="F218" i="4"/>
  <c r="H218" i="4"/>
  <c r="D218" i="4"/>
  <c r="G218" i="4"/>
  <c r="E218" i="4"/>
  <c r="C218" i="4"/>
  <c r="A218" i="4"/>
  <c r="I218" i="4"/>
  <c r="B219" i="4"/>
  <c r="H219" i="4" l="1"/>
  <c r="D219" i="4"/>
  <c r="J219" i="4"/>
  <c r="F219" i="4"/>
  <c r="E219" i="4"/>
  <c r="C219" i="4"/>
  <c r="I219" i="4"/>
  <c r="A219" i="4"/>
  <c r="G219" i="4"/>
  <c r="B220" i="4"/>
  <c r="J220" i="4" l="1"/>
  <c r="F220" i="4"/>
  <c r="H220" i="4"/>
  <c r="D220" i="4"/>
  <c r="C220" i="4"/>
  <c r="I220" i="4"/>
  <c r="A220" i="4"/>
  <c r="G220" i="4"/>
  <c r="E220" i="4"/>
  <c r="B221" i="4"/>
  <c r="H221" i="4" l="1"/>
  <c r="D221" i="4"/>
  <c r="J221" i="4"/>
  <c r="F221" i="4"/>
  <c r="I221" i="4"/>
  <c r="A221" i="4"/>
  <c r="G221" i="4"/>
  <c r="E221" i="4"/>
  <c r="C221" i="4"/>
  <c r="B222" i="4"/>
  <c r="J222" i="4" l="1"/>
  <c r="F222" i="4"/>
  <c r="H222" i="4"/>
  <c r="D222" i="4"/>
  <c r="G222" i="4"/>
  <c r="E222" i="4"/>
  <c r="C222" i="4"/>
  <c r="I222" i="4"/>
  <c r="A222" i="4"/>
  <c r="B223" i="4"/>
  <c r="H223" i="4" l="1"/>
  <c r="D223" i="4"/>
  <c r="J223" i="4"/>
  <c r="F223" i="4"/>
  <c r="E223" i="4"/>
  <c r="C223" i="4"/>
  <c r="I223" i="4"/>
  <c r="A223" i="4"/>
  <c r="G223" i="4"/>
  <c r="B224" i="4"/>
  <c r="J224" i="4" l="1"/>
  <c r="F224" i="4"/>
  <c r="H224" i="4"/>
  <c r="D224" i="4"/>
  <c r="C224" i="4"/>
  <c r="I224" i="4"/>
  <c r="A224" i="4"/>
  <c r="G224" i="4"/>
  <c r="E224" i="4"/>
  <c r="B225" i="4"/>
  <c r="H225" i="4" l="1"/>
  <c r="D225" i="4"/>
  <c r="J225" i="4"/>
  <c r="F225" i="4"/>
  <c r="I225" i="4"/>
  <c r="A225" i="4"/>
  <c r="G225" i="4"/>
  <c r="E225" i="4"/>
  <c r="C225" i="4"/>
  <c r="B226" i="4"/>
  <c r="J226" i="4" l="1"/>
  <c r="F226" i="4"/>
  <c r="H226" i="4"/>
  <c r="D226" i="4"/>
  <c r="G226" i="4"/>
  <c r="E226" i="4"/>
  <c r="C226" i="4"/>
  <c r="I226" i="4"/>
  <c r="A226" i="4"/>
  <c r="B227" i="4"/>
  <c r="H227" i="4" l="1"/>
  <c r="D227" i="4"/>
  <c r="J227" i="4"/>
  <c r="F227" i="4"/>
  <c r="E227" i="4"/>
  <c r="C227" i="4"/>
  <c r="I227" i="4"/>
  <c r="A227" i="4"/>
  <c r="G227" i="4"/>
  <c r="B228" i="4"/>
  <c r="G228" i="4" l="1"/>
  <c r="F228" i="4"/>
  <c r="I228" i="4"/>
  <c r="D228" i="4"/>
  <c r="C228" i="4"/>
  <c r="J228" i="4"/>
  <c r="A228" i="4"/>
  <c r="H228" i="4"/>
  <c r="E228" i="4"/>
  <c r="B229" i="4"/>
  <c r="I229" i="4" l="1"/>
  <c r="E229" i="4"/>
  <c r="A229" i="4"/>
  <c r="G229" i="4"/>
  <c r="J229" i="4"/>
  <c r="D229" i="4"/>
  <c r="C229" i="4"/>
  <c r="H229" i="4"/>
  <c r="F229" i="4"/>
  <c r="B230" i="4"/>
  <c r="G230" i="4" l="1"/>
  <c r="C230" i="4"/>
  <c r="H230" i="4"/>
  <c r="J230" i="4"/>
  <c r="E230" i="4"/>
  <c r="D230" i="4"/>
  <c r="A230" i="4"/>
  <c r="I230" i="4"/>
  <c r="F230" i="4"/>
  <c r="B231" i="4"/>
  <c r="I231" i="4" l="1"/>
  <c r="E231" i="4"/>
  <c r="A231" i="4"/>
  <c r="H231" i="4"/>
  <c r="C231" i="4"/>
  <c r="F231" i="4"/>
  <c r="D231" i="4"/>
  <c r="J231" i="4"/>
  <c r="G231" i="4"/>
  <c r="B232" i="4"/>
  <c r="G232" i="4" l="1"/>
  <c r="C232" i="4"/>
  <c r="I232" i="4"/>
  <c r="D232" i="4"/>
  <c r="F232" i="4"/>
  <c r="A232" i="4"/>
  <c r="E232" i="4"/>
  <c r="J232" i="4"/>
  <c r="H232" i="4"/>
  <c r="B233" i="4"/>
  <c r="I233" i="4" l="1"/>
  <c r="E233" i="4"/>
  <c r="A233" i="4"/>
  <c r="J233" i="4"/>
  <c r="D233" i="4"/>
  <c r="G233" i="4"/>
  <c r="F233" i="4"/>
  <c r="C233" i="4"/>
  <c r="H233" i="4"/>
  <c r="B234" i="4"/>
  <c r="G234" i="4" l="1"/>
  <c r="C234" i="4"/>
  <c r="J234" i="4"/>
  <c r="E234" i="4"/>
  <c r="H234" i="4"/>
  <c r="F234" i="4"/>
  <c r="D234" i="4"/>
  <c r="A234" i="4"/>
  <c r="I234" i="4"/>
  <c r="B235" i="4"/>
  <c r="I235" i="4" l="1"/>
  <c r="E235" i="4"/>
  <c r="A235" i="4"/>
  <c r="F235" i="4"/>
  <c r="H235" i="4"/>
  <c r="C235" i="4"/>
  <c r="G235" i="4"/>
  <c r="D235" i="4"/>
  <c r="J235" i="4"/>
  <c r="B236" i="4"/>
  <c r="G236" i="4" l="1"/>
  <c r="C236" i="4"/>
  <c r="F236" i="4"/>
  <c r="A236" i="4"/>
  <c r="I236" i="4"/>
  <c r="D236" i="4"/>
  <c r="H236" i="4"/>
  <c r="E236" i="4"/>
  <c r="J236" i="4"/>
  <c r="B237" i="4"/>
  <c r="I237" i="4" l="1"/>
  <c r="E237" i="4"/>
  <c r="A237" i="4"/>
  <c r="G237" i="4"/>
  <c r="J237" i="4"/>
  <c r="D237" i="4"/>
  <c r="H237" i="4"/>
  <c r="F237" i="4"/>
  <c r="C237" i="4"/>
  <c r="B238" i="4"/>
  <c r="G238" i="4" l="1"/>
  <c r="C238" i="4"/>
  <c r="H238" i="4"/>
  <c r="J238" i="4"/>
  <c r="E238" i="4"/>
  <c r="I238" i="4"/>
  <c r="F238" i="4"/>
  <c r="D238" i="4"/>
  <c r="A238" i="4"/>
  <c r="B239" i="4"/>
  <c r="I239" i="4" l="1"/>
  <c r="E239" i="4"/>
  <c r="A239" i="4"/>
  <c r="H239" i="4"/>
  <c r="C239" i="4"/>
  <c r="F239" i="4"/>
  <c r="J239" i="4"/>
  <c r="G239" i="4"/>
  <c r="D239" i="4"/>
  <c r="B240" i="4"/>
  <c r="G240" i="4" l="1"/>
  <c r="C240" i="4"/>
  <c r="I240" i="4"/>
  <c r="D240" i="4"/>
  <c r="F240" i="4"/>
  <c r="A240" i="4"/>
  <c r="J240" i="4"/>
  <c r="H240" i="4"/>
  <c r="E240" i="4"/>
  <c r="B241" i="4"/>
  <c r="I241" i="4" l="1"/>
  <c r="E241" i="4"/>
  <c r="A241" i="4"/>
  <c r="J241" i="4"/>
  <c r="D241" i="4"/>
  <c r="G241" i="4"/>
  <c r="H241" i="4"/>
  <c r="F241" i="4"/>
  <c r="C241" i="4"/>
  <c r="B242" i="4"/>
  <c r="G242" i="4" l="1"/>
  <c r="C242" i="4"/>
  <c r="J242" i="4"/>
  <c r="E242" i="4"/>
  <c r="H242" i="4"/>
  <c r="A242" i="4"/>
  <c r="I242" i="4"/>
  <c r="F242" i="4"/>
  <c r="D242" i="4"/>
  <c r="B243" i="4"/>
  <c r="I243" i="4" l="1"/>
  <c r="E243" i="4"/>
  <c r="A243" i="4"/>
  <c r="F243" i="4"/>
  <c r="H243" i="4"/>
  <c r="C243" i="4"/>
  <c r="J243" i="4"/>
  <c r="G243" i="4"/>
  <c r="D243" i="4"/>
  <c r="B244" i="4"/>
  <c r="G244" i="4" l="1"/>
  <c r="C244" i="4"/>
  <c r="F244" i="4"/>
  <c r="A244" i="4"/>
  <c r="I244" i="4"/>
  <c r="D244" i="4"/>
  <c r="J244" i="4"/>
  <c r="H244" i="4"/>
  <c r="E244" i="4"/>
  <c r="B245" i="4"/>
  <c r="I245" i="4" l="1"/>
  <c r="E245" i="4"/>
  <c r="A245" i="4"/>
  <c r="G245" i="4"/>
  <c r="J245" i="4"/>
  <c r="D245" i="4"/>
  <c r="C245" i="4"/>
  <c r="H245" i="4"/>
  <c r="F245" i="4"/>
  <c r="B246" i="4"/>
  <c r="G246" i="4" l="1"/>
  <c r="C246" i="4"/>
  <c r="H246" i="4"/>
  <c r="J246" i="4"/>
  <c r="E246" i="4"/>
  <c r="D246" i="4"/>
  <c r="A246" i="4"/>
  <c r="I246" i="4"/>
  <c r="F246" i="4"/>
  <c r="B247" i="4"/>
  <c r="I247" i="4" l="1"/>
  <c r="E247" i="4"/>
  <c r="A247" i="4"/>
  <c r="H247" i="4"/>
  <c r="C247" i="4"/>
  <c r="F247" i="4"/>
  <c r="D247" i="4"/>
  <c r="J247" i="4"/>
  <c r="G247" i="4"/>
  <c r="B248" i="4"/>
  <c r="G248" i="4" l="1"/>
  <c r="C248" i="4"/>
  <c r="I248" i="4"/>
  <c r="D248" i="4"/>
  <c r="F248" i="4"/>
  <c r="A248" i="4"/>
  <c r="E248" i="4"/>
  <c r="J248" i="4"/>
  <c r="H248" i="4"/>
  <c r="B249" i="4"/>
  <c r="I249" i="4" l="1"/>
  <c r="E249" i="4"/>
  <c r="A249" i="4"/>
  <c r="J249" i="4"/>
  <c r="D249" i="4"/>
  <c r="G249" i="4"/>
  <c r="F249" i="4"/>
  <c r="C249" i="4"/>
  <c r="H249" i="4"/>
  <c r="B250" i="4"/>
  <c r="G250" i="4" l="1"/>
  <c r="C250" i="4"/>
  <c r="J250" i="4"/>
  <c r="E250" i="4"/>
  <c r="H250" i="4"/>
  <c r="F250" i="4"/>
  <c r="D250" i="4"/>
  <c r="A250" i="4"/>
  <c r="I250" i="4"/>
  <c r="B251" i="4"/>
  <c r="I251" i="4" l="1"/>
  <c r="E251" i="4"/>
  <c r="A251" i="4"/>
  <c r="F251" i="4"/>
  <c r="H251" i="4"/>
  <c r="C251" i="4"/>
  <c r="G251" i="4"/>
  <c r="D251" i="4"/>
  <c r="J251" i="4"/>
  <c r="B252" i="4"/>
  <c r="G252" i="4" l="1"/>
  <c r="C252" i="4"/>
  <c r="J252" i="4"/>
  <c r="F252" i="4"/>
  <c r="I252" i="4"/>
  <c r="A252" i="4"/>
  <c r="E252" i="4"/>
  <c r="H252" i="4"/>
  <c r="D252" i="4"/>
  <c r="B253" i="4"/>
  <c r="I253" i="4" l="1"/>
  <c r="E253" i="4"/>
  <c r="A253" i="4"/>
  <c r="H253" i="4"/>
  <c r="D253" i="4"/>
  <c r="G253" i="4"/>
  <c r="C253" i="4"/>
  <c r="J253" i="4"/>
  <c r="F253" i="4"/>
  <c r="B254" i="4"/>
  <c r="G254" i="4" l="1"/>
  <c r="C254" i="4"/>
  <c r="J254" i="4"/>
  <c r="F254" i="4"/>
  <c r="E254" i="4"/>
  <c r="I254" i="4"/>
  <c r="A254" i="4"/>
  <c r="H254" i="4"/>
  <c r="D254" i="4"/>
  <c r="B255" i="4"/>
  <c r="I255" i="4" l="1"/>
  <c r="E255" i="4"/>
  <c r="A255" i="4"/>
  <c r="H255" i="4"/>
  <c r="D255" i="4"/>
  <c r="C255" i="4"/>
  <c r="G255" i="4"/>
  <c r="J255" i="4"/>
  <c r="F255" i="4"/>
  <c r="B256" i="4"/>
  <c r="G256" i="4" l="1"/>
  <c r="C256" i="4"/>
  <c r="J256" i="4"/>
  <c r="F256" i="4"/>
  <c r="I256" i="4"/>
  <c r="A256" i="4"/>
  <c r="E256" i="4"/>
  <c r="D256" i="4"/>
  <c r="H256" i="4"/>
  <c r="B257" i="4"/>
  <c r="I257" i="4" l="1"/>
  <c r="E257" i="4"/>
  <c r="A257" i="4"/>
  <c r="H257" i="4"/>
  <c r="D257" i="4"/>
  <c r="G257" i="4"/>
  <c r="C257" i="4"/>
  <c r="J257" i="4"/>
  <c r="F257" i="4"/>
  <c r="B258" i="4"/>
  <c r="G258" i="4" l="1"/>
  <c r="C258" i="4"/>
  <c r="J258" i="4"/>
  <c r="F258" i="4"/>
  <c r="E258" i="4"/>
  <c r="I258" i="4"/>
  <c r="A258" i="4"/>
  <c r="H258" i="4"/>
  <c r="D258" i="4"/>
  <c r="B259" i="4"/>
  <c r="I259" i="4" l="1"/>
  <c r="E259" i="4"/>
  <c r="A259" i="4"/>
  <c r="H259" i="4"/>
  <c r="D259" i="4"/>
  <c r="C259" i="4"/>
  <c r="G259" i="4"/>
  <c r="F259" i="4"/>
  <c r="J259" i="4"/>
  <c r="B260" i="4"/>
  <c r="G260" i="4" l="1"/>
  <c r="C260" i="4"/>
  <c r="J260" i="4"/>
  <c r="F260" i="4"/>
  <c r="I260" i="4"/>
  <c r="A260" i="4"/>
  <c r="E260" i="4"/>
  <c r="H260" i="4"/>
  <c r="D260" i="4"/>
  <c r="B261" i="4"/>
  <c r="I261" i="4" l="1"/>
  <c r="E261" i="4"/>
  <c r="A261" i="4"/>
  <c r="H261" i="4"/>
  <c r="D261" i="4"/>
  <c r="G261" i="4"/>
  <c r="C261" i="4"/>
  <c r="J261" i="4"/>
  <c r="F261" i="4"/>
  <c r="B262" i="4"/>
  <c r="G262" i="4" l="1"/>
  <c r="C262" i="4"/>
  <c r="J262" i="4"/>
  <c r="F262" i="4"/>
  <c r="E262" i="4"/>
  <c r="I262" i="4"/>
  <c r="A262" i="4"/>
  <c r="H262" i="4"/>
  <c r="D262" i="4"/>
  <c r="B263" i="4"/>
  <c r="I263" i="4" l="1"/>
  <c r="E263" i="4"/>
  <c r="A263" i="4"/>
  <c r="H263" i="4"/>
  <c r="D263" i="4"/>
  <c r="C263" i="4"/>
  <c r="G263" i="4"/>
  <c r="J263" i="4"/>
  <c r="F263" i="4"/>
  <c r="B264" i="4"/>
  <c r="G264" i="4" l="1"/>
  <c r="C264" i="4"/>
  <c r="J264" i="4"/>
  <c r="F264" i="4"/>
  <c r="I264" i="4"/>
  <c r="A264" i="4"/>
  <c r="E264" i="4"/>
  <c r="D264" i="4"/>
  <c r="H264" i="4"/>
  <c r="B265" i="4"/>
  <c r="I265" i="4" l="1"/>
  <c r="E265" i="4"/>
  <c r="A265" i="4"/>
  <c r="H265" i="4"/>
  <c r="D265" i="4"/>
  <c r="G265" i="4"/>
  <c r="C265" i="4"/>
  <c r="J265" i="4"/>
  <c r="F265" i="4"/>
  <c r="B266" i="4"/>
  <c r="G266" i="4" l="1"/>
  <c r="C266" i="4"/>
  <c r="J266" i="4"/>
  <c r="F266" i="4"/>
  <c r="E266" i="4"/>
  <c r="I266" i="4"/>
  <c r="A266" i="4"/>
  <c r="H266" i="4"/>
  <c r="D266" i="4"/>
  <c r="B267" i="4"/>
  <c r="I267" i="4" l="1"/>
  <c r="E267" i="4"/>
  <c r="A267" i="4"/>
  <c r="H267" i="4"/>
  <c r="D267" i="4"/>
  <c r="C267" i="4"/>
  <c r="J267" i="4"/>
  <c r="G267" i="4"/>
  <c r="F267" i="4"/>
  <c r="B268" i="4"/>
  <c r="G268" i="4" l="1"/>
  <c r="C268" i="4"/>
  <c r="J268" i="4"/>
  <c r="F268" i="4"/>
  <c r="I268" i="4"/>
  <c r="A268" i="4"/>
  <c r="H268" i="4"/>
  <c r="E268" i="4"/>
  <c r="D268" i="4"/>
  <c r="B269" i="4"/>
  <c r="I269" i="4" l="1"/>
  <c r="E269" i="4"/>
  <c r="A269" i="4"/>
  <c r="H269" i="4"/>
  <c r="D269" i="4"/>
  <c r="G269" i="4"/>
  <c r="F269" i="4"/>
  <c r="C269" i="4"/>
  <c r="J269" i="4"/>
  <c r="B270" i="4"/>
  <c r="G270" i="4" l="1"/>
  <c r="C270" i="4"/>
  <c r="J270" i="4"/>
  <c r="F270" i="4"/>
  <c r="E270" i="4"/>
  <c r="D270" i="4"/>
  <c r="I270" i="4"/>
  <c r="A270" i="4"/>
  <c r="H270" i="4"/>
  <c r="B271" i="4"/>
  <c r="I271" i="4" l="1"/>
  <c r="E271" i="4"/>
  <c r="A271" i="4"/>
  <c r="H271" i="4"/>
  <c r="D271" i="4"/>
  <c r="C271" i="4"/>
  <c r="J271" i="4"/>
  <c r="G271" i="4"/>
  <c r="F271" i="4"/>
  <c r="B272" i="4"/>
  <c r="G272" i="4" l="1"/>
  <c r="C272" i="4"/>
  <c r="J272" i="4"/>
  <c r="F272" i="4"/>
  <c r="I272" i="4"/>
  <c r="A272" i="4"/>
  <c r="H272" i="4"/>
  <c r="E272" i="4"/>
  <c r="D272" i="4"/>
  <c r="B273" i="4"/>
  <c r="I273" i="4" l="1"/>
  <c r="E273" i="4"/>
  <c r="A273" i="4"/>
  <c r="H273" i="4"/>
  <c r="D273" i="4"/>
  <c r="G273" i="4"/>
  <c r="F273" i="4"/>
  <c r="C273" i="4"/>
  <c r="J273" i="4"/>
  <c r="B274" i="4"/>
  <c r="G274" i="4" l="1"/>
  <c r="C274" i="4"/>
  <c r="J274" i="4"/>
  <c r="F274" i="4"/>
  <c r="E274" i="4"/>
  <c r="D274" i="4"/>
  <c r="I274" i="4"/>
  <c r="A274" i="4"/>
  <c r="H274" i="4"/>
  <c r="B275" i="4"/>
  <c r="I275" i="4" l="1"/>
  <c r="E275" i="4"/>
  <c r="A275" i="4"/>
  <c r="H275" i="4"/>
  <c r="D275" i="4"/>
  <c r="C275" i="4"/>
  <c r="J275" i="4"/>
  <c r="G275" i="4"/>
  <c r="F275" i="4"/>
  <c r="B276" i="4"/>
  <c r="G276" i="4" l="1"/>
  <c r="C276" i="4"/>
  <c r="J276" i="4"/>
  <c r="F276" i="4"/>
  <c r="I276" i="4"/>
  <c r="A276" i="4"/>
  <c r="H276" i="4"/>
  <c r="E276" i="4"/>
  <c r="D276" i="4"/>
  <c r="B277" i="4"/>
  <c r="J277" i="4" l="1"/>
  <c r="F277" i="4"/>
  <c r="G277" i="4"/>
  <c r="A277" i="4"/>
  <c r="E277" i="4"/>
  <c r="I277" i="4"/>
  <c r="H277" i="4"/>
  <c r="D277" i="4"/>
  <c r="C277" i="4"/>
  <c r="B278" i="4"/>
  <c r="H278" i="4" l="1"/>
  <c r="D278" i="4"/>
  <c r="G278" i="4"/>
  <c r="F278" i="4"/>
  <c r="A278" i="4"/>
  <c r="J278" i="4"/>
  <c r="I278" i="4"/>
  <c r="E278" i="4"/>
  <c r="C278" i="4"/>
  <c r="B279" i="4"/>
  <c r="J279" i="4" l="1"/>
  <c r="F279" i="4"/>
  <c r="H279" i="4"/>
  <c r="C279" i="4"/>
  <c r="G279" i="4"/>
  <c r="A279" i="4"/>
  <c r="I279" i="4"/>
  <c r="E279" i="4"/>
  <c r="D279" i="4"/>
  <c r="B280" i="4"/>
  <c r="H280" i="4" l="1"/>
  <c r="D280" i="4"/>
  <c r="I280" i="4"/>
  <c r="C280" i="4"/>
  <c r="G280" i="4"/>
  <c r="A280" i="4"/>
  <c r="J280" i="4"/>
  <c r="F280" i="4"/>
  <c r="E280" i="4"/>
  <c r="B281" i="4"/>
  <c r="J281" i="4" l="1"/>
  <c r="F281" i="4"/>
  <c r="I281" i="4"/>
  <c r="D281" i="4"/>
  <c r="H281" i="4"/>
  <c r="C281" i="4"/>
  <c r="A281" i="4"/>
  <c r="G281" i="4"/>
  <c r="E281" i="4"/>
  <c r="B282" i="4"/>
  <c r="H282" i="4" l="1"/>
  <c r="D282" i="4"/>
  <c r="J282" i="4"/>
  <c r="E282" i="4"/>
  <c r="I282" i="4"/>
  <c r="C282" i="4"/>
  <c r="A282" i="4"/>
  <c r="G282" i="4"/>
  <c r="F282" i="4"/>
  <c r="B283" i="4"/>
  <c r="J283" i="4" l="1"/>
  <c r="F283" i="4"/>
  <c r="E283" i="4"/>
  <c r="I283" i="4"/>
  <c r="D283" i="4"/>
  <c r="C283" i="4"/>
  <c r="A283" i="4"/>
  <c r="H283" i="4"/>
  <c r="G283" i="4"/>
  <c r="B284" i="4"/>
  <c r="H284" i="4" l="1"/>
  <c r="D284" i="4"/>
  <c r="F284" i="4"/>
  <c r="A284" i="4"/>
  <c r="J284" i="4"/>
  <c r="E284" i="4"/>
  <c r="C284" i="4"/>
  <c r="I284" i="4"/>
  <c r="G284" i="4"/>
  <c r="B285" i="4"/>
  <c r="J285" i="4" l="1"/>
  <c r="F285" i="4"/>
  <c r="G285" i="4"/>
  <c r="A285" i="4"/>
  <c r="E285" i="4"/>
  <c r="D285" i="4"/>
  <c r="C285" i="4"/>
  <c r="I285" i="4"/>
  <c r="H285" i="4"/>
  <c r="B286" i="4"/>
  <c r="H286" i="4" l="1"/>
  <c r="D286" i="4"/>
  <c r="G286" i="4"/>
  <c r="F286" i="4"/>
  <c r="A286" i="4"/>
  <c r="E286" i="4"/>
  <c r="C286" i="4"/>
  <c r="J286" i="4"/>
  <c r="I286" i="4"/>
  <c r="B287" i="4"/>
  <c r="J287" i="4" l="1"/>
  <c r="F287" i="4"/>
  <c r="H287" i="4"/>
  <c r="C287" i="4"/>
  <c r="G287" i="4"/>
  <c r="A287" i="4"/>
  <c r="E287" i="4"/>
  <c r="D287" i="4"/>
  <c r="I287" i="4"/>
  <c r="B288" i="4"/>
  <c r="H288" i="4" l="1"/>
  <c r="D288" i="4"/>
  <c r="I288" i="4"/>
  <c r="C288" i="4"/>
  <c r="G288" i="4"/>
  <c r="F288" i="4"/>
  <c r="E288" i="4"/>
  <c r="A288" i="4"/>
  <c r="J288" i="4"/>
  <c r="B289" i="4"/>
  <c r="J289" i="4" l="1"/>
  <c r="F289" i="4"/>
  <c r="I289" i="4"/>
  <c r="D289" i="4"/>
  <c r="H289" i="4"/>
  <c r="C289" i="4"/>
  <c r="G289" i="4"/>
  <c r="E289" i="4"/>
  <c r="A289" i="4"/>
  <c r="B290" i="4"/>
  <c r="H290" i="4" l="1"/>
  <c r="D290" i="4"/>
  <c r="J290" i="4"/>
  <c r="E290" i="4"/>
  <c r="I290" i="4"/>
  <c r="C290" i="4"/>
  <c r="G290" i="4"/>
  <c r="F290" i="4"/>
  <c r="A290" i="4"/>
  <c r="B291" i="4"/>
  <c r="J291" i="4" l="1"/>
  <c r="F291" i="4"/>
  <c r="E291" i="4"/>
  <c r="I291" i="4"/>
  <c r="D291" i="4"/>
  <c r="H291" i="4"/>
  <c r="G291" i="4"/>
  <c r="C291" i="4"/>
  <c r="A291" i="4"/>
  <c r="B292" i="4"/>
  <c r="H292" i="4" l="1"/>
  <c r="D292" i="4"/>
  <c r="F292" i="4"/>
  <c r="A292" i="4"/>
  <c r="J292" i="4"/>
  <c r="E292" i="4"/>
  <c r="I292" i="4"/>
  <c r="G292" i="4"/>
  <c r="C292" i="4"/>
  <c r="B293" i="4"/>
  <c r="J293" i="4" l="1"/>
  <c r="F293" i="4"/>
  <c r="G293" i="4"/>
  <c r="A293" i="4"/>
  <c r="E293" i="4"/>
  <c r="I293" i="4"/>
  <c r="H293" i="4"/>
  <c r="D293" i="4"/>
  <c r="C293" i="4"/>
  <c r="B294" i="4"/>
  <c r="H294" i="4" l="1"/>
  <c r="D294" i="4"/>
  <c r="G294" i="4"/>
  <c r="F294" i="4"/>
  <c r="A294" i="4"/>
  <c r="J294" i="4"/>
  <c r="I294" i="4"/>
  <c r="E294" i="4"/>
  <c r="C294" i="4"/>
  <c r="B295" i="4"/>
  <c r="J295" i="4" l="1"/>
  <c r="F295" i="4"/>
  <c r="H295" i="4"/>
  <c r="C295" i="4"/>
  <c r="G295" i="4"/>
  <c r="A295" i="4"/>
  <c r="I295" i="4"/>
  <c r="E295" i="4"/>
  <c r="D295" i="4"/>
  <c r="B296" i="4"/>
  <c r="H296" i="4" l="1"/>
  <c r="D296" i="4"/>
  <c r="I296" i="4"/>
  <c r="C296" i="4"/>
  <c r="G296" i="4"/>
  <c r="A296" i="4"/>
  <c r="J296" i="4"/>
  <c r="F296" i="4"/>
  <c r="E296" i="4"/>
  <c r="B297" i="4"/>
  <c r="J297" i="4" l="1"/>
  <c r="F297" i="4"/>
  <c r="I297" i="4"/>
  <c r="D297" i="4"/>
  <c r="H297" i="4"/>
  <c r="C297" i="4"/>
  <c r="A297" i="4"/>
  <c r="G297" i="4"/>
  <c r="E297" i="4"/>
  <c r="B298" i="4"/>
  <c r="H298" i="4" l="1"/>
  <c r="D298" i="4"/>
  <c r="J298" i="4"/>
  <c r="E298" i="4"/>
  <c r="I298" i="4"/>
  <c r="C298" i="4"/>
  <c r="A298" i="4"/>
  <c r="G298" i="4"/>
  <c r="F298" i="4"/>
  <c r="B299" i="4"/>
  <c r="J299" i="4" l="1"/>
  <c r="F299" i="4"/>
  <c r="E299" i="4"/>
  <c r="I299" i="4"/>
  <c r="D299" i="4"/>
  <c r="C299" i="4"/>
  <c r="A299" i="4"/>
  <c r="H299" i="4"/>
  <c r="G299" i="4"/>
  <c r="B300" i="4"/>
  <c r="H300" i="4" l="1"/>
  <c r="D300" i="4"/>
  <c r="F300" i="4"/>
  <c r="A300" i="4"/>
  <c r="J300" i="4"/>
  <c r="E300" i="4"/>
  <c r="C300" i="4"/>
  <c r="I300" i="4"/>
  <c r="G300" i="4"/>
  <c r="B301" i="4"/>
  <c r="J301" i="4" l="1"/>
  <c r="F301" i="4"/>
  <c r="H301" i="4"/>
  <c r="C301" i="4"/>
  <c r="I301" i="4"/>
  <c r="A301" i="4"/>
  <c r="G301" i="4"/>
  <c r="E301" i="4"/>
  <c r="D301" i="4"/>
</calcChain>
</file>

<file path=xl/sharedStrings.xml><?xml version="1.0" encoding="utf-8"?>
<sst xmlns="http://schemas.openxmlformats.org/spreadsheetml/2006/main" count="240" uniqueCount="143">
  <si>
    <t>在庫管理台帳(雛形)※サンプルデータ入り</t>
  </si>
  <si>
    <t>作成日: 2026-07-09 / 設計書: docs/02_データ設計案_v1.md</t>
  </si>
  <si>
    <t>■ シート名の接頭辞の意味</t>
  </si>
  <si>
    <t xml:space="preserve">  V_ = View(ビュー): 台帳から自動計算される「見るだけ」のシート。入力しない</t>
  </si>
  <si>
    <t xml:space="preserve">  T_ = Transaction(トランザクション): 日々増えていく業務データ。ここに入力する</t>
  </si>
  <si>
    <t xml:space="preserve">  M_ = Master(マスタ): 品番などの基礎情報。変更があった時だけ編集する</t>
  </si>
  <si>
    <t>■ シート構成</t>
  </si>
  <si>
    <t xml:space="preserve">  業務フロー … 状態(箱)とイベント(矢印)の流れ図。迷ったらここを見る</t>
  </si>
  <si>
    <t xml:space="preserve">  V_充足確認 … 納期(週)ごとの在庫充足チェック(自動計算・入力不要)</t>
  </si>
  <si>
    <t xml:space="preserve">  V_在庫内訳 … ロット別/未割当別の状態別在庫(自動計算・入力不要)</t>
  </si>
  <si>
    <t xml:space="preserve">  T_台帳 … 日々入力するのはこのシートのみ(1行=1イベント)</t>
  </si>
  <si>
    <t xml:space="preserve">  T_納期計画 … 納期一覧表からの取込結果(取込処理は今後実装。当面は手入力も可)</t>
  </si>
  <si>
    <t xml:space="preserve">  M_品番 … 品番マスタ(品番・品名・工程パターン)</t>
  </si>
  <si>
    <t xml:space="preserve">  M_リスト … 入力規則用リスト(通常は触らない)</t>
  </si>
  <si>
    <t>■ T_台帳の入力ルール</t>
  </si>
  <si>
    <t xml:space="preserve">  ・「搬入」以外のイベントでは「元状態」を必ず入力する(どの状態の在庫を対象にしたか)</t>
  </si>
  <si>
    <t xml:space="preserve">  ・廃棄の元状態は常に「不良」。発送の元状態は通常「発送準備完了」</t>
  </si>
  <si>
    <t xml:space="preserve">  ・未割当(余剰)在庫を対象にする場合は「ロットID」を空欄にする</t>
  </si>
  <si>
    <t xml:space="preserve">  ・「余剰化」= ロットの残りを未割当へ移す(ロットIDに元ロットを入れる)</t>
  </si>
  <si>
    <t xml:space="preserve">  ・「充当」= 在庫を別ロットへ振り替える。移動元がロットならロットID、未割当なら空欄。</t>
  </si>
  <si>
    <t xml:space="preserve">     移動先は「充当先ロットID」に入れる</t>
  </si>
  <si>
    <t xml:space="preserve">  ・入力ミスは行を直接修正・削除してよい(取消行は不要)</t>
  </si>
  <si>
    <t>■ 注意</t>
  </si>
  <si>
    <t xml:space="preserve">  ・背景が灰色のセルはすべて自動計算。手入力しない(T_納期計画のロットID列も自動計算)</t>
  </si>
  <si>
    <t xml:space="preserve">  ・PN-001〜PN-004 のサンプルデータ入り。運用開始前に M_品番/T_納期計画/T_台帳 の</t>
  </si>
  <si>
    <t xml:space="preserve">    サンプル行を削除すること(V シートは自動で追従する)</t>
  </si>
  <si>
    <t xml:space="preserve">  ・V_充足確認は計画300行分、V_在庫内訳はロット300行+品番100件分の数式を用意済み。</t>
  </si>
  <si>
    <t xml:space="preserve">    超える場合は最終数式行を下へコピーする</t>
  </si>
  <si>
    <t xml:space="preserve">  ・テーブル名: tbl_master(品番) / tbl_plan(納期計画) / tbl_ledger(台帳)</t>
  </si>
  <si>
    <t>■ クイックガイド(これをしたい → どのシートに何を入力する)</t>
  </si>
  <si>
    <t>やりたいこと</t>
  </si>
  <si>
    <t>シート</t>
  </si>
  <si>
    <t>入力内容</t>
  </si>
  <si>
    <t>納期に足りているか確認したい</t>
  </si>
  <si>
    <t>V_充足確認</t>
  </si>
  <si>
    <t>入力不要。「要搬出」が赤で出たら倉庫Aから搬入する</t>
  </si>
  <si>
    <t>いま在庫がどの状態か知りたい</t>
  </si>
  <si>
    <t>V_在庫内訳</t>
  </si>
  <si>
    <t>入力不要。ロット別・未割当別の状態別数量を見る</t>
  </si>
  <si>
    <t>納期一覧表が届いた/変わった</t>
  </si>
  <si>
    <t>T_納期計画</t>
  </si>
  <si>
    <t>1行=品番×週×納期先で入力(将来は取込ボタン化予定)</t>
  </si>
  <si>
    <t>倉庫Aから倉庫Bへ部品を運んだ</t>
  </si>
  <si>
    <t>T_台帳</t>
  </si>
  <si>
    <t>イベント「搬入」: ロットID・数量(予備込み)を入力</t>
  </si>
  <si>
    <t>アニールが終わった</t>
  </si>
  <si>
    <t>「アニール完了」: 元状態=未処理</t>
  </si>
  <si>
    <t>アセンブリが終わった</t>
  </si>
  <si>
    <t>「アセンブリ完了」: 元状態=未処理(パターン4はアニール済み)</t>
  </si>
  <si>
    <t>梱包した</t>
  </si>
  <si>
    <t>「梱包完了」: 元状態=直前の状態(未処理/アニール済み/アセンブリ済み)</t>
  </si>
  <si>
    <t>発送準備が整った</t>
  </si>
  <si>
    <t>「発送準備完了」: 元状態=梱包済み</t>
  </si>
  <si>
    <t>発送した</t>
  </si>
  <si>
    <t>「発送」: 元状態=発送準備完了。納期先も記入</t>
  </si>
  <si>
    <t>不良が出た</t>
  </si>
  <si>
    <t>「不良発生」: 元状態=失敗した時点の状態</t>
  </si>
  <si>
    <t>不良品を廃棄した</t>
  </si>
  <si>
    <t>「廃棄」: 元状態=不良</t>
  </si>
  <si>
    <t>ロットの残りを余剰在庫にする</t>
  </si>
  <si>
    <t>「余剰化」: ロットID=元ロット、元状態=そのままの状態</t>
  </si>
  <si>
    <t>余剰を別の納期に使う</t>
  </si>
  <si>
    <t>「充当」: ロットID=移動元(未割当なら空欄)、充当先ロットIDに移動先</t>
  </si>
  <si>
    <t>倉庫Bから倉庫Aへ戻した</t>
  </si>
  <si>
    <t>「倉庫A戻し」: ロットID(未割当なら空欄)・元状態・数量</t>
  </si>
  <si>
    <t>新しい品番を扱い始める</t>
  </si>
  <si>
    <t>M_品番</t>
  </si>
  <si>
    <t>品番・品名・工程パターン(1〜4)を追加</t>
  </si>
  <si>
    <t>ロットID</t>
  </si>
  <si>
    <t>品番</t>
  </si>
  <si>
    <t>出荷週</t>
  </si>
  <si>
    <t>納期先</t>
  </si>
  <si>
    <t>必要数</t>
  </si>
  <si>
    <t>必要数合計(ロット)</t>
  </si>
  <si>
    <t>発送済数</t>
  </si>
  <si>
    <t>ロット在庫</t>
  </si>
  <si>
    <t>未割当在庫(品番)</t>
  </si>
  <si>
    <t>充足数</t>
  </si>
  <si>
    <t>残必要数</t>
  </si>
  <si>
    <t>不足数</t>
  </si>
  <si>
    <t>判定</t>
  </si>
  <si>
    <t>区分</t>
  </si>
  <si>
    <t>未処理</t>
  </si>
  <si>
    <t>アニール済み</t>
  </si>
  <si>
    <t>アセンブリ済み</t>
  </si>
  <si>
    <t>梱包済み</t>
  </si>
  <si>
    <t>発送準備完了</t>
  </si>
  <si>
    <t>不良</t>
  </si>
  <si>
    <t>合計</t>
  </si>
  <si>
    <t>■ 未割当(余剰)在庫(品番別)</t>
  </si>
  <si>
    <t>No</t>
  </si>
  <si>
    <t>実施日</t>
  </si>
  <si>
    <t>イベント種類</t>
  </si>
  <si>
    <t>充当先ロットID</t>
  </si>
  <si>
    <t>元状態</t>
  </si>
  <si>
    <t>数量</t>
  </si>
  <si>
    <t>記録者</t>
  </si>
  <si>
    <t>備考</t>
  </si>
  <si>
    <t>搬入</t>
  </si>
  <si>
    <t>PN-002</t>
  </si>
  <si>
    <t>PN-002_2026-07-13</t>
  </si>
  <si>
    <t>山田</t>
  </si>
  <si>
    <t>予備2個含めて搬入</t>
  </si>
  <si>
    <t>アセンブリ完了</t>
  </si>
  <si>
    <t>不良発生</t>
  </si>
  <si>
    <t>アセンブリ失敗</t>
  </si>
  <si>
    <t>梱包完了</t>
  </si>
  <si>
    <t>発送</t>
  </si>
  <si>
    <t>納期先A</t>
  </si>
  <si>
    <t>納期先B</t>
  </si>
  <si>
    <t>余剰化</t>
  </si>
  <si>
    <t>残り1個を未割当へ</t>
  </si>
  <si>
    <t>PN-001</t>
  </si>
  <si>
    <t>PN-001_2026-07-20</t>
  </si>
  <si>
    <t>佐藤</t>
  </si>
  <si>
    <t>予備2個含む</t>
  </si>
  <si>
    <t>計画状態</t>
  </si>
  <si>
    <t>最終取込日時</t>
  </si>
  <si>
    <t>有効</t>
  </si>
  <si>
    <t>PN-003</t>
  </si>
  <si>
    <t>品名</t>
  </si>
  <si>
    <t>工程パターン</t>
  </si>
  <si>
    <t>サンプル部品A(梱包のみ)</t>
  </si>
  <si>
    <t>1</t>
  </si>
  <si>
    <t>サンプル行。運用前に削除</t>
  </si>
  <si>
    <t>サンプル部品B(アセンブリ)</t>
  </si>
  <si>
    <t>2</t>
  </si>
  <si>
    <t>サンプル部品C(アニール)</t>
  </si>
  <si>
    <t>3</t>
  </si>
  <si>
    <t>PN-004</t>
  </si>
  <si>
    <t>サンプル部品D(アニール+アセンブリ)</t>
  </si>
  <si>
    <t>4</t>
  </si>
  <si>
    <t>状態</t>
  </si>
  <si>
    <t>パターン説明</t>
  </si>
  <si>
    <t>梱包のみ</t>
  </si>
  <si>
    <t>アニール完了</t>
  </si>
  <si>
    <t>キャンセル</t>
  </si>
  <si>
    <t>アセンブリ→梱包</t>
  </si>
  <si>
    <t>アニール→梱包</t>
  </si>
  <si>
    <t>アニール→アセンブリ→梱包</t>
  </si>
  <si>
    <t>廃棄</t>
  </si>
  <si>
    <t>倉庫A戻し</t>
  </si>
  <si>
    <t>充当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</si>
</sst>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"/>
  </numFmts>
  <fonts count="5" x14ac:knownFonts="1">
    <font>
      <sz val="11"/>
      <color theme="1"/>
      <name val="ＭＳ Ｐゴシック"/>
      <family val="2"/>
      <scheme val="minor"/>
    </font>
    <font>
      <b/>
      <sz val="10"/>
      <name val="Meiryo UI"/>
      <family val="3"/>
      <charset val="128"/>
    </font>
    <font>
      <sz val="1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3" borderId="0" xfId="0" applyFont="1" applyFill="1"/>
    <xf numFmtId="176" fontId="2" fillId="3" borderId="0" xfId="0" applyNumberFormat="1" applyFont="1" applyFill="1"/>
    <xf numFmtId="0" fontId="0" fillId="3" borderId="0" xfId="0" applyFill="1"/>
    <xf numFmtId="176" fontId="2" fillId="0" borderId="0" xfId="0" applyNumberFormat="1" applyFont="1"/>
    <xf numFmtId="177" fontId="2" fillId="0" borderId="0" xfId="0" applyNumberFormat="1" applyFont="1"/>
  </cellXfs>
  <cellStyles count="1">
    <cellStyle name="標準" xfId="0" builtinId="0"/>
  </cellStyles>
  <dxfs count="1">
    <dxf>
      <font>
        <b/>
        <sz val="10"/>
        <color rgb="FF9C0006"/>
        <name val="Meiryo UI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152399</xdr:rowOff>
    </xdr:from>
    <xdr:to>
      <xdr:col>9</xdr:col>
      <xdr:colOff>133350</xdr:colOff>
      <xdr:row>2</xdr:row>
      <xdr:rowOff>161924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68A79AD-59EE-DF07-7DBA-76A499CEE8FE}"/>
            </a:ext>
          </a:extLst>
        </xdr:cNvPr>
        <xdr:cNvSpPr txBox="1"/>
      </xdr:nvSpPr>
      <xdr:spPr>
        <a:xfrm>
          <a:off x="254000" y="152399"/>
          <a:ext cx="6051550" cy="35242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r>
            <a:rPr kumimoji="1" lang="ja-JP" altLang="en-US" sz="1100" b="1">
              <a:solidFill>
                <a:srgbClr val="000000"/>
              </a:solidFill>
              <a:ea typeface="Meiryo UI" panose="020B0604030504040204" pitchFamily="50" charset="-128"/>
            </a:rPr>
            <a:t>業務フロー</a:t>
          </a:r>
          <a:r>
            <a:rPr kumimoji="1" lang="en-US" altLang="ja-JP" sz="1100" b="1">
              <a:solidFill>
                <a:srgbClr val="000000"/>
              </a:solidFill>
              <a:ea typeface="Meiryo UI" panose="020B0604030504040204" pitchFamily="50" charset="-128"/>
            </a:rPr>
            <a:t>: </a:t>
          </a:r>
          <a:r>
            <a:rPr kumimoji="1" lang="ja-JP" altLang="en-US" sz="1100" b="1">
              <a:solidFill>
                <a:srgbClr val="000000"/>
              </a:solidFill>
              <a:ea typeface="Meiryo UI" panose="020B0604030504040204" pitchFamily="50" charset="-128"/>
            </a:rPr>
            <a:t>箱 </a:t>
          </a:r>
          <a:r>
            <a:rPr kumimoji="1" lang="en-US" altLang="ja-JP" sz="1100" b="1">
              <a:solidFill>
                <a:srgbClr val="000000"/>
              </a:solidFill>
              <a:ea typeface="Meiryo UI" panose="020B0604030504040204" pitchFamily="50" charset="-128"/>
            </a:rPr>
            <a:t>= </a:t>
          </a:r>
          <a:r>
            <a:rPr kumimoji="1" lang="ja-JP" altLang="en-US" sz="1100" b="1">
              <a:solidFill>
                <a:srgbClr val="000000"/>
              </a:solidFill>
              <a:ea typeface="Meiryo UI" panose="020B0604030504040204" pitchFamily="50" charset="-128"/>
            </a:rPr>
            <a:t>在庫の状態</a:t>
          </a:r>
          <a:r>
            <a:rPr kumimoji="1" lang="en-US" altLang="ja-JP" sz="1100" b="1">
              <a:solidFill>
                <a:srgbClr val="000000"/>
              </a:solidFill>
              <a:ea typeface="Meiryo UI" panose="020B0604030504040204" pitchFamily="50" charset="-128"/>
            </a:rPr>
            <a:t>(V_</a:t>
          </a:r>
          <a:r>
            <a:rPr kumimoji="1" lang="ja-JP" altLang="en-US" sz="1100" b="1">
              <a:solidFill>
                <a:srgbClr val="000000"/>
              </a:solidFill>
              <a:ea typeface="Meiryo UI" panose="020B0604030504040204" pitchFamily="50" charset="-128"/>
            </a:rPr>
            <a:t>在庫内訳の列</a:t>
          </a:r>
          <a:r>
            <a:rPr kumimoji="1" lang="en-US" altLang="ja-JP" sz="1100" b="1">
              <a:solidFill>
                <a:srgbClr val="000000"/>
              </a:solidFill>
              <a:ea typeface="Meiryo UI" panose="020B0604030504040204" pitchFamily="50" charset="-128"/>
            </a:rPr>
            <a:t>) / </a:t>
          </a:r>
          <a:r>
            <a:rPr kumimoji="1" lang="ja-JP" altLang="en-US" sz="1100" b="1">
              <a:solidFill>
                <a:srgbClr val="000000"/>
              </a:solidFill>
              <a:ea typeface="Meiryo UI" panose="020B0604030504040204" pitchFamily="50" charset="-128"/>
            </a:rPr>
            <a:t>赤字の矢印 </a:t>
          </a:r>
          <a:r>
            <a:rPr kumimoji="1" lang="en-US" altLang="ja-JP" sz="1100" b="1">
              <a:solidFill>
                <a:srgbClr val="000000"/>
              </a:solidFill>
              <a:ea typeface="Meiryo UI" panose="020B0604030504040204" pitchFamily="50" charset="-128"/>
            </a:rPr>
            <a:t>= T_</a:t>
          </a:r>
          <a:r>
            <a:rPr kumimoji="1" lang="ja-JP" altLang="en-US" sz="1100" b="1">
              <a:solidFill>
                <a:srgbClr val="000000"/>
              </a:solidFill>
              <a:ea typeface="Meiryo UI" panose="020B0604030504040204" pitchFamily="50" charset="-128"/>
            </a:rPr>
            <a:t>台帳に入力するイベント</a:t>
          </a:r>
          <a:r>
            <a:rPr kumimoji="1" lang="en-US" altLang="ja-JP" sz="1100" b="1">
              <a:solidFill>
                <a:srgbClr val="000000"/>
              </a:solidFill>
              <a:ea typeface="Meiryo UI" panose="020B0604030504040204" pitchFamily="50" charset="-128"/>
            </a:rPr>
            <a:t>(1</a:t>
          </a:r>
          <a:r>
            <a:rPr kumimoji="1" lang="ja-JP" altLang="en-US" sz="1100" b="1">
              <a:solidFill>
                <a:srgbClr val="000000"/>
              </a:solidFill>
              <a:ea typeface="Meiryo UI" panose="020B0604030504040204" pitchFamily="50" charset="-128"/>
            </a:rPr>
            <a:t>矢印</a:t>
          </a:r>
          <a:r>
            <a:rPr kumimoji="1" lang="en-US" altLang="ja-JP" sz="1100" b="1">
              <a:solidFill>
                <a:srgbClr val="000000"/>
              </a:solidFill>
              <a:ea typeface="Meiryo UI" panose="020B0604030504040204" pitchFamily="50" charset="-128"/>
            </a:rPr>
            <a:t>=1</a:t>
          </a:r>
          <a:r>
            <a:rPr kumimoji="1" lang="ja-JP" altLang="en-US" sz="1100" b="1">
              <a:solidFill>
                <a:srgbClr val="000000"/>
              </a:solidFill>
              <a:ea typeface="Meiryo UI" panose="020B0604030504040204" pitchFamily="50" charset="-128"/>
            </a:rPr>
            <a:t>行</a:t>
          </a:r>
          <a:r>
            <a:rPr kumimoji="1" lang="en-US" altLang="ja-JP" sz="1100" b="1">
              <a:solidFill>
                <a:srgbClr val="000000"/>
              </a:solidFill>
              <a:ea typeface="Meiryo UI" panose="020B0604030504040204" pitchFamily="50" charset="-128"/>
            </a:rPr>
            <a:t>)</a:t>
          </a:r>
          <a:endParaRPr kumimoji="1" lang="ja-JP" altLang="en-US" sz="1100" b="1">
            <a:solidFill>
              <a:srgbClr val="000000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254000</xdr:colOff>
      <xdr:row>3</xdr:row>
      <xdr:rowOff>44450</xdr:rowOff>
    </xdr:from>
    <xdr:to>
      <xdr:col>2</xdr:col>
      <xdr:colOff>9525</xdr:colOff>
      <xdr:row>4</xdr:row>
      <xdr:rowOff>152400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DE5C594-C1AE-F8E6-03AF-FE6FCAEF0BD0}"/>
            </a:ext>
          </a:extLst>
        </xdr:cNvPr>
        <xdr:cNvSpPr txBox="1"/>
      </xdr:nvSpPr>
      <xdr:spPr>
        <a:xfrm>
          <a:off x="254000" y="558800"/>
          <a:ext cx="1127125" cy="279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r>
            <a:rPr kumimoji="1" lang="en-US" altLang="ja-JP" sz="1000" b="1">
              <a:solidFill>
                <a:srgbClr val="305496"/>
              </a:solidFill>
              <a:ea typeface="Meiryo UI" panose="020B0604030504040204" pitchFamily="50" charset="-128"/>
            </a:rPr>
            <a:t>【</a:t>
          </a:r>
          <a:r>
            <a:rPr kumimoji="1" lang="ja-JP" altLang="en-US" sz="1000" b="1">
              <a:solidFill>
                <a:srgbClr val="305496"/>
              </a:solidFill>
              <a:ea typeface="Meiryo UI" panose="020B0604030504040204" pitchFamily="50" charset="-128"/>
            </a:rPr>
            <a:t>通常の流れ</a:t>
          </a:r>
          <a:r>
            <a:rPr kumimoji="1" lang="en-US" altLang="ja-JP" sz="1000" b="1">
              <a:solidFill>
                <a:srgbClr val="305496"/>
              </a:solidFill>
              <a:ea typeface="Meiryo UI" panose="020B0604030504040204" pitchFamily="50" charset="-128"/>
            </a:rPr>
            <a:t>】</a:t>
          </a:r>
          <a:endParaRPr kumimoji="1" lang="ja-JP" altLang="en-US" sz="1000" b="1">
            <a:solidFill>
              <a:srgbClr val="305496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254000</xdr:colOff>
      <xdr:row>4</xdr:row>
      <xdr:rowOff>152400</xdr:rowOff>
    </xdr:from>
    <xdr:to>
      <xdr:col>2</xdr:col>
      <xdr:colOff>101600</xdr:colOff>
      <xdr:row>8</xdr:row>
      <xdr:rowOff>25400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74863579-669E-FC79-79BE-B447DF5E9DA4}"/>
            </a:ext>
          </a:extLst>
        </xdr:cNvPr>
        <xdr:cNvSpPr/>
      </xdr:nvSpPr>
      <xdr:spPr>
        <a:xfrm>
          <a:off x="254000" y="838200"/>
          <a:ext cx="1219200" cy="558800"/>
        </a:xfrm>
        <a:prstGeom prst="roundRect">
          <a:avLst/>
        </a:prstGeom>
        <a:solidFill>
          <a:srgbClr val="E7E6E6"/>
        </a:solidFill>
        <a:ln w="15875">
          <a:solidFill>
            <a:srgbClr val="30549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倉庫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A</a:t>
          </a:r>
          <a:endParaRPr kumimoji="1" lang="ja-JP" altLang="en-US" sz="1000" b="1">
            <a:solidFill>
              <a:srgbClr val="000000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25400</xdr:colOff>
      <xdr:row>4</xdr:row>
      <xdr:rowOff>152400</xdr:rowOff>
    </xdr:from>
    <xdr:to>
      <xdr:col>4</xdr:col>
      <xdr:colOff>558800</xdr:colOff>
      <xdr:row>8</xdr:row>
      <xdr:rowOff>25400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E894858C-AC9F-E3B1-6F53-C9AE094C706E}"/>
            </a:ext>
          </a:extLst>
        </xdr:cNvPr>
        <xdr:cNvSpPr/>
      </xdr:nvSpPr>
      <xdr:spPr>
        <a:xfrm>
          <a:off x="2082800" y="838200"/>
          <a:ext cx="1219200" cy="558800"/>
        </a:xfrm>
        <a:prstGeom prst="roundRect">
          <a:avLst/>
        </a:prstGeom>
        <a:solidFill>
          <a:srgbClr val="D9E1F2"/>
        </a:solidFill>
        <a:ln w="15875">
          <a:solidFill>
            <a:srgbClr val="30549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未処理
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倉庫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B)</a:t>
          </a:r>
          <a:endParaRPr kumimoji="1" lang="ja-JP" altLang="en-US" sz="1000" b="1">
            <a:solidFill>
              <a:srgbClr val="000000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482600</xdr:colOff>
      <xdr:row>4</xdr:row>
      <xdr:rowOff>152400</xdr:rowOff>
    </xdr:from>
    <xdr:to>
      <xdr:col>7</xdr:col>
      <xdr:colOff>330200</xdr:colOff>
      <xdr:row>8</xdr:row>
      <xdr:rowOff>25400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C1F34BA0-B7EE-8125-4A2B-A65E63094097}"/>
            </a:ext>
          </a:extLst>
        </xdr:cNvPr>
        <xdr:cNvSpPr/>
      </xdr:nvSpPr>
      <xdr:spPr>
        <a:xfrm>
          <a:off x="3911600" y="838200"/>
          <a:ext cx="1219200" cy="558800"/>
        </a:xfrm>
        <a:prstGeom prst="roundRect">
          <a:avLst/>
        </a:prstGeom>
        <a:solidFill>
          <a:srgbClr val="D9E1F2"/>
        </a:solidFill>
        <a:ln w="15875">
          <a:solidFill>
            <a:srgbClr val="30549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アニール済み</a:t>
          </a:r>
        </a:p>
      </xdr:txBody>
    </xdr:sp>
    <xdr:clientData/>
  </xdr:twoCellAnchor>
  <xdr:twoCellAnchor>
    <xdr:from>
      <xdr:col>8</xdr:col>
      <xdr:colOff>254000</xdr:colOff>
      <xdr:row>4</xdr:row>
      <xdr:rowOff>152400</xdr:rowOff>
    </xdr:from>
    <xdr:to>
      <xdr:col>10</xdr:col>
      <xdr:colOff>101600</xdr:colOff>
      <xdr:row>8</xdr:row>
      <xdr:rowOff>25400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134FA118-2337-4680-CA05-ED49D708A20D}"/>
            </a:ext>
          </a:extLst>
        </xdr:cNvPr>
        <xdr:cNvSpPr/>
      </xdr:nvSpPr>
      <xdr:spPr>
        <a:xfrm>
          <a:off x="5740400" y="838200"/>
          <a:ext cx="1219200" cy="558800"/>
        </a:xfrm>
        <a:prstGeom prst="roundRect">
          <a:avLst/>
        </a:prstGeom>
        <a:solidFill>
          <a:srgbClr val="D9E1F2"/>
        </a:solidFill>
        <a:ln w="15875">
          <a:solidFill>
            <a:srgbClr val="30549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アセンブリ済み</a:t>
          </a:r>
        </a:p>
      </xdr:txBody>
    </xdr:sp>
    <xdr:clientData/>
  </xdr:twoCellAnchor>
  <xdr:twoCellAnchor>
    <xdr:from>
      <xdr:col>11</xdr:col>
      <xdr:colOff>25400</xdr:colOff>
      <xdr:row>4</xdr:row>
      <xdr:rowOff>152400</xdr:rowOff>
    </xdr:from>
    <xdr:to>
      <xdr:col>12</xdr:col>
      <xdr:colOff>558800</xdr:colOff>
      <xdr:row>8</xdr:row>
      <xdr:rowOff>25400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AE59F9FF-1B85-807B-5A8C-3068192B7085}"/>
            </a:ext>
          </a:extLst>
        </xdr:cNvPr>
        <xdr:cNvSpPr/>
      </xdr:nvSpPr>
      <xdr:spPr>
        <a:xfrm>
          <a:off x="7569200" y="838200"/>
          <a:ext cx="1219200" cy="558800"/>
        </a:xfrm>
        <a:prstGeom prst="roundRect">
          <a:avLst/>
        </a:prstGeom>
        <a:solidFill>
          <a:srgbClr val="D9E1F2"/>
        </a:solidFill>
        <a:ln w="15875">
          <a:solidFill>
            <a:srgbClr val="30549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梱包済み</a:t>
          </a:r>
        </a:p>
      </xdr:txBody>
    </xdr:sp>
    <xdr:clientData/>
  </xdr:twoCellAnchor>
  <xdr:twoCellAnchor>
    <xdr:from>
      <xdr:col>13</xdr:col>
      <xdr:colOff>482600</xdr:colOff>
      <xdr:row>4</xdr:row>
      <xdr:rowOff>152400</xdr:rowOff>
    </xdr:from>
    <xdr:to>
      <xdr:col>15</xdr:col>
      <xdr:colOff>330200</xdr:colOff>
      <xdr:row>8</xdr:row>
      <xdr:rowOff>25400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6B2E3EB8-6A7F-4FE7-6643-5EDFF2A3938A}"/>
            </a:ext>
          </a:extLst>
        </xdr:cNvPr>
        <xdr:cNvSpPr/>
      </xdr:nvSpPr>
      <xdr:spPr>
        <a:xfrm>
          <a:off x="9398000" y="838200"/>
          <a:ext cx="1219200" cy="558800"/>
        </a:xfrm>
        <a:prstGeom prst="roundRect">
          <a:avLst/>
        </a:prstGeom>
        <a:solidFill>
          <a:srgbClr val="D9E1F2"/>
        </a:solidFill>
        <a:ln w="15875">
          <a:solidFill>
            <a:srgbClr val="30549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発送準備完了</a:t>
          </a:r>
        </a:p>
      </xdr:txBody>
    </xdr:sp>
    <xdr:clientData/>
  </xdr:twoCellAnchor>
  <xdr:twoCellAnchor>
    <xdr:from>
      <xdr:col>16</xdr:col>
      <xdr:colOff>254000</xdr:colOff>
      <xdr:row>4</xdr:row>
      <xdr:rowOff>152400</xdr:rowOff>
    </xdr:from>
    <xdr:to>
      <xdr:col>18</xdr:col>
      <xdr:colOff>101600</xdr:colOff>
      <xdr:row>8</xdr:row>
      <xdr:rowOff>25400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B3DE88CA-B8FF-2D13-E8F9-1CA8469242B6}"/>
            </a:ext>
          </a:extLst>
        </xdr:cNvPr>
        <xdr:cNvSpPr/>
      </xdr:nvSpPr>
      <xdr:spPr>
        <a:xfrm>
          <a:off x="11226800" y="838200"/>
          <a:ext cx="1219200" cy="558800"/>
        </a:xfrm>
        <a:prstGeom prst="roundRect">
          <a:avLst/>
        </a:prstGeom>
        <a:solidFill>
          <a:srgbClr val="E7E6E6"/>
        </a:solidFill>
        <a:ln w="15875">
          <a:solidFill>
            <a:srgbClr val="305496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出荷済み
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在庫から消える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)</a:t>
          </a:r>
          <a:endParaRPr kumimoji="1" lang="ja-JP" altLang="en-US" sz="1000" b="1">
            <a:solidFill>
              <a:srgbClr val="000000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101600</xdr:colOff>
      <xdr:row>6</xdr:row>
      <xdr:rowOff>88900</xdr:rowOff>
    </xdr:from>
    <xdr:to>
      <xdr:col>3</xdr:col>
      <xdr:colOff>25400</xdr:colOff>
      <xdr:row>6</xdr:row>
      <xdr:rowOff>88900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CAD914EC-0904-4442-5FA0-4BA4DE1C41D9}"/>
            </a:ext>
          </a:extLst>
        </xdr:cNvPr>
        <xdr:cNvCxnSpPr>
          <a:stCxn id="4" idx="3"/>
          <a:endCxn id="5" idx="1"/>
        </xdr:cNvCxnSpPr>
      </xdr:nvCxnSpPr>
      <xdr:spPr>
        <a:xfrm>
          <a:off x="1473200" y="1117600"/>
          <a:ext cx="609600" cy="0"/>
        </a:xfrm>
        <a:prstGeom prst="straightConnector1">
          <a:avLst/>
        </a:prstGeom>
        <a:ln w="22225">
          <a:solidFill>
            <a:srgbClr val="5959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</xdr:row>
      <xdr:rowOff>69850</xdr:rowOff>
    </xdr:from>
    <xdr:to>
      <xdr:col>3</xdr:col>
      <xdr:colOff>127000</xdr:colOff>
      <xdr:row>4</xdr:row>
      <xdr:rowOff>101600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E7FD3D2C-D6DE-E5C1-B4C9-657FB2440437}"/>
            </a:ext>
          </a:extLst>
        </xdr:cNvPr>
        <xdr:cNvSpPr txBox="1"/>
      </xdr:nvSpPr>
      <xdr:spPr>
        <a:xfrm>
          <a:off x="1371600" y="584200"/>
          <a:ext cx="8128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pPr algn="ctr"/>
          <a:r>
            <a:rPr kumimoji="1" lang="ja-JP" altLang="en-US" sz="900" b="1">
              <a:solidFill>
                <a:srgbClr val="C00000"/>
              </a:solidFill>
              <a:ea typeface="Meiryo UI" panose="020B0604030504040204" pitchFamily="50" charset="-128"/>
            </a:rPr>
            <a:t>搬入</a:t>
          </a:r>
        </a:p>
      </xdr:txBody>
    </xdr:sp>
    <xdr:clientData/>
  </xdr:twoCellAnchor>
  <xdr:twoCellAnchor>
    <xdr:from>
      <xdr:col>4</xdr:col>
      <xdr:colOff>558800</xdr:colOff>
      <xdr:row>6</xdr:row>
      <xdr:rowOff>88900</xdr:rowOff>
    </xdr:from>
    <xdr:to>
      <xdr:col>5</xdr:col>
      <xdr:colOff>482600</xdr:colOff>
      <xdr:row>6</xdr:row>
      <xdr:rowOff>88900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EF493F70-852C-EA60-D7EE-57933C9DBB3A}"/>
            </a:ext>
          </a:extLst>
        </xdr:cNvPr>
        <xdr:cNvCxnSpPr>
          <a:stCxn id="5" idx="3"/>
          <a:endCxn id="6" idx="1"/>
        </xdr:cNvCxnSpPr>
      </xdr:nvCxnSpPr>
      <xdr:spPr>
        <a:xfrm>
          <a:off x="3302000" y="1117600"/>
          <a:ext cx="609600" cy="0"/>
        </a:xfrm>
        <a:prstGeom prst="straightConnector1">
          <a:avLst/>
        </a:prstGeom>
        <a:ln w="22225">
          <a:solidFill>
            <a:srgbClr val="5959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3</xdr:row>
      <xdr:rowOff>69850</xdr:rowOff>
    </xdr:from>
    <xdr:to>
      <xdr:col>5</xdr:col>
      <xdr:colOff>584200</xdr:colOff>
      <xdr:row>4</xdr:row>
      <xdr:rowOff>101600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88F6603B-4D40-71BF-4876-1FD2338F854B}"/>
            </a:ext>
          </a:extLst>
        </xdr:cNvPr>
        <xdr:cNvSpPr txBox="1"/>
      </xdr:nvSpPr>
      <xdr:spPr>
        <a:xfrm>
          <a:off x="3200400" y="584200"/>
          <a:ext cx="8128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pPr algn="ctr"/>
          <a:r>
            <a:rPr kumimoji="1" lang="ja-JP" altLang="en-US" sz="900" b="1">
              <a:solidFill>
                <a:srgbClr val="C00000"/>
              </a:solidFill>
              <a:ea typeface="Meiryo UI" panose="020B0604030504040204" pitchFamily="50" charset="-128"/>
            </a:rPr>
            <a:t>アニール完了</a:t>
          </a:r>
        </a:p>
      </xdr:txBody>
    </xdr:sp>
    <xdr:clientData/>
  </xdr:twoCellAnchor>
  <xdr:twoCellAnchor>
    <xdr:from>
      <xdr:col>7</xdr:col>
      <xdr:colOff>330200</xdr:colOff>
      <xdr:row>6</xdr:row>
      <xdr:rowOff>88900</xdr:rowOff>
    </xdr:from>
    <xdr:to>
      <xdr:col>8</xdr:col>
      <xdr:colOff>254000</xdr:colOff>
      <xdr:row>6</xdr:row>
      <xdr:rowOff>88900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202B5FD9-2E67-CEC3-36E8-94A8AFF9DDEB}"/>
            </a:ext>
          </a:extLst>
        </xdr:cNvPr>
        <xdr:cNvCxnSpPr>
          <a:stCxn id="6" idx="3"/>
          <a:endCxn id="7" idx="1"/>
        </xdr:cNvCxnSpPr>
      </xdr:nvCxnSpPr>
      <xdr:spPr>
        <a:xfrm>
          <a:off x="5130800" y="1117600"/>
          <a:ext cx="609600" cy="0"/>
        </a:xfrm>
        <a:prstGeom prst="straightConnector1">
          <a:avLst/>
        </a:prstGeom>
        <a:ln w="22225">
          <a:solidFill>
            <a:srgbClr val="5959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3</xdr:row>
      <xdr:rowOff>69850</xdr:rowOff>
    </xdr:from>
    <xdr:to>
      <xdr:col>8</xdr:col>
      <xdr:colOff>355600</xdr:colOff>
      <xdr:row>4</xdr:row>
      <xdr:rowOff>101600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F1141486-CFD1-951A-0B48-89BF9EF34444}"/>
            </a:ext>
          </a:extLst>
        </xdr:cNvPr>
        <xdr:cNvSpPr txBox="1"/>
      </xdr:nvSpPr>
      <xdr:spPr>
        <a:xfrm>
          <a:off x="5029200" y="584200"/>
          <a:ext cx="8128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pPr algn="ctr"/>
          <a:r>
            <a:rPr kumimoji="1" lang="ja-JP" altLang="en-US" sz="900" b="1">
              <a:solidFill>
                <a:srgbClr val="C00000"/>
              </a:solidFill>
              <a:ea typeface="Meiryo UI" panose="020B0604030504040204" pitchFamily="50" charset="-128"/>
            </a:rPr>
            <a:t>アセンブリ完了</a:t>
          </a:r>
        </a:p>
      </xdr:txBody>
    </xdr:sp>
    <xdr:clientData/>
  </xdr:twoCellAnchor>
  <xdr:twoCellAnchor>
    <xdr:from>
      <xdr:col>10</xdr:col>
      <xdr:colOff>101600</xdr:colOff>
      <xdr:row>6</xdr:row>
      <xdr:rowOff>88900</xdr:rowOff>
    </xdr:from>
    <xdr:to>
      <xdr:col>11</xdr:col>
      <xdr:colOff>25400</xdr:colOff>
      <xdr:row>6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9A2A59E-F475-2410-A35A-F87CF2AF2555}"/>
            </a:ext>
          </a:extLst>
        </xdr:cNvPr>
        <xdr:cNvCxnSpPr>
          <a:stCxn id="7" idx="3"/>
          <a:endCxn id="8" idx="1"/>
        </xdr:cNvCxnSpPr>
      </xdr:nvCxnSpPr>
      <xdr:spPr>
        <a:xfrm>
          <a:off x="6959600" y="1117600"/>
          <a:ext cx="609600" cy="0"/>
        </a:xfrm>
        <a:prstGeom prst="straightConnector1">
          <a:avLst/>
        </a:prstGeom>
        <a:ln w="22225">
          <a:solidFill>
            <a:srgbClr val="5959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69850</xdr:rowOff>
    </xdr:from>
    <xdr:to>
      <xdr:col>11</xdr:col>
      <xdr:colOff>127000</xdr:colOff>
      <xdr:row>4</xdr:row>
      <xdr:rowOff>101600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572F4D87-E653-9E05-D3C7-C39651209A91}"/>
            </a:ext>
          </a:extLst>
        </xdr:cNvPr>
        <xdr:cNvSpPr txBox="1"/>
      </xdr:nvSpPr>
      <xdr:spPr>
        <a:xfrm>
          <a:off x="6858000" y="584200"/>
          <a:ext cx="8128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pPr algn="ctr"/>
          <a:r>
            <a:rPr kumimoji="1" lang="ja-JP" altLang="en-US" sz="900" b="1">
              <a:solidFill>
                <a:srgbClr val="C00000"/>
              </a:solidFill>
              <a:ea typeface="Meiryo UI" panose="020B0604030504040204" pitchFamily="50" charset="-128"/>
            </a:rPr>
            <a:t>梱包完了</a:t>
          </a:r>
        </a:p>
      </xdr:txBody>
    </xdr:sp>
    <xdr:clientData/>
  </xdr:twoCellAnchor>
  <xdr:twoCellAnchor>
    <xdr:from>
      <xdr:col>12</xdr:col>
      <xdr:colOff>558800</xdr:colOff>
      <xdr:row>6</xdr:row>
      <xdr:rowOff>88900</xdr:rowOff>
    </xdr:from>
    <xdr:to>
      <xdr:col>13</xdr:col>
      <xdr:colOff>482600</xdr:colOff>
      <xdr:row>6</xdr:row>
      <xdr:rowOff>88900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A4FDF504-4F65-A6C1-720E-9748E86EE3EE}"/>
            </a:ext>
          </a:extLst>
        </xdr:cNvPr>
        <xdr:cNvCxnSpPr>
          <a:stCxn id="8" idx="3"/>
          <a:endCxn id="9" idx="1"/>
        </xdr:cNvCxnSpPr>
      </xdr:nvCxnSpPr>
      <xdr:spPr>
        <a:xfrm>
          <a:off x="8788400" y="1117600"/>
          <a:ext cx="609600" cy="0"/>
        </a:xfrm>
        <a:prstGeom prst="straightConnector1">
          <a:avLst/>
        </a:prstGeom>
        <a:ln w="22225">
          <a:solidFill>
            <a:srgbClr val="5959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457200</xdr:colOff>
      <xdr:row>3</xdr:row>
      <xdr:rowOff>69850</xdr:rowOff>
    </xdr:from>
    <xdr:to>
      <xdr:col>13</xdr:col>
      <xdr:colOff>584200</xdr:colOff>
      <xdr:row>4</xdr:row>
      <xdr:rowOff>101600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4652C661-397E-8182-66CE-AD0921A80316}"/>
            </a:ext>
          </a:extLst>
        </xdr:cNvPr>
        <xdr:cNvSpPr txBox="1"/>
      </xdr:nvSpPr>
      <xdr:spPr>
        <a:xfrm>
          <a:off x="8686800" y="584200"/>
          <a:ext cx="8128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pPr algn="ctr"/>
          <a:r>
            <a:rPr kumimoji="1" lang="ja-JP" altLang="en-US" sz="900" b="1">
              <a:solidFill>
                <a:srgbClr val="C00000"/>
              </a:solidFill>
              <a:ea typeface="Meiryo UI" panose="020B0604030504040204" pitchFamily="50" charset="-128"/>
            </a:rPr>
            <a:t>発送準備完了</a:t>
          </a:r>
        </a:p>
      </xdr:txBody>
    </xdr:sp>
    <xdr:clientData/>
  </xdr:twoCellAnchor>
  <xdr:twoCellAnchor>
    <xdr:from>
      <xdr:col>15</xdr:col>
      <xdr:colOff>330200</xdr:colOff>
      <xdr:row>6</xdr:row>
      <xdr:rowOff>88900</xdr:rowOff>
    </xdr:from>
    <xdr:to>
      <xdr:col>16</xdr:col>
      <xdr:colOff>254000</xdr:colOff>
      <xdr:row>6</xdr:row>
      <xdr:rowOff>88900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3800D721-4412-61EE-E3E5-33BB4340E175}"/>
            </a:ext>
          </a:extLst>
        </xdr:cNvPr>
        <xdr:cNvCxnSpPr>
          <a:stCxn id="9" idx="3"/>
          <a:endCxn id="10" idx="1"/>
        </xdr:cNvCxnSpPr>
      </xdr:nvCxnSpPr>
      <xdr:spPr>
        <a:xfrm>
          <a:off x="10617200" y="1117600"/>
          <a:ext cx="609600" cy="0"/>
        </a:xfrm>
        <a:prstGeom prst="straightConnector1">
          <a:avLst/>
        </a:prstGeom>
        <a:ln w="22225">
          <a:solidFill>
            <a:srgbClr val="5959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3</xdr:row>
      <xdr:rowOff>69850</xdr:rowOff>
    </xdr:from>
    <xdr:to>
      <xdr:col>16</xdr:col>
      <xdr:colOff>355600</xdr:colOff>
      <xdr:row>4</xdr:row>
      <xdr:rowOff>101600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BD76F53-64C7-CAB5-1957-04E999D78716}"/>
            </a:ext>
          </a:extLst>
        </xdr:cNvPr>
        <xdr:cNvSpPr txBox="1"/>
      </xdr:nvSpPr>
      <xdr:spPr>
        <a:xfrm>
          <a:off x="10515600" y="584200"/>
          <a:ext cx="8128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pPr algn="ctr"/>
          <a:r>
            <a:rPr kumimoji="1" lang="ja-JP" altLang="en-US" sz="900" b="1">
              <a:solidFill>
                <a:srgbClr val="C00000"/>
              </a:solidFill>
              <a:ea typeface="Meiryo UI" panose="020B0604030504040204" pitchFamily="50" charset="-128"/>
            </a:rPr>
            <a:t>発送</a:t>
          </a:r>
        </a:p>
      </xdr:txBody>
    </xdr:sp>
    <xdr:clientData/>
  </xdr:twoCellAnchor>
  <xdr:twoCellAnchor>
    <xdr:from>
      <xdr:col>0</xdr:col>
      <xdr:colOff>254000</xdr:colOff>
      <xdr:row>9</xdr:row>
      <xdr:rowOff>31749</xdr:rowOff>
    </xdr:from>
    <xdr:to>
      <xdr:col>10</xdr:col>
      <xdr:colOff>438150</xdr:colOff>
      <xdr:row>11</xdr:row>
      <xdr:rowOff>9524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89B98D26-DEE8-A1FA-461B-32A6B18615DF}"/>
            </a:ext>
          </a:extLst>
        </xdr:cNvPr>
        <xdr:cNvSpPr txBox="1"/>
      </xdr:nvSpPr>
      <xdr:spPr>
        <a:xfrm>
          <a:off x="254000" y="1574799"/>
          <a:ext cx="7042150" cy="3206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r>
            <a:rPr kumimoji="1" lang="en-US" altLang="ja-JP" sz="900" b="0">
              <a:solidFill>
                <a:srgbClr val="595959"/>
              </a:solidFill>
              <a:ea typeface="Meiryo UI" panose="020B0604030504040204" pitchFamily="50" charset="-128"/>
            </a:rPr>
            <a:t>※</a:t>
          </a:r>
          <a:r>
            <a:rPr kumimoji="1" lang="ja-JP" altLang="en-US" sz="900" b="0">
              <a:solidFill>
                <a:srgbClr val="595959"/>
              </a:solidFill>
              <a:ea typeface="Meiryo UI" panose="020B0604030504040204" pitchFamily="50" charset="-128"/>
            </a:rPr>
            <a:t>工程パターンで通る箱が変わる</a:t>
          </a:r>
          <a:r>
            <a:rPr kumimoji="1" lang="en-US" altLang="ja-JP" sz="900" b="0">
              <a:solidFill>
                <a:srgbClr val="595959"/>
              </a:solidFill>
              <a:ea typeface="Meiryo UI" panose="020B0604030504040204" pitchFamily="50" charset="-128"/>
            </a:rPr>
            <a:t>: ①</a:t>
          </a:r>
          <a:r>
            <a:rPr kumimoji="1" lang="ja-JP" altLang="en-US" sz="900" b="0">
              <a:solidFill>
                <a:srgbClr val="595959"/>
              </a:solidFill>
              <a:ea typeface="Meiryo UI" panose="020B0604030504040204" pitchFamily="50" charset="-128"/>
            </a:rPr>
            <a:t>未処理→梱包済み </a:t>
          </a:r>
          <a:r>
            <a:rPr kumimoji="1" lang="en-US" altLang="ja-JP" sz="900" b="0">
              <a:solidFill>
                <a:srgbClr val="595959"/>
              </a:solidFill>
              <a:ea typeface="Meiryo UI" panose="020B0604030504040204" pitchFamily="50" charset="-128"/>
            </a:rPr>
            <a:t>/ ②</a:t>
          </a:r>
          <a:r>
            <a:rPr kumimoji="1" lang="ja-JP" altLang="en-US" sz="900" b="0">
              <a:solidFill>
                <a:srgbClr val="595959"/>
              </a:solidFill>
              <a:ea typeface="Meiryo UI" panose="020B0604030504040204" pitchFamily="50" charset="-128"/>
            </a:rPr>
            <a:t>未処理→アセンブリ済み→梱包済み </a:t>
          </a:r>
          <a:r>
            <a:rPr kumimoji="1" lang="en-US" altLang="ja-JP" sz="900" b="0">
              <a:solidFill>
                <a:srgbClr val="595959"/>
              </a:solidFill>
              <a:ea typeface="Meiryo UI" panose="020B0604030504040204" pitchFamily="50" charset="-128"/>
            </a:rPr>
            <a:t>/ ③</a:t>
          </a:r>
          <a:r>
            <a:rPr kumimoji="1" lang="ja-JP" altLang="en-US" sz="900" b="0">
              <a:solidFill>
                <a:srgbClr val="595959"/>
              </a:solidFill>
              <a:ea typeface="Meiryo UI" panose="020B0604030504040204" pitchFamily="50" charset="-128"/>
            </a:rPr>
            <a:t>未処理→アニール済み→梱包済み </a:t>
          </a:r>
          <a:r>
            <a:rPr kumimoji="1" lang="en-US" altLang="ja-JP" sz="900" b="0">
              <a:solidFill>
                <a:srgbClr val="595959"/>
              </a:solidFill>
              <a:ea typeface="Meiryo UI" panose="020B0604030504040204" pitchFamily="50" charset="-128"/>
            </a:rPr>
            <a:t>/ ④</a:t>
          </a:r>
          <a:r>
            <a:rPr kumimoji="1" lang="ja-JP" altLang="en-US" sz="900" b="0">
              <a:solidFill>
                <a:srgbClr val="595959"/>
              </a:solidFill>
              <a:ea typeface="Meiryo UI" panose="020B0604030504040204" pitchFamily="50" charset="-128"/>
            </a:rPr>
            <a:t>すべて通る</a:t>
          </a:r>
        </a:p>
      </xdr:txBody>
    </xdr:sp>
    <xdr:clientData/>
  </xdr:twoCellAnchor>
  <xdr:twoCellAnchor>
    <xdr:from>
      <xdr:col>0</xdr:col>
      <xdr:colOff>254000</xdr:colOff>
      <xdr:row>12</xdr:row>
      <xdr:rowOff>19049</xdr:rowOff>
    </xdr:from>
    <xdr:to>
      <xdr:col>2</xdr:col>
      <xdr:colOff>228600</xdr:colOff>
      <xdr:row>13</xdr:row>
      <xdr:rowOff>104774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437C8307-C027-3AAE-9BFF-F6C97FC94B14}"/>
            </a:ext>
          </a:extLst>
        </xdr:cNvPr>
        <xdr:cNvSpPr txBox="1"/>
      </xdr:nvSpPr>
      <xdr:spPr>
        <a:xfrm>
          <a:off x="254000" y="2076449"/>
          <a:ext cx="1346200" cy="2571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r>
            <a:rPr kumimoji="1" lang="en-US" altLang="ja-JP" sz="1000" b="1">
              <a:solidFill>
                <a:srgbClr val="305496"/>
              </a:solidFill>
              <a:ea typeface="Meiryo UI" panose="020B0604030504040204" pitchFamily="50" charset="-128"/>
            </a:rPr>
            <a:t>【</a:t>
          </a:r>
          <a:r>
            <a:rPr kumimoji="1" lang="ja-JP" altLang="en-US" sz="1000" b="1">
              <a:solidFill>
                <a:srgbClr val="305496"/>
              </a:solidFill>
              <a:ea typeface="Meiryo UI" panose="020B0604030504040204" pitchFamily="50" charset="-128"/>
            </a:rPr>
            <a:t>不良が出たとき</a:t>
          </a:r>
          <a:r>
            <a:rPr kumimoji="1" lang="en-US" altLang="ja-JP" sz="1000" b="1">
              <a:solidFill>
                <a:srgbClr val="305496"/>
              </a:solidFill>
              <a:ea typeface="Meiryo UI" panose="020B0604030504040204" pitchFamily="50" charset="-128"/>
            </a:rPr>
            <a:t>】</a:t>
          </a:r>
          <a:endParaRPr kumimoji="1" lang="ja-JP" altLang="en-US" sz="1000" b="1">
            <a:solidFill>
              <a:srgbClr val="305496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254000</xdr:colOff>
      <xdr:row>14</xdr:row>
      <xdr:rowOff>38100</xdr:rowOff>
    </xdr:from>
    <xdr:to>
      <xdr:col>3</xdr:col>
      <xdr:colOff>101600</xdr:colOff>
      <xdr:row>17</xdr:row>
      <xdr:rowOff>31750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F304CE9C-5DE0-03B9-9493-58AD2820B360}"/>
            </a:ext>
          </a:extLst>
        </xdr:cNvPr>
        <xdr:cNvSpPr/>
      </xdr:nvSpPr>
      <xdr:spPr>
        <a:xfrm>
          <a:off x="254000" y="2438400"/>
          <a:ext cx="1905000" cy="508000"/>
        </a:xfrm>
        <a:prstGeom prst="roundRect">
          <a:avLst/>
        </a:prstGeom>
        <a:solidFill>
          <a:srgbClr val="D9E1F2"/>
        </a:solidFill>
        <a:ln w="15875">
          <a:solidFill>
            <a:srgbClr val="305496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任意の状態
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未処理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〜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発送準備完了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)</a:t>
          </a:r>
          <a:endParaRPr kumimoji="1" lang="ja-JP" altLang="en-US" sz="1000" b="1">
            <a:solidFill>
              <a:srgbClr val="000000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381000</xdr:colOff>
      <xdr:row>14</xdr:row>
      <xdr:rowOff>38100</xdr:rowOff>
    </xdr:from>
    <xdr:to>
      <xdr:col>8</xdr:col>
      <xdr:colOff>228600</xdr:colOff>
      <xdr:row>17</xdr:row>
      <xdr:rowOff>31750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CD878491-C683-A7BA-1480-A5BE2674C3AF}"/>
            </a:ext>
          </a:extLst>
        </xdr:cNvPr>
        <xdr:cNvSpPr/>
      </xdr:nvSpPr>
      <xdr:spPr>
        <a:xfrm>
          <a:off x="3810000" y="2438400"/>
          <a:ext cx="1905000" cy="508000"/>
        </a:xfrm>
        <a:prstGeom prst="roundRect">
          <a:avLst/>
        </a:prstGeom>
        <a:solidFill>
          <a:srgbClr val="FFC7CE"/>
        </a:solidFill>
        <a:ln w="15875">
          <a:solidFill>
            <a:srgbClr val="30549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不良
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一時保管・倉庫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B)</a:t>
          </a:r>
          <a:endParaRPr kumimoji="1" lang="ja-JP" altLang="en-US" sz="1000" b="1">
            <a:solidFill>
              <a:srgbClr val="000000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508000</xdr:colOff>
      <xdr:row>14</xdr:row>
      <xdr:rowOff>38100</xdr:rowOff>
    </xdr:from>
    <xdr:to>
      <xdr:col>12</xdr:col>
      <xdr:colOff>355600</xdr:colOff>
      <xdr:row>17</xdr:row>
      <xdr:rowOff>31750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107CC49A-F164-4726-90FE-3827B5593083}"/>
            </a:ext>
          </a:extLst>
        </xdr:cNvPr>
        <xdr:cNvSpPr/>
      </xdr:nvSpPr>
      <xdr:spPr>
        <a:xfrm>
          <a:off x="7366000" y="2438400"/>
          <a:ext cx="1219200" cy="508000"/>
        </a:xfrm>
        <a:prstGeom prst="roundRect">
          <a:avLst/>
        </a:prstGeom>
        <a:solidFill>
          <a:srgbClr val="E7E6E6"/>
        </a:solidFill>
        <a:ln w="15875">
          <a:solidFill>
            <a:srgbClr val="305496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廃棄済み</a:t>
          </a:r>
        </a:p>
      </xdr:txBody>
    </xdr:sp>
    <xdr:clientData/>
  </xdr:twoCellAnchor>
  <xdr:twoCellAnchor>
    <xdr:from>
      <xdr:col>3</xdr:col>
      <xdr:colOff>101600</xdr:colOff>
      <xdr:row>15</xdr:row>
      <xdr:rowOff>120650</xdr:rowOff>
    </xdr:from>
    <xdr:to>
      <xdr:col>5</xdr:col>
      <xdr:colOff>381000</xdr:colOff>
      <xdr:row>15</xdr:row>
      <xdr:rowOff>120650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CDEF90CE-C968-DEAF-0EE9-BF44B7C58083}"/>
            </a:ext>
          </a:extLst>
        </xdr:cNvPr>
        <xdr:cNvCxnSpPr>
          <a:stCxn id="25" idx="3"/>
          <a:endCxn id="26" idx="1"/>
        </xdr:cNvCxnSpPr>
      </xdr:nvCxnSpPr>
      <xdr:spPr>
        <a:xfrm>
          <a:off x="2159000" y="2692400"/>
          <a:ext cx="1651000" cy="0"/>
        </a:xfrm>
        <a:prstGeom prst="straightConnector1">
          <a:avLst/>
        </a:prstGeom>
        <a:ln w="22225">
          <a:solidFill>
            <a:srgbClr val="5959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292100</xdr:colOff>
      <xdr:row>13</xdr:row>
      <xdr:rowOff>6350</xdr:rowOff>
    </xdr:from>
    <xdr:to>
      <xdr:col>5</xdr:col>
      <xdr:colOff>190500</xdr:colOff>
      <xdr:row>14</xdr:row>
      <xdr:rowOff>38100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34C48196-609D-59AA-FDC5-EC42C1ABB029}"/>
            </a:ext>
          </a:extLst>
        </xdr:cNvPr>
        <xdr:cNvSpPr txBox="1"/>
      </xdr:nvSpPr>
      <xdr:spPr>
        <a:xfrm>
          <a:off x="2349500" y="2235200"/>
          <a:ext cx="127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pPr algn="ctr"/>
          <a:r>
            <a:rPr kumimoji="1" lang="ja-JP" altLang="en-US" sz="900" b="1">
              <a:solidFill>
                <a:srgbClr val="C00000"/>
              </a:solidFill>
              <a:ea typeface="Meiryo UI" panose="020B0604030504040204" pitchFamily="50" charset="-128"/>
            </a:rPr>
            <a:t>不良発生</a:t>
          </a:r>
        </a:p>
      </xdr:txBody>
    </xdr:sp>
    <xdr:clientData/>
  </xdr:twoCellAnchor>
  <xdr:twoCellAnchor>
    <xdr:from>
      <xdr:col>8</xdr:col>
      <xdr:colOff>228600</xdr:colOff>
      <xdr:row>15</xdr:row>
      <xdr:rowOff>120650</xdr:rowOff>
    </xdr:from>
    <xdr:to>
      <xdr:col>10</xdr:col>
      <xdr:colOff>508000</xdr:colOff>
      <xdr:row>15</xdr:row>
      <xdr:rowOff>120650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583C62BA-8014-A6FA-5BB7-9462C39BB990}"/>
            </a:ext>
          </a:extLst>
        </xdr:cNvPr>
        <xdr:cNvCxnSpPr>
          <a:stCxn id="26" idx="3"/>
          <a:endCxn id="27" idx="1"/>
        </xdr:cNvCxnSpPr>
      </xdr:nvCxnSpPr>
      <xdr:spPr>
        <a:xfrm>
          <a:off x="5715000" y="2692400"/>
          <a:ext cx="1651000" cy="0"/>
        </a:xfrm>
        <a:prstGeom prst="straightConnector1">
          <a:avLst/>
        </a:prstGeom>
        <a:ln w="22225">
          <a:solidFill>
            <a:srgbClr val="5959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13</xdr:row>
      <xdr:rowOff>6350</xdr:rowOff>
    </xdr:from>
    <xdr:to>
      <xdr:col>10</xdr:col>
      <xdr:colOff>317500</xdr:colOff>
      <xdr:row>14</xdr:row>
      <xdr:rowOff>38100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6F48DC82-7459-D02B-A23F-90D2D613A2E2}"/>
            </a:ext>
          </a:extLst>
        </xdr:cNvPr>
        <xdr:cNvSpPr txBox="1"/>
      </xdr:nvSpPr>
      <xdr:spPr>
        <a:xfrm>
          <a:off x="5905500" y="2235200"/>
          <a:ext cx="127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pPr algn="ctr"/>
          <a:r>
            <a:rPr kumimoji="1" lang="ja-JP" altLang="en-US" sz="900" b="1">
              <a:solidFill>
                <a:srgbClr val="C00000"/>
              </a:solidFill>
              <a:ea typeface="Meiryo UI" panose="020B0604030504040204" pitchFamily="50" charset="-128"/>
            </a:rPr>
            <a:t>廃棄</a:t>
          </a:r>
        </a:p>
      </xdr:txBody>
    </xdr:sp>
    <xdr:clientData/>
  </xdr:twoCellAnchor>
  <xdr:twoCellAnchor>
    <xdr:from>
      <xdr:col>0</xdr:col>
      <xdr:colOff>254000</xdr:colOff>
      <xdr:row>19</xdr:row>
      <xdr:rowOff>44449</xdr:rowOff>
    </xdr:from>
    <xdr:to>
      <xdr:col>4</xdr:col>
      <xdr:colOff>152400</xdr:colOff>
      <xdr:row>21</xdr:row>
      <xdr:rowOff>9524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97F35BA6-6D9F-225F-8102-393513B05ED8}"/>
            </a:ext>
          </a:extLst>
        </xdr:cNvPr>
        <xdr:cNvSpPr txBox="1"/>
      </xdr:nvSpPr>
      <xdr:spPr>
        <a:xfrm>
          <a:off x="254000" y="3301999"/>
          <a:ext cx="2641600" cy="3079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r>
            <a:rPr kumimoji="1" lang="en-US" altLang="ja-JP" sz="1000" b="1">
              <a:solidFill>
                <a:srgbClr val="305496"/>
              </a:solidFill>
              <a:ea typeface="Meiryo UI" panose="020B0604030504040204" pitchFamily="50" charset="-128"/>
            </a:rPr>
            <a:t>【</a:t>
          </a:r>
          <a:r>
            <a:rPr kumimoji="1" lang="ja-JP" altLang="en-US" sz="1000" b="1">
              <a:solidFill>
                <a:srgbClr val="305496"/>
              </a:solidFill>
              <a:ea typeface="Meiryo UI" panose="020B0604030504040204" pitchFamily="50" charset="-128"/>
            </a:rPr>
            <a:t>余剰在庫の扱い</a:t>
          </a:r>
          <a:r>
            <a:rPr kumimoji="1" lang="en-US" altLang="ja-JP" sz="1000" b="1">
              <a:solidFill>
                <a:srgbClr val="305496"/>
              </a:solidFill>
              <a:ea typeface="Meiryo UI" panose="020B0604030504040204" pitchFamily="50" charset="-128"/>
            </a:rPr>
            <a:t>】(</a:t>
          </a:r>
          <a:r>
            <a:rPr kumimoji="1" lang="ja-JP" altLang="en-US" sz="1000" b="1">
              <a:solidFill>
                <a:srgbClr val="305496"/>
              </a:solidFill>
              <a:ea typeface="Meiryo UI" panose="020B0604030504040204" pitchFamily="50" charset="-128"/>
            </a:rPr>
            <a:t>状態はそのまま引き継ぐ</a:t>
          </a:r>
          <a:r>
            <a:rPr kumimoji="1" lang="en-US" altLang="ja-JP" sz="1000" b="1">
              <a:solidFill>
                <a:srgbClr val="305496"/>
              </a:solidFill>
              <a:ea typeface="Meiryo UI" panose="020B0604030504040204" pitchFamily="50" charset="-128"/>
            </a:rPr>
            <a:t>)</a:t>
          </a:r>
          <a:endParaRPr kumimoji="1" lang="ja-JP" altLang="en-US" sz="1000" b="1">
            <a:solidFill>
              <a:srgbClr val="305496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254000</xdr:colOff>
      <xdr:row>21</xdr:row>
      <xdr:rowOff>158750</xdr:rowOff>
    </xdr:from>
    <xdr:to>
      <xdr:col>3</xdr:col>
      <xdr:colOff>101600</xdr:colOff>
      <xdr:row>24</xdr:row>
      <xdr:rowOff>152400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7937FCC4-1AB3-DE46-F7A4-B3CD3FBF2509}"/>
            </a:ext>
          </a:extLst>
        </xdr:cNvPr>
        <xdr:cNvSpPr/>
      </xdr:nvSpPr>
      <xdr:spPr>
        <a:xfrm>
          <a:off x="254000" y="3759200"/>
          <a:ext cx="1905000" cy="508000"/>
        </a:xfrm>
        <a:prstGeom prst="roundRect">
          <a:avLst/>
        </a:prstGeom>
        <a:solidFill>
          <a:srgbClr val="D9E1F2"/>
        </a:solidFill>
        <a:ln w="15875">
          <a:solidFill>
            <a:srgbClr val="30549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ロットの在庫
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任意の状態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)</a:t>
          </a:r>
          <a:endParaRPr kumimoji="1" lang="ja-JP" altLang="en-US" sz="1000" b="1">
            <a:solidFill>
              <a:srgbClr val="000000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381000</xdr:colOff>
      <xdr:row>21</xdr:row>
      <xdr:rowOff>158750</xdr:rowOff>
    </xdr:from>
    <xdr:to>
      <xdr:col>8</xdr:col>
      <xdr:colOff>228600</xdr:colOff>
      <xdr:row>24</xdr:row>
      <xdr:rowOff>152400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9D73CD8D-7054-13B9-3717-08A69BA901A6}"/>
            </a:ext>
          </a:extLst>
        </xdr:cNvPr>
        <xdr:cNvSpPr/>
      </xdr:nvSpPr>
      <xdr:spPr>
        <a:xfrm>
          <a:off x="3810000" y="3759200"/>
          <a:ext cx="1905000" cy="508000"/>
        </a:xfrm>
        <a:prstGeom prst="roundRect">
          <a:avLst/>
        </a:prstGeom>
        <a:solidFill>
          <a:srgbClr val="FFF2CC"/>
        </a:solidFill>
        <a:ln w="15875">
          <a:solidFill>
            <a:srgbClr val="30549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未割当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余剰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)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在庫
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倉庫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B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・品番単位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)</a:t>
          </a:r>
          <a:endParaRPr kumimoji="1" lang="ja-JP" altLang="en-US" sz="1000" b="1">
            <a:solidFill>
              <a:srgbClr val="000000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508000</xdr:colOff>
      <xdr:row>19</xdr:row>
      <xdr:rowOff>146050</xdr:rowOff>
    </xdr:from>
    <xdr:to>
      <xdr:col>13</xdr:col>
      <xdr:colOff>609600</xdr:colOff>
      <xdr:row>22</xdr:row>
      <xdr:rowOff>88900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71DEA443-0FB8-B978-752A-A9FE91DAAA21}"/>
            </a:ext>
          </a:extLst>
        </xdr:cNvPr>
        <xdr:cNvSpPr/>
      </xdr:nvSpPr>
      <xdr:spPr>
        <a:xfrm>
          <a:off x="7366000" y="3403600"/>
          <a:ext cx="2159000" cy="457200"/>
        </a:xfrm>
        <a:prstGeom prst="roundRect">
          <a:avLst/>
        </a:prstGeom>
        <a:solidFill>
          <a:srgbClr val="D9E1F2"/>
        </a:solidFill>
        <a:ln w="15875">
          <a:solidFill>
            <a:srgbClr val="30549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別ロットへ充当
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他の納期に使う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)</a:t>
          </a:r>
          <a:endParaRPr kumimoji="1" lang="ja-JP" altLang="en-US" sz="1000" b="1">
            <a:solidFill>
              <a:srgbClr val="000000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508000</xdr:colOff>
      <xdr:row>23</xdr:row>
      <xdr:rowOff>120650</xdr:rowOff>
    </xdr:from>
    <xdr:to>
      <xdr:col>13</xdr:col>
      <xdr:colOff>609600</xdr:colOff>
      <xdr:row>26</xdr:row>
      <xdr:rowOff>63500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7FCD7EC1-2BDB-D179-6C42-F6D3803D3117}"/>
            </a:ext>
          </a:extLst>
        </xdr:cNvPr>
        <xdr:cNvSpPr/>
      </xdr:nvSpPr>
      <xdr:spPr>
        <a:xfrm>
          <a:off x="7366000" y="4064000"/>
          <a:ext cx="2159000" cy="457200"/>
        </a:xfrm>
        <a:prstGeom prst="roundRect">
          <a:avLst/>
        </a:prstGeom>
        <a:solidFill>
          <a:srgbClr val="E7E6E6"/>
        </a:solidFill>
        <a:ln w="15875">
          <a:solidFill>
            <a:srgbClr val="30549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倉庫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A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へ戻す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(</a:t>
          </a:r>
          <a:r>
            <a:rPr kumimoji="1" lang="ja-JP" altLang="en-US" sz="1000" b="1">
              <a:solidFill>
                <a:srgbClr val="000000"/>
              </a:solidFill>
              <a:ea typeface="Meiryo UI" panose="020B0604030504040204" pitchFamily="50" charset="-128"/>
            </a:rPr>
            <a:t>場所確保</a:t>
          </a:r>
          <a:r>
            <a:rPr kumimoji="1" lang="en-US" altLang="ja-JP" sz="1000" b="1">
              <a:solidFill>
                <a:srgbClr val="000000"/>
              </a:solidFill>
              <a:ea typeface="Meiryo UI" panose="020B0604030504040204" pitchFamily="50" charset="-128"/>
            </a:rPr>
            <a:t>)</a:t>
          </a:r>
          <a:endParaRPr kumimoji="1" lang="ja-JP" altLang="en-US" sz="1000" b="1">
            <a:solidFill>
              <a:srgbClr val="000000"/>
            </a:solidFill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101600</xdr:colOff>
      <xdr:row>23</xdr:row>
      <xdr:rowOff>69850</xdr:rowOff>
    </xdr:from>
    <xdr:to>
      <xdr:col>5</xdr:col>
      <xdr:colOff>381000</xdr:colOff>
      <xdr:row>23</xdr:row>
      <xdr:rowOff>69850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244D11C2-B5E2-B95A-2823-1933B1D7EDC2}"/>
            </a:ext>
          </a:extLst>
        </xdr:cNvPr>
        <xdr:cNvCxnSpPr>
          <a:stCxn id="33" idx="3"/>
          <a:endCxn id="34" idx="1"/>
        </xdr:cNvCxnSpPr>
      </xdr:nvCxnSpPr>
      <xdr:spPr>
        <a:xfrm>
          <a:off x="2159000" y="4013200"/>
          <a:ext cx="1651000" cy="0"/>
        </a:xfrm>
        <a:prstGeom prst="straightConnector1">
          <a:avLst/>
        </a:prstGeom>
        <a:ln w="22225">
          <a:solidFill>
            <a:srgbClr val="5959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292100</xdr:colOff>
      <xdr:row>20</xdr:row>
      <xdr:rowOff>127000</xdr:rowOff>
    </xdr:from>
    <xdr:to>
      <xdr:col>5</xdr:col>
      <xdr:colOff>190500</xdr:colOff>
      <xdr:row>21</xdr:row>
      <xdr:rowOff>158750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2FE912E4-70F7-71E5-E203-27950FBD26B0}"/>
            </a:ext>
          </a:extLst>
        </xdr:cNvPr>
        <xdr:cNvSpPr txBox="1"/>
      </xdr:nvSpPr>
      <xdr:spPr>
        <a:xfrm>
          <a:off x="2349500" y="3556000"/>
          <a:ext cx="127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pPr algn="ctr"/>
          <a:r>
            <a:rPr kumimoji="1" lang="ja-JP" altLang="en-US" sz="900" b="1">
              <a:solidFill>
                <a:srgbClr val="C00000"/>
              </a:solidFill>
              <a:ea typeface="Meiryo UI" panose="020B0604030504040204" pitchFamily="50" charset="-128"/>
            </a:rPr>
            <a:t>余剰化</a:t>
          </a:r>
        </a:p>
      </xdr:txBody>
    </xdr:sp>
    <xdr:clientData/>
  </xdr:twoCellAnchor>
  <xdr:twoCellAnchor>
    <xdr:from>
      <xdr:col>8</xdr:col>
      <xdr:colOff>228600</xdr:colOff>
      <xdr:row>21</xdr:row>
      <xdr:rowOff>31750</xdr:rowOff>
    </xdr:from>
    <xdr:to>
      <xdr:col>10</xdr:col>
      <xdr:colOff>508000</xdr:colOff>
      <xdr:row>23</xdr:row>
      <xdr:rowOff>69850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0C88E896-F1AA-7F21-BFD8-3F5D7313D7AB}"/>
            </a:ext>
          </a:extLst>
        </xdr:cNvPr>
        <xdr:cNvCxnSpPr>
          <a:stCxn id="34" idx="3"/>
          <a:endCxn id="35" idx="1"/>
        </xdr:cNvCxnSpPr>
      </xdr:nvCxnSpPr>
      <xdr:spPr>
        <a:xfrm flipV="1">
          <a:off x="5715000" y="3632200"/>
          <a:ext cx="1651000" cy="381000"/>
        </a:xfrm>
        <a:prstGeom prst="straightConnector1">
          <a:avLst/>
        </a:prstGeom>
        <a:ln w="22225">
          <a:solidFill>
            <a:srgbClr val="5959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609600</xdr:colOff>
      <xdr:row>19</xdr:row>
      <xdr:rowOff>146050</xdr:rowOff>
    </xdr:from>
    <xdr:to>
      <xdr:col>10</xdr:col>
      <xdr:colOff>381000</xdr:colOff>
      <xdr:row>21</xdr:row>
      <xdr:rowOff>6350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D21A768B-012A-E6DB-30C8-F5E15CF893ED}"/>
            </a:ext>
          </a:extLst>
        </xdr:cNvPr>
        <xdr:cNvSpPr txBox="1"/>
      </xdr:nvSpPr>
      <xdr:spPr>
        <a:xfrm>
          <a:off x="6096000" y="3403600"/>
          <a:ext cx="1143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pPr algn="ctr"/>
          <a:r>
            <a:rPr kumimoji="1" lang="ja-JP" altLang="en-US" sz="900" b="1">
              <a:solidFill>
                <a:srgbClr val="C00000"/>
              </a:solidFill>
              <a:ea typeface="Meiryo UI" panose="020B0604030504040204" pitchFamily="50" charset="-128"/>
            </a:rPr>
            <a:t>充当</a:t>
          </a:r>
        </a:p>
      </xdr:txBody>
    </xdr:sp>
    <xdr:clientData/>
  </xdr:twoCellAnchor>
  <xdr:twoCellAnchor>
    <xdr:from>
      <xdr:col>8</xdr:col>
      <xdr:colOff>228600</xdr:colOff>
      <xdr:row>23</xdr:row>
      <xdr:rowOff>69850</xdr:rowOff>
    </xdr:from>
    <xdr:to>
      <xdr:col>10</xdr:col>
      <xdr:colOff>508000</xdr:colOff>
      <xdr:row>25</xdr:row>
      <xdr:rowOff>6350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78B45DBE-F330-0167-4255-AF832F6B759B}"/>
            </a:ext>
          </a:extLst>
        </xdr:cNvPr>
        <xdr:cNvCxnSpPr>
          <a:stCxn id="34" idx="3"/>
          <a:endCxn id="36" idx="1"/>
        </xdr:cNvCxnSpPr>
      </xdr:nvCxnSpPr>
      <xdr:spPr>
        <a:xfrm>
          <a:off x="5715000" y="4013200"/>
          <a:ext cx="1651000" cy="279400"/>
        </a:xfrm>
        <a:prstGeom prst="straightConnector1">
          <a:avLst/>
        </a:prstGeom>
        <a:ln w="22225">
          <a:solidFill>
            <a:srgbClr val="59595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609600</xdr:colOff>
      <xdr:row>24</xdr:row>
      <xdr:rowOff>76200</xdr:rowOff>
    </xdr:from>
    <xdr:to>
      <xdr:col>10</xdr:col>
      <xdr:colOff>381000</xdr:colOff>
      <xdr:row>25</xdr:row>
      <xdr:rowOff>107950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E2969159-EF87-5B02-A0F5-DB5A32E3203F}"/>
            </a:ext>
          </a:extLst>
        </xdr:cNvPr>
        <xdr:cNvSpPr txBox="1"/>
      </xdr:nvSpPr>
      <xdr:spPr>
        <a:xfrm>
          <a:off x="6096000" y="4191000"/>
          <a:ext cx="1143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pPr algn="ctr"/>
          <a:r>
            <a:rPr kumimoji="1" lang="ja-JP" altLang="en-US" sz="900" b="1">
              <a:solidFill>
                <a:srgbClr val="C00000"/>
              </a:solidFill>
              <a:ea typeface="Meiryo UI" panose="020B0604030504040204" pitchFamily="50" charset="-128"/>
            </a:rPr>
            <a:t>倉庫</a:t>
          </a:r>
          <a:r>
            <a:rPr kumimoji="1" lang="en-US" altLang="ja-JP" sz="900" b="1">
              <a:solidFill>
                <a:srgbClr val="C00000"/>
              </a:solidFill>
              <a:ea typeface="Meiryo UI" panose="020B0604030504040204" pitchFamily="50" charset="-128"/>
            </a:rPr>
            <a:t>A</a:t>
          </a:r>
          <a:r>
            <a:rPr kumimoji="1" lang="ja-JP" altLang="en-US" sz="900" b="1">
              <a:solidFill>
                <a:srgbClr val="C00000"/>
              </a:solidFill>
              <a:ea typeface="Meiryo UI" panose="020B0604030504040204" pitchFamily="50" charset="-128"/>
            </a:rPr>
            <a:t>戻し</a:t>
          </a:r>
        </a:p>
      </xdr:txBody>
    </xdr:sp>
    <xdr:clientData/>
  </xdr:twoCellAnchor>
  <xdr:twoCellAnchor>
    <xdr:from>
      <xdr:col>0</xdr:col>
      <xdr:colOff>254000</xdr:colOff>
      <xdr:row>27</xdr:row>
      <xdr:rowOff>95250</xdr:rowOff>
    </xdr:from>
    <xdr:to>
      <xdr:col>6</xdr:col>
      <xdr:colOff>228600</xdr:colOff>
      <xdr:row>29</xdr:row>
      <xdr:rowOff>95250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9159D61A-5AD8-0DE8-C503-3B4146DD4465}"/>
            </a:ext>
          </a:extLst>
        </xdr:cNvPr>
        <xdr:cNvSpPr txBox="1"/>
      </xdr:nvSpPr>
      <xdr:spPr>
        <a:xfrm>
          <a:off x="254000" y="4724400"/>
          <a:ext cx="4089400" cy="342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/>
        <a:lstStyle/>
        <a:p>
          <a:r>
            <a:rPr kumimoji="1" lang="en-US" altLang="ja-JP" sz="900" b="0">
              <a:solidFill>
                <a:srgbClr val="595959"/>
              </a:solidFill>
              <a:ea typeface="Meiryo UI" panose="020B0604030504040204" pitchFamily="50" charset="-128"/>
            </a:rPr>
            <a:t>※</a:t>
          </a:r>
          <a:r>
            <a:rPr kumimoji="1" lang="ja-JP" altLang="en-US" sz="900" b="0">
              <a:solidFill>
                <a:srgbClr val="595959"/>
              </a:solidFill>
              <a:ea typeface="Meiryo UI" panose="020B0604030504040204" pitchFamily="50" charset="-128"/>
            </a:rPr>
            <a:t>充当はロット→別ロットの直接振替も可</a:t>
          </a:r>
          <a:r>
            <a:rPr kumimoji="1" lang="en-US" altLang="ja-JP" sz="900" b="0">
              <a:solidFill>
                <a:srgbClr val="595959"/>
              </a:solidFill>
              <a:ea typeface="Meiryo UI" panose="020B0604030504040204" pitchFamily="50" charset="-128"/>
            </a:rPr>
            <a:t>(</a:t>
          </a:r>
          <a:r>
            <a:rPr kumimoji="1" lang="ja-JP" altLang="en-US" sz="900" b="0">
              <a:solidFill>
                <a:srgbClr val="595959"/>
              </a:solidFill>
              <a:ea typeface="Meiryo UI" panose="020B0604030504040204" pitchFamily="50" charset="-128"/>
            </a:rPr>
            <a:t>ロット</a:t>
          </a:r>
          <a:r>
            <a:rPr kumimoji="1" lang="en-US" altLang="ja-JP" sz="900" b="0">
              <a:solidFill>
                <a:srgbClr val="595959"/>
              </a:solidFill>
              <a:ea typeface="Meiryo UI" panose="020B0604030504040204" pitchFamily="50" charset="-128"/>
            </a:rPr>
            <a:t>ID=</a:t>
          </a:r>
          <a:r>
            <a:rPr kumimoji="1" lang="ja-JP" altLang="en-US" sz="900" b="0">
              <a:solidFill>
                <a:srgbClr val="595959"/>
              </a:solidFill>
              <a:ea typeface="Meiryo UI" panose="020B0604030504040204" pitchFamily="50" charset="-128"/>
            </a:rPr>
            <a:t>移動元、充当先ロット</a:t>
          </a:r>
          <a:r>
            <a:rPr kumimoji="1" lang="en-US" altLang="ja-JP" sz="900" b="0">
              <a:solidFill>
                <a:srgbClr val="595959"/>
              </a:solidFill>
              <a:ea typeface="Meiryo UI" panose="020B0604030504040204" pitchFamily="50" charset="-128"/>
            </a:rPr>
            <a:t>ID=</a:t>
          </a:r>
          <a:r>
            <a:rPr kumimoji="1" lang="ja-JP" altLang="en-US" sz="900" b="0">
              <a:solidFill>
                <a:srgbClr val="595959"/>
              </a:solidFill>
              <a:ea typeface="Meiryo UI" panose="020B0604030504040204" pitchFamily="50" charset="-128"/>
            </a:rPr>
            <a:t>移動先</a:t>
          </a:r>
          <a:r>
            <a:rPr kumimoji="1" lang="en-US" altLang="ja-JP" sz="900" b="0">
              <a:solidFill>
                <a:srgbClr val="595959"/>
              </a:solidFill>
              <a:ea typeface="Meiryo UI" panose="020B0604030504040204" pitchFamily="50" charset="-128"/>
            </a:rPr>
            <a:t>)</a:t>
          </a:r>
          <a:endParaRPr kumimoji="1" lang="ja-JP" altLang="en-US" sz="900" b="0">
            <a:solidFill>
              <a:srgbClr val="595959"/>
            </a:solidFill>
            <a:ea typeface="Meiryo UI" panose="020B0604030504040204" pitchFamily="50" charset="-12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edger" displayName="tbl_ledger" ref="A1:K10">
  <autoFilter ref="A1:K10" xr:uid="{00000000-0009-0000-0100-000001000000}"/>
  <tableColumns count="11">
    <tableColumn id="1" xr3:uid="{00000000-0010-0000-0000-000001000000}" name="No"/>
    <tableColumn id="2" xr3:uid="{00000000-0010-0000-0000-000002000000}" name="実施日"/>
    <tableColumn id="3" xr3:uid="{00000000-0010-0000-0000-000003000000}" name="イベント種類"/>
    <tableColumn id="4" xr3:uid="{00000000-0010-0000-0000-000004000000}" name="品番"/>
    <tableColumn id="5" xr3:uid="{00000000-0010-0000-0000-000005000000}" name="ロットID"/>
    <tableColumn id="6" xr3:uid="{00000000-0010-0000-0000-000006000000}" name="充当先ロットID"/>
    <tableColumn id="7" xr3:uid="{00000000-0010-0000-0000-000007000000}" name="元状態"/>
    <tableColumn id="8" xr3:uid="{00000000-0010-0000-0000-000008000000}" name="数量"/>
    <tableColumn id="9" xr3:uid="{00000000-0010-0000-0000-000009000000}" name="納期先"/>
    <tableColumn id="10" xr3:uid="{00000000-0010-0000-0000-00000A000000}" name="記録者"/>
    <tableColumn id="11" xr3:uid="{00000000-0010-0000-0000-00000B000000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lan" displayName="tbl_plan" ref="A1:G5">
  <autoFilter ref="A1:G5" xr:uid="{00000000-0009-0000-0100-000002000000}"/>
  <tableColumns count="7">
    <tableColumn id="1" xr3:uid="{00000000-0010-0000-0100-000001000000}" name="ロットID"/>
    <tableColumn id="2" xr3:uid="{00000000-0010-0000-0100-000002000000}" name="品番"/>
    <tableColumn id="3" xr3:uid="{00000000-0010-0000-0100-000003000000}" name="出荷週"/>
    <tableColumn id="4" xr3:uid="{00000000-0010-0000-0100-000004000000}" name="納期先"/>
    <tableColumn id="5" xr3:uid="{00000000-0010-0000-0100-000005000000}" name="必要数"/>
    <tableColumn id="6" xr3:uid="{00000000-0010-0000-0100-000006000000}" name="計画状態"/>
    <tableColumn id="7" xr3:uid="{00000000-0010-0000-0100-000007000000}" name="最終取込日時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aster" displayName="tbl_master" ref="A1:D5">
  <autoFilter ref="A1:D5" xr:uid="{00000000-0009-0000-0100-000003000000}"/>
  <tableColumns count="4">
    <tableColumn id="1" xr3:uid="{00000000-0010-0000-0200-000001000000}" name="品番"/>
    <tableColumn id="2" xr3:uid="{00000000-0010-0000-0200-000002000000}" name="品名"/>
    <tableColumn id="3" xr3:uid="{00000000-0010-0000-0200-000003000000}" name="工程パターン"/>
    <tableColumn id="4" xr3:uid="{00000000-0010-0000-0200-00000400000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D27" sqref="D27"/>
    </sheetView>
  </sheetViews>
  <sheetFormatPr defaultRowHeight="13.5" x14ac:dyDescent="0.15"/>
  <cols>
    <col min="1" max="1" width="46" customWidth="1"/>
    <col min="2" max="2" width="13" customWidth="1"/>
    <col min="3" max="3" width="66" customWidth="1"/>
  </cols>
  <sheetData>
    <row r="1" spans="1:1" ht="15" x14ac:dyDescent="0.25">
      <c r="A1" s="1" t="s">
        <v>0</v>
      </c>
    </row>
    <row r="2" spans="1:1" ht="15" x14ac:dyDescent="0.25">
      <c r="A2" s="2" t="s">
        <v>1</v>
      </c>
    </row>
    <row r="3" spans="1:1" ht="15" x14ac:dyDescent="0.25">
      <c r="A3" s="2"/>
    </row>
    <row r="4" spans="1:1" ht="15" x14ac:dyDescent="0.25">
      <c r="A4" s="1" t="s">
        <v>2</v>
      </c>
    </row>
    <row r="5" spans="1:1" ht="15" x14ac:dyDescent="0.25">
      <c r="A5" s="2" t="s">
        <v>3</v>
      </c>
    </row>
    <row r="6" spans="1:1" ht="15" x14ac:dyDescent="0.25">
      <c r="A6" s="2" t="s">
        <v>4</v>
      </c>
    </row>
    <row r="7" spans="1:1" ht="15" x14ac:dyDescent="0.25">
      <c r="A7" s="2" t="s">
        <v>5</v>
      </c>
    </row>
    <row r="8" spans="1:1" ht="15" x14ac:dyDescent="0.25">
      <c r="A8" s="2"/>
    </row>
    <row r="9" spans="1:1" ht="15" x14ac:dyDescent="0.25">
      <c r="A9" s="1" t="s">
        <v>6</v>
      </c>
    </row>
    <row r="10" spans="1:1" ht="15" x14ac:dyDescent="0.25">
      <c r="A10" s="2" t="s">
        <v>7</v>
      </c>
    </row>
    <row r="11" spans="1:1" ht="15" x14ac:dyDescent="0.25">
      <c r="A11" s="2" t="s">
        <v>8</v>
      </c>
    </row>
    <row r="12" spans="1:1" ht="15" x14ac:dyDescent="0.25">
      <c r="A12" s="2" t="s">
        <v>9</v>
      </c>
    </row>
    <row r="13" spans="1:1" ht="15" x14ac:dyDescent="0.25">
      <c r="A13" s="2" t="s">
        <v>10</v>
      </c>
    </row>
    <row r="14" spans="1:1" ht="15" x14ac:dyDescent="0.25">
      <c r="A14" s="2" t="s">
        <v>11</v>
      </c>
    </row>
    <row r="15" spans="1:1" ht="15" x14ac:dyDescent="0.25">
      <c r="A15" s="2" t="s">
        <v>12</v>
      </c>
    </row>
    <row r="16" spans="1:1" ht="15" x14ac:dyDescent="0.25">
      <c r="A16" s="2" t="s">
        <v>13</v>
      </c>
    </row>
    <row r="17" spans="1:1" ht="15" x14ac:dyDescent="0.25">
      <c r="A17" s="2"/>
    </row>
    <row r="18" spans="1:1" ht="15" x14ac:dyDescent="0.25">
      <c r="A18" s="1" t="s">
        <v>14</v>
      </c>
    </row>
    <row r="19" spans="1:1" ht="15" x14ac:dyDescent="0.25">
      <c r="A19" s="2" t="s">
        <v>15</v>
      </c>
    </row>
    <row r="20" spans="1:1" ht="15" x14ac:dyDescent="0.25">
      <c r="A20" s="2" t="s">
        <v>16</v>
      </c>
    </row>
    <row r="21" spans="1:1" ht="15" x14ac:dyDescent="0.25">
      <c r="A21" s="2" t="s">
        <v>17</v>
      </c>
    </row>
    <row r="22" spans="1:1" ht="15" x14ac:dyDescent="0.25">
      <c r="A22" s="2" t="s">
        <v>18</v>
      </c>
    </row>
    <row r="23" spans="1:1" ht="15" x14ac:dyDescent="0.25">
      <c r="A23" s="2" t="s">
        <v>19</v>
      </c>
    </row>
    <row r="24" spans="1:1" ht="15" x14ac:dyDescent="0.25">
      <c r="A24" s="2" t="s">
        <v>20</v>
      </c>
    </row>
    <row r="25" spans="1:1" ht="15" x14ac:dyDescent="0.25">
      <c r="A25" s="2" t="s">
        <v>21</v>
      </c>
    </row>
    <row r="26" spans="1:1" ht="15" x14ac:dyDescent="0.25">
      <c r="A26" s="2"/>
    </row>
    <row r="27" spans="1:1" ht="15" x14ac:dyDescent="0.25">
      <c r="A27" s="1" t="s">
        <v>22</v>
      </c>
    </row>
    <row r="28" spans="1:1" ht="15" x14ac:dyDescent="0.25">
      <c r="A28" s="2" t="s">
        <v>23</v>
      </c>
    </row>
    <row r="29" spans="1:1" ht="15" x14ac:dyDescent="0.25">
      <c r="A29" s="2" t="s">
        <v>24</v>
      </c>
    </row>
    <row r="30" spans="1:1" ht="15" x14ac:dyDescent="0.25">
      <c r="A30" s="2" t="s">
        <v>25</v>
      </c>
    </row>
    <row r="31" spans="1:1" ht="15" x14ac:dyDescent="0.25">
      <c r="A31" s="2" t="s">
        <v>26</v>
      </c>
    </row>
    <row r="32" spans="1:1" ht="15" x14ac:dyDescent="0.25">
      <c r="A32" s="2" t="s">
        <v>27</v>
      </c>
    </row>
    <row r="33" spans="1:3" ht="15" x14ac:dyDescent="0.25">
      <c r="A33" s="2" t="s">
        <v>28</v>
      </c>
    </row>
    <row r="34" spans="1:3" ht="15" x14ac:dyDescent="0.25">
      <c r="A34" s="2"/>
    </row>
    <row r="35" spans="1:3" ht="15" x14ac:dyDescent="0.25">
      <c r="A35" s="1" t="s">
        <v>29</v>
      </c>
    </row>
    <row r="36" spans="1:3" ht="15" x14ac:dyDescent="0.25">
      <c r="A36" s="3" t="s">
        <v>30</v>
      </c>
      <c r="B36" s="3" t="s">
        <v>31</v>
      </c>
      <c r="C36" s="3" t="s">
        <v>32</v>
      </c>
    </row>
    <row r="37" spans="1:3" ht="15" x14ac:dyDescent="0.25">
      <c r="A37" s="2" t="s">
        <v>33</v>
      </c>
      <c r="B37" s="2" t="s">
        <v>34</v>
      </c>
      <c r="C37" s="2" t="s">
        <v>35</v>
      </c>
    </row>
    <row r="38" spans="1:3" ht="15" x14ac:dyDescent="0.25">
      <c r="A38" s="2" t="s">
        <v>36</v>
      </c>
      <c r="B38" s="2" t="s">
        <v>37</v>
      </c>
      <c r="C38" s="2" t="s">
        <v>38</v>
      </c>
    </row>
    <row r="39" spans="1:3" ht="15" x14ac:dyDescent="0.25">
      <c r="A39" s="2" t="s">
        <v>39</v>
      </c>
      <c r="B39" s="2" t="s">
        <v>40</v>
      </c>
      <c r="C39" s="2" t="s">
        <v>41</v>
      </c>
    </row>
    <row r="40" spans="1:3" ht="15" x14ac:dyDescent="0.25">
      <c r="A40" s="2" t="s">
        <v>42</v>
      </c>
      <c r="B40" s="2" t="s">
        <v>43</v>
      </c>
      <c r="C40" s="2" t="s">
        <v>44</v>
      </c>
    </row>
    <row r="41" spans="1:3" ht="15" x14ac:dyDescent="0.25">
      <c r="A41" s="2" t="s">
        <v>45</v>
      </c>
      <c r="B41" s="2" t="s">
        <v>43</v>
      </c>
      <c r="C41" s="2" t="s">
        <v>46</v>
      </c>
    </row>
    <row r="42" spans="1:3" ht="15" x14ac:dyDescent="0.25">
      <c r="A42" s="2" t="s">
        <v>47</v>
      </c>
      <c r="B42" s="2" t="s">
        <v>43</v>
      </c>
      <c r="C42" s="2" t="s">
        <v>48</v>
      </c>
    </row>
    <row r="43" spans="1:3" ht="15" x14ac:dyDescent="0.25">
      <c r="A43" s="2" t="s">
        <v>49</v>
      </c>
      <c r="B43" s="2" t="s">
        <v>43</v>
      </c>
      <c r="C43" s="2" t="s">
        <v>50</v>
      </c>
    </row>
    <row r="44" spans="1:3" ht="15" x14ac:dyDescent="0.25">
      <c r="A44" s="2" t="s">
        <v>51</v>
      </c>
      <c r="B44" s="2" t="s">
        <v>43</v>
      </c>
      <c r="C44" s="2" t="s">
        <v>52</v>
      </c>
    </row>
    <row r="45" spans="1:3" ht="15" x14ac:dyDescent="0.25">
      <c r="A45" s="2" t="s">
        <v>53</v>
      </c>
      <c r="B45" s="2" t="s">
        <v>43</v>
      </c>
      <c r="C45" s="2" t="s">
        <v>54</v>
      </c>
    </row>
    <row r="46" spans="1:3" ht="15" x14ac:dyDescent="0.25">
      <c r="A46" s="2" t="s">
        <v>55</v>
      </c>
      <c r="B46" s="2" t="s">
        <v>43</v>
      </c>
      <c r="C46" s="2" t="s">
        <v>56</v>
      </c>
    </row>
    <row r="47" spans="1:3" ht="15" x14ac:dyDescent="0.25">
      <c r="A47" s="2" t="s">
        <v>57</v>
      </c>
      <c r="B47" s="2" t="s">
        <v>43</v>
      </c>
      <c r="C47" s="2" t="s">
        <v>58</v>
      </c>
    </row>
    <row r="48" spans="1:3" ht="15" x14ac:dyDescent="0.25">
      <c r="A48" s="2" t="s">
        <v>59</v>
      </c>
      <c r="B48" s="2" t="s">
        <v>43</v>
      </c>
      <c r="C48" s="2" t="s">
        <v>60</v>
      </c>
    </row>
    <row r="49" spans="1:3" ht="15" x14ac:dyDescent="0.25">
      <c r="A49" s="2" t="s">
        <v>61</v>
      </c>
      <c r="B49" s="2" t="s">
        <v>43</v>
      </c>
      <c r="C49" s="2" t="s">
        <v>62</v>
      </c>
    </row>
    <row r="50" spans="1:3" ht="15" x14ac:dyDescent="0.25">
      <c r="A50" s="2" t="s">
        <v>63</v>
      </c>
      <c r="B50" s="2" t="s">
        <v>43</v>
      </c>
      <c r="C50" s="2" t="s">
        <v>64</v>
      </c>
    </row>
    <row r="51" spans="1:3" ht="15" x14ac:dyDescent="0.25">
      <c r="A51" s="2" t="s">
        <v>65</v>
      </c>
      <c r="B51" s="2" t="s">
        <v>66</v>
      </c>
      <c r="C51" s="2" t="s">
        <v>67</v>
      </c>
    </row>
  </sheetData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S28" sqref="S28"/>
    </sheetView>
  </sheetViews>
  <sheetFormatPr defaultRowHeight="13.5" x14ac:dyDescent="0.15"/>
  <sheetData/>
  <phoneticPr fontId="4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2" customWidth="1"/>
    <col min="2" max="4" width="12" customWidth="1"/>
    <col min="5" max="5" width="8" customWidth="1"/>
    <col min="6" max="6" width="16" customWidth="1"/>
    <col min="7" max="8" width="10" customWidth="1"/>
    <col min="9" max="9" width="16" customWidth="1"/>
    <col min="10" max="10" width="8" customWidth="1"/>
    <col min="11" max="11" width="10" customWidth="1"/>
    <col min="12" max="12" width="8" customWidth="1"/>
    <col min="13" max="13" width="12" customWidth="1"/>
  </cols>
  <sheetData>
    <row r="1" spans="1:13" ht="15" x14ac:dyDescent="0.25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</row>
    <row r="2" spans="1:13" ht="15" x14ac:dyDescent="0.25">
      <c r="A2" s="4" t="str">
        <f>IFERROR(INDEX(tbl_plan[ロットID],ROW()-1),"")</f>
        <v>PN-002_2026-07-13</v>
      </c>
      <c r="B2" s="4" t="str">
        <f>IF($A2="","",INDEX(tbl_plan[品番],ROW()-1))</f>
        <v>PN-002</v>
      </c>
      <c r="C2" s="5">
        <f>IF($A2="","",INDEX(tbl_plan[出荷週],ROW()-1))</f>
        <v>46216</v>
      </c>
      <c r="D2" s="4" t="str">
        <f>IF($A2="","",INDEX(tbl_plan[納期先],ROW()-1)&amp;"")</f>
        <v>納期先A</v>
      </c>
      <c r="E2" s="4">
        <f>IF($A2="","",INDEX(tbl_plan[必要数],ROW()-1))</f>
        <v>5</v>
      </c>
      <c r="F2" s="4">
        <f>IF($A2="","",SUMIFS(tbl_plan[必要数],tbl_plan[ロットID],$A2,tbl_plan[計画状態],"有効"))</f>
        <v>11</v>
      </c>
      <c r="G2" s="4">
        <f>IF($A2="","",SUMIFS(tbl_ledger[数量],tbl_ledger[ロットID],$A2,tbl_ledger[イベント種類],"発送"))</f>
        <v>11</v>
      </c>
      <c r="H2" s="4">
        <f>IF($A2="","",SUMIFS(tbl_ledger[数量],tbl_ledger[ロットID],$A2,tbl_ledger[イベント種類],"搬入")+SUMIFS(tbl_ledger[数量],tbl_ledger[充当先ロットID],$A2,tbl_ledger[イベント種類],"充当")-SUMIFS(tbl_ledger[数量],tbl_ledger[ロットID],$A2,tbl_ledger[イベント種類],"充当")-SUMIFS(tbl_ledger[数量],tbl_ledger[ロットID],$A2,tbl_ledger[イベント種類],"発送")-SUMIFS(tbl_ledger[数量],tbl_ledger[ロットID],$A2,tbl_ledger[イベント種類],"倉庫A戻し")-SUMIFS(tbl_ledger[数量],tbl_ledger[ロットID],$A2,tbl_ledger[イベント種類],"余剰化")-SUMIFS(tbl_ledger[数量],tbl_ledger[ロットID],$A2,tbl_ledger[イベント種類],"不良発生"))</f>
        <v>0</v>
      </c>
      <c r="I2" s="4">
        <f>IF($A2="","",SUMIFS(tbl_ledger[数量],tbl_ledger[品番],$B2,tbl_ledger[イベント種類],"余剰化")+SUMIFS(tbl_ledger[数量],tbl_ledger[品番],$B2,tbl_ledger[イベント種類],"搬入",tbl_ledger[ロットID],"=")-SUMIFS(tbl_ledger[数量],tbl_ledger[品番],$B2,tbl_ledger[イベント種類],"充当",tbl_ledger[ロットID],"=")-SUMIFS(tbl_ledger[数量],tbl_ledger[品番],$B2,tbl_ledger[イベント種類],"発送",tbl_ledger[ロットID],"=")-SUMIFS(tbl_ledger[数量],tbl_ledger[品番],$B2,tbl_ledger[イベント種類],"倉庫A戻し",tbl_ledger[ロットID],"=")-SUMIFS(tbl_ledger[数量],tbl_ledger[品番],$B2,tbl_ledger[イベント種類],"不良発生",tbl_ledger[ロットID],"="))</f>
        <v>1</v>
      </c>
      <c r="J2" s="4">
        <f t="shared" ref="J2:J65" si="0">IF($A2="","",H2+I2)</f>
        <v>1</v>
      </c>
      <c r="K2" s="4">
        <f t="shared" ref="K2:K65" si="1">IF($A2="","",MAX(0,F2-G2))</f>
        <v>0</v>
      </c>
      <c r="L2" s="4">
        <f t="shared" ref="L2:L65" si="2">IF($A2="","",MAX(0,K2-J2))</f>
        <v>0</v>
      </c>
      <c r="M2" s="4" t="str">
        <f>IF($A2="","",IF(INDEX(tbl_plan[計画状態],ROW()-1)="キャンセル","キャンセル",IF(K2=0,"発送済",IF(L2&gt;0,"要搬出","OK"))))</f>
        <v>発送済</v>
      </c>
    </row>
    <row r="3" spans="1:13" ht="15" x14ac:dyDescent="0.25">
      <c r="A3" s="4" t="str">
        <f>IFERROR(INDEX(tbl_plan[ロットID],ROW()-1),"")</f>
        <v>PN-002_2026-07-13</v>
      </c>
      <c r="B3" s="4" t="str">
        <f>IF($A3="","",INDEX(tbl_plan[品番],ROW()-1))</f>
        <v>PN-002</v>
      </c>
      <c r="C3" s="5">
        <f>IF($A3="","",INDEX(tbl_plan[出荷週],ROW()-1))</f>
        <v>46216</v>
      </c>
      <c r="D3" s="4" t="str">
        <f>IF($A3="","",INDEX(tbl_plan[納期先],ROW()-1)&amp;"")</f>
        <v>納期先B</v>
      </c>
      <c r="E3" s="4">
        <f>IF($A3="","",INDEX(tbl_plan[必要数],ROW()-1))</f>
        <v>6</v>
      </c>
      <c r="F3" s="4">
        <f>IF($A3="","",SUMIFS(tbl_plan[必要数],tbl_plan[ロットID],$A3,tbl_plan[計画状態],"有効"))</f>
        <v>11</v>
      </c>
      <c r="G3" s="4">
        <f>IF($A3="","",SUMIFS(tbl_ledger[数量],tbl_ledger[ロットID],$A3,tbl_ledger[イベント種類],"発送"))</f>
        <v>11</v>
      </c>
      <c r="H3" s="4">
        <f>IF($A3="","",SUMIFS(tbl_ledger[数量],tbl_ledger[ロットID],$A3,tbl_ledger[イベント種類],"搬入")+SUMIFS(tbl_ledger[数量],tbl_ledger[充当先ロットID],$A3,tbl_ledger[イベント種類],"充当")-SUMIFS(tbl_ledger[数量],tbl_ledger[ロットID],$A3,tbl_ledger[イベント種類],"充当")-SUMIFS(tbl_ledger[数量],tbl_ledger[ロットID],$A3,tbl_ledger[イベント種類],"発送")-SUMIFS(tbl_ledger[数量],tbl_ledger[ロットID],$A3,tbl_ledger[イベント種類],"倉庫A戻し")-SUMIFS(tbl_ledger[数量],tbl_ledger[ロットID],$A3,tbl_ledger[イベント種類],"余剰化")-SUMIFS(tbl_ledger[数量],tbl_ledger[ロットID],$A3,tbl_ledger[イベント種類],"不良発生"))</f>
        <v>0</v>
      </c>
      <c r="I3" s="4">
        <f>IF($A3="","",SUMIFS(tbl_ledger[数量],tbl_ledger[品番],$B3,tbl_ledger[イベント種類],"余剰化")+SUMIFS(tbl_ledger[数量],tbl_ledger[品番],$B3,tbl_ledger[イベント種類],"搬入",tbl_ledger[ロットID],"=")-SUMIFS(tbl_ledger[数量],tbl_ledger[品番],$B3,tbl_ledger[イベント種類],"充当",tbl_ledger[ロットID],"=")-SUMIFS(tbl_ledger[数量],tbl_ledger[品番],$B3,tbl_ledger[イベント種類],"発送",tbl_ledger[ロットID],"=")-SUMIFS(tbl_ledger[数量],tbl_ledger[品番],$B3,tbl_ledger[イベント種類],"倉庫A戻し",tbl_ledger[ロットID],"=")-SUMIFS(tbl_ledger[数量],tbl_ledger[品番],$B3,tbl_ledger[イベント種類],"不良発生",tbl_ledger[ロットID],"="))</f>
        <v>1</v>
      </c>
      <c r="J3" s="4">
        <f t="shared" si="0"/>
        <v>1</v>
      </c>
      <c r="K3" s="4">
        <f t="shared" si="1"/>
        <v>0</v>
      </c>
      <c r="L3" s="4">
        <f t="shared" si="2"/>
        <v>0</v>
      </c>
      <c r="M3" s="4" t="str">
        <f>IF($A3="","",IF(INDEX(tbl_plan[計画状態],ROW()-1)="キャンセル","キャンセル",IF(K3=0,"発送済",IF(L3&gt;0,"要搬出","OK"))))</f>
        <v>発送済</v>
      </c>
    </row>
    <row r="4" spans="1:13" ht="15" x14ac:dyDescent="0.25">
      <c r="A4" s="4" t="str">
        <f>IFERROR(INDEX(tbl_plan[ロットID],ROW()-1),"")</f>
        <v>PN-001_2026-07-20</v>
      </c>
      <c r="B4" s="4" t="str">
        <f>IF($A4="","",INDEX(tbl_plan[品番],ROW()-1))</f>
        <v>PN-001</v>
      </c>
      <c r="C4" s="5">
        <f>IF($A4="","",INDEX(tbl_plan[出荷週],ROW()-1))</f>
        <v>46223</v>
      </c>
      <c r="D4" s="4" t="str">
        <f>IF($A4="","",INDEX(tbl_plan[納期先],ROW()-1)&amp;"")</f>
        <v/>
      </c>
      <c r="E4" s="4">
        <f>IF($A4="","",INDEX(tbl_plan[必要数],ROW()-1))</f>
        <v>10</v>
      </c>
      <c r="F4" s="4">
        <f>IF($A4="","",SUMIFS(tbl_plan[必要数],tbl_plan[ロットID],$A4,tbl_plan[計画状態],"有効"))</f>
        <v>10</v>
      </c>
      <c r="G4" s="4">
        <f>IF($A4="","",SUMIFS(tbl_ledger[数量],tbl_ledger[ロットID],$A4,tbl_ledger[イベント種類],"発送"))</f>
        <v>0</v>
      </c>
      <c r="H4" s="4">
        <f>IF($A4="","",SUMIFS(tbl_ledger[数量],tbl_ledger[ロットID],$A4,tbl_ledger[イベント種類],"搬入")+SUMIFS(tbl_ledger[数量],tbl_ledger[充当先ロットID],$A4,tbl_ledger[イベント種類],"充当")-SUMIFS(tbl_ledger[数量],tbl_ledger[ロットID],$A4,tbl_ledger[イベント種類],"充当")-SUMIFS(tbl_ledger[数量],tbl_ledger[ロットID],$A4,tbl_ledger[イベント種類],"発送")-SUMIFS(tbl_ledger[数量],tbl_ledger[ロットID],$A4,tbl_ledger[イベント種類],"倉庫A戻し")-SUMIFS(tbl_ledger[数量],tbl_ledger[ロットID],$A4,tbl_ledger[イベント種類],"余剰化")-SUMIFS(tbl_ledger[数量],tbl_ledger[ロットID],$A4,tbl_ledger[イベント種類],"不良発生"))</f>
        <v>12</v>
      </c>
      <c r="I4" s="4">
        <f>IF($A4="","",SUMIFS(tbl_ledger[数量],tbl_ledger[品番],$B4,tbl_ledger[イベント種類],"余剰化")+SUMIFS(tbl_ledger[数量],tbl_ledger[品番],$B4,tbl_ledger[イベント種類],"搬入",tbl_ledger[ロットID],"=")-SUMIFS(tbl_ledger[数量],tbl_ledger[品番],$B4,tbl_ledger[イベント種類],"充当",tbl_ledger[ロットID],"=")-SUMIFS(tbl_ledger[数量],tbl_ledger[品番],$B4,tbl_ledger[イベント種類],"発送",tbl_ledger[ロットID],"=")-SUMIFS(tbl_ledger[数量],tbl_ledger[品番],$B4,tbl_ledger[イベント種類],"倉庫A戻し",tbl_ledger[ロットID],"=")-SUMIFS(tbl_ledger[数量],tbl_ledger[品番],$B4,tbl_ledger[イベント種類],"不良発生",tbl_ledger[ロットID],"="))</f>
        <v>0</v>
      </c>
      <c r="J4" s="4">
        <f t="shared" si="0"/>
        <v>12</v>
      </c>
      <c r="K4" s="4">
        <f t="shared" si="1"/>
        <v>10</v>
      </c>
      <c r="L4" s="4">
        <f t="shared" si="2"/>
        <v>0</v>
      </c>
      <c r="M4" s="4" t="str">
        <f>IF($A4="","",IF(INDEX(tbl_plan[計画状態],ROW()-1)="キャンセル","キャンセル",IF(K4=0,"発送済",IF(L4&gt;0,"要搬出","OK"))))</f>
        <v>OK</v>
      </c>
    </row>
    <row r="5" spans="1:13" ht="15" x14ac:dyDescent="0.25">
      <c r="A5" s="4" t="str">
        <f>IFERROR(INDEX(tbl_plan[ロットID],ROW()-1),"")</f>
        <v>PN-003_2026-07-20</v>
      </c>
      <c r="B5" s="4" t="str">
        <f>IF($A5="","",INDEX(tbl_plan[品番],ROW()-1))</f>
        <v>PN-003</v>
      </c>
      <c r="C5" s="5">
        <f>IF($A5="","",INDEX(tbl_plan[出荷週],ROW()-1))</f>
        <v>46223</v>
      </c>
      <c r="D5" s="4" t="str">
        <f>IF($A5="","",INDEX(tbl_plan[納期先],ROW()-1)&amp;"")</f>
        <v/>
      </c>
      <c r="E5" s="4">
        <f>IF($A5="","",INDEX(tbl_plan[必要数],ROW()-1))</f>
        <v>8</v>
      </c>
      <c r="F5" s="4">
        <f>IF($A5="","",SUMIFS(tbl_plan[必要数],tbl_plan[ロットID],$A5,tbl_plan[計画状態],"有効"))</f>
        <v>8</v>
      </c>
      <c r="G5" s="4">
        <f>IF($A5="","",SUMIFS(tbl_ledger[数量],tbl_ledger[ロットID],$A5,tbl_ledger[イベント種類],"発送"))</f>
        <v>0</v>
      </c>
      <c r="H5" s="4">
        <f>IF($A5="","",SUMIFS(tbl_ledger[数量],tbl_ledger[ロットID],$A5,tbl_ledger[イベント種類],"搬入")+SUMIFS(tbl_ledger[数量],tbl_ledger[充当先ロットID],$A5,tbl_ledger[イベント種類],"充当")-SUMIFS(tbl_ledger[数量],tbl_ledger[ロットID],$A5,tbl_ledger[イベント種類],"充当")-SUMIFS(tbl_ledger[数量],tbl_ledger[ロットID],$A5,tbl_ledger[イベント種類],"発送")-SUMIFS(tbl_ledger[数量],tbl_ledger[ロットID],$A5,tbl_ledger[イベント種類],"倉庫A戻し")-SUMIFS(tbl_ledger[数量],tbl_ledger[ロットID],$A5,tbl_ledger[イベント種類],"余剰化")-SUMIFS(tbl_ledger[数量],tbl_ledger[ロットID],$A5,tbl_ledger[イベント種類],"不良発生"))</f>
        <v>0</v>
      </c>
      <c r="I5" s="4">
        <f>IF($A5="","",SUMIFS(tbl_ledger[数量],tbl_ledger[品番],$B5,tbl_ledger[イベント種類],"余剰化")+SUMIFS(tbl_ledger[数量],tbl_ledger[品番],$B5,tbl_ledger[イベント種類],"搬入",tbl_ledger[ロットID],"=")-SUMIFS(tbl_ledger[数量],tbl_ledger[品番],$B5,tbl_ledger[イベント種類],"充当",tbl_ledger[ロットID],"=")-SUMIFS(tbl_ledger[数量],tbl_ledger[品番],$B5,tbl_ledger[イベント種類],"発送",tbl_ledger[ロットID],"=")-SUMIFS(tbl_ledger[数量],tbl_ledger[品番],$B5,tbl_ledger[イベント種類],"倉庫A戻し",tbl_ledger[ロットID],"=")-SUMIFS(tbl_ledger[数量],tbl_ledger[品番],$B5,tbl_ledger[イベント種類],"不良発生",tbl_ledger[ロットID],"="))</f>
        <v>0</v>
      </c>
      <c r="J5" s="4">
        <f t="shared" si="0"/>
        <v>0</v>
      </c>
      <c r="K5" s="4">
        <f t="shared" si="1"/>
        <v>8</v>
      </c>
      <c r="L5" s="4">
        <f t="shared" si="2"/>
        <v>8</v>
      </c>
      <c r="M5" s="4" t="str">
        <f>IF($A5="","",IF(INDEX(tbl_plan[計画状態],ROW()-1)="キャンセル","キャンセル",IF(K5=0,"発送済",IF(L5&gt;0,"要搬出","OK"))))</f>
        <v>要搬出</v>
      </c>
    </row>
    <row r="6" spans="1:13" ht="15" x14ac:dyDescent="0.25">
      <c r="A6" s="4" t="str">
        <f>IFERROR(INDEX(tbl_plan[ロットID],ROW()-1),"")</f>
        <v/>
      </c>
      <c r="B6" s="4" t="str">
        <f>IF($A6="","",INDEX(tbl_plan[品番],ROW()-1))</f>
        <v/>
      </c>
      <c r="C6" s="5" t="str">
        <f>IF($A6="","",INDEX(tbl_plan[出荷週],ROW()-1))</f>
        <v/>
      </c>
      <c r="D6" s="4" t="str">
        <f>IF($A6="","",INDEX(tbl_plan[納期先],ROW()-1)&amp;"")</f>
        <v/>
      </c>
      <c r="E6" s="4" t="str">
        <f>IF($A6="","",INDEX(tbl_plan[必要数],ROW()-1))</f>
        <v/>
      </c>
      <c r="F6" s="4" t="str">
        <f>IF($A6="","",SUMIFS(tbl_plan[必要数],tbl_plan[ロットID],$A6,tbl_plan[計画状態],"有効"))</f>
        <v/>
      </c>
      <c r="G6" s="4" t="str">
        <f>IF($A6="","",SUMIFS(tbl_ledger[数量],tbl_ledger[ロットID],$A6,tbl_ledger[イベント種類],"発送"))</f>
        <v/>
      </c>
      <c r="H6" s="4" t="str">
        <f>IF($A6="","",SUMIFS(tbl_ledger[数量],tbl_ledger[ロットID],$A6,tbl_ledger[イベント種類],"搬入")+SUMIFS(tbl_ledger[数量],tbl_ledger[充当先ロットID],$A6,tbl_ledger[イベント種類],"充当")-SUMIFS(tbl_ledger[数量],tbl_ledger[ロットID],$A6,tbl_ledger[イベント種類],"充当")-SUMIFS(tbl_ledger[数量],tbl_ledger[ロットID],$A6,tbl_ledger[イベント種類],"発送")-SUMIFS(tbl_ledger[数量],tbl_ledger[ロットID],$A6,tbl_ledger[イベント種類],"倉庫A戻し")-SUMIFS(tbl_ledger[数量],tbl_ledger[ロットID],$A6,tbl_ledger[イベント種類],"余剰化")-SUMIFS(tbl_ledger[数量],tbl_ledger[ロットID],$A6,tbl_ledger[イベント種類],"不良発生"))</f>
        <v/>
      </c>
      <c r="I6" s="4" t="str">
        <f>IF($A6="","",SUMIFS(tbl_ledger[数量],tbl_ledger[品番],$B6,tbl_ledger[イベント種類],"余剰化")+SUMIFS(tbl_ledger[数量],tbl_ledger[品番],$B6,tbl_ledger[イベント種類],"搬入",tbl_ledger[ロットID],"=")-SUMIFS(tbl_ledger[数量],tbl_ledger[品番],$B6,tbl_ledger[イベント種類],"充当",tbl_ledger[ロットID],"=")-SUMIFS(tbl_ledger[数量],tbl_ledger[品番],$B6,tbl_ledger[イベント種類],"発送",tbl_ledger[ロットID],"=")-SUMIFS(tbl_ledger[数量],tbl_ledger[品番],$B6,tbl_ledger[イベント種類],"倉庫A戻し",tbl_ledger[ロットID],"=")-SUMIFS(tbl_ledger[数量],tbl_ledger[品番],$B6,tbl_ledger[イベント種類],"不良発生",tbl_ledger[ロットID],"="))</f>
        <v/>
      </c>
      <c r="J6" s="4" t="str">
        <f t="shared" si="0"/>
        <v/>
      </c>
      <c r="K6" s="4" t="str">
        <f t="shared" si="1"/>
        <v/>
      </c>
      <c r="L6" s="4" t="str">
        <f t="shared" si="2"/>
        <v/>
      </c>
      <c r="M6" s="4" t="str">
        <f>IF($A6="","",IF(INDEX(tbl_plan[計画状態],ROW()-1)="キャンセル","キャンセル",IF(K6=0,"発送済",IF(L6&gt;0,"要搬出","OK"))))</f>
        <v/>
      </c>
    </row>
    <row r="7" spans="1:13" ht="15" x14ac:dyDescent="0.25">
      <c r="A7" s="4" t="str">
        <f>IFERROR(INDEX(tbl_plan[ロットID],ROW()-1),"")</f>
        <v/>
      </c>
      <c r="B7" s="4" t="str">
        <f>IF($A7="","",INDEX(tbl_plan[品番],ROW()-1))</f>
        <v/>
      </c>
      <c r="C7" s="5" t="str">
        <f>IF($A7="","",INDEX(tbl_plan[出荷週],ROW()-1))</f>
        <v/>
      </c>
      <c r="D7" s="4" t="str">
        <f>IF($A7="","",INDEX(tbl_plan[納期先],ROW()-1)&amp;"")</f>
        <v/>
      </c>
      <c r="E7" s="4" t="str">
        <f>IF($A7="","",INDEX(tbl_plan[必要数],ROW()-1))</f>
        <v/>
      </c>
      <c r="F7" s="4" t="str">
        <f>IF($A7="","",SUMIFS(tbl_plan[必要数],tbl_plan[ロットID],$A7,tbl_plan[計画状態],"有効"))</f>
        <v/>
      </c>
      <c r="G7" s="4" t="str">
        <f>IF($A7="","",SUMIFS(tbl_ledger[数量],tbl_ledger[ロットID],$A7,tbl_ledger[イベント種類],"発送"))</f>
        <v/>
      </c>
      <c r="H7" s="4" t="str">
        <f>IF($A7="","",SUMIFS(tbl_ledger[数量],tbl_ledger[ロットID],$A7,tbl_ledger[イベント種類],"搬入")+SUMIFS(tbl_ledger[数量],tbl_ledger[充当先ロットID],$A7,tbl_ledger[イベント種類],"充当")-SUMIFS(tbl_ledger[数量],tbl_ledger[ロットID],$A7,tbl_ledger[イベント種類],"充当")-SUMIFS(tbl_ledger[数量],tbl_ledger[ロットID],$A7,tbl_ledger[イベント種類],"発送")-SUMIFS(tbl_ledger[数量],tbl_ledger[ロットID],$A7,tbl_ledger[イベント種類],"倉庫A戻し")-SUMIFS(tbl_ledger[数量],tbl_ledger[ロットID],$A7,tbl_ledger[イベント種類],"余剰化")-SUMIFS(tbl_ledger[数量],tbl_ledger[ロットID],$A7,tbl_ledger[イベント種類],"不良発生"))</f>
        <v/>
      </c>
      <c r="I7" s="4" t="str">
        <f>IF($A7="","",SUMIFS(tbl_ledger[数量],tbl_ledger[品番],$B7,tbl_ledger[イベント種類],"余剰化")+SUMIFS(tbl_ledger[数量],tbl_ledger[品番],$B7,tbl_ledger[イベント種類],"搬入",tbl_ledger[ロットID],"=")-SUMIFS(tbl_ledger[数量],tbl_ledger[品番],$B7,tbl_ledger[イベント種類],"充当",tbl_ledger[ロットID],"=")-SUMIFS(tbl_ledger[数量],tbl_ledger[品番],$B7,tbl_ledger[イベント種類],"発送",tbl_ledger[ロットID],"=")-SUMIFS(tbl_ledger[数量],tbl_ledger[品番],$B7,tbl_ledger[イベント種類],"倉庫A戻し",tbl_ledger[ロットID],"=")-SUMIFS(tbl_ledger[数量],tbl_ledger[品番],$B7,tbl_ledger[イベント種類],"不良発生",tbl_ledger[ロットID],"="))</f>
        <v/>
      </c>
      <c r="J7" s="4" t="str">
        <f t="shared" si="0"/>
        <v/>
      </c>
      <c r="K7" s="4" t="str">
        <f t="shared" si="1"/>
        <v/>
      </c>
      <c r="L7" s="4" t="str">
        <f t="shared" si="2"/>
        <v/>
      </c>
      <c r="M7" s="4" t="str">
        <f>IF($A7="","",IF(INDEX(tbl_plan[計画状態],ROW()-1)="キャンセル","キャンセル",IF(K7=0,"発送済",IF(L7&gt;0,"要搬出","OK"))))</f>
        <v/>
      </c>
    </row>
    <row r="8" spans="1:13" ht="15" x14ac:dyDescent="0.25">
      <c r="A8" s="4" t="str">
        <f>IFERROR(INDEX(tbl_plan[ロットID],ROW()-1),"")</f>
        <v/>
      </c>
      <c r="B8" s="4" t="str">
        <f>IF($A8="","",INDEX(tbl_plan[品番],ROW()-1))</f>
        <v/>
      </c>
      <c r="C8" s="5" t="str">
        <f>IF($A8="","",INDEX(tbl_plan[出荷週],ROW()-1))</f>
        <v/>
      </c>
      <c r="D8" s="4" t="str">
        <f>IF($A8="","",INDEX(tbl_plan[納期先],ROW()-1)&amp;"")</f>
        <v/>
      </c>
      <c r="E8" s="4" t="str">
        <f>IF($A8="","",INDEX(tbl_plan[必要数],ROW()-1))</f>
        <v/>
      </c>
      <c r="F8" s="4" t="str">
        <f>IF($A8="","",SUMIFS(tbl_plan[必要数],tbl_plan[ロットID],$A8,tbl_plan[計画状態],"有効"))</f>
        <v/>
      </c>
      <c r="G8" s="4" t="str">
        <f>IF($A8="","",SUMIFS(tbl_ledger[数量],tbl_ledger[ロットID],$A8,tbl_ledger[イベント種類],"発送"))</f>
        <v/>
      </c>
      <c r="H8" s="4" t="str">
        <f>IF($A8="","",SUMIFS(tbl_ledger[数量],tbl_ledger[ロットID],$A8,tbl_ledger[イベント種類],"搬入")+SUMIFS(tbl_ledger[数量],tbl_ledger[充当先ロットID],$A8,tbl_ledger[イベント種類],"充当")-SUMIFS(tbl_ledger[数量],tbl_ledger[ロットID],$A8,tbl_ledger[イベント種類],"充当")-SUMIFS(tbl_ledger[数量],tbl_ledger[ロットID],$A8,tbl_ledger[イベント種類],"発送")-SUMIFS(tbl_ledger[数量],tbl_ledger[ロットID],$A8,tbl_ledger[イベント種類],"倉庫A戻し")-SUMIFS(tbl_ledger[数量],tbl_ledger[ロットID],$A8,tbl_ledger[イベント種類],"余剰化")-SUMIFS(tbl_ledger[数量],tbl_ledger[ロットID],$A8,tbl_ledger[イベント種類],"不良発生"))</f>
        <v/>
      </c>
      <c r="I8" s="4" t="str">
        <f>IF($A8="","",SUMIFS(tbl_ledger[数量],tbl_ledger[品番],$B8,tbl_ledger[イベント種類],"余剰化")+SUMIFS(tbl_ledger[数量],tbl_ledger[品番],$B8,tbl_ledger[イベント種類],"搬入",tbl_ledger[ロットID],"=")-SUMIFS(tbl_ledger[数量],tbl_ledger[品番],$B8,tbl_ledger[イベント種類],"充当",tbl_ledger[ロットID],"=")-SUMIFS(tbl_ledger[数量],tbl_ledger[品番],$B8,tbl_ledger[イベント種類],"発送",tbl_ledger[ロットID],"=")-SUMIFS(tbl_ledger[数量],tbl_ledger[品番],$B8,tbl_ledger[イベント種類],"倉庫A戻し",tbl_ledger[ロットID],"=")-SUMIFS(tbl_ledger[数量],tbl_ledger[品番],$B8,tbl_ledger[イベント種類],"不良発生",tbl_ledger[ロットID],"="))</f>
        <v/>
      </c>
      <c r="J8" s="4" t="str">
        <f t="shared" si="0"/>
        <v/>
      </c>
      <c r="K8" s="4" t="str">
        <f t="shared" si="1"/>
        <v/>
      </c>
      <c r="L8" s="4" t="str">
        <f t="shared" si="2"/>
        <v/>
      </c>
      <c r="M8" s="4" t="str">
        <f>IF($A8="","",IF(INDEX(tbl_plan[計画状態],ROW()-1)="キャンセル","キャンセル",IF(K8=0,"発送済",IF(L8&gt;0,"要搬出","OK"))))</f>
        <v/>
      </c>
    </row>
    <row r="9" spans="1:13" ht="15" x14ac:dyDescent="0.25">
      <c r="A9" s="4" t="str">
        <f>IFERROR(INDEX(tbl_plan[ロットID],ROW()-1),"")</f>
        <v/>
      </c>
      <c r="B9" s="4" t="str">
        <f>IF($A9="","",INDEX(tbl_plan[品番],ROW()-1))</f>
        <v/>
      </c>
      <c r="C9" s="5" t="str">
        <f>IF($A9="","",INDEX(tbl_plan[出荷週],ROW()-1))</f>
        <v/>
      </c>
      <c r="D9" s="4" t="str">
        <f>IF($A9="","",INDEX(tbl_plan[納期先],ROW()-1)&amp;"")</f>
        <v/>
      </c>
      <c r="E9" s="4" t="str">
        <f>IF($A9="","",INDEX(tbl_plan[必要数],ROW()-1))</f>
        <v/>
      </c>
      <c r="F9" s="4" t="str">
        <f>IF($A9="","",SUMIFS(tbl_plan[必要数],tbl_plan[ロットID],$A9,tbl_plan[計画状態],"有効"))</f>
        <v/>
      </c>
      <c r="G9" s="4" t="str">
        <f>IF($A9="","",SUMIFS(tbl_ledger[数量],tbl_ledger[ロットID],$A9,tbl_ledger[イベント種類],"発送"))</f>
        <v/>
      </c>
      <c r="H9" s="4" t="str">
        <f>IF($A9="","",SUMIFS(tbl_ledger[数量],tbl_ledger[ロットID],$A9,tbl_ledger[イベント種類],"搬入")+SUMIFS(tbl_ledger[数量],tbl_ledger[充当先ロットID],$A9,tbl_ledger[イベント種類],"充当")-SUMIFS(tbl_ledger[数量],tbl_ledger[ロットID],$A9,tbl_ledger[イベント種類],"充当")-SUMIFS(tbl_ledger[数量],tbl_ledger[ロットID],$A9,tbl_ledger[イベント種類],"発送")-SUMIFS(tbl_ledger[数量],tbl_ledger[ロットID],$A9,tbl_ledger[イベント種類],"倉庫A戻し")-SUMIFS(tbl_ledger[数量],tbl_ledger[ロットID],$A9,tbl_ledger[イベント種類],"余剰化")-SUMIFS(tbl_ledger[数量],tbl_ledger[ロットID],$A9,tbl_ledger[イベント種類],"不良発生"))</f>
        <v/>
      </c>
      <c r="I9" s="4" t="str">
        <f>IF($A9="","",SUMIFS(tbl_ledger[数量],tbl_ledger[品番],$B9,tbl_ledger[イベント種類],"余剰化")+SUMIFS(tbl_ledger[数量],tbl_ledger[品番],$B9,tbl_ledger[イベント種類],"搬入",tbl_ledger[ロットID],"=")-SUMIFS(tbl_ledger[数量],tbl_ledger[品番],$B9,tbl_ledger[イベント種類],"充当",tbl_ledger[ロットID],"=")-SUMIFS(tbl_ledger[数量],tbl_ledger[品番],$B9,tbl_ledger[イベント種類],"発送",tbl_ledger[ロットID],"=")-SUMIFS(tbl_ledger[数量],tbl_ledger[品番],$B9,tbl_ledger[イベント種類],"倉庫A戻し",tbl_ledger[ロットID],"=")-SUMIFS(tbl_ledger[数量],tbl_ledger[品番],$B9,tbl_ledger[イベント種類],"不良発生",tbl_ledger[ロットID],"="))</f>
        <v/>
      </c>
      <c r="J9" s="4" t="str">
        <f t="shared" si="0"/>
        <v/>
      </c>
      <c r="K9" s="4" t="str">
        <f t="shared" si="1"/>
        <v/>
      </c>
      <c r="L9" s="4" t="str">
        <f t="shared" si="2"/>
        <v/>
      </c>
      <c r="M9" s="4" t="str">
        <f>IF($A9="","",IF(INDEX(tbl_plan[計画状態],ROW()-1)="キャンセル","キャンセル",IF(K9=0,"発送済",IF(L9&gt;0,"要搬出","OK"))))</f>
        <v/>
      </c>
    </row>
    <row r="10" spans="1:13" ht="15" x14ac:dyDescent="0.25">
      <c r="A10" s="4" t="str">
        <f>IFERROR(INDEX(tbl_plan[ロットID],ROW()-1),"")</f>
        <v/>
      </c>
      <c r="B10" s="4" t="str">
        <f>IF($A10="","",INDEX(tbl_plan[品番],ROW()-1))</f>
        <v/>
      </c>
      <c r="C10" s="5" t="str">
        <f>IF($A10="","",INDEX(tbl_plan[出荷週],ROW()-1))</f>
        <v/>
      </c>
      <c r="D10" s="4" t="str">
        <f>IF($A10="","",INDEX(tbl_plan[納期先],ROW()-1)&amp;"")</f>
        <v/>
      </c>
      <c r="E10" s="4" t="str">
        <f>IF($A10="","",INDEX(tbl_plan[必要数],ROW()-1))</f>
        <v/>
      </c>
      <c r="F10" s="4" t="str">
        <f>IF($A10="","",SUMIFS(tbl_plan[必要数],tbl_plan[ロットID],$A10,tbl_plan[計画状態],"有効"))</f>
        <v/>
      </c>
      <c r="G10" s="4" t="str">
        <f>IF($A10="","",SUMIFS(tbl_ledger[数量],tbl_ledger[ロットID],$A10,tbl_ledger[イベント種類],"発送"))</f>
        <v/>
      </c>
      <c r="H10" s="4" t="str">
        <f>IF($A10="","",SUMIFS(tbl_ledger[数量],tbl_ledger[ロットID],$A10,tbl_ledger[イベント種類],"搬入")+SUMIFS(tbl_ledger[数量],tbl_ledger[充当先ロットID],$A10,tbl_ledger[イベント種類],"充当")-SUMIFS(tbl_ledger[数量],tbl_ledger[ロットID],$A10,tbl_ledger[イベント種類],"充当")-SUMIFS(tbl_ledger[数量],tbl_ledger[ロットID],$A10,tbl_ledger[イベント種類],"発送")-SUMIFS(tbl_ledger[数量],tbl_ledger[ロットID],$A10,tbl_ledger[イベント種類],"倉庫A戻し")-SUMIFS(tbl_ledger[数量],tbl_ledger[ロットID],$A10,tbl_ledger[イベント種類],"余剰化")-SUMIFS(tbl_ledger[数量],tbl_ledger[ロットID],$A10,tbl_ledger[イベント種類],"不良発生"))</f>
        <v/>
      </c>
      <c r="I10" s="4" t="str">
        <f>IF($A10="","",SUMIFS(tbl_ledger[数量],tbl_ledger[品番],$B10,tbl_ledger[イベント種類],"余剰化")+SUMIFS(tbl_ledger[数量],tbl_ledger[品番],$B10,tbl_ledger[イベント種類],"搬入",tbl_ledger[ロットID],"=")-SUMIFS(tbl_ledger[数量],tbl_ledger[品番],$B10,tbl_ledger[イベント種類],"充当",tbl_ledger[ロットID],"=")-SUMIFS(tbl_ledger[数量],tbl_ledger[品番],$B10,tbl_ledger[イベント種類],"発送",tbl_ledger[ロットID],"=")-SUMIFS(tbl_ledger[数量],tbl_ledger[品番],$B10,tbl_ledger[イベント種類],"倉庫A戻し",tbl_ledger[ロットID],"=")-SUMIFS(tbl_ledger[数量],tbl_ledger[品番],$B10,tbl_ledger[イベント種類],"不良発生",tbl_ledger[ロットID],"="))</f>
        <v/>
      </c>
      <c r="J10" s="4" t="str">
        <f t="shared" si="0"/>
        <v/>
      </c>
      <c r="K10" s="4" t="str">
        <f t="shared" si="1"/>
        <v/>
      </c>
      <c r="L10" s="4" t="str">
        <f t="shared" si="2"/>
        <v/>
      </c>
      <c r="M10" s="4" t="str">
        <f>IF($A10="","",IF(INDEX(tbl_plan[計画状態],ROW()-1)="キャンセル","キャンセル",IF(K10=0,"発送済",IF(L10&gt;0,"要搬出","OK"))))</f>
        <v/>
      </c>
    </row>
    <row r="11" spans="1:13" ht="15" x14ac:dyDescent="0.25">
      <c r="A11" s="4" t="str">
        <f>IFERROR(INDEX(tbl_plan[ロットID],ROW()-1),"")</f>
        <v/>
      </c>
      <c r="B11" s="4" t="str">
        <f>IF($A11="","",INDEX(tbl_plan[品番],ROW()-1))</f>
        <v/>
      </c>
      <c r="C11" s="5" t="str">
        <f>IF($A11="","",INDEX(tbl_plan[出荷週],ROW()-1))</f>
        <v/>
      </c>
      <c r="D11" s="4" t="str">
        <f>IF($A11="","",INDEX(tbl_plan[納期先],ROW()-1)&amp;"")</f>
        <v/>
      </c>
      <c r="E11" s="4" t="str">
        <f>IF($A11="","",INDEX(tbl_plan[必要数],ROW()-1))</f>
        <v/>
      </c>
      <c r="F11" s="4" t="str">
        <f>IF($A11="","",SUMIFS(tbl_plan[必要数],tbl_plan[ロットID],$A11,tbl_plan[計画状態],"有効"))</f>
        <v/>
      </c>
      <c r="G11" s="4" t="str">
        <f>IF($A11="","",SUMIFS(tbl_ledger[数量],tbl_ledger[ロットID],$A11,tbl_ledger[イベント種類],"発送"))</f>
        <v/>
      </c>
      <c r="H11" s="4" t="str">
        <f>IF($A11="","",SUMIFS(tbl_ledger[数量],tbl_ledger[ロットID],$A11,tbl_ledger[イベント種類],"搬入")+SUMIFS(tbl_ledger[数量],tbl_ledger[充当先ロットID],$A11,tbl_ledger[イベント種類],"充当")-SUMIFS(tbl_ledger[数量],tbl_ledger[ロットID],$A11,tbl_ledger[イベント種類],"充当")-SUMIFS(tbl_ledger[数量],tbl_ledger[ロットID],$A11,tbl_ledger[イベント種類],"発送")-SUMIFS(tbl_ledger[数量],tbl_ledger[ロットID],$A11,tbl_ledger[イベント種類],"倉庫A戻し")-SUMIFS(tbl_ledger[数量],tbl_ledger[ロットID],$A11,tbl_ledger[イベント種類],"余剰化")-SUMIFS(tbl_ledger[数量],tbl_ledger[ロットID],$A11,tbl_ledger[イベント種類],"不良発生"))</f>
        <v/>
      </c>
      <c r="I11" s="4" t="str">
        <f>IF($A11="","",SUMIFS(tbl_ledger[数量],tbl_ledger[品番],$B11,tbl_ledger[イベント種類],"余剰化")+SUMIFS(tbl_ledger[数量],tbl_ledger[品番],$B11,tbl_ledger[イベント種類],"搬入",tbl_ledger[ロットID],"=")-SUMIFS(tbl_ledger[数量],tbl_ledger[品番],$B11,tbl_ledger[イベント種類],"充当",tbl_ledger[ロットID],"=")-SUMIFS(tbl_ledger[数量],tbl_ledger[品番],$B11,tbl_ledger[イベント種類],"発送",tbl_ledger[ロットID],"=")-SUMIFS(tbl_ledger[数量],tbl_ledger[品番],$B11,tbl_ledger[イベント種類],"倉庫A戻し",tbl_ledger[ロットID],"=")-SUMIFS(tbl_ledger[数量],tbl_ledger[品番],$B11,tbl_ledger[イベント種類],"不良発生",tbl_ledger[ロットID],"="))</f>
        <v/>
      </c>
      <c r="J11" s="4" t="str">
        <f t="shared" si="0"/>
        <v/>
      </c>
      <c r="K11" s="4" t="str">
        <f t="shared" si="1"/>
        <v/>
      </c>
      <c r="L11" s="4" t="str">
        <f t="shared" si="2"/>
        <v/>
      </c>
      <c r="M11" s="4" t="str">
        <f>IF($A11="","",IF(INDEX(tbl_plan[計画状態],ROW()-1)="キャンセル","キャンセル",IF(K11=0,"発送済",IF(L11&gt;0,"要搬出","OK"))))</f>
        <v/>
      </c>
    </row>
    <row r="12" spans="1:13" ht="15" x14ac:dyDescent="0.25">
      <c r="A12" s="4" t="str">
        <f>IFERROR(INDEX(tbl_plan[ロットID],ROW()-1),"")</f>
        <v/>
      </c>
      <c r="B12" s="4" t="str">
        <f>IF($A12="","",INDEX(tbl_plan[品番],ROW()-1))</f>
        <v/>
      </c>
      <c r="C12" s="5" t="str">
        <f>IF($A12="","",INDEX(tbl_plan[出荷週],ROW()-1))</f>
        <v/>
      </c>
      <c r="D12" s="4" t="str">
        <f>IF($A12="","",INDEX(tbl_plan[納期先],ROW()-1)&amp;"")</f>
        <v/>
      </c>
      <c r="E12" s="4" t="str">
        <f>IF($A12="","",INDEX(tbl_plan[必要数],ROW()-1))</f>
        <v/>
      </c>
      <c r="F12" s="4" t="str">
        <f>IF($A12="","",SUMIFS(tbl_plan[必要数],tbl_plan[ロットID],$A12,tbl_plan[計画状態],"有効"))</f>
        <v/>
      </c>
      <c r="G12" s="4" t="str">
        <f>IF($A12="","",SUMIFS(tbl_ledger[数量],tbl_ledger[ロットID],$A12,tbl_ledger[イベント種類],"発送"))</f>
        <v/>
      </c>
      <c r="H12" s="4" t="str">
        <f>IF($A12="","",SUMIFS(tbl_ledger[数量],tbl_ledger[ロットID],$A12,tbl_ledger[イベント種類],"搬入")+SUMIFS(tbl_ledger[数量],tbl_ledger[充当先ロットID],$A12,tbl_ledger[イベント種類],"充当")-SUMIFS(tbl_ledger[数量],tbl_ledger[ロットID],$A12,tbl_ledger[イベント種類],"充当")-SUMIFS(tbl_ledger[数量],tbl_ledger[ロットID],$A12,tbl_ledger[イベント種類],"発送")-SUMIFS(tbl_ledger[数量],tbl_ledger[ロットID],$A12,tbl_ledger[イベント種類],"倉庫A戻し")-SUMIFS(tbl_ledger[数量],tbl_ledger[ロットID],$A12,tbl_ledger[イベント種類],"余剰化")-SUMIFS(tbl_ledger[数量],tbl_ledger[ロットID],$A12,tbl_ledger[イベント種類],"不良発生"))</f>
        <v/>
      </c>
      <c r="I12" s="4" t="str">
        <f>IF($A12="","",SUMIFS(tbl_ledger[数量],tbl_ledger[品番],$B12,tbl_ledger[イベント種類],"余剰化")+SUMIFS(tbl_ledger[数量],tbl_ledger[品番],$B12,tbl_ledger[イベント種類],"搬入",tbl_ledger[ロットID],"=")-SUMIFS(tbl_ledger[数量],tbl_ledger[品番],$B12,tbl_ledger[イベント種類],"充当",tbl_ledger[ロットID],"=")-SUMIFS(tbl_ledger[数量],tbl_ledger[品番],$B12,tbl_ledger[イベント種類],"発送",tbl_ledger[ロットID],"=")-SUMIFS(tbl_ledger[数量],tbl_ledger[品番],$B12,tbl_ledger[イベント種類],"倉庫A戻し",tbl_ledger[ロットID],"=")-SUMIFS(tbl_ledger[数量],tbl_ledger[品番],$B12,tbl_ledger[イベント種類],"不良発生",tbl_ledger[ロットID],"="))</f>
        <v/>
      </c>
      <c r="J12" s="4" t="str">
        <f t="shared" si="0"/>
        <v/>
      </c>
      <c r="K12" s="4" t="str">
        <f t="shared" si="1"/>
        <v/>
      </c>
      <c r="L12" s="4" t="str">
        <f t="shared" si="2"/>
        <v/>
      </c>
      <c r="M12" s="4" t="str">
        <f>IF($A12="","",IF(INDEX(tbl_plan[計画状態],ROW()-1)="キャンセル","キャンセル",IF(K12=0,"発送済",IF(L12&gt;0,"要搬出","OK"))))</f>
        <v/>
      </c>
    </row>
    <row r="13" spans="1:13" ht="15" x14ac:dyDescent="0.25">
      <c r="A13" s="4" t="str">
        <f>IFERROR(INDEX(tbl_plan[ロットID],ROW()-1),"")</f>
        <v/>
      </c>
      <c r="B13" s="4" t="str">
        <f>IF($A13="","",INDEX(tbl_plan[品番],ROW()-1))</f>
        <v/>
      </c>
      <c r="C13" s="5" t="str">
        <f>IF($A13="","",INDEX(tbl_plan[出荷週],ROW()-1))</f>
        <v/>
      </c>
      <c r="D13" s="4" t="str">
        <f>IF($A13="","",INDEX(tbl_plan[納期先],ROW()-1)&amp;"")</f>
        <v/>
      </c>
      <c r="E13" s="4" t="str">
        <f>IF($A13="","",INDEX(tbl_plan[必要数],ROW()-1))</f>
        <v/>
      </c>
      <c r="F13" s="4" t="str">
        <f>IF($A13="","",SUMIFS(tbl_plan[必要数],tbl_plan[ロットID],$A13,tbl_plan[計画状態],"有効"))</f>
        <v/>
      </c>
      <c r="G13" s="4" t="str">
        <f>IF($A13="","",SUMIFS(tbl_ledger[数量],tbl_ledger[ロットID],$A13,tbl_ledger[イベント種類],"発送"))</f>
        <v/>
      </c>
      <c r="H13" s="4" t="str">
        <f>IF($A13="","",SUMIFS(tbl_ledger[数量],tbl_ledger[ロットID],$A13,tbl_ledger[イベント種類],"搬入")+SUMIFS(tbl_ledger[数量],tbl_ledger[充当先ロットID],$A13,tbl_ledger[イベント種類],"充当")-SUMIFS(tbl_ledger[数量],tbl_ledger[ロットID],$A13,tbl_ledger[イベント種類],"充当")-SUMIFS(tbl_ledger[数量],tbl_ledger[ロットID],$A13,tbl_ledger[イベント種類],"発送")-SUMIFS(tbl_ledger[数量],tbl_ledger[ロットID],$A13,tbl_ledger[イベント種類],"倉庫A戻し")-SUMIFS(tbl_ledger[数量],tbl_ledger[ロットID],$A13,tbl_ledger[イベント種類],"余剰化")-SUMIFS(tbl_ledger[数量],tbl_ledger[ロットID],$A13,tbl_ledger[イベント種類],"不良発生"))</f>
        <v/>
      </c>
      <c r="I13" s="4" t="str">
        <f>IF($A13="","",SUMIFS(tbl_ledger[数量],tbl_ledger[品番],$B13,tbl_ledger[イベント種類],"余剰化")+SUMIFS(tbl_ledger[数量],tbl_ledger[品番],$B13,tbl_ledger[イベント種類],"搬入",tbl_ledger[ロットID],"=")-SUMIFS(tbl_ledger[数量],tbl_ledger[品番],$B13,tbl_ledger[イベント種類],"充当",tbl_ledger[ロットID],"=")-SUMIFS(tbl_ledger[数量],tbl_ledger[品番],$B13,tbl_ledger[イベント種類],"発送",tbl_ledger[ロットID],"=")-SUMIFS(tbl_ledger[数量],tbl_ledger[品番],$B13,tbl_ledger[イベント種類],"倉庫A戻し",tbl_ledger[ロットID],"=")-SUMIFS(tbl_ledger[数量],tbl_ledger[品番],$B13,tbl_ledger[イベント種類],"不良発生",tbl_ledger[ロットID],"="))</f>
        <v/>
      </c>
      <c r="J13" s="4" t="str">
        <f t="shared" si="0"/>
        <v/>
      </c>
      <c r="K13" s="4" t="str">
        <f t="shared" si="1"/>
        <v/>
      </c>
      <c r="L13" s="4" t="str">
        <f t="shared" si="2"/>
        <v/>
      </c>
      <c r="M13" s="4" t="str">
        <f>IF($A13="","",IF(INDEX(tbl_plan[計画状態],ROW()-1)="キャンセル","キャンセル",IF(K13=0,"発送済",IF(L13&gt;0,"要搬出","OK"))))</f>
        <v/>
      </c>
    </row>
    <row r="14" spans="1:13" ht="15" x14ac:dyDescent="0.25">
      <c r="A14" s="4" t="str">
        <f>IFERROR(INDEX(tbl_plan[ロットID],ROW()-1),"")</f>
        <v/>
      </c>
      <c r="B14" s="4" t="str">
        <f>IF($A14="","",INDEX(tbl_plan[品番],ROW()-1))</f>
        <v/>
      </c>
      <c r="C14" s="5" t="str">
        <f>IF($A14="","",INDEX(tbl_plan[出荷週],ROW()-1))</f>
        <v/>
      </c>
      <c r="D14" s="4" t="str">
        <f>IF($A14="","",INDEX(tbl_plan[納期先],ROW()-1)&amp;"")</f>
        <v/>
      </c>
      <c r="E14" s="4" t="str">
        <f>IF($A14="","",INDEX(tbl_plan[必要数],ROW()-1))</f>
        <v/>
      </c>
      <c r="F14" s="4" t="str">
        <f>IF($A14="","",SUMIFS(tbl_plan[必要数],tbl_plan[ロットID],$A14,tbl_plan[計画状態],"有効"))</f>
        <v/>
      </c>
      <c r="G14" s="4" t="str">
        <f>IF($A14="","",SUMIFS(tbl_ledger[数量],tbl_ledger[ロットID],$A14,tbl_ledger[イベント種類],"発送"))</f>
        <v/>
      </c>
      <c r="H14" s="4" t="str">
        <f>IF($A14="","",SUMIFS(tbl_ledger[数量],tbl_ledger[ロットID],$A14,tbl_ledger[イベント種類],"搬入")+SUMIFS(tbl_ledger[数量],tbl_ledger[充当先ロットID],$A14,tbl_ledger[イベント種類],"充当")-SUMIFS(tbl_ledger[数量],tbl_ledger[ロットID],$A14,tbl_ledger[イベント種類],"充当")-SUMIFS(tbl_ledger[数量],tbl_ledger[ロットID],$A14,tbl_ledger[イベント種類],"発送")-SUMIFS(tbl_ledger[数量],tbl_ledger[ロットID],$A14,tbl_ledger[イベント種類],"倉庫A戻し")-SUMIFS(tbl_ledger[数量],tbl_ledger[ロットID],$A14,tbl_ledger[イベント種類],"余剰化")-SUMIFS(tbl_ledger[数量],tbl_ledger[ロットID],$A14,tbl_ledger[イベント種類],"不良発生"))</f>
        <v/>
      </c>
      <c r="I14" s="4" t="str">
        <f>IF($A14="","",SUMIFS(tbl_ledger[数量],tbl_ledger[品番],$B14,tbl_ledger[イベント種類],"余剰化")+SUMIFS(tbl_ledger[数量],tbl_ledger[品番],$B14,tbl_ledger[イベント種類],"搬入",tbl_ledger[ロットID],"=")-SUMIFS(tbl_ledger[数量],tbl_ledger[品番],$B14,tbl_ledger[イベント種類],"充当",tbl_ledger[ロットID],"=")-SUMIFS(tbl_ledger[数量],tbl_ledger[品番],$B14,tbl_ledger[イベント種類],"発送",tbl_ledger[ロットID],"=")-SUMIFS(tbl_ledger[数量],tbl_ledger[品番],$B14,tbl_ledger[イベント種類],"倉庫A戻し",tbl_ledger[ロットID],"=")-SUMIFS(tbl_ledger[数量],tbl_ledger[品番],$B14,tbl_ledger[イベント種類],"不良発生",tbl_ledger[ロットID],"="))</f>
        <v/>
      </c>
      <c r="J14" s="4" t="str">
        <f t="shared" si="0"/>
        <v/>
      </c>
      <c r="K14" s="4" t="str">
        <f t="shared" si="1"/>
        <v/>
      </c>
      <c r="L14" s="4" t="str">
        <f t="shared" si="2"/>
        <v/>
      </c>
      <c r="M14" s="4" t="str">
        <f>IF($A14="","",IF(INDEX(tbl_plan[計画状態],ROW()-1)="キャンセル","キャンセル",IF(K14=0,"発送済",IF(L14&gt;0,"要搬出","OK"))))</f>
        <v/>
      </c>
    </row>
    <row r="15" spans="1:13" ht="15" x14ac:dyDescent="0.25">
      <c r="A15" s="4" t="str">
        <f>IFERROR(INDEX(tbl_plan[ロットID],ROW()-1),"")</f>
        <v/>
      </c>
      <c r="B15" s="4" t="str">
        <f>IF($A15="","",INDEX(tbl_plan[品番],ROW()-1))</f>
        <v/>
      </c>
      <c r="C15" s="5" t="str">
        <f>IF($A15="","",INDEX(tbl_plan[出荷週],ROW()-1))</f>
        <v/>
      </c>
      <c r="D15" s="4" t="str">
        <f>IF($A15="","",INDEX(tbl_plan[納期先],ROW()-1)&amp;"")</f>
        <v/>
      </c>
      <c r="E15" s="4" t="str">
        <f>IF($A15="","",INDEX(tbl_plan[必要数],ROW()-1))</f>
        <v/>
      </c>
      <c r="F15" s="4" t="str">
        <f>IF($A15="","",SUMIFS(tbl_plan[必要数],tbl_plan[ロットID],$A15,tbl_plan[計画状態],"有効"))</f>
        <v/>
      </c>
      <c r="G15" s="4" t="str">
        <f>IF($A15="","",SUMIFS(tbl_ledger[数量],tbl_ledger[ロットID],$A15,tbl_ledger[イベント種類],"発送"))</f>
        <v/>
      </c>
      <c r="H15" s="4" t="str">
        <f>IF($A15="","",SUMIFS(tbl_ledger[数量],tbl_ledger[ロットID],$A15,tbl_ledger[イベント種類],"搬入")+SUMIFS(tbl_ledger[数量],tbl_ledger[充当先ロットID],$A15,tbl_ledger[イベント種類],"充当")-SUMIFS(tbl_ledger[数量],tbl_ledger[ロットID],$A15,tbl_ledger[イベント種類],"充当")-SUMIFS(tbl_ledger[数量],tbl_ledger[ロットID],$A15,tbl_ledger[イベント種類],"発送")-SUMIFS(tbl_ledger[数量],tbl_ledger[ロットID],$A15,tbl_ledger[イベント種類],"倉庫A戻し")-SUMIFS(tbl_ledger[数量],tbl_ledger[ロットID],$A15,tbl_ledger[イベント種類],"余剰化")-SUMIFS(tbl_ledger[数量],tbl_ledger[ロットID],$A15,tbl_ledger[イベント種類],"不良発生"))</f>
        <v/>
      </c>
      <c r="I15" s="4" t="str">
        <f>IF($A15="","",SUMIFS(tbl_ledger[数量],tbl_ledger[品番],$B15,tbl_ledger[イベント種類],"余剰化")+SUMIFS(tbl_ledger[数量],tbl_ledger[品番],$B15,tbl_ledger[イベント種類],"搬入",tbl_ledger[ロットID],"=")-SUMIFS(tbl_ledger[数量],tbl_ledger[品番],$B15,tbl_ledger[イベント種類],"充当",tbl_ledger[ロットID],"=")-SUMIFS(tbl_ledger[数量],tbl_ledger[品番],$B15,tbl_ledger[イベント種類],"発送",tbl_ledger[ロットID],"=")-SUMIFS(tbl_ledger[数量],tbl_ledger[品番],$B15,tbl_ledger[イベント種類],"倉庫A戻し",tbl_ledger[ロットID],"=")-SUMIFS(tbl_ledger[数量],tbl_ledger[品番],$B15,tbl_ledger[イベント種類],"不良発生",tbl_ledger[ロットID],"="))</f>
        <v/>
      </c>
      <c r="J15" s="4" t="str">
        <f t="shared" si="0"/>
        <v/>
      </c>
      <c r="K15" s="4" t="str">
        <f t="shared" si="1"/>
        <v/>
      </c>
      <c r="L15" s="4" t="str">
        <f t="shared" si="2"/>
        <v/>
      </c>
      <c r="M15" s="4" t="str">
        <f>IF($A15="","",IF(INDEX(tbl_plan[計画状態],ROW()-1)="キャンセル","キャンセル",IF(K15=0,"発送済",IF(L15&gt;0,"要搬出","OK"))))</f>
        <v/>
      </c>
    </row>
    <row r="16" spans="1:13" ht="15" x14ac:dyDescent="0.25">
      <c r="A16" s="4" t="str">
        <f>IFERROR(INDEX(tbl_plan[ロットID],ROW()-1),"")</f>
        <v/>
      </c>
      <c r="B16" s="4" t="str">
        <f>IF($A16="","",INDEX(tbl_plan[品番],ROW()-1))</f>
        <v/>
      </c>
      <c r="C16" s="5" t="str">
        <f>IF($A16="","",INDEX(tbl_plan[出荷週],ROW()-1))</f>
        <v/>
      </c>
      <c r="D16" s="4" t="str">
        <f>IF($A16="","",INDEX(tbl_plan[納期先],ROW()-1)&amp;"")</f>
        <v/>
      </c>
      <c r="E16" s="4" t="str">
        <f>IF($A16="","",INDEX(tbl_plan[必要数],ROW()-1))</f>
        <v/>
      </c>
      <c r="F16" s="4" t="str">
        <f>IF($A16="","",SUMIFS(tbl_plan[必要数],tbl_plan[ロットID],$A16,tbl_plan[計画状態],"有効"))</f>
        <v/>
      </c>
      <c r="G16" s="4" t="str">
        <f>IF($A16="","",SUMIFS(tbl_ledger[数量],tbl_ledger[ロットID],$A16,tbl_ledger[イベント種類],"発送"))</f>
        <v/>
      </c>
      <c r="H16" s="4" t="str">
        <f>IF($A16="","",SUMIFS(tbl_ledger[数量],tbl_ledger[ロットID],$A16,tbl_ledger[イベント種類],"搬入")+SUMIFS(tbl_ledger[数量],tbl_ledger[充当先ロットID],$A16,tbl_ledger[イベント種類],"充当")-SUMIFS(tbl_ledger[数量],tbl_ledger[ロットID],$A16,tbl_ledger[イベント種類],"充当")-SUMIFS(tbl_ledger[数量],tbl_ledger[ロットID],$A16,tbl_ledger[イベント種類],"発送")-SUMIFS(tbl_ledger[数量],tbl_ledger[ロットID],$A16,tbl_ledger[イベント種類],"倉庫A戻し")-SUMIFS(tbl_ledger[数量],tbl_ledger[ロットID],$A16,tbl_ledger[イベント種類],"余剰化")-SUMIFS(tbl_ledger[数量],tbl_ledger[ロットID],$A16,tbl_ledger[イベント種類],"不良発生"))</f>
        <v/>
      </c>
      <c r="I16" s="4" t="str">
        <f>IF($A16="","",SUMIFS(tbl_ledger[数量],tbl_ledger[品番],$B16,tbl_ledger[イベント種類],"余剰化")+SUMIFS(tbl_ledger[数量],tbl_ledger[品番],$B16,tbl_ledger[イベント種類],"搬入",tbl_ledger[ロットID],"=")-SUMIFS(tbl_ledger[数量],tbl_ledger[品番],$B16,tbl_ledger[イベント種類],"充当",tbl_ledger[ロットID],"=")-SUMIFS(tbl_ledger[数量],tbl_ledger[品番],$B16,tbl_ledger[イベント種類],"発送",tbl_ledger[ロットID],"=")-SUMIFS(tbl_ledger[数量],tbl_ledger[品番],$B16,tbl_ledger[イベント種類],"倉庫A戻し",tbl_ledger[ロットID],"=")-SUMIFS(tbl_ledger[数量],tbl_ledger[品番],$B16,tbl_ledger[イベント種類],"不良発生",tbl_ledger[ロットID],"="))</f>
        <v/>
      </c>
      <c r="J16" s="4" t="str">
        <f t="shared" si="0"/>
        <v/>
      </c>
      <c r="K16" s="4" t="str">
        <f t="shared" si="1"/>
        <v/>
      </c>
      <c r="L16" s="4" t="str">
        <f t="shared" si="2"/>
        <v/>
      </c>
      <c r="M16" s="4" t="str">
        <f>IF($A16="","",IF(INDEX(tbl_plan[計画状態],ROW()-1)="キャンセル","キャンセル",IF(K16=0,"発送済",IF(L16&gt;0,"要搬出","OK"))))</f>
        <v/>
      </c>
    </row>
    <row r="17" spans="1:13" ht="15" x14ac:dyDescent="0.25">
      <c r="A17" s="4" t="str">
        <f>IFERROR(INDEX(tbl_plan[ロットID],ROW()-1),"")</f>
        <v/>
      </c>
      <c r="B17" s="4" t="str">
        <f>IF($A17="","",INDEX(tbl_plan[品番],ROW()-1))</f>
        <v/>
      </c>
      <c r="C17" s="5" t="str">
        <f>IF($A17="","",INDEX(tbl_plan[出荷週],ROW()-1))</f>
        <v/>
      </c>
      <c r="D17" s="4" t="str">
        <f>IF($A17="","",INDEX(tbl_plan[納期先],ROW()-1)&amp;"")</f>
        <v/>
      </c>
      <c r="E17" s="4" t="str">
        <f>IF($A17="","",INDEX(tbl_plan[必要数],ROW()-1))</f>
        <v/>
      </c>
      <c r="F17" s="4" t="str">
        <f>IF($A17="","",SUMIFS(tbl_plan[必要数],tbl_plan[ロットID],$A17,tbl_plan[計画状態],"有効"))</f>
        <v/>
      </c>
      <c r="G17" s="4" t="str">
        <f>IF($A17="","",SUMIFS(tbl_ledger[数量],tbl_ledger[ロットID],$A17,tbl_ledger[イベント種類],"発送"))</f>
        <v/>
      </c>
      <c r="H17" s="4" t="str">
        <f>IF($A17="","",SUMIFS(tbl_ledger[数量],tbl_ledger[ロットID],$A17,tbl_ledger[イベント種類],"搬入")+SUMIFS(tbl_ledger[数量],tbl_ledger[充当先ロットID],$A17,tbl_ledger[イベント種類],"充当")-SUMIFS(tbl_ledger[数量],tbl_ledger[ロットID],$A17,tbl_ledger[イベント種類],"充当")-SUMIFS(tbl_ledger[数量],tbl_ledger[ロットID],$A17,tbl_ledger[イベント種類],"発送")-SUMIFS(tbl_ledger[数量],tbl_ledger[ロットID],$A17,tbl_ledger[イベント種類],"倉庫A戻し")-SUMIFS(tbl_ledger[数量],tbl_ledger[ロットID],$A17,tbl_ledger[イベント種類],"余剰化")-SUMIFS(tbl_ledger[数量],tbl_ledger[ロットID],$A17,tbl_ledger[イベント種類],"不良発生"))</f>
        <v/>
      </c>
      <c r="I17" s="4" t="str">
        <f>IF($A17="","",SUMIFS(tbl_ledger[数量],tbl_ledger[品番],$B17,tbl_ledger[イベント種類],"余剰化")+SUMIFS(tbl_ledger[数量],tbl_ledger[品番],$B17,tbl_ledger[イベント種類],"搬入",tbl_ledger[ロットID],"=")-SUMIFS(tbl_ledger[数量],tbl_ledger[品番],$B17,tbl_ledger[イベント種類],"充当",tbl_ledger[ロットID],"=")-SUMIFS(tbl_ledger[数量],tbl_ledger[品番],$B17,tbl_ledger[イベント種類],"発送",tbl_ledger[ロットID],"=")-SUMIFS(tbl_ledger[数量],tbl_ledger[品番],$B17,tbl_ledger[イベント種類],"倉庫A戻し",tbl_ledger[ロットID],"=")-SUMIFS(tbl_ledger[数量],tbl_ledger[品番],$B17,tbl_ledger[イベント種類],"不良発生",tbl_ledger[ロットID],"="))</f>
        <v/>
      </c>
      <c r="J17" s="4" t="str">
        <f t="shared" si="0"/>
        <v/>
      </c>
      <c r="K17" s="4" t="str">
        <f t="shared" si="1"/>
        <v/>
      </c>
      <c r="L17" s="4" t="str">
        <f t="shared" si="2"/>
        <v/>
      </c>
      <c r="M17" s="4" t="str">
        <f>IF($A17="","",IF(INDEX(tbl_plan[計画状態],ROW()-1)="キャンセル","キャンセル",IF(K17=0,"発送済",IF(L17&gt;0,"要搬出","OK"))))</f>
        <v/>
      </c>
    </row>
    <row r="18" spans="1:13" ht="15" x14ac:dyDescent="0.25">
      <c r="A18" s="4" t="str">
        <f>IFERROR(INDEX(tbl_plan[ロットID],ROW()-1),"")</f>
        <v/>
      </c>
      <c r="B18" s="4" t="str">
        <f>IF($A18="","",INDEX(tbl_plan[品番],ROW()-1))</f>
        <v/>
      </c>
      <c r="C18" s="5" t="str">
        <f>IF($A18="","",INDEX(tbl_plan[出荷週],ROW()-1))</f>
        <v/>
      </c>
      <c r="D18" s="4" t="str">
        <f>IF($A18="","",INDEX(tbl_plan[納期先],ROW()-1)&amp;"")</f>
        <v/>
      </c>
      <c r="E18" s="4" t="str">
        <f>IF($A18="","",INDEX(tbl_plan[必要数],ROW()-1))</f>
        <v/>
      </c>
      <c r="F18" s="4" t="str">
        <f>IF($A18="","",SUMIFS(tbl_plan[必要数],tbl_plan[ロットID],$A18,tbl_plan[計画状態],"有効"))</f>
        <v/>
      </c>
      <c r="G18" s="4" t="str">
        <f>IF($A18="","",SUMIFS(tbl_ledger[数量],tbl_ledger[ロットID],$A18,tbl_ledger[イベント種類],"発送"))</f>
        <v/>
      </c>
      <c r="H18" s="4" t="str">
        <f>IF($A18="","",SUMIFS(tbl_ledger[数量],tbl_ledger[ロットID],$A18,tbl_ledger[イベント種類],"搬入")+SUMIFS(tbl_ledger[数量],tbl_ledger[充当先ロットID],$A18,tbl_ledger[イベント種類],"充当")-SUMIFS(tbl_ledger[数量],tbl_ledger[ロットID],$A18,tbl_ledger[イベント種類],"充当")-SUMIFS(tbl_ledger[数量],tbl_ledger[ロットID],$A18,tbl_ledger[イベント種類],"発送")-SUMIFS(tbl_ledger[数量],tbl_ledger[ロットID],$A18,tbl_ledger[イベント種類],"倉庫A戻し")-SUMIFS(tbl_ledger[数量],tbl_ledger[ロットID],$A18,tbl_ledger[イベント種類],"余剰化")-SUMIFS(tbl_ledger[数量],tbl_ledger[ロットID],$A18,tbl_ledger[イベント種類],"不良発生"))</f>
        <v/>
      </c>
      <c r="I18" s="4" t="str">
        <f>IF($A18="","",SUMIFS(tbl_ledger[数量],tbl_ledger[品番],$B18,tbl_ledger[イベント種類],"余剰化")+SUMIFS(tbl_ledger[数量],tbl_ledger[品番],$B18,tbl_ledger[イベント種類],"搬入",tbl_ledger[ロットID],"=")-SUMIFS(tbl_ledger[数量],tbl_ledger[品番],$B18,tbl_ledger[イベント種類],"充当",tbl_ledger[ロットID],"=")-SUMIFS(tbl_ledger[数量],tbl_ledger[品番],$B18,tbl_ledger[イベント種類],"発送",tbl_ledger[ロットID],"=")-SUMIFS(tbl_ledger[数量],tbl_ledger[品番],$B18,tbl_ledger[イベント種類],"倉庫A戻し",tbl_ledger[ロットID],"=")-SUMIFS(tbl_ledger[数量],tbl_ledger[品番],$B18,tbl_ledger[イベント種類],"不良発生",tbl_ledger[ロットID],"="))</f>
        <v/>
      </c>
      <c r="J18" s="4" t="str">
        <f t="shared" si="0"/>
        <v/>
      </c>
      <c r="K18" s="4" t="str">
        <f t="shared" si="1"/>
        <v/>
      </c>
      <c r="L18" s="4" t="str">
        <f t="shared" si="2"/>
        <v/>
      </c>
      <c r="M18" s="4" t="str">
        <f>IF($A18="","",IF(INDEX(tbl_plan[計画状態],ROW()-1)="キャンセル","キャンセル",IF(K18=0,"発送済",IF(L18&gt;0,"要搬出","OK"))))</f>
        <v/>
      </c>
    </row>
    <row r="19" spans="1:13" ht="15" x14ac:dyDescent="0.25">
      <c r="A19" s="4" t="str">
        <f>IFERROR(INDEX(tbl_plan[ロットID],ROW()-1),"")</f>
        <v/>
      </c>
      <c r="B19" s="4" t="str">
        <f>IF($A19="","",INDEX(tbl_plan[品番],ROW()-1))</f>
        <v/>
      </c>
      <c r="C19" s="5" t="str">
        <f>IF($A19="","",INDEX(tbl_plan[出荷週],ROW()-1))</f>
        <v/>
      </c>
      <c r="D19" s="4" t="str">
        <f>IF($A19="","",INDEX(tbl_plan[納期先],ROW()-1)&amp;"")</f>
        <v/>
      </c>
      <c r="E19" s="4" t="str">
        <f>IF($A19="","",INDEX(tbl_plan[必要数],ROW()-1))</f>
        <v/>
      </c>
      <c r="F19" s="4" t="str">
        <f>IF($A19="","",SUMIFS(tbl_plan[必要数],tbl_plan[ロットID],$A19,tbl_plan[計画状態],"有効"))</f>
        <v/>
      </c>
      <c r="G19" s="4" t="str">
        <f>IF($A19="","",SUMIFS(tbl_ledger[数量],tbl_ledger[ロットID],$A19,tbl_ledger[イベント種類],"発送"))</f>
        <v/>
      </c>
      <c r="H19" s="4" t="str">
        <f>IF($A19="","",SUMIFS(tbl_ledger[数量],tbl_ledger[ロットID],$A19,tbl_ledger[イベント種類],"搬入")+SUMIFS(tbl_ledger[数量],tbl_ledger[充当先ロットID],$A19,tbl_ledger[イベント種類],"充当")-SUMIFS(tbl_ledger[数量],tbl_ledger[ロットID],$A19,tbl_ledger[イベント種類],"充当")-SUMIFS(tbl_ledger[数量],tbl_ledger[ロットID],$A19,tbl_ledger[イベント種類],"発送")-SUMIFS(tbl_ledger[数量],tbl_ledger[ロットID],$A19,tbl_ledger[イベント種類],"倉庫A戻し")-SUMIFS(tbl_ledger[数量],tbl_ledger[ロットID],$A19,tbl_ledger[イベント種類],"余剰化")-SUMIFS(tbl_ledger[数量],tbl_ledger[ロットID],$A19,tbl_ledger[イベント種類],"不良発生"))</f>
        <v/>
      </c>
      <c r="I19" s="4" t="str">
        <f>IF($A19="","",SUMIFS(tbl_ledger[数量],tbl_ledger[品番],$B19,tbl_ledger[イベント種類],"余剰化")+SUMIFS(tbl_ledger[数量],tbl_ledger[品番],$B19,tbl_ledger[イベント種類],"搬入",tbl_ledger[ロットID],"=")-SUMIFS(tbl_ledger[数量],tbl_ledger[品番],$B19,tbl_ledger[イベント種類],"充当",tbl_ledger[ロットID],"=")-SUMIFS(tbl_ledger[数量],tbl_ledger[品番],$B19,tbl_ledger[イベント種類],"発送",tbl_ledger[ロットID],"=")-SUMIFS(tbl_ledger[数量],tbl_ledger[品番],$B19,tbl_ledger[イベント種類],"倉庫A戻し",tbl_ledger[ロットID],"=")-SUMIFS(tbl_ledger[数量],tbl_ledger[品番],$B19,tbl_ledger[イベント種類],"不良発生",tbl_ledger[ロットID],"="))</f>
        <v/>
      </c>
      <c r="J19" s="4" t="str">
        <f t="shared" si="0"/>
        <v/>
      </c>
      <c r="K19" s="4" t="str">
        <f t="shared" si="1"/>
        <v/>
      </c>
      <c r="L19" s="4" t="str">
        <f t="shared" si="2"/>
        <v/>
      </c>
      <c r="M19" s="4" t="str">
        <f>IF($A19="","",IF(INDEX(tbl_plan[計画状態],ROW()-1)="キャンセル","キャンセル",IF(K19=0,"発送済",IF(L19&gt;0,"要搬出","OK"))))</f>
        <v/>
      </c>
    </row>
    <row r="20" spans="1:13" ht="15" x14ac:dyDescent="0.25">
      <c r="A20" s="4" t="str">
        <f>IFERROR(INDEX(tbl_plan[ロットID],ROW()-1),"")</f>
        <v/>
      </c>
      <c r="B20" s="4" t="str">
        <f>IF($A20="","",INDEX(tbl_plan[品番],ROW()-1))</f>
        <v/>
      </c>
      <c r="C20" s="5" t="str">
        <f>IF($A20="","",INDEX(tbl_plan[出荷週],ROW()-1))</f>
        <v/>
      </c>
      <c r="D20" s="4" t="str">
        <f>IF($A20="","",INDEX(tbl_plan[納期先],ROW()-1)&amp;"")</f>
        <v/>
      </c>
      <c r="E20" s="4" t="str">
        <f>IF($A20="","",INDEX(tbl_plan[必要数],ROW()-1))</f>
        <v/>
      </c>
      <c r="F20" s="4" t="str">
        <f>IF($A20="","",SUMIFS(tbl_plan[必要数],tbl_plan[ロットID],$A20,tbl_plan[計画状態],"有効"))</f>
        <v/>
      </c>
      <c r="G20" s="4" t="str">
        <f>IF($A20="","",SUMIFS(tbl_ledger[数量],tbl_ledger[ロットID],$A20,tbl_ledger[イベント種類],"発送"))</f>
        <v/>
      </c>
      <c r="H20" s="4" t="str">
        <f>IF($A20="","",SUMIFS(tbl_ledger[数量],tbl_ledger[ロットID],$A20,tbl_ledger[イベント種類],"搬入")+SUMIFS(tbl_ledger[数量],tbl_ledger[充当先ロットID],$A20,tbl_ledger[イベント種類],"充当")-SUMIFS(tbl_ledger[数量],tbl_ledger[ロットID],$A20,tbl_ledger[イベント種類],"充当")-SUMIFS(tbl_ledger[数量],tbl_ledger[ロットID],$A20,tbl_ledger[イベント種類],"発送")-SUMIFS(tbl_ledger[数量],tbl_ledger[ロットID],$A20,tbl_ledger[イベント種類],"倉庫A戻し")-SUMIFS(tbl_ledger[数量],tbl_ledger[ロットID],$A20,tbl_ledger[イベント種類],"余剰化")-SUMIFS(tbl_ledger[数量],tbl_ledger[ロットID],$A20,tbl_ledger[イベント種類],"不良発生"))</f>
        <v/>
      </c>
      <c r="I20" s="4" t="str">
        <f>IF($A20="","",SUMIFS(tbl_ledger[数量],tbl_ledger[品番],$B20,tbl_ledger[イベント種類],"余剰化")+SUMIFS(tbl_ledger[数量],tbl_ledger[品番],$B20,tbl_ledger[イベント種類],"搬入",tbl_ledger[ロットID],"=")-SUMIFS(tbl_ledger[数量],tbl_ledger[品番],$B20,tbl_ledger[イベント種類],"充当",tbl_ledger[ロットID],"=")-SUMIFS(tbl_ledger[数量],tbl_ledger[品番],$B20,tbl_ledger[イベント種類],"発送",tbl_ledger[ロットID],"=")-SUMIFS(tbl_ledger[数量],tbl_ledger[品番],$B20,tbl_ledger[イベント種類],"倉庫A戻し",tbl_ledger[ロットID],"=")-SUMIFS(tbl_ledger[数量],tbl_ledger[品番],$B20,tbl_ledger[イベント種類],"不良発生",tbl_ledger[ロットID],"="))</f>
        <v/>
      </c>
      <c r="J20" s="4" t="str">
        <f t="shared" si="0"/>
        <v/>
      </c>
      <c r="K20" s="4" t="str">
        <f t="shared" si="1"/>
        <v/>
      </c>
      <c r="L20" s="4" t="str">
        <f t="shared" si="2"/>
        <v/>
      </c>
      <c r="M20" s="4" t="str">
        <f>IF($A20="","",IF(INDEX(tbl_plan[計画状態],ROW()-1)="キャンセル","キャンセル",IF(K20=0,"発送済",IF(L20&gt;0,"要搬出","OK"))))</f>
        <v/>
      </c>
    </row>
    <row r="21" spans="1:13" ht="15" x14ac:dyDescent="0.25">
      <c r="A21" s="4" t="str">
        <f>IFERROR(INDEX(tbl_plan[ロットID],ROW()-1),"")</f>
        <v/>
      </c>
      <c r="B21" s="4" t="str">
        <f>IF($A21="","",INDEX(tbl_plan[品番],ROW()-1))</f>
        <v/>
      </c>
      <c r="C21" s="5" t="str">
        <f>IF($A21="","",INDEX(tbl_plan[出荷週],ROW()-1))</f>
        <v/>
      </c>
      <c r="D21" s="4" t="str">
        <f>IF($A21="","",INDEX(tbl_plan[納期先],ROW()-1)&amp;"")</f>
        <v/>
      </c>
      <c r="E21" s="4" t="str">
        <f>IF($A21="","",INDEX(tbl_plan[必要数],ROW()-1))</f>
        <v/>
      </c>
      <c r="F21" s="4" t="str">
        <f>IF($A21="","",SUMIFS(tbl_plan[必要数],tbl_plan[ロットID],$A21,tbl_plan[計画状態],"有効"))</f>
        <v/>
      </c>
      <c r="G21" s="4" t="str">
        <f>IF($A21="","",SUMIFS(tbl_ledger[数量],tbl_ledger[ロットID],$A21,tbl_ledger[イベント種類],"発送"))</f>
        <v/>
      </c>
      <c r="H21" s="4" t="str">
        <f>IF($A21="","",SUMIFS(tbl_ledger[数量],tbl_ledger[ロットID],$A21,tbl_ledger[イベント種類],"搬入")+SUMIFS(tbl_ledger[数量],tbl_ledger[充当先ロットID],$A21,tbl_ledger[イベント種類],"充当")-SUMIFS(tbl_ledger[数量],tbl_ledger[ロットID],$A21,tbl_ledger[イベント種類],"充当")-SUMIFS(tbl_ledger[数量],tbl_ledger[ロットID],$A21,tbl_ledger[イベント種類],"発送")-SUMIFS(tbl_ledger[数量],tbl_ledger[ロットID],$A21,tbl_ledger[イベント種類],"倉庫A戻し")-SUMIFS(tbl_ledger[数量],tbl_ledger[ロットID],$A21,tbl_ledger[イベント種類],"余剰化")-SUMIFS(tbl_ledger[数量],tbl_ledger[ロットID],$A21,tbl_ledger[イベント種類],"不良発生"))</f>
        <v/>
      </c>
      <c r="I21" s="4" t="str">
        <f>IF($A21="","",SUMIFS(tbl_ledger[数量],tbl_ledger[品番],$B21,tbl_ledger[イベント種類],"余剰化")+SUMIFS(tbl_ledger[数量],tbl_ledger[品番],$B21,tbl_ledger[イベント種類],"搬入",tbl_ledger[ロットID],"=")-SUMIFS(tbl_ledger[数量],tbl_ledger[品番],$B21,tbl_ledger[イベント種類],"充当",tbl_ledger[ロットID],"=")-SUMIFS(tbl_ledger[数量],tbl_ledger[品番],$B21,tbl_ledger[イベント種類],"発送",tbl_ledger[ロットID],"=")-SUMIFS(tbl_ledger[数量],tbl_ledger[品番],$B21,tbl_ledger[イベント種類],"倉庫A戻し",tbl_ledger[ロットID],"=")-SUMIFS(tbl_ledger[数量],tbl_ledger[品番],$B21,tbl_ledger[イベント種類],"不良発生",tbl_ledger[ロットID],"="))</f>
        <v/>
      </c>
      <c r="J21" s="4" t="str">
        <f t="shared" si="0"/>
        <v/>
      </c>
      <c r="K21" s="4" t="str">
        <f t="shared" si="1"/>
        <v/>
      </c>
      <c r="L21" s="4" t="str">
        <f t="shared" si="2"/>
        <v/>
      </c>
      <c r="M21" s="4" t="str">
        <f>IF($A21="","",IF(INDEX(tbl_plan[計画状態],ROW()-1)="キャンセル","キャンセル",IF(K21=0,"発送済",IF(L21&gt;0,"要搬出","OK"))))</f>
        <v/>
      </c>
    </row>
    <row r="22" spans="1:13" ht="15" x14ac:dyDescent="0.25">
      <c r="A22" s="4" t="str">
        <f>IFERROR(INDEX(tbl_plan[ロットID],ROW()-1),"")</f>
        <v/>
      </c>
      <c r="B22" s="4" t="str">
        <f>IF($A22="","",INDEX(tbl_plan[品番],ROW()-1))</f>
        <v/>
      </c>
      <c r="C22" s="5" t="str">
        <f>IF($A22="","",INDEX(tbl_plan[出荷週],ROW()-1))</f>
        <v/>
      </c>
      <c r="D22" s="4" t="str">
        <f>IF($A22="","",INDEX(tbl_plan[納期先],ROW()-1)&amp;"")</f>
        <v/>
      </c>
      <c r="E22" s="4" t="str">
        <f>IF($A22="","",INDEX(tbl_plan[必要数],ROW()-1))</f>
        <v/>
      </c>
      <c r="F22" s="4" t="str">
        <f>IF($A22="","",SUMIFS(tbl_plan[必要数],tbl_plan[ロットID],$A22,tbl_plan[計画状態],"有効"))</f>
        <v/>
      </c>
      <c r="G22" s="4" t="str">
        <f>IF($A22="","",SUMIFS(tbl_ledger[数量],tbl_ledger[ロットID],$A22,tbl_ledger[イベント種類],"発送"))</f>
        <v/>
      </c>
      <c r="H22" s="4" t="str">
        <f>IF($A22="","",SUMIFS(tbl_ledger[数量],tbl_ledger[ロットID],$A22,tbl_ledger[イベント種類],"搬入")+SUMIFS(tbl_ledger[数量],tbl_ledger[充当先ロットID],$A22,tbl_ledger[イベント種類],"充当")-SUMIFS(tbl_ledger[数量],tbl_ledger[ロットID],$A22,tbl_ledger[イベント種類],"充当")-SUMIFS(tbl_ledger[数量],tbl_ledger[ロットID],$A22,tbl_ledger[イベント種類],"発送")-SUMIFS(tbl_ledger[数量],tbl_ledger[ロットID],$A22,tbl_ledger[イベント種類],"倉庫A戻し")-SUMIFS(tbl_ledger[数量],tbl_ledger[ロットID],$A22,tbl_ledger[イベント種類],"余剰化")-SUMIFS(tbl_ledger[数量],tbl_ledger[ロットID],$A22,tbl_ledger[イベント種類],"不良発生"))</f>
        <v/>
      </c>
      <c r="I22" s="4" t="str">
        <f>IF($A22="","",SUMIFS(tbl_ledger[数量],tbl_ledger[品番],$B22,tbl_ledger[イベント種類],"余剰化")+SUMIFS(tbl_ledger[数量],tbl_ledger[品番],$B22,tbl_ledger[イベント種類],"搬入",tbl_ledger[ロットID],"=")-SUMIFS(tbl_ledger[数量],tbl_ledger[品番],$B22,tbl_ledger[イベント種類],"充当",tbl_ledger[ロットID],"=")-SUMIFS(tbl_ledger[数量],tbl_ledger[品番],$B22,tbl_ledger[イベント種類],"発送",tbl_ledger[ロットID],"=")-SUMIFS(tbl_ledger[数量],tbl_ledger[品番],$B22,tbl_ledger[イベント種類],"倉庫A戻し",tbl_ledger[ロットID],"=")-SUMIFS(tbl_ledger[数量],tbl_ledger[品番],$B22,tbl_ledger[イベント種類],"不良発生",tbl_ledger[ロットID],"="))</f>
        <v/>
      </c>
      <c r="J22" s="4" t="str">
        <f t="shared" si="0"/>
        <v/>
      </c>
      <c r="K22" s="4" t="str">
        <f t="shared" si="1"/>
        <v/>
      </c>
      <c r="L22" s="4" t="str">
        <f t="shared" si="2"/>
        <v/>
      </c>
      <c r="M22" s="4" t="str">
        <f>IF($A22="","",IF(INDEX(tbl_plan[計画状態],ROW()-1)="キャンセル","キャンセル",IF(K22=0,"発送済",IF(L22&gt;0,"要搬出","OK"))))</f>
        <v/>
      </c>
    </row>
    <row r="23" spans="1:13" ht="15" x14ac:dyDescent="0.25">
      <c r="A23" s="4" t="str">
        <f>IFERROR(INDEX(tbl_plan[ロットID],ROW()-1),"")</f>
        <v/>
      </c>
      <c r="B23" s="4" t="str">
        <f>IF($A23="","",INDEX(tbl_plan[品番],ROW()-1))</f>
        <v/>
      </c>
      <c r="C23" s="5" t="str">
        <f>IF($A23="","",INDEX(tbl_plan[出荷週],ROW()-1))</f>
        <v/>
      </c>
      <c r="D23" s="4" t="str">
        <f>IF($A23="","",INDEX(tbl_plan[納期先],ROW()-1)&amp;"")</f>
        <v/>
      </c>
      <c r="E23" s="4" t="str">
        <f>IF($A23="","",INDEX(tbl_plan[必要数],ROW()-1))</f>
        <v/>
      </c>
      <c r="F23" s="4" t="str">
        <f>IF($A23="","",SUMIFS(tbl_plan[必要数],tbl_plan[ロットID],$A23,tbl_plan[計画状態],"有効"))</f>
        <v/>
      </c>
      <c r="G23" s="4" t="str">
        <f>IF($A23="","",SUMIFS(tbl_ledger[数量],tbl_ledger[ロットID],$A23,tbl_ledger[イベント種類],"発送"))</f>
        <v/>
      </c>
      <c r="H23" s="4" t="str">
        <f>IF($A23="","",SUMIFS(tbl_ledger[数量],tbl_ledger[ロットID],$A23,tbl_ledger[イベント種類],"搬入")+SUMIFS(tbl_ledger[数量],tbl_ledger[充当先ロットID],$A23,tbl_ledger[イベント種類],"充当")-SUMIFS(tbl_ledger[数量],tbl_ledger[ロットID],$A23,tbl_ledger[イベント種類],"充当")-SUMIFS(tbl_ledger[数量],tbl_ledger[ロットID],$A23,tbl_ledger[イベント種類],"発送")-SUMIFS(tbl_ledger[数量],tbl_ledger[ロットID],$A23,tbl_ledger[イベント種類],"倉庫A戻し")-SUMIFS(tbl_ledger[数量],tbl_ledger[ロットID],$A23,tbl_ledger[イベント種類],"余剰化")-SUMIFS(tbl_ledger[数量],tbl_ledger[ロットID],$A23,tbl_ledger[イベント種類],"不良発生"))</f>
        <v/>
      </c>
      <c r="I23" s="4" t="str">
        <f>IF($A23="","",SUMIFS(tbl_ledger[数量],tbl_ledger[品番],$B23,tbl_ledger[イベント種類],"余剰化")+SUMIFS(tbl_ledger[数量],tbl_ledger[品番],$B23,tbl_ledger[イベント種類],"搬入",tbl_ledger[ロットID],"=")-SUMIFS(tbl_ledger[数量],tbl_ledger[品番],$B23,tbl_ledger[イベント種類],"充当",tbl_ledger[ロットID],"=")-SUMIFS(tbl_ledger[数量],tbl_ledger[品番],$B23,tbl_ledger[イベント種類],"発送",tbl_ledger[ロットID],"=")-SUMIFS(tbl_ledger[数量],tbl_ledger[品番],$B23,tbl_ledger[イベント種類],"倉庫A戻し",tbl_ledger[ロットID],"=")-SUMIFS(tbl_ledger[数量],tbl_ledger[品番],$B23,tbl_ledger[イベント種類],"不良発生",tbl_ledger[ロットID],"="))</f>
        <v/>
      </c>
      <c r="J23" s="4" t="str">
        <f t="shared" si="0"/>
        <v/>
      </c>
      <c r="K23" s="4" t="str">
        <f t="shared" si="1"/>
        <v/>
      </c>
      <c r="L23" s="4" t="str">
        <f t="shared" si="2"/>
        <v/>
      </c>
      <c r="M23" s="4" t="str">
        <f>IF($A23="","",IF(INDEX(tbl_plan[計画状態],ROW()-1)="キャンセル","キャンセル",IF(K23=0,"発送済",IF(L23&gt;0,"要搬出","OK"))))</f>
        <v/>
      </c>
    </row>
    <row r="24" spans="1:13" ht="15" x14ac:dyDescent="0.25">
      <c r="A24" s="4" t="str">
        <f>IFERROR(INDEX(tbl_plan[ロットID],ROW()-1),"")</f>
        <v/>
      </c>
      <c r="B24" s="4" t="str">
        <f>IF($A24="","",INDEX(tbl_plan[品番],ROW()-1))</f>
        <v/>
      </c>
      <c r="C24" s="5" t="str">
        <f>IF($A24="","",INDEX(tbl_plan[出荷週],ROW()-1))</f>
        <v/>
      </c>
      <c r="D24" s="4" t="str">
        <f>IF($A24="","",INDEX(tbl_plan[納期先],ROW()-1)&amp;"")</f>
        <v/>
      </c>
      <c r="E24" s="4" t="str">
        <f>IF($A24="","",INDEX(tbl_plan[必要数],ROW()-1))</f>
        <v/>
      </c>
      <c r="F24" s="4" t="str">
        <f>IF($A24="","",SUMIFS(tbl_plan[必要数],tbl_plan[ロットID],$A24,tbl_plan[計画状態],"有効"))</f>
        <v/>
      </c>
      <c r="G24" s="4" t="str">
        <f>IF($A24="","",SUMIFS(tbl_ledger[数量],tbl_ledger[ロットID],$A24,tbl_ledger[イベント種類],"発送"))</f>
        <v/>
      </c>
      <c r="H24" s="4" t="str">
        <f>IF($A24="","",SUMIFS(tbl_ledger[数量],tbl_ledger[ロットID],$A24,tbl_ledger[イベント種類],"搬入")+SUMIFS(tbl_ledger[数量],tbl_ledger[充当先ロットID],$A24,tbl_ledger[イベント種類],"充当")-SUMIFS(tbl_ledger[数量],tbl_ledger[ロットID],$A24,tbl_ledger[イベント種類],"充当")-SUMIFS(tbl_ledger[数量],tbl_ledger[ロットID],$A24,tbl_ledger[イベント種類],"発送")-SUMIFS(tbl_ledger[数量],tbl_ledger[ロットID],$A24,tbl_ledger[イベント種類],"倉庫A戻し")-SUMIFS(tbl_ledger[数量],tbl_ledger[ロットID],$A24,tbl_ledger[イベント種類],"余剰化")-SUMIFS(tbl_ledger[数量],tbl_ledger[ロットID],$A24,tbl_ledger[イベント種類],"不良発生"))</f>
        <v/>
      </c>
      <c r="I24" s="4" t="str">
        <f>IF($A24="","",SUMIFS(tbl_ledger[数量],tbl_ledger[品番],$B24,tbl_ledger[イベント種類],"余剰化")+SUMIFS(tbl_ledger[数量],tbl_ledger[品番],$B24,tbl_ledger[イベント種類],"搬入",tbl_ledger[ロットID],"=")-SUMIFS(tbl_ledger[数量],tbl_ledger[品番],$B24,tbl_ledger[イベント種類],"充当",tbl_ledger[ロットID],"=")-SUMIFS(tbl_ledger[数量],tbl_ledger[品番],$B24,tbl_ledger[イベント種類],"発送",tbl_ledger[ロットID],"=")-SUMIFS(tbl_ledger[数量],tbl_ledger[品番],$B24,tbl_ledger[イベント種類],"倉庫A戻し",tbl_ledger[ロットID],"=")-SUMIFS(tbl_ledger[数量],tbl_ledger[品番],$B24,tbl_ledger[イベント種類],"不良発生",tbl_ledger[ロットID],"="))</f>
        <v/>
      </c>
      <c r="J24" s="4" t="str">
        <f t="shared" si="0"/>
        <v/>
      </c>
      <c r="K24" s="4" t="str">
        <f t="shared" si="1"/>
        <v/>
      </c>
      <c r="L24" s="4" t="str">
        <f t="shared" si="2"/>
        <v/>
      </c>
      <c r="M24" s="4" t="str">
        <f>IF($A24="","",IF(INDEX(tbl_plan[計画状態],ROW()-1)="キャンセル","キャンセル",IF(K24=0,"発送済",IF(L24&gt;0,"要搬出","OK"))))</f>
        <v/>
      </c>
    </row>
    <row r="25" spans="1:13" ht="15" x14ac:dyDescent="0.25">
      <c r="A25" s="4" t="str">
        <f>IFERROR(INDEX(tbl_plan[ロットID],ROW()-1),"")</f>
        <v/>
      </c>
      <c r="B25" s="4" t="str">
        <f>IF($A25="","",INDEX(tbl_plan[品番],ROW()-1))</f>
        <v/>
      </c>
      <c r="C25" s="5" t="str">
        <f>IF($A25="","",INDEX(tbl_plan[出荷週],ROW()-1))</f>
        <v/>
      </c>
      <c r="D25" s="4" t="str">
        <f>IF($A25="","",INDEX(tbl_plan[納期先],ROW()-1)&amp;"")</f>
        <v/>
      </c>
      <c r="E25" s="4" t="str">
        <f>IF($A25="","",INDEX(tbl_plan[必要数],ROW()-1))</f>
        <v/>
      </c>
      <c r="F25" s="4" t="str">
        <f>IF($A25="","",SUMIFS(tbl_plan[必要数],tbl_plan[ロットID],$A25,tbl_plan[計画状態],"有効"))</f>
        <v/>
      </c>
      <c r="G25" s="4" t="str">
        <f>IF($A25="","",SUMIFS(tbl_ledger[数量],tbl_ledger[ロットID],$A25,tbl_ledger[イベント種類],"発送"))</f>
        <v/>
      </c>
      <c r="H25" s="4" t="str">
        <f>IF($A25="","",SUMIFS(tbl_ledger[数量],tbl_ledger[ロットID],$A25,tbl_ledger[イベント種類],"搬入")+SUMIFS(tbl_ledger[数量],tbl_ledger[充当先ロットID],$A25,tbl_ledger[イベント種類],"充当")-SUMIFS(tbl_ledger[数量],tbl_ledger[ロットID],$A25,tbl_ledger[イベント種類],"充当")-SUMIFS(tbl_ledger[数量],tbl_ledger[ロットID],$A25,tbl_ledger[イベント種類],"発送")-SUMIFS(tbl_ledger[数量],tbl_ledger[ロットID],$A25,tbl_ledger[イベント種類],"倉庫A戻し")-SUMIFS(tbl_ledger[数量],tbl_ledger[ロットID],$A25,tbl_ledger[イベント種類],"余剰化")-SUMIFS(tbl_ledger[数量],tbl_ledger[ロットID],$A25,tbl_ledger[イベント種類],"不良発生"))</f>
        <v/>
      </c>
      <c r="I25" s="4" t="str">
        <f>IF($A25="","",SUMIFS(tbl_ledger[数量],tbl_ledger[品番],$B25,tbl_ledger[イベント種類],"余剰化")+SUMIFS(tbl_ledger[数量],tbl_ledger[品番],$B25,tbl_ledger[イベント種類],"搬入",tbl_ledger[ロットID],"=")-SUMIFS(tbl_ledger[数量],tbl_ledger[品番],$B25,tbl_ledger[イベント種類],"充当",tbl_ledger[ロットID],"=")-SUMIFS(tbl_ledger[数量],tbl_ledger[品番],$B25,tbl_ledger[イベント種類],"発送",tbl_ledger[ロットID],"=")-SUMIFS(tbl_ledger[数量],tbl_ledger[品番],$B25,tbl_ledger[イベント種類],"倉庫A戻し",tbl_ledger[ロットID],"=")-SUMIFS(tbl_ledger[数量],tbl_ledger[品番],$B25,tbl_ledger[イベント種類],"不良発生",tbl_ledger[ロットID],"="))</f>
        <v/>
      </c>
      <c r="J25" s="4" t="str">
        <f t="shared" si="0"/>
        <v/>
      </c>
      <c r="K25" s="4" t="str">
        <f t="shared" si="1"/>
        <v/>
      </c>
      <c r="L25" s="4" t="str">
        <f t="shared" si="2"/>
        <v/>
      </c>
      <c r="M25" s="4" t="str">
        <f>IF($A25="","",IF(INDEX(tbl_plan[計画状態],ROW()-1)="キャンセル","キャンセル",IF(K25=0,"発送済",IF(L25&gt;0,"要搬出","OK"))))</f>
        <v/>
      </c>
    </row>
    <row r="26" spans="1:13" ht="15" x14ac:dyDescent="0.25">
      <c r="A26" s="4" t="str">
        <f>IFERROR(INDEX(tbl_plan[ロットID],ROW()-1),"")</f>
        <v/>
      </c>
      <c r="B26" s="4" t="str">
        <f>IF($A26="","",INDEX(tbl_plan[品番],ROW()-1))</f>
        <v/>
      </c>
      <c r="C26" s="5" t="str">
        <f>IF($A26="","",INDEX(tbl_plan[出荷週],ROW()-1))</f>
        <v/>
      </c>
      <c r="D26" s="4" t="str">
        <f>IF($A26="","",INDEX(tbl_plan[納期先],ROW()-1)&amp;"")</f>
        <v/>
      </c>
      <c r="E26" s="4" t="str">
        <f>IF($A26="","",INDEX(tbl_plan[必要数],ROW()-1))</f>
        <v/>
      </c>
      <c r="F26" s="4" t="str">
        <f>IF($A26="","",SUMIFS(tbl_plan[必要数],tbl_plan[ロットID],$A26,tbl_plan[計画状態],"有効"))</f>
        <v/>
      </c>
      <c r="G26" s="4" t="str">
        <f>IF($A26="","",SUMIFS(tbl_ledger[数量],tbl_ledger[ロットID],$A26,tbl_ledger[イベント種類],"発送"))</f>
        <v/>
      </c>
      <c r="H26" s="4" t="str">
        <f>IF($A26="","",SUMIFS(tbl_ledger[数量],tbl_ledger[ロットID],$A26,tbl_ledger[イベント種類],"搬入")+SUMIFS(tbl_ledger[数量],tbl_ledger[充当先ロットID],$A26,tbl_ledger[イベント種類],"充当")-SUMIFS(tbl_ledger[数量],tbl_ledger[ロットID],$A26,tbl_ledger[イベント種類],"充当")-SUMIFS(tbl_ledger[数量],tbl_ledger[ロットID],$A26,tbl_ledger[イベント種類],"発送")-SUMIFS(tbl_ledger[数量],tbl_ledger[ロットID],$A26,tbl_ledger[イベント種類],"倉庫A戻し")-SUMIFS(tbl_ledger[数量],tbl_ledger[ロットID],$A26,tbl_ledger[イベント種類],"余剰化")-SUMIFS(tbl_ledger[数量],tbl_ledger[ロットID],$A26,tbl_ledger[イベント種類],"不良発生"))</f>
        <v/>
      </c>
      <c r="I26" s="4" t="str">
        <f>IF($A26="","",SUMIFS(tbl_ledger[数量],tbl_ledger[品番],$B26,tbl_ledger[イベント種類],"余剰化")+SUMIFS(tbl_ledger[数量],tbl_ledger[品番],$B26,tbl_ledger[イベント種類],"搬入",tbl_ledger[ロットID],"=")-SUMIFS(tbl_ledger[数量],tbl_ledger[品番],$B26,tbl_ledger[イベント種類],"充当",tbl_ledger[ロットID],"=")-SUMIFS(tbl_ledger[数量],tbl_ledger[品番],$B26,tbl_ledger[イベント種類],"発送",tbl_ledger[ロットID],"=")-SUMIFS(tbl_ledger[数量],tbl_ledger[品番],$B26,tbl_ledger[イベント種類],"倉庫A戻し",tbl_ledger[ロットID],"=")-SUMIFS(tbl_ledger[数量],tbl_ledger[品番],$B26,tbl_ledger[イベント種類],"不良発生",tbl_ledger[ロットID],"="))</f>
        <v/>
      </c>
      <c r="J26" s="4" t="str">
        <f t="shared" si="0"/>
        <v/>
      </c>
      <c r="K26" s="4" t="str">
        <f t="shared" si="1"/>
        <v/>
      </c>
      <c r="L26" s="4" t="str">
        <f t="shared" si="2"/>
        <v/>
      </c>
      <c r="M26" s="4" t="str">
        <f>IF($A26="","",IF(INDEX(tbl_plan[計画状態],ROW()-1)="キャンセル","キャンセル",IF(K26=0,"発送済",IF(L26&gt;0,"要搬出","OK"))))</f>
        <v/>
      </c>
    </row>
    <row r="27" spans="1:13" ht="15" x14ac:dyDescent="0.25">
      <c r="A27" s="4" t="str">
        <f>IFERROR(INDEX(tbl_plan[ロットID],ROW()-1),"")</f>
        <v/>
      </c>
      <c r="B27" s="4" t="str">
        <f>IF($A27="","",INDEX(tbl_plan[品番],ROW()-1))</f>
        <v/>
      </c>
      <c r="C27" s="5" t="str">
        <f>IF($A27="","",INDEX(tbl_plan[出荷週],ROW()-1))</f>
        <v/>
      </c>
      <c r="D27" s="4" t="str">
        <f>IF($A27="","",INDEX(tbl_plan[納期先],ROW()-1)&amp;"")</f>
        <v/>
      </c>
      <c r="E27" s="4" t="str">
        <f>IF($A27="","",INDEX(tbl_plan[必要数],ROW()-1))</f>
        <v/>
      </c>
      <c r="F27" s="4" t="str">
        <f>IF($A27="","",SUMIFS(tbl_plan[必要数],tbl_plan[ロットID],$A27,tbl_plan[計画状態],"有効"))</f>
        <v/>
      </c>
      <c r="G27" s="4" t="str">
        <f>IF($A27="","",SUMIFS(tbl_ledger[数量],tbl_ledger[ロットID],$A27,tbl_ledger[イベント種類],"発送"))</f>
        <v/>
      </c>
      <c r="H27" s="4" t="str">
        <f>IF($A27="","",SUMIFS(tbl_ledger[数量],tbl_ledger[ロットID],$A27,tbl_ledger[イベント種類],"搬入")+SUMIFS(tbl_ledger[数量],tbl_ledger[充当先ロットID],$A27,tbl_ledger[イベント種類],"充当")-SUMIFS(tbl_ledger[数量],tbl_ledger[ロットID],$A27,tbl_ledger[イベント種類],"充当")-SUMIFS(tbl_ledger[数量],tbl_ledger[ロットID],$A27,tbl_ledger[イベント種類],"発送")-SUMIFS(tbl_ledger[数量],tbl_ledger[ロットID],$A27,tbl_ledger[イベント種類],"倉庫A戻し")-SUMIFS(tbl_ledger[数量],tbl_ledger[ロットID],$A27,tbl_ledger[イベント種類],"余剰化")-SUMIFS(tbl_ledger[数量],tbl_ledger[ロットID],$A27,tbl_ledger[イベント種類],"不良発生"))</f>
        <v/>
      </c>
      <c r="I27" s="4" t="str">
        <f>IF($A27="","",SUMIFS(tbl_ledger[数量],tbl_ledger[品番],$B27,tbl_ledger[イベント種類],"余剰化")+SUMIFS(tbl_ledger[数量],tbl_ledger[品番],$B27,tbl_ledger[イベント種類],"搬入",tbl_ledger[ロットID],"=")-SUMIFS(tbl_ledger[数量],tbl_ledger[品番],$B27,tbl_ledger[イベント種類],"充当",tbl_ledger[ロットID],"=")-SUMIFS(tbl_ledger[数量],tbl_ledger[品番],$B27,tbl_ledger[イベント種類],"発送",tbl_ledger[ロットID],"=")-SUMIFS(tbl_ledger[数量],tbl_ledger[品番],$B27,tbl_ledger[イベント種類],"倉庫A戻し",tbl_ledger[ロットID],"=")-SUMIFS(tbl_ledger[数量],tbl_ledger[品番],$B27,tbl_ledger[イベント種類],"不良発生",tbl_ledger[ロットID],"="))</f>
        <v/>
      </c>
      <c r="J27" s="4" t="str">
        <f t="shared" si="0"/>
        <v/>
      </c>
      <c r="K27" s="4" t="str">
        <f t="shared" si="1"/>
        <v/>
      </c>
      <c r="L27" s="4" t="str">
        <f t="shared" si="2"/>
        <v/>
      </c>
      <c r="M27" s="4" t="str">
        <f>IF($A27="","",IF(INDEX(tbl_plan[計画状態],ROW()-1)="キャンセル","キャンセル",IF(K27=0,"発送済",IF(L27&gt;0,"要搬出","OK"))))</f>
        <v/>
      </c>
    </row>
    <row r="28" spans="1:13" ht="15" x14ac:dyDescent="0.25">
      <c r="A28" s="4" t="str">
        <f>IFERROR(INDEX(tbl_plan[ロットID],ROW()-1),"")</f>
        <v/>
      </c>
      <c r="B28" s="4" t="str">
        <f>IF($A28="","",INDEX(tbl_plan[品番],ROW()-1))</f>
        <v/>
      </c>
      <c r="C28" s="5" t="str">
        <f>IF($A28="","",INDEX(tbl_plan[出荷週],ROW()-1))</f>
        <v/>
      </c>
      <c r="D28" s="4" t="str">
        <f>IF($A28="","",INDEX(tbl_plan[納期先],ROW()-1)&amp;"")</f>
        <v/>
      </c>
      <c r="E28" s="4" t="str">
        <f>IF($A28="","",INDEX(tbl_plan[必要数],ROW()-1))</f>
        <v/>
      </c>
      <c r="F28" s="4" t="str">
        <f>IF($A28="","",SUMIFS(tbl_plan[必要数],tbl_plan[ロットID],$A28,tbl_plan[計画状態],"有効"))</f>
        <v/>
      </c>
      <c r="G28" s="4" t="str">
        <f>IF($A28="","",SUMIFS(tbl_ledger[数量],tbl_ledger[ロットID],$A28,tbl_ledger[イベント種類],"発送"))</f>
        <v/>
      </c>
      <c r="H28" s="4" t="str">
        <f>IF($A28="","",SUMIFS(tbl_ledger[数量],tbl_ledger[ロットID],$A28,tbl_ledger[イベント種類],"搬入")+SUMIFS(tbl_ledger[数量],tbl_ledger[充当先ロットID],$A28,tbl_ledger[イベント種類],"充当")-SUMIFS(tbl_ledger[数量],tbl_ledger[ロットID],$A28,tbl_ledger[イベント種類],"充当")-SUMIFS(tbl_ledger[数量],tbl_ledger[ロットID],$A28,tbl_ledger[イベント種類],"発送")-SUMIFS(tbl_ledger[数量],tbl_ledger[ロットID],$A28,tbl_ledger[イベント種類],"倉庫A戻し")-SUMIFS(tbl_ledger[数量],tbl_ledger[ロットID],$A28,tbl_ledger[イベント種類],"余剰化")-SUMIFS(tbl_ledger[数量],tbl_ledger[ロットID],$A28,tbl_ledger[イベント種類],"不良発生"))</f>
        <v/>
      </c>
      <c r="I28" s="4" t="str">
        <f>IF($A28="","",SUMIFS(tbl_ledger[数量],tbl_ledger[品番],$B28,tbl_ledger[イベント種類],"余剰化")+SUMIFS(tbl_ledger[数量],tbl_ledger[品番],$B28,tbl_ledger[イベント種類],"搬入",tbl_ledger[ロットID],"=")-SUMIFS(tbl_ledger[数量],tbl_ledger[品番],$B28,tbl_ledger[イベント種類],"充当",tbl_ledger[ロットID],"=")-SUMIFS(tbl_ledger[数量],tbl_ledger[品番],$B28,tbl_ledger[イベント種類],"発送",tbl_ledger[ロットID],"=")-SUMIFS(tbl_ledger[数量],tbl_ledger[品番],$B28,tbl_ledger[イベント種類],"倉庫A戻し",tbl_ledger[ロットID],"=")-SUMIFS(tbl_ledger[数量],tbl_ledger[品番],$B28,tbl_ledger[イベント種類],"不良発生",tbl_ledger[ロットID],"="))</f>
        <v/>
      </c>
      <c r="J28" s="4" t="str">
        <f t="shared" si="0"/>
        <v/>
      </c>
      <c r="K28" s="4" t="str">
        <f t="shared" si="1"/>
        <v/>
      </c>
      <c r="L28" s="4" t="str">
        <f t="shared" si="2"/>
        <v/>
      </c>
      <c r="M28" s="4" t="str">
        <f>IF($A28="","",IF(INDEX(tbl_plan[計画状態],ROW()-1)="キャンセル","キャンセル",IF(K28=0,"発送済",IF(L28&gt;0,"要搬出","OK"))))</f>
        <v/>
      </c>
    </row>
    <row r="29" spans="1:13" ht="15" x14ac:dyDescent="0.25">
      <c r="A29" s="4" t="str">
        <f>IFERROR(INDEX(tbl_plan[ロットID],ROW()-1),"")</f>
        <v/>
      </c>
      <c r="B29" s="4" t="str">
        <f>IF($A29="","",INDEX(tbl_plan[品番],ROW()-1))</f>
        <v/>
      </c>
      <c r="C29" s="5" t="str">
        <f>IF($A29="","",INDEX(tbl_plan[出荷週],ROW()-1))</f>
        <v/>
      </c>
      <c r="D29" s="4" t="str">
        <f>IF($A29="","",INDEX(tbl_plan[納期先],ROW()-1)&amp;"")</f>
        <v/>
      </c>
      <c r="E29" s="4" t="str">
        <f>IF($A29="","",INDEX(tbl_plan[必要数],ROW()-1))</f>
        <v/>
      </c>
      <c r="F29" s="4" t="str">
        <f>IF($A29="","",SUMIFS(tbl_plan[必要数],tbl_plan[ロットID],$A29,tbl_plan[計画状態],"有効"))</f>
        <v/>
      </c>
      <c r="G29" s="4" t="str">
        <f>IF($A29="","",SUMIFS(tbl_ledger[数量],tbl_ledger[ロットID],$A29,tbl_ledger[イベント種類],"発送"))</f>
        <v/>
      </c>
      <c r="H29" s="4" t="str">
        <f>IF($A29="","",SUMIFS(tbl_ledger[数量],tbl_ledger[ロットID],$A29,tbl_ledger[イベント種類],"搬入")+SUMIFS(tbl_ledger[数量],tbl_ledger[充当先ロットID],$A29,tbl_ledger[イベント種類],"充当")-SUMIFS(tbl_ledger[数量],tbl_ledger[ロットID],$A29,tbl_ledger[イベント種類],"充当")-SUMIFS(tbl_ledger[数量],tbl_ledger[ロットID],$A29,tbl_ledger[イベント種類],"発送")-SUMIFS(tbl_ledger[数量],tbl_ledger[ロットID],$A29,tbl_ledger[イベント種類],"倉庫A戻し")-SUMIFS(tbl_ledger[数量],tbl_ledger[ロットID],$A29,tbl_ledger[イベント種類],"余剰化")-SUMIFS(tbl_ledger[数量],tbl_ledger[ロットID],$A29,tbl_ledger[イベント種類],"不良発生"))</f>
        <v/>
      </c>
      <c r="I29" s="4" t="str">
        <f>IF($A29="","",SUMIFS(tbl_ledger[数量],tbl_ledger[品番],$B29,tbl_ledger[イベント種類],"余剰化")+SUMIFS(tbl_ledger[数量],tbl_ledger[品番],$B29,tbl_ledger[イベント種類],"搬入",tbl_ledger[ロットID],"=")-SUMIFS(tbl_ledger[数量],tbl_ledger[品番],$B29,tbl_ledger[イベント種類],"充当",tbl_ledger[ロットID],"=")-SUMIFS(tbl_ledger[数量],tbl_ledger[品番],$B29,tbl_ledger[イベント種類],"発送",tbl_ledger[ロットID],"=")-SUMIFS(tbl_ledger[数量],tbl_ledger[品番],$B29,tbl_ledger[イベント種類],"倉庫A戻し",tbl_ledger[ロットID],"=")-SUMIFS(tbl_ledger[数量],tbl_ledger[品番],$B29,tbl_ledger[イベント種類],"不良発生",tbl_ledger[ロットID],"="))</f>
        <v/>
      </c>
      <c r="J29" s="4" t="str">
        <f t="shared" si="0"/>
        <v/>
      </c>
      <c r="K29" s="4" t="str">
        <f t="shared" si="1"/>
        <v/>
      </c>
      <c r="L29" s="4" t="str">
        <f t="shared" si="2"/>
        <v/>
      </c>
      <c r="M29" s="4" t="str">
        <f>IF($A29="","",IF(INDEX(tbl_plan[計画状態],ROW()-1)="キャンセル","キャンセル",IF(K29=0,"発送済",IF(L29&gt;0,"要搬出","OK"))))</f>
        <v/>
      </c>
    </row>
    <row r="30" spans="1:13" ht="15" x14ac:dyDescent="0.25">
      <c r="A30" s="4" t="str">
        <f>IFERROR(INDEX(tbl_plan[ロットID],ROW()-1),"")</f>
        <v/>
      </c>
      <c r="B30" s="4" t="str">
        <f>IF($A30="","",INDEX(tbl_plan[品番],ROW()-1))</f>
        <v/>
      </c>
      <c r="C30" s="5" t="str">
        <f>IF($A30="","",INDEX(tbl_plan[出荷週],ROW()-1))</f>
        <v/>
      </c>
      <c r="D30" s="4" t="str">
        <f>IF($A30="","",INDEX(tbl_plan[納期先],ROW()-1)&amp;"")</f>
        <v/>
      </c>
      <c r="E30" s="4" t="str">
        <f>IF($A30="","",INDEX(tbl_plan[必要数],ROW()-1))</f>
        <v/>
      </c>
      <c r="F30" s="4" t="str">
        <f>IF($A30="","",SUMIFS(tbl_plan[必要数],tbl_plan[ロットID],$A30,tbl_plan[計画状態],"有効"))</f>
        <v/>
      </c>
      <c r="G30" s="4" t="str">
        <f>IF($A30="","",SUMIFS(tbl_ledger[数量],tbl_ledger[ロットID],$A30,tbl_ledger[イベント種類],"発送"))</f>
        <v/>
      </c>
      <c r="H30" s="4" t="str">
        <f>IF($A30="","",SUMIFS(tbl_ledger[数量],tbl_ledger[ロットID],$A30,tbl_ledger[イベント種類],"搬入")+SUMIFS(tbl_ledger[数量],tbl_ledger[充当先ロットID],$A30,tbl_ledger[イベント種類],"充当")-SUMIFS(tbl_ledger[数量],tbl_ledger[ロットID],$A30,tbl_ledger[イベント種類],"充当")-SUMIFS(tbl_ledger[数量],tbl_ledger[ロットID],$A30,tbl_ledger[イベント種類],"発送")-SUMIFS(tbl_ledger[数量],tbl_ledger[ロットID],$A30,tbl_ledger[イベント種類],"倉庫A戻し")-SUMIFS(tbl_ledger[数量],tbl_ledger[ロットID],$A30,tbl_ledger[イベント種類],"余剰化")-SUMIFS(tbl_ledger[数量],tbl_ledger[ロットID],$A30,tbl_ledger[イベント種類],"不良発生"))</f>
        <v/>
      </c>
      <c r="I30" s="4" t="str">
        <f>IF($A30="","",SUMIFS(tbl_ledger[数量],tbl_ledger[品番],$B30,tbl_ledger[イベント種類],"余剰化")+SUMIFS(tbl_ledger[数量],tbl_ledger[品番],$B30,tbl_ledger[イベント種類],"搬入",tbl_ledger[ロットID],"=")-SUMIFS(tbl_ledger[数量],tbl_ledger[品番],$B30,tbl_ledger[イベント種類],"充当",tbl_ledger[ロットID],"=")-SUMIFS(tbl_ledger[数量],tbl_ledger[品番],$B30,tbl_ledger[イベント種類],"発送",tbl_ledger[ロットID],"=")-SUMIFS(tbl_ledger[数量],tbl_ledger[品番],$B30,tbl_ledger[イベント種類],"倉庫A戻し",tbl_ledger[ロットID],"=")-SUMIFS(tbl_ledger[数量],tbl_ledger[品番],$B30,tbl_ledger[イベント種類],"不良発生",tbl_ledger[ロットID],"="))</f>
        <v/>
      </c>
      <c r="J30" s="4" t="str">
        <f t="shared" si="0"/>
        <v/>
      </c>
      <c r="K30" s="4" t="str">
        <f t="shared" si="1"/>
        <v/>
      </c>
      <c r="L30" s="4" t="str">
        <f t="shared" si="2"/>
        <v/>
      </c>
      <c r="M30" s="4" t="str">
        <f>IF($A30="","",IF(INDEX(tbl_plan[計画状態],ROW()-1)="キャンセル","キャンセル",IF(K30=0,"発送済",IF(L30&gt;0,"要搬出","OK"))))</f>
        <v/>
      </c>
    </row>
    <row r="31" spans="1:13" ht="15" x14ac:dyDescent="0.25">
      <c r="A31" s="4" t="str">
        <f>IFERROR(INDEX(tbl_plan[ロットID],ROW()-1),"")</f>
        <v/>
      </c>
      <c r="B31" s="4" t="str">
        <f>IF($A31="","",INDEX(tbl_plan[品番],ROW()-1))</f>
        <v/>
      </c>
      <c r="C31" s="5" t="str">
        <f>IF($A31="","",INDEX(tbl_plan[出荷週],ROW()-1))</f>
        <v/>
      </c>
      <c r="D31" s="4" t="str">
        <f>IF($A31="","",INDEX(tbl_plan[納期先],ROW()-1)&amp;"")</f>
        <v/>
      </c>
      <c r="E31" s="4" t="str">
        <f>IF($A31="","",INDEX(tbl_plan[必要数],ROW()-1))</f>
        <v/>
      </c>
      <c r="F31" s="4" t="str">
        <f>IF($A31="","",SUMIFS(tbl_plan[必要数],tbl_plan[ロットID],$A31,tbl_plan[計画状態],"有効"))</f>
        <v/>
      </c>
      <c r="G31" s="4" t="str">
        <f>IF($A31="","",SUMIFS(tbl_ledger[数量],tbl_ledger[ロットID],$A31,tbl_ledger[イベント種類],"発送"))</f>
        <v/>
      </c>
      <c r="H31" s="4" t="str">
        <f>IF($A31="","",SUMIFS(tbl_ledger[数量],tbl_ledger[ロットID],$A31,tbl_ledger[イベント種類],"搬入")+SUMIFS(tbl_ledger[数量],tbl_ledger[充当先ロットID],$A31,tbl_ledger[イベント種類],"充当")-SUMIFS(tbl_ledger[数量],tbl_ledger[ロットID],$A31,tbl_ledger[イベント種類],"充当")-SUMIFS(tbl_ledger[数量],tbl_ledger[ロットID],$A31,tbl_ledger[イベント種類],"発送")-SUMIFS(tbl_ledger[数量],tbl_ledger[ロットID],$A31,tbl_ledger[イベント種類],"倉庫A戻し")-SUMIFS(tbl_ledger[数量],tbl_ledger[ロットID],$A31,tbl_ledger[イベント種類],"余剰化")-SUMIFS(tbl_ledger[数量],tbl_ledger[ロットID],$A31,tbl_ledger[イベント種類],"不良発生"))</f>
        <v/>
      </c>
      <c r="I31" s="4" t="str">
        <f>IF($A31="","",SUMIFS(tbl_ledger[数量],tbl_ledger[品番],$B31,tbl_ledger[イベント種類],"余剰化")+SUMIFS(tbl_ledger[数量],tbl_ledger[品番],$B31,tbl_ledger[イベント種類],"搬入",tbl_ledger[ロットID],"=")-SUMIFS(tbl_ledger[数量],tbl_ledger[品番],$B31,tbl_ledger[イベント種類],"充当",tbl_ledger[ロットID],"=")-SUMIFS(tbl_ledger[数量],tbl_ledger[品番],$B31,tbl_ledger[イベント種類],"発送",tbl_ledger[ロットID],"=")-SUMIFS(tbl_ledger[数量],tbl_ledger[品番],$B31,tbl_ledger[イベント種類],"倉庫A戻し",tbl_ledger[ロットID],"=")-SUMIFS(tbl_ledger[数量],tbl_ledger[品番],$B31,tbl_ledger[イベント種類],"不良発生",tbl_ledger[ロットID],"="))</f>
        <v/>
      </c>
      <c r="J31" s="4" t="str">
        <f t="shared" si="0"/>
        <v/>
      </c>
      <c r="K31" s="4" t="str">
        <f t="shared" si="1"/>
        <v/>
      </c>
      <c r="L31" s="4" t="str">
        <f t="shared" si="2"/>
        <v/>
      </c>
      <c r="M31" s="4" t="str">
        <f>IF($A31="","",IF(INDEX(tbl_plan[計画状態],ROW()-1)="キャンセル","キャンセル",IF(K31=0,"発送済",IF(L31&gt;0,"要搬出","OK"))))</f>
        <v/>
      </c>
    </row>
    <row r="32" spans="1:13" ht="15" x14ac:dyDescent="0.25">
      <c r="A32" s="4" t="str">
        <f>IFERROR(INDEX(tbl_plan[ロットID],ROW()-1),"")</f>
        <v/>
      </c>
      <c r="B32" s="4" t="str">
        <f>IF($A32="","",INDEX(tbl_plan[品番],ROW()-1))</f>
        <v/>
      </c>
      <c r="C32" s="5" t="str">
        <f>IF($A32="","",INDEX(tbl_plan[出荷週],ROW()-1))</f>
        <v/>
      </c>
      <c r="D32" s="4" t="str">
        <f>IF($A32="","",INDEX(tbl_plan[納期先],ROW()-1)&amp;"")</f>
        <v/>
      </c>
      <c r="E32" s="4" t="str">
        <f>IF($A32="","",INDEX(tbl_plan[必要数],ROW()-1))</f>
        <v/>
      </c>
      <c r="F32" s="4" t="str">
        <f>IF($A32="","",SUMIFS(tbl_plan[必要数],tbl_plan[ロットID],$A32,tbl_plan[計画状態],"有効"))</f>
        <v/>
      </c>
      <c r="G32" s="4" t="str">
        <f>IF($A32="","",SUMIFS(tbl_ledger[数量],tbl_ledger[ロットID],$A32,tbl_ledger[イベント種類],"発送"))</f>
        <v/>
      </c>
      <c r="H32" s="4" t="str">
        <f>IF($A32="","",SUMIFS(tbl_ledger[数量],tbl_ledger[ロットID],$A32,tbl_ledger[イベント種類],"搬入")+SUMIFS(tbl_ledger[数量],tbl_ledger[充当先ロットID],$A32,tbl_ledger[イベント種類],"充当")-SUMIFS(tbl_ledger[数量],tbl_ledger[ロットID],$A32,tbl_ledger[イベント種類],"充当")-SUMIFS(tbl_ledger[数量],tbl_ledger[ロットID],$A32,tbl_ledger[イベント種類],"発送")-SUMIFS(tbl_ledger[数量],tbl_ledger[ロットID],$A32,tbl_ledger[イベント種類],"倉庫A戻し")-SUMIFS(tbl_ledger[数量],tbl_ledger[ロットID],$A32,tbl_ledger[イベント種類],"余剰化")-SUMIFS(tbl_ledger[数量],tbl_ledger[ロットID],$A32,tbl_ledger[イベント種類],"不良発生"))</f>
        <v/>
      </c>
      <c r="I32" s="4" t="str">
        <f>IF($A32="","",SUMIFS(tbl_ledger[数量],tbl_ledger[品番],$B32,tbl_ledger[イベント種類],"余剰化")+SUMIFS(tbl_ledger[数量],tbl_ledger[品番],$B32,tbl_ledger[イベント種類],"搬入",tbl_ledger[ロットID],"=")-SUMIFS(tbl_ledger[数量],tbl_ledger[品番],$B32,tbl_ledger[イベント種類],"充当",tbl_ledger[ロットID],"=")-SUMIFS(tbl_ledger[数量],tbl_ledger[品番],$B32,tbl_ledger[イベント種類],"発送",tbl_ledger[ロットID],"=")-SUMIFS(tbl_ledger[数量],tbl_ledger[品番],$B32,tbl_ledger[イベント種類],"倉庫A戻し",tbl_ledger[ロットID],"=")-SUMIFS(tbl_ledger[数量],tbl_ledger[品番],$B32,tbl_ledger[イベント種類],"不良発生",tbl_ledger[ロットID],"="))</f>
        <v/>
      </c>
      <c r="J32" s="4" t="str">
        <f t="shared" si="0"/>
        <v/>
      </c>
      <c r="K32" s="4" t="str">
        <f t="shared" si="1"/>
        <v/>
      </c>
      <c r="L32" s="4" t="str">
        <f t="shared" si="2"/>
        <v/>
      </c>
      <c r="M32" s="4" t="str">
        <f>IF($A32="","",IF(INDEX(tbl_plan[計画状態],ROW()-1)="キャンセル","キャンセル",IF(K32=0,"発送済",IF(L32&gt;0,"要搬出","OK"))))</f>
        <v/>
      </c>
    </row>
    <row r="33" spans="1:13" ht="15" x14ac:dyDescent="0.25">
      <c r="A33" s="4" t="str">
        <f>IFERROR(INDEX(tbl_plan[ロットID],ROW()-1),"")</f>
        <v/>
      </c>
      <c r="B33" s="4" t="str">
        <f>IF($A33="","",INDEX(tbl_plan[品番],ROW()-1))</f>
        <v/>
      </c>
      <c r="C33" s="5" t="str">
        <f>IF($A33="","",INDEX(tbl_plan[出荷週],ROW()-1))</f>
        <v/>
      </c>
      <c r="D33" s="4" t="str">
        <f>IF($A33="","",INDEX(tbl_plan[納期先],ROW()-1)&amp;"")</f>
        <v/>
      </c>
      <c r="E33" s="4" t="str">
        <f>IF($A33="","",INDEX(tbl_plan[必要数],ROW()-1))</f>
        <v/>
      </c>
      <c r="F33" s="4" t="str">
        <f>IF($A33="","",SUMIFS(tbl_plan[必要数],tbl_plan[ロットID],$A33,tbl_plan[計画状態],"有効"))</f>
        <v/>
      </c>
      <c r="G33" s="4" t="str">
        <f>IF($A33="","",SUMIFS(tbl_ledger[数量],tbl_ledger[ロットID],$A33,tbl_ledger[イベント種類],"発送"))</f>
        <v/>
      </c>
      <c r="H33" s="4" t="str">
        <f>IF($A33="","",SUMIFS(tbl_ledger[数量],tbl_ledger[ロットID],$A33,tbl_ledger[イベント種類],"搬入")+SUMIFS(tbl_ledger[数量],tbl_ledger[充当先ロットID],$A33,tbl_ledger[イベント種類],"充当")-SUMIFS(tbl_ledger[数量],tbl_ledger[ロットID],$A33,tbl_ledger[イベント種類],"充当")-SUMIFS(tbl_ledger[数量],tbl_ledger[ロットID],$A33,tbl_ledger[イベント種類],"発送")-SUMIFS(tbl_ledger[数量],tbl_ledger[ロットID],$A33,tbl_ledger[イベント種類],"倉庫A戻し")-SUMIFS(tbl_ledger[数量],tbl_ledger[ロットID],$A33,tbl_ledger[イベント種類],"余剰化")-SUMIFS(tbl_ledger[数量],tbl_ledger[ロットID],$A33,tbl_ledger[イベント種類],"不良発生"))</f>
        <v/>
      </c>
      <c r="I33" s="4" t="str">
        <f>IF($A33="","",SUMIFS(tbl_ledger[数量],tbl_ledger[品番],$B33,tbl_ledger[イベント種類],"余剰化")+SUMIFS(tbl_ledger[数量],tbl_ledger[品番],$B33,tbl_ledger[イベント種類],"搬入",tbl_ledger[ロットID],"=")-SUMIFS(tbl_ledger[数量],tbl_ledger[品番],$B33,tbl_ledger[イベント種類],"充当",tbl_ledger[ロットID],"=")-SUMIFS(tbl_ledger[数量],tbl_ledger[品番],$B33,tbl_ledger[イベント種類],"発送",tbl_ledger[ロットID],"=")-SUMIFS(tbl_ledger[数量],tbl_ledger[品番],$B33,tbl_ledger[イベント種類],"倉庫A戻し",tbl_ledger[ロットID],"=")-SUMIFS(tbl_ledger[数量],tbl_ledger[品番],$B33,tbl_ledger[イベント種類],"不良発生",tbl_ledger[ロットID],"="))</f>
        <v/>
      </c>
      <c r="J33" s="4" t="str">
        <f t="shared" si="0"/>
        <v/>
      </c>
      <c r="K33" s="4" t="str">
        <f t="shared" si="1"/>
        <v/>
      </c>
      <c r="L33" s="4" t="str">
        <f t="shared" si="2"/>
        <v/>
      </c>
      <c r="M33" s="4" t="str">
        <f>IF($A33="","",IF(INDEX(tbl_plan[計画状態],ROW()-1)="キャンセル","キャンセル",IF(K33=0,"発送済",IF(L33&gt;0,"要搬出","OK"))))</f>
        <v/>
      </c>
    </row>
    <row r="34" spans="1:13" ht="15" x14ac:dyDescent="0.25">
      <c r="A34" s="4" t="str">
        <f>IFERROR(INDEX(tbl_plan[ロットID],ROW()-1),"")</f>
        <v/>
      </c>
      <c r="B34" s="4" t="str">
        <f>IF($A34="","",INDEX(tbl_plan[品番],ROW()-1))</f>
        <v/>
      </c>
      <c r="C34" s="5" t="str">
        <f>IF($A34="","",INDEX(tbl_plan[出荷週],ROW()-1))</f>
        <v/>
      </c>
      <c r="D34" s="4" t="str">
        <f>IF($A34="","",INDEX(tbl_plan[納期先],ROW()-1)&amp;"")</f>
        <v/>
      </c>
      <c r="E34" s="4" t="str">
        <f>IF($A34="","",INDEX(tbl_plan[必要数],ROW()-1))</f>
        <v/>
      </c>
      <c r="F34" s="4" t="str">
        <f>IF($A34="","",SUMIFS(tbl_plan[必要数],tbl_plan[ロットID],$A34,tbl_plan[計画状態],"有効"))</f>
        <v/>
      </c>
      <c r="G34" s="4" t="str">
        <f>IF($A34="","",SUMIFS(tbl_ledger[数量],tbl_ledger[ロットID],$A34,tbl_ledger[イベント種類],"発送"))</f>
        <v/>
      </c>
      <c r="H34" s="4" t="str">
        <f>IF($A34="","",SUMIFS(tbl_ledger[数量],tbl_ledger[ロットID],$A34,tbl_ledger[イベント種類],"搬入")+SUMIFS(tbl_ledger[数量],tbl_ledger[充当先ロットID],$A34,tbl_ledger[イベント種類],"充当")-SUMIFS(tbl_ledger[数量],tbl_ledger[ロットID],$A34,tbl_ledger[イベント種類],"充当")-SUMIFS(tbl_ledger[数量],tbl_ledger[ロットID],$A34,tbl_ledger[イベント種類],"発送")-SUMIFS(tbl_ledger[数量],tbl_ledger[ロットID],$A34,tbl_ledger[イベント種類],"倉庫A戻し")-SUMIFS(tbl_ledger[数量],tbl_ledger[ロットID],$A34,tbl_ledger[イベント種類],"余剰化")-SUMIFS(tbl_ledger[数量],tbl_ledger[ロットID],$A34,tbl_ledger[イベント種類],"不良発生"))</f>
        <v/>
      </c>
      <c r="I34" s="4" t="str">
        <f>IF($A34="","",SUMIFS(tbl_ledger[数量],tbl_ledger[品番],$B34,tbl_ledger[イベント種類],"余剰化")+SUMIFS(tbl_ledger[数量],tbl_ledger[品番],$B34,tbl_ledger[イベント種類],"搬入",tbl_ledger[ロットID],"=")-SUMIFS(tbl_ledger[数量],tbl_ledger[品番],$B34,tbl_ledger[イベント種類],"充当",tbl_ledger[ロットID],"=")-SUMIFS(tbl_ledger[数量],tbl_ledger[品番],$B34,tbl_ledger[イベント種類],"発送",tbl_ledger[ロットID],"=")-SUMIFS(tbl_ledger[数量],tbl_ledger[品番],$B34,tbl_ledger[イベント種類],"倉庫A戻し",tbl_ledger[ロットID],"=")-SUMIFS(tbl_ledger[数量],tbl_ledger[品番],$B34,tbl_ledger[イベント種類],"不良発生",tbl_ledger[ロットID],"="))</f>
        <v/>
      </c>
      <c r="J34" s="4" t="str">
        <f t="shared" si="0"/>
        <v/>
      </c>
      <c r="K34" s="4" t="str">
        <f t="shared" si="1"/>
        <v/>
      </c>
      <c r="L34" s="4" t="str">
        <f t="shared" si="2"/>
        <v/>
      </c>
      <c r="M34" s="4" t="str">
        <f>IF($A34="","",IF(INDEX(tbl_plan[計画状態],ROW()-1)="キャンセル","キャンセル",IF(K34=0,"発送済",IF(L34&gt;0,"要搬出","OK"))))</f>
        <v/>
      </c>
    </row>
    <row r="35" spans="1:13" ht="15" x14ac:dyDescent="0.25">
      <c r="A35" s="4" t="str">
        <f>IFERROR(INDEX(tbl_plan[ロットID],ROW()-1),"")</f>
        <v/>
      </c>
      <c r="B35" s="4" t="str">
        <f>IF($A35="","",INDEX(tbl_plan[品番],ROW()-1))</f>
        <v/>
      </c>
      <c r="C35" s="5" t="str">
        <f>IF($A35="","",INDEX(tbl_plan[出荷週],ROW()-1))</f>
        <v/>
      </c>
      <c r="D35" s="4" t="str">
        <f>IF($A35="","",INDEX(tbl_plan[納期先],ROW()-1)&amp;"")</f>
        <v/>
      </c>
      <c r="E35" s="4" t="str">
        <f>IF($A35="","",INDEX(tbl_plan[必要数],ROW()-1))</f>
        <v/>
      </c>
      <c r="F35" s="4" t="str">
        <f>IF($A35="","",SUMIFS(tbl_plan[必要数],tbl_plan[ロットID],$A35,tbl_plan[計画状態],"有効"))</f>
        <v/>
      </c>
      <c r="G35" s="4" t="str">
        <f>IF($A35="","",SUMIFS(tbl_ledger[数量],tbl_ledger[ロットID],$A35,tbl_ledger[イベント種類],"発送"))</f>
        <v/>
      </c>
      <c r="H35" s="4" t="str">
        <f>IF($A35="","",SUMIFS(tbl_ledger[数量],tbl_ledger[ロットID],$A35,tbl_ledger[イベント種類],"搬入")+SUMIFS(tbl_ledger[数量],tbl_ledger[充当先ロットID],$A35,tbl_ledger[イベント種類],"充当")-SUMIFS(tbl_ledger[数量],tbl_ledger[ロットID],$A35,tbl_ledger[イベント種類],"充当")-SUMIFS(tbl_ledger[数量],tbl_ledger[ロットID],$A35,tbl_ledger[イベント種類],"発送")-SUMIFS(tbl_ledger[数量],tbl_ledger[ロットID],$A35,tbl_ledger[イベント種類],"倉庫A戻し")-SUMIFS(tbl_ledger[数量],tbl_ledger[ロットID],$A35,tbl_ledger[イベント種類],"余剰化")-SUMIFS(tbl_ledger[数量],tbl_ledger[ロットID],$A35,tbl_ledger[イベント種類],"不良発生"))</f>
        <v/>
      </c>
      <c r="I35" s="4" t="str">
        <f>IF($A35="","",SUMIFS(tbl_ledger[数量],tbl_ledger[品番],$B35,tbl_ledger[イベント種類],"余剰化")+SUMIFS(tbl_ledger[数量],tbl_ledger[品番],$B35,tbl_ledger[イベント種類],"搬入",tbl_ledger[ロットID],"=")-SUMIFS(tbl_ledger[数量],tbl_ledger[品番],$B35,tbl_ledger[イベント種類],"充当",tbl_ledger[ロットID],"=")-SUMIFS(tbl_ledger[数量],tbl_ledger[品番],$B35,tbl_ledger[イベント種類],"発送",tbl_ledger[ロットID],"=")-SUMIFS(tbl_ledger[数量],tbl_ledger[品番],$B35,tbl_ledger[イベント種類],"倉庫A戻し",tbl_ledger[ロットID],"=")-SUMIFS(tbl_ledger[数量],tbl_ledger[品番],$B35,tbl_ledger[イベント種類],"不良発生",tbl_ledger[ロットID],"="))</f>
        <v/>
      </c>
      <c r="J35" s="4" t="str">
        <f t="shared" si="0"/>
        <v/>
      </c>
      <c r="K35" s="4" t="str">
        <f t="shared" si="1"/>
        <v/>
      </c>
      <c r="L35" s="4" t="str">
        <f t="shared" si="2"/>
        <v/>
      </c>
      <c r="M35" s="4" t="str">
        <f>IF($A35="","",IF(INDEX(tbl_plan[計画状態],ROW()-1)="キャンセル","キャンセル",IF(K35=0,"発送済",IF(L35&gt;0,"要搬出","OK"))))</f>
        <v/>
      </c>
    </row>
    <row r="36" spans="1:13" ht="15" x14ac:dyDescent="0.25">
      <c r="A36" s="4" t="str">
        <f>IFERROR(INDEX(tbl_plan[ロットID],ROW()-1),"")</f>
        <v/>
      </c>
      <c r="B36" s="4" t="str">
        <f>IF($A36="","",INDEX(tbl_plan[品番],ROW()-1))</f>
        <v/>
      </c>
      <c r="C36" s="5" t="str">
        <f>IF($A36="","",INDEX(tbl_plan[出荷週],ROW()-1))</f>
        <v/>
      </c>
      <c r="D36" s="4" t="str">
        <f>IF($A36="","",INDEX(tbl_plan[納期先],ROW()-1)&amp;"")</f>
        <v/>
      </c>
      <c r="E36" s="4" t="str">
        <f>IF($A36="","",INDEX(tbl_plan[必要数],ROW()-1))</f>
        <v/>
      </c>
      <c r="F36" s="4" t="str">
        <f>IF($A36="","",SUMIFS(tbl_plan[必要数],tbl_plan[ロットID],$A36,tbl_plan[計画状態],"有効"))</f>
        <v/>
      </c>
      <c r="G36" s="4" t="str">
        <f>IF($A36="","",SUMIFS(tbl_ledger[数量],tbl_ledger[ロットID],$A36,tbl_ledger[イベント種類],"発送"))</f>
        <v/>
      </c>
      <c r="H36" s="4" t="str">
        <f>IF($A36="","",SUMIFS(tbl_ledger[数量],tbl_ledger[ロットID],$A36,tbl_ledger[イベント種類],"搬入")+SUMIFS(tbl_ledger[数量],tbl_ledger[充当先ロットID],$A36,tbl_ledger[イベント種類],"充当")-SUMIFS(tbl_ledger[数量],tbl_ledger[ロットID],$A36,tbl_ledger[イベント種類],"充当")-SUMIFS(tbl_ledger[数量],tbl_ledger[ロットID],$A36,tbl_ledger[イベント種類],"発送")-SUMIFS(tbl_ledger[数量],tbl_ledger[ロットID],$A36,tbl_ledger[イベント種類],"倉庫A戻し")-SUMIFS(tbl_ledger[数量],tbl_ledger[ロットID],$A36,tbl_ledger[イベント種類],"余剰化")-SUMIFS(tbl_ledger[数量],tbl_ledger[ロットID],$A36,tbl_ledger[イベント種類],"不良発生"))</f>
        <v/>
      </c>
      <c r="I36" s="4" t="str">
        <f>IF($A36="","",SUMIFS(tbl_ledger[数量],tbl_ledger[品番],$B36,tbl_ledger[イベント種類],"余剰化")+SUMIFS(tbl_ledger[数量],tbl_ledger[品番],$B36,tbl_ledger[イベント種類],"搬入",tbl_ledger[ロットID],"=")-SUMIFS(tbl_ledger[数量],tbl_ledger[品番],$B36,tbl_ledger[イベント種類],"充当",tbl_ledger[ロットID],"=")-SUMIFS(tbl_ledger[数量],tbl_ledger[品番],$B36,tbl_ledger[イベント種類],"発送",tbl_ledger[ロットID],"=")-SUMIFS(tbl_ledger[数量],tbl_ledger[品番],$B36,tbl_ledger[イベント種類],"倉庫A戻し",tbl_ledger[ロットID],"=")-SUMIFS(tbl_ledger[数量],tbl_ledger[品番],$B36,tbl_ledger[イベント種類],"不良発生",tbl_ledger[ロットID],"="))</f>
        <v/>
      </c>
      <c r="J36" s="4" t="str">
        <f t="shared" si="0"/>
        <v/>
      </c>
      <c r="K36" s="4" t="str">
        <f t="shared" si="1"/>
        <v/>
      </c>
      <c r="L36" s="4" t="str">
        <f t="shared" si="2"/>
        <v/>
      </c>
      <c r="M36" s="4" t="str">
        <f>IF($A36="","",IF(INDEX(tbl_plan[計画状態],ROW()-1)="キャンセル","キャンセル",IF(K36=0,"発送済",IF(L36&gt;0,"要搬出","OK"))))</f>
        <v/>
      </c>
    </row>
    <row r="37" spans="1:13" ht="15" x14ac:dyDescent="0.25">
      <c r="A37" s="4" t="str">
        <f>IFERROR(INDEX(tbl_plan[ロットID],ROW()-1),"")</f>
        <v/>
      </c>
      <c r="B37" s="4" t="str">
        <f>IF($A37="","",INDEX(tbl_plan[品番],ROW()-1))</f>
        <v/>
      </c>
      <c r="C37" s="5" t="str">
        <f>IF($A37="","",INDEX(tbl_plan[出荷週],ROW()-1))</f>
        <v/>
      </c>
      <c r="D37" s="4" t="str">
        <f>IF($A37="","",INDEX(tbl_plan[納期先],ROW()-1)&amp;"")</f>
        <v/>
      </c>
      <c r="E37" s="4" t="str">
        <f>IF($A37="","",INDEX(tbl_plan[必要数],ROW()-1))</f>
        <v/>
      </c>
      <c r="F37" s="4" t="str">
        <f>IF($A37="","",SUMIFS(tbl_plan[必要数],tbl_plan[ロットID],$A37,tbl_plan[計画状態],"有効"))</f>
        <v/>
      </c>
      <c r="G37" s="4" t="str">
        <f>IF($A37="","",SUMIFS(tbl_ledger[数量],tbl_ledger[ロットID],$A37,tbl_ledger[イベント種類],"発送"))</f>
        <v/>
      </c>
      <c r="H37" s="4" t="str">
        <f>IF($A37="","",SUMIFS(tbl_ledger[数量],tbl_ledger[ロットID],$A37,tbl_ledger[イベント種類],"搬入")+SUMIFS(tbl_ledger[数量],tbl_ledger[充当先ロットID],$A37,tbl_ledger[イベント種類],"充当")-SUMIFS(tbl_ledger[数量],tbl_ledger[ロットID],$A37,tbl_ledger[イベント種類],"充当")-SUMIFS(tbl_ledger[数量],tbl_ledger[ロットID],$A37,tbl_ledger[イベント種類],"発送")-SUMIFS(tbl_ledger[数量],tbl_ledger[ロットID],$A37,tbl_ledger[イベント種類],"倉庫A戻し")-SUMIFS(tbl_ledger[数量],tbl_ledger[ロットID],$A37,tbl_ledger[イベント種類],"余剰化")-SUMIFS(tbl_ledger[数量],tbl_ledger[ロットID],$A37,tbl_ledger[イベント種類],"不良発生"))</f>
        <v/>
      </c>
      <c r="I37" s="4" t="str">
        <f>IF($A37="","",SUMIFS(tbl_ledger[数量],tbl_ledger[品番],$B37,tbl_ledger[イベント種類],"余剰化")+SUMIFS(tbl_ledger[数量],tbl_ledger[品番],$B37,tbl_ledger[イベント種類],"搬入",tbl_ledger[ロットID],"=")-SUMIFS(tbl_ledger[数量],tbl_ledger[品番],$B37,tbl_ledger[イベント種類],"充当",tbl_ledger[ロットID],"=")-SUMIFS(tbl_ledger[数量],tbl_ledger[品番],$B37,tbl_ledger[イベント種類],"発送",tbl_ledger[ロットID],"=")-SUMIFS(tbl_ledger[数量],tbl_ledger[品番],$B37,tbl_ledger[イベント種類],"倉庫A戻し",tbl_ledger[ロットID],"=")-SUMIFS(tbl_ledger[数量],tbl_ledger[品番],$B37,tbl_ledger[イベント種類],"不良発生",tbl_ledger[ロットID],"="))</f>
        <v/>
      </c>
      <c r="J37" s="4" t="str">
        <f t="shared" si="0"/>
        <v/>
      </c>
      <c r="K37" s="4" t="str">
        <f t="shared" si="1"/>
        <v/>
      </c>
      <c r="L37" s="4" t="str">
        <f t="shared" si="2"/>
        <v/>
      </c>
      <c r="M37" s="4" t="str">
        <f>IF($A37="","",IF(INDEX(tbl_plan[計画状態],ROW()-1)="キャンセル","キャンセル",IF(K37=0,"発送済",IF(L37&gt;0,"要搬出","OK"))))</f>
        <v/>
      </c>
    </row>
    <row r="38" spans="1:13" ht="15" x14ac:dyDescent="0.25">
      <c r="A38" s="4" t="str">
        <f>IFERROR(INDEX(tbl_plan[ロットID],ROW()-1),"")</f>
        <v/>
      </c>
      <c r="B38" s="4" t="str">
        <f>IF($A38="","",INDEX(tbl_plan[品番],ROW()-1))</f>
        <v/>
      </c>
      <c r="C38" s="5" t="str">
        <f>IF($A38="","",INDEX(tbl_plan[出荷週],ROW()-1))</f>
        <v/>
      </c>
      <c r="D38" s="4" t="str">
        <f>IF($A38="","",INDEX(tbl_plan[納期先],ROW()-1)&amp;"")</f>
        <v/>
      </c>
      <c r="E38" s="4" t="str">
        <f>IF($A38="","",INDEX(tbl_plan[必要数],ROW()-1))</f>
        <v/>
      </c>
      <c r="F38" s="4" t="str">
        <f>IF($A38="","",SUMIFS(tbl_plan[必要数],tbl_plan[ロットID],$A38,tbl_plan[計画状態],"有効"))</f>
        <v/>
      </c>
      <c r="G38" s="4" t="str">
        <f>IF($A38="","",SUMIFS(tbl_ledger[数量],tbl_ledger[ロットID],$A38,tbl_ledger[イベント種類],"発送"))</f>
        <v/>
      </c>
      <c r="H38" s="4" t="str">
        <f>IF($A38="","",SUMIFS(tbl_ledger[数量],tbl_ledger[ロットID],$A38,tbl_ledger[イベント種類],"搬入")+SUMIFS(tbl_ledger[数量],tbl_ledger[充当先ロットID],$A38,tbl_ledger[イベント種類],"充当")-SUMIFS(tbl_ledger[数量],tbl_ledger[ロットID],$A38,tbl_ledger[イベント種類],"充当")-SUMIFS(tbl_ledger[数量],tbl_ledger[ロットID],$A38,tbl_ledger[イベント種類],"発送")-SUMIFS(tbl_ledger[数量],tbl_ledger[ロットID],$A38,tbl_ledger[イベント種類],"倉庫A戻し")-SUMIFS(tbl_ledger[数量],tbl_ledger[ロットID],$A38,tbl_ledger[イベント種類],"余剰化")-SUMIFS(tbl_ledger[数量],tbl_ledger[ロットID],$A38,tbl_ledger[イベント種類],"不良発生"))</f>
        <v/>
      </c>
      <c r="I38" s="4" t="str">
        <f>IF($A38="","",SUMIFS(tbl_ledger[数量],tbl_ledger[品番],$B38,tbl_ledger[イベント種類],"余剰化")+SUMIFS(tbl_ledger[数量],tbl_ledger[品番],$B38,tbl_ledger[イベント種類],"搬入",tbl_ledger[ロットID],"=")-SUMIFS(tbl_ledger[数量],tbl_ledger[品番],$B38,tbl_ledger[イベント種類],"充当",tbl_ledger[ロットID],"=")-SUMIFS(tbl_ledger[数量],tbl_ledger[品番],$B38,tbl_ledger[イベント種類],"発送",tbl_ledger[ロットID],"=")-SUMIFS(tbl_ledger[数量],tbl_ledger[品番],$B38,tbl_ledger[イベント種類],"倉庫A戻し",tbl_ledger[ロットID],"=")-SUMIFS(tbl_ledger[数量],tbl_ledger[品番],$B38,tbl_ledger[イベント種類],"不良発生",tbl_ledger[ロットID],"="))</f>
        <v/>
      </c>
      <c r="J38" s="4" t="str">
        <f t="shared" si="0"/>
        <v/>
      </c>
      <c r="K38" s="4" t="str">
        <f t="shared" si="1"/>
        <v/>
      </c>
      <c r="L38" s="4" t="str">
        <f t="shared" si="2"/>
        <v/>
      </c>
      <c r="M38" s="4" t="str">
        <f>IF($A38="","",IF(INDEX(tbl_plan[計画状態],ROW()-1)="キャンセル","キャンセル",IF(K38=0,"発送済",IF(L38&gt;0,"要搬出","OK"))))</f>
        <v/>
      </c>
    </row>
    <row r="39" spans="1:13" ht="15" x14ac:dyDescent="0.25">
      <c r="A39" s="4" t="str">
        <f>IFERROR(INDEX(tbl_plan[ロットID],ROW()-1),"")</f>
        <v/>
      </c>
      <c r="B39" s="4" t="str">
        <f>IF($A39="","",INDEX(tbl_plan[品番],ROW()-1))</f>
        <v/>
      </c>
      <c r="C39" s="5" t="str">
        <f>IF($A39="","",INDEX(tbl_plan[出荷週],ROW()-1))</f>
        <v/>
      </c>
      <c r="D39" s="4" t="str">
        <f>IF($A39="","",INDEX(tbl_plan[納期先],ROW()-1)&amp;"")</f>
        <v/>
      </c>
      <c r="E39" s="4" t="str">
        <f>IF($A39="","",INDEX(tbl_plan[必要数],ROW()-1))</f>
        <v/>
      </c>
      <c r="F39" s="4" t="str">
        <f>IF($A39="","",SUMIFS(tbl_plan[必要数],tbl_plan[ロットID],$A39,tbl_plan[計画状態],"有効"))</f>
        <v/>
      </c>
      <c r="G39" s="4" t="str">
        <f>IF($A39="","",SUMIFS(tbl_ledger[数量],tbl_ledger[ロットID],$A39,tbl_ledger[イベント種類],"発送"))</f>
        <v/>
      </c>
      <c r="H39" s="4" t="str">
        <f>IF($A39="","",SUMIFS(tbl_ledger[数量],tbl_ledger[ロットID],$A39,tbl_ledger[イベント種類],"搬入")+SUMIFS(tbl_ledger[数量],tbl_ledger[充当先ロットID],$A39,tbl_ledger[イベント種類],"充当")-SUMIFS(tbl_ledger[数量],tbl_ledger[ロットID],$A39,tbl_ledger[イベント種類],"充当")-SUMIFS(tbl_ledger[数量],tbl_ledger[ロットID],$A39,tbl_ledger[イベント種類],"発送")-SUMIFS(tbl_ledger[数量],tbl_ledger[ロットID],$A39,tbl_ledger[イベント種類],"倉庫A戻し")-SUMIFS(tbl_ledger[数量],tbl_ledger[ロットID],$A39,tbl_ledger[イベント種類],"余剰化")-SUMIFS(tbl_ledger[数量],tbl_ledger[ロットID],$A39,tbl_ledger[イベント種類],"不良発生"))</f>
        <v/>
      </c>
      <c r="I39" s="4" t="str">
        <f>IF($A39="","",SUMIFS(tbl_ledger[数量],tbl_ledger[品番],$B39,tbl_ledger[イベント種類],"余剰化")+SUMIFS(tbl_ledger[数量],tbl_ledger[品番],$B39,tbl_ledger[イベント種類],"搬入",tbl_ledger[ロットID],"=")-SUMIFS(tbl_ledger[数量],tbl_ledger[品番],$B39,tbl_ledger[イベント種類],"充当",tbl_ledger[ロットID],"=")-SUMIFS(tbl_ledger[数量],tbl_ledger[品番],$B39,tbl_ledger[イベント種類],"発送",tbl_ledger[ロットID],"=")-SUMIFS(tbl_ledger[数量],tbl_ledger[品番],$B39,tbl_ledger[イベント種類],"倉庫A戻し",tbl_ledger[ロットID],"=")-SUMIFS(tbl_ledger[数量],tbl_ledger[品番],$B39,tbl_ledger[イベント種類],"不良発生",tbl_ledger[ロットID],"="))</f>
        <v/>
      </c>
      <c r="J39" s="4" t="str">
        <f t="shared" si="0"/>
        <v/>
      </c>
      <c r="K39" s="4" t="str">
        <f t="shared" si="1"/>
        <v/>
      </c>
      <c r="L39" s="4" t="str">
        <f t="shared" si="2"/>
        <v/>
      </c>
      <c r="M39" s="4" t="str">
        <f>IF($A39="","",IF(INDEX(tbl_plan[計画状態],ROW()-1)="キャンセル","キャンセル",IF(K39=0,"発送済",IF(L39&gt;0,"要搬出","OK"))))</f>
        <v/>
      </c>
    </row>
    <row r="40" spans="1:13" ht="15" x14ac:dyDescent="0.25">
      <c r="A40" s="4" t="str">
        <f>IFERROR(INDEX(tbl_plan[ロットID],ROW()-1),"")</f>
        <v/>
      </c>
      <c r="B40" s="4" t="str">
        <f>IF($A40="","",INDEX(tbl_plan[品番],ROW()-1))</f>
        <v/>
      </c>
      <c r="C40" s="5" t="str">
        <f>IF($A40="","",INDEX(tbl_plan[出荷週],ROW()-1))</f>
        <v/>
      </c>
      <c r="D40" s="4" t="str">
        <f>IF($A40="","",INDEX(tbl_plan[納期先],ROW()-1)&amp;"")</f>
        <v/>
      </c>
      <c r="E40" s="4" t="str">
        <f>IF($A40="","",INDEX(tbl_plan[必要数],ROW()-1))</f>
        <v/>
      </c>
      <c r="F40" s="4" t="str">
        <f>IF($A40="","",SUMIFS(tbl_plan[必要数],tbl_plan[ロットID],$A40,tbl_plan[計画状態],"有効"))</f>
        <v/>
      </c>
      <c r="G40" s="4" t="str">
        <f>IF($A40="","",SUMIFS(tbl_ledger[数量],tbl_ledger[ロットID],$A40,tbl_ledger[イベント種類],"発送"))</f>
        <v/>
      </c>
      <c r="H40" s="4" t="str">
        <f>IF($A40="","",SUMIFS(tbl_ledger[数量],tbl_ledger[ロットID],$A40,tbl_ledger[イベント種類],"搬入")+SUMIFS(tbl_ledger[数量],tbl_ledger[充当先ロットID],$A40,tbl_ledger[イベント種類],"充当")-SUMIFS(tbl_ledger[数量],tbl_ledger[ロットID],$A40,tbl_ledger[イベント種類],"充当")-SUMIFS(tbl_ledger[数量],tbl_ledger[ロットID],$A40,tbl_ledger[イベント種類],"発送")-SUMIFS(tbl_ledger[数量],tbl_ledger[ロットID],$A40,tbl_ledger[イベント種類],"倉庫A戻し")-SUMIFS(tbl_ledger[数量],tbl_ledger[ロットID],$A40,tbl_ledger[イベント種類],"余剰化")-SUMIFS(tbl_ledger[数量],tbl_ledger[ロットID],$A40,tbl_ledger[イベント種類],"不良発生"))</f>
        <v/>
      </c>
      <c r="I40" s="4" t="str">
        <f>IF($A40="","",SUMIFS(tbl_ledger[数量],tbl_ledger[品番],$B40,tbl_ledger[イベント種類],"余剰化")+SUMIFS(tbl_ledger[数量],tbl_ledger[品番],$B40,tbl_ledger[イベント種類],"搬入",tbl_ledger[ロットID],"=")-SUMIFS(tbl_ledger[数量],tbl_ledger[品番],$B40,tbl_ledger[イベント種類],"充当",tbl_ledger[ロットID],"=")-SUMIFS(tbl_ledger[数量],tbl_ledger[品番],$B40,tbl_ledger[イベント種類],"発送",tbl_ledger[ロットID],"=")-SUMIFS(tbl_ledger[数量],tbl_ledger[品番],$B40,tbl_ledger[イベント種類],"倉庫A戻し",tbl_ledger[ロットID],"=")-SUMIFS(tbl_ledger[数量],tbl_ledger[品番],$B40,tbl_ledger[イベント種類],"不良発生",tbl_ledger[ロットID],"="))</f>
        <v/>
      </c>
      <c r="J40" s="4" t="str">
        <f t="shared" si="0"/>
        <v/>
      </c>
      <c r="K40" s="4" t="str">
        <f t="shared" si="1"/>
        <v/>
      </c>
      <c r="L40" s="4" t="str">
        <f t="shared" si="2"/>
        <v/>
      </c>
      <c r="M40" s="4" t="str">
        <f>IF($A40="","",IF(INDEX(tbl_plan[計画状態],ROW()-1)="キャンセル","キャンセル",IF(K40=0,"発送済",IF(L40&gt;0,"要搬出","OK"))))</f>
        <v/>
      </c>
    </row>
    <row r="41" spans="1:13" ht="15" x14ac:dyDescent="0.25">
      <c r="A41" s="4" t="str">
        <f>IFERROR(INDEX(tbl_plan[ロットID],ROW()-1),"")</f>
        <v/>
      </c>
      <c r="B41" s="4" t="str">
        <f>IF($A41="","",INDEX(tbl_plan[品番],ROW()-1))</f>
        <v/>
      </c>
      <c r="C41" s="5" t="str">
        <f>IF($A41="","",INDEX(tbl_plan[出荷週],ROW()-1))</f>
        <v/>
      </c>
      <c r="D41" s="4" t="str">
        <f>IF($A41="","",INDEX(tbl_plan[納期先],ROW()-1)&amp;"")</f>
        <v/>
      </c>
      <c r="E41" s="4" t="str">
        <f>IF($A41="","",INDEX(tbl_plan[必要数],ROW()-1))</f>
        <v/>
      </c>
      <c r="F41" s="4" t="str">
        <f>IF($A41="","",SUMIFS(tbl_plan[必要数],tbl_plan[ロットID],$A41,tbl_plan[計画状態],"有効"))</f>
        <v/>
      </c>
      <c r="G41" s="4" t="str">
        <f>IF($A41="","",SUMIFS(tbl_ledger[数量],tbl_ledger[ロットID],$A41,tbl_ledger[イベント種類],"発送"))</f>
        <v/>
      </c>
      <c r="H41" s="4" t="str">
        <f>IF($A41="","",SUMIFS(tbl_ledger[数量],tbl_ledger[ロットID],$A41,tbl_ledger[イベント種類],"搬入")+SUMIFS(tbl_ledger[数量],tbl_ledger[充当先ロットID],$A41,tbl_ledger[イベント種類],"充当")-SUMIFS(tbl_ledger[数量],tbl_ledger[ロットID],$A41,tbl_ledger[イベント種類],"充当")-SUMIFS(tbl_ledger[数量],tbl_ledger[ロットID],$A41,tbl_ledger[イベント種類],"発送")-SUMIFS(tbl_ledger[数量],tbl_ledger[ロットID],$A41,tbl_ledger[イベント種類],"倉庫A戻し")-SUMIFS(tbl_ledger[数量],tbl_ledger[ロットID],$A41,tbl_ledger[イベント種類],"余剰化")-SUMIFS(tbl_ledger[数量],tbl_ledger[ロットID],$A41,tbl_ledger[イベント種類],"不良発生"))</f>
        <v/>
      </c>
      <c r="I41" s="4" t="str">
        <f>IF($A41="","",SUMIFS(tbl_ledger[数量],tbl_ledger[品番],$B41,tbl_ledger[イベント種類],"余剰化")+SUMIFS(tbl_ledger[数量],tbl_ledger[品番],$B41,tbl_ledger[イベント種類],"搬入",tbl_ledger[ロットID],"=")-SUMIFS(tbl_ledger[数量],tbl_ledger[品番],$B41,tbl_ledger[イベント種類],"充当",tbl_ledger[ロットID],"=")-SUMIFS(tbl_ledger[数量],tbl_ledger[品番],$B41,tbl_ledger[イベント種類],"発送",tbl_ledger[ロットID],"=")-SUMIFS(tbl_ledger[数量],tbl_ledger[品番],$B41,tbl_ledger[イベント種類],"倉庫A戻し",tbl_ledger[ロットID],"=")-SUMIFS(tbl_ledger[数量],tbl_ledger[品番],$B41,tbl_ledger[イベント種類],"不良発生",tbl_ledger[ロットID],"="))</f>
        <v/>
      </c>
      <c r="J41" s="4" t="str">
        <f t="shared" si="0"/>
        <v/>
      </c>
      <c r="K41" s="4" t="str">
        <f t="shared" si="1"/>
        <v/>
      </c>
      <c r="L41" s="4" t="str">
        <f t="shared" si="2"/>
        <v/>
      </c>
      <c r="M41" s="4" t="str">
        <f>IF($A41="","",IF(INDEX(tbl_plan[計画状態],ROW()-1)="キャンセル","キャンセル",IF(K41=0,"発送済",IF(L41&gt;0,"要搬出","OK"))))</f>
        <v/>
      </c>
    </row>
    <row r="42" spans="1:13" ht="15" x14ac:dyDescent="0.25">
      <c r="A42" s="4" t="str">
        <f>IFERROR(INDEX(tbl_plan[ロットID],ROW()-1),"")</f>
        <v/>
      </c>
      <c r="B42" s="4" t="str">
        <f>IF($A42="","",INDEX(tbl_plan[品番],ROW()-1))</f>
        <v/>
      </c>
      <c r="C42" s="5" t="str">
        <f>IF($A42="","",INDEX(tbl_plan[出荷週],ROW()-1))</f>
        <v/>
      </c>
      <c r="D42" s="4" t="str">
        <f>IF($A42="","",INDEX(tbl_plan[納期先],ROW()-1)&amp;"")</f>
        <v/>
      </c>
      <c r="E42" s="4" t="str">
        <f>IF($A42="","",INDEX(tbl_plan[必要数],ROW()-1))</f>
        <v/>
      </c>
      <c r="F42" s="4" t="str">
        <f>IF($A42="","",SUMIFS(tbl_plan[必要数],tbl_plan[ロットID],$A42,tbl_plan[計画状態],"有効"))</f>
        <v/>
      </c>
      <c r="G42" s="4" t="str">
        <f>IF($A42="","",SUMIFS(tbl_ledger[数量],tbl_ledger[ロットID],$A42,tbl_ledger[イベント種類],"発送"))</f>
        <v/>
      </c>
      <c r="H42" s="4" t="str">
        <f>IF($A42="","",SUMIFS(tbl_ledger[数量],tbl_ledger[ロットID],$A42,tbl_ledger[イベント種類],"搬入")+SUMIFS(tbl_ledger[数量],tbl_ledger[充当先ロットID],$A42,tbl_ledger[イベント種類],"充当")-SUMIFS(tbl_ledger[数量],tbl_ledger[ロットID],$A42,tbl_ledger[イベント種類],"充当")-SUMIFS(tbl_ledger[数量],tbl_ledger[ロットID],$A42,tbl_ledger[イベント種類],"発送")-SUMIFS(tbl_ledger[数量],tbl_ledger[ロットID],$A42,tbl_ledger[イベント種類],"倉庫A戻し")-SUMIFS(tbl_ledger[数量],tbl_ledger[ロットID],$A42,tbl_ledger[イベント種類],"余剰化")-SUMIFS(tbl_ledger[数量],tbl_ledger[ロットID],$A42,tbl_ledger[イベント種類],"不良発生"))</f>
        <v/>
      </c>
      <c r="I42" s="4" t="str">
        <f>IF($A42="","",SUMIFS(tbl_ledger[数量],tbl_ledger[品番],$B42,tbl_ledger[イベント種類],"余剰化")+SUMIFS(tbl_ledger[数量],tbl_ledger[品番],$B42,tbl_ledger[イベント種類],"搬入",tbl_ledger[ロットID],"=")-SUMIFS(tbl_ledger[数量],tbl_ledger[品番],$B42,tbl_ledger[イベント種類],"充当",tbl_ledger[ロットID],"=")-SUMIFS(tbl_ledger[数量],tbl_ledger[品番],$B42,tbl_ledger[イベント種類],"発送",tbl_ledger[ロットID],"=")-SUMIFS(tbl_ledger[数量],tbl_ledger[品番],$B42,tbl_ledger[イベント種類],"倉庫A戻し",tbl_ledger[ロットID],"=")-SUMIFS(tbl_ledger[数量],tbl_ledger[品番],$B42,tbl_ledger[イベント種類],"不良発生",tbl_ledger[ロットID],"="))</f>
        <v/>
      </c>
      <c r="J42" s="4" t="str">
        <f t="shared" si="0"/>
        <v/>
      </c>
      <c r="K42" s="4" t="str">
        <f t="shared" si="1"/>
        <v/>
      </c>
      <c r="L42" s="4" t="str">
        <f t="shared" si="2"/>
        <v/>
      </c>
      <c r="M42" s="4" t="str">
        <f>IF($A42="","",IF(INDEX(tbl_plan[計画状態],ROW()-1)="キャンセル","キャンセル",IF(K42=0,"発送済",IF(L42&gt;0,"要搬出","OK"))))</f>
        <v/>
      </c>
    </row>
    <row r="43" spans="1:13" ht="15" x14ac:dyDescent="0.25">
      <c r="A43" s="4" t="str">
        <f>IFERROR(INDEX(tbl_plan[ロットID],ROW()-1),"")</f>
        <v/>
      </c>
      <c r="B43" s="4" t="str">
        <f>IF($A43="","",INDEX(tbl_plan[品番],ROW()-1))</f>
        <v/>
      </c>
      <c r="C43" s="5" t="str">
        <f>IF($A43="","",INDEX(tbl_plan[出荷週],ROW()-1))</f>
        <v/>
      </c>
      <c r="D43" s="4" t="str">
        <f>IF($A43="","",INDEX(tbl_plan[納期先],ROW()-1)&amp;"")</f>
        <v/>
      </c>
      <c r="E43" s="4" t="str">
        <f>IF($A43="","",INDEX(tbl_plan[必要数],ROW()-1))</f>
        <v/>
      </c>
      <c r="F43" s="4" t="str">
        <f>IF($A43="","",SUMIFS(tbl_plan[必要数],tbl_plan[ロットID],$A43,tbl_plan[計画状態],"有効"))</f>
        <v/>
      </c>
      <c r="G43" s="4" t="str">
        <f>IF($A43="","",SUMIFS(tbl_ledger[数量],tbl_ledger[ロットID],$A43,tbl_ledger[イベント種類],"発送"))</f>
        <v/>
      </c>
      <c r="H43" s="4" t="str">
        <f>IF($A43="","",SUMIFS(tbl_ledger[数量],tbl_ledger[ロットID],$A43,tbl_ledger[イベント種類],"搬入")+SUMIFS(tbl_ledger[数量],tbl_ledger[充当先ロットID],$A43,tbl_ledger[イベント種類],"充当")-SUMIFS(tbl_ledger[数量],tbl_ledger[ロットID],$A43,tbl_ledger[イベント種類],"充当")-SUMIFS(tbl_ledger[数量],tbl_ledger[ロットID],$A43,tbl_ledger[イベント種類],"発送")-SUMIFS(tbl_ledger[数量],tbl_ledger[ロットID],$A43,tbl_ledger[イベント種類],"倉庫A戻し")-SUMIFS(tbl_ledger[数量],tbl_ledger[ロットID],$A43,tbl_ledger[イベント種類],"余剰化")-SUMIFS(tbl_ledger[数量],tbl_ledger[ロットID],$A43,tbl_ledger[イベント種類],"不良発生"))</f>
        <v/>
      </c>
      <c r="I43" s="4" t="str">
        <f>IF($A43="","",SUMIFS(tbl_ledger[数量],tbl_ledger[品番],$B43,tbl_ledger[イベント種類],"余剰化")+SUMIFS(tbl_ledger[数量],tbl_ledger[品番],$B43,tbl_ledger[イベント種類],"搬入",tbl_ledger[ロットID],"=")-SUMIFS(tbl_ledger[数量],tbl_ledger[品番],$B43,tbl_ledger[イベント種類],"充当",tbl_ledger[ロットID],"=")-SUMIFS(tbl_ledger[数量],tbl_ledger[品番],$B43,tbl_ledger[イベント種類],"発送",tbl_ledger[ロットID],"=")-SUMIFS(tbl_ledger[数量],tbl_ledger[品番],$B43,tbl_ledger[イベント種類],"倉庫A戻し",tbl_ledger[ロットID],"=")-SUMIFS(tbl_ledger[数量],tbl_ledger[品番],$B43,tbl_ledger[イベント種類],"不良発生",tbl_ledger[ロットID],"="))</f>
        <v/>
      </c>
      <c r="J43" s="4" t="str">
        <f t="shared" si="0"/>
        <v/>
      </c>
      <c r="K43" s="4" t="str">
        <f t="shared" si="1"/>
        <v/>
      </c>
      <c r="L43" s="4" t="str">
        <f t="shared" si="2"/>
        <v/>
      </c>
      <c r="M43" s="4" t="str">
        <f>IF($A43="","",IF(INDEX(tbl_plan[計画状態],ROW()-1)="キャンセル","キャンセル",IF(K43=0,"発送済",IF(L43&gt;0,"要搬出","OK"))))</f>
        <v/>
      </c>
    </row>
    <row r="44" spans="1:13" ht="15" x14ac:dyDescent="0.25">
      <c r="A44" s="4" t="str">
        <f>IFERROR(INDEX(tbl_plan[ロットID],ROW()-1),"")</f>
        <v/>
      </c>
      <c r="B44" s="4" t="str">
        <f>IF($A44="","",INDEX(tbl_plan[品番],ROW()-1))</f>
        <v/>
      </c>
      <c r="C44" s="5" t="str">
        <f>IF($A44="","",INDEX(tbl_plan[出荷週],ROW()-1))</f>
        <v/>
      </c>
      <c r="D44" s="4" t="str">
        <f>IF($A44="","",INDEX(tbl_plan[納期先],ROW()-1)&amp;"")</f>
        <v/>
      </c>
      <c r="E44" s="4" t="str">
        <f>IF($A44="","",INDEX(tbl_plan[必要数],ROW()-1))</f>
        <v/>
      </c>
      <c r="F44" s="4" t="str">
        <f>IF($A44="","",SUMIFS(tbl_plan[必要数],tbl_plan[ロットID],$A44,tbl_plan[計画状態],"有効"))</f>
        <v/>
      </c>
      <c r="G44" s="4" t="str">
        <f>IF($A44="","",SUMIFS(tbl_ledger[数量],tbl_ledger[ロットID],$A44,tbl_ledger[イベント種類],"発送"))</f>
        <v/>
      </c>
      <c r="H44" s="4" t="str">
        <f>IF($A44="","",SUMIFS(tbl_ledger[数量],tbl_ledger[ロットID],$A44,tbl_ledger[イベント種類],"搬入")+SUMIFS(tbl_ledger[数量],tbl_ledger[充当先ロットID],$A44,tbl_ledger[イベント種類],"充当")-SUMIFS(tbl_ledger[数量],tbl_ledger[ロットID],$A44,tbl_ledger[イベント種類],"充当")-SUMIFS(tbl_ledger[数量],tbl_ledger[ロットID],$A44,tbl_ledger[イベント種類],"発送")-SUMIFS(tbl_ledger[数量],tbl_ledger[ロットID],$A44,tbl_ledger[イベント種類],"倉庫A戻し")-SUMIFS(tbl_ledger[数量],tbl_ledger[ロットID],$A44,tbl_ledger[イベント種類],"余剰化")-SUMIFS(tbl_ledger[数量],tbl_ledger[ロットID],$A44,tbl_ledger[イベント種類],"不良発生"))</f>
        <v/>
      </c>
      <c r="I44" s="4" t="str">
        <f>IF($A44="","",SUMIFS(tbl_ledger[数量],tbl_ledger[品番],$B44,tbl_ledger[イベント種類],"余剰化")+SUMIFS(tbl_ledger[数量],tbl_ledger[品番],$B44,tbl_ledger[イベント種類],"搬入",tbl_ledger[ロットID],"=")-SUMIFS(tbl_ledger[数量],tbl_ledger[品番],$B44,tbl_ledger[イベント種類],"充当",tbl_ledger[ロットID],"=")-SUMIFS(tbl_ledger[数量],tbl_ledger[品番],$B44,tbl_ledger[イベント種類],"発送",tbl_ledger[ロットID],"=")-SUMIFS(tbl_ledger[数量],tbl_ledger[品番],$B44,tbl_ledger[イベント種類],"倉庫A戻し",tbl_ledger[ロットID],"=")-SUMIFS(tbl_ledger[数量],tbl_ledger[品番],$B44,tbl_ledger[イベント種類],"不良発生",tbl_ledger[ロットID],"="))</f>
        <v/>
      </c>
      <c r="J44" s="4" t="str">
        <f t="shared" si="0"/>
        <v/>
      </c>
      <c r="K44" s="4" t="str">
        <f t="shared" si="1"/>
        <v/>
      </c>
      <c r="L44" s="4" t="str">
        <f t="shared" si="2"/>
        <v/>
      </c>
      <c r="M44" s="4" t="str">
        <f>IF($A44="","",IF(INDEX(tbl_plan[計画状態],ROW()-1)="キャンセル","キャンセル",IF(K44=0,"発送済",IF(L44&gt;0,"要搬出","OK"))))</f>
        <v/>
      </c>
    </row>
    <row r="45" spans="1:13" ht="15" x14ac:dyDescent="0.25">
      <c r="A45" s="4" t="str">
        <f>IFERROR(INDEX(tbl_plan[ロットID],ROW()-1),"")</f>
        <v/>
      </c>
      <c r="B45" s="4" t="str">
        <f>IF($A45="","",INDEX(tbl_plan[品番],ROW()-1))</f>
        <v/>
      </c>
      <c r="C45" s="5" t="str">
        <f>IF($A45="","",INDEX(tbl_plan[出荷週],ROW()-1))</f>
        <v/>
      </c>
      <c r="D45" s="4" t="str">
        <f>IF($A45="","",INDEX(tbl_plan[納期先],ROW()-1)&amp;"")</f>
        <v/>
      </c>
      <c r="E45" s="4" t="str">
        <f>IF($A45="","",INDEX(tbl_plan[必要数],ROW()-1))</f>
        <v/>
      </c>
      <c r="F45" s="4" t="str">
        <f>IF($A45="","",SUMIFS(tbl_plan[必要数],tbl_plan[ロットID],$A45,tbl_plan[計画状態],"有効"))</f>
        <v/>
      </c>
      <c r="G45" s="4" t="str">
        <f>IF($A45="","",SUMIFS(tbl_ledger[数量],tbl_ledger[ロットID],$A45,tbl_ledger[イベント種類],"発送"))</f>
        <v/>
      </c>
      <c r="H45" s="4" t="str">
        <f>IF($A45="","",SUMIFS(tbl_ledger[数量],tbl_ledger[ロットID],$A45,tbl_ledger[イベント種類],"搬入")+SUMIFS(tbl_ledger[数量],tbl_ledger[充当先ロットID],$A45,tbl_ledger[イベント種類],"充当")-SUMIFS(tbl_ledger[数量],tbl_ledger[ロットID],$A45,tbl_ledger[イベント種類],"充当")-SUMIFS(tbl_ledger[数量],tbl_ledger[ロットID],$A45,tbl_ledger[イベント種類],"発送")-SUMIFS(tbl_ledger[数量],tbl_ledger[ロットID],$A45,tbl_ledger[イベント種類],"倉庫A戻し")-SUMIFS(tbl_ledger[数量],tbl_ledger[ロットID],$A45,tbl_ledger[イベント種類],"余剰化")-SUMIFS(tbl_ledger[数量],tbl_ledger[ロットID],$A45,tbl_ledger[イベント種類],"不良発生"))</f>
        <v/>
      </c>
      <c r="I45" s="4" t="str">
        <f>IF($A45="","",SUMIFS(tbl_ledger[数量],tbl_ledger[品番],$B45,tbl_ledger[イベント種類],"余剰化")+SUMIFS(tbl_ledger[数量],tbl_ledger[品番],$B45,tbl_ledger[イベント種類],"搬入",tbl_ledger[ロットID],"=")-SUMIFS(tbl_ledger[数量],tbl_ledger[品番],$B45,tbl_ledger[イベント種類],"充当",tbl_ledger[ロットID],"=")-SUMIFS(tbl_ledger[数量],tbl_ledger[品番],$B45,tbl_ledger[イベント種類],"発送",tbl_ledger[ロットID],"=")-SUMIFS(tbl_ledger[数量],tbl_ledger[品番],$B45,tbl_ledger[イベント種類],"倉庫A戻し",tbl_ledger[ロットID],"=")-SUMIFS(tbl_ledger[数量],tbl_ledger[品番],$B45,tbl_ledger[イベント種類],"不良発生",tbl_ledger[ロットID],"="))</f>
        <v/>
      </c>
      <c r="J45" s="4" t="str">
        <f t="shared" si="0"/>
        <v/>
      </c>
      <c r="K45" s="4" t="str">
        <f t="shared" si="1"/>
        <v/>
      </c>
      <c r="L45" s="4" t="str">
        <f t="shared" si="2"/>
        <v/>
      </c>
      <c r="M45" s="4" t="str">
        <f>IF($A45="","",IF(INDEX(tbl_plan[計画状態],ROW()-1)="キャンセル","キャンセル",IF(K45=0,"発送済",IF(L45&gt;0,"要搬出","OK"))))</f>
        <v/>
      </c>
    </row>
    <row r="46" spans="1:13" ht="15" x14ac:dyDescent="0.25">
      <c r="A46" s="4" t="str">
        <f>IFERROR(INDEX(tbl_plan[ロットID],ROW()-1),"")</f>
        <v/>
      </c>
      <c r="B46" s="4" t="str">
        <f>IF($A46="","",INDEX(tbl_plan[品番],ROW()-1))</f>
        <v/>
      </c>
      <c r="C46" s="5" t="str">
        <f>IF($A46="","",INDEX(tbl_plan[出荷週],ROW()-1))</f>
        <v/>
      </c>
      <c r="D46" s="4" t="str">
        <f>IF($A46="","",INDEX(tbl_plan[納期先],ROW()-1)&amp;"")</f>
        <v/>
      </c>
      <c r="E46" s="4" t="str">
        <f>IF($A46="","",INDEX(tbl_plan[必要数],ROW()-1))</f>
        <v/>
      </c>
      <c r="F46" s="4" t="str">
        <f>IF($A46="","",SUMIFS(tbl_plan[必要数],tbl_plan[ロットID],$A46,tbl_plan[計画状態],"有効"))</f>
        <v/>
      </c>
      <c r="G46" s="4" t="str">
        <f>IF($A46="","",SUMIFS(tbl_ledger[数量],tbl_ledger[ロットID],$A46,tbl_ledger[イベント種類],"発送"))</f>
        <v/>
      </c>
      <c r="H46" s="4" t="str">
        <f>IF($A46="","",SUMIFS(tbl_ledger[数量],tbl_ledger[ロットID],$A46,tbl_ledger[イベント種類],"搬入")+SUMIFS(tbl_ledger[数量],tbl_ledger[充当先ロットID],$A46,tbl_ledger[イベント種類],"充当")-SUMIFS(tbl_ledger[数量],tbl_ledger[ロットID],$A46,tbl_ledger[イベント種類],"充当")-SUMIFS(tbl_ledger[数量],tbl_ledger[ロットID],$A46,tbl_ledger[イベント種類],"発送")-SUMIFS(tbl_ledger[数量],tbl_ledger[ロットID],$A46,tbl_ledger[イベント種類],"倉庫A戻し")-SUMIFS(tbl_ledger[数量],tbl_ledger[ロットID],$A46,tbl_ledger[イベント種類],"余剰化")-SUMIFS(tbl_ledger[数量],tbl_ledger[ロットID],$A46,tbl_ledger[イベント種類],"不良発生"))</f>
        <v/>
      </c>
      <c r="I46" s="4" t="str">
        <f>IF($A46="","",SUMIFS(tbl_ledger[数量],tbl_ledger[品番],$B46,tbl_ledger[イベント種類],"余剰化")+SUMIFS(tbl_ledger[数量],tbl_ledger[品番],$B46,tbl_ledger[イベント種類],"搬入",tbl_ledger[ロットID],"=")-SUMIFS(tbl_ledger[数量],tbl_ledger[品番],$B46,tbl_ledger[イベント種類],"充当",tbl_ledger[ロットID],"=")-SUMIFS(tbl_ledger[数量],tbl_ledger[品番],$B46,tbl_ledger[イベント種類],"発送",tbl_ledger[ロットID],"=")-SUMIFS(tbl_ledger[数量],tbl_ledger[品番],$B46,tbl_ledger[イベント種類],"倉庫A戻し",tbl_ledger[ロットID],"=")-SUMIFS(tbl_ledger[数量],tbl_ledger[品番],$B46,tbl_ledger[イベント種類],"不良発生",tbl_ledger[ロットID],"="))</f>
        <v/>
      </c>
      <c r="J46" s="4" t="str">
        <f t="shared" si="0"/>
        <v/>
      </c>
      <c r="K46" s="4" t="str">
        <f t="shared" si="1"/>
        <v/>
      </c>
      <c r="L46" s="4" t="str">
        <f t="shared" si="2"/>
        <v/>
      </c>
      <c r="M46" s="4" t="str">
        <f>IF($A46="","",IF(INDEX(tbl_plan[計画状態],ROW()-1)="キャンセル","キャンセル",IF(K46=0,"発送済",IF(L46&gt;0,"要搬出","OK"))))</f>
        <v/>
      </c>
    </row>
    <row r="47" spans="1:13" ht="15" x14ac:dyDescent="0.25">
      <c r="A47" s="4" t="str">
        <f>IFERROR(INDEX(tbl_plan[ロットID],ROW()-1),"")</f>
        <v/>
      </c>
      <c r="B47" s="4" t="str">
        <f>IF($A47="","",INDEX(tbl_plan[品番],ROW()-1))</f>
        <v/>
      </c>
      <c r="C47" s="5" t="str">
        <f>IF($A47="","",INDEX(tbl_plan[出荷週],ROW()-1))</f>
        <v/>
      </c>
      <c r="D47" s="4" t="str">
        <f>IF($A47="","",INDEX(tbl_plan[納期先],ROW()-1)&amp;"")</f>
        <v/>
      </c>
      <c r="E47" s="4" t="str">
        <f>IF($A47="","",INDEX(tbl_plan[必要数],ROW()-1))</f>
        <v/>
      </c>
      <c r="F47" s="4" t="str">
        <f>IF($A47="","",SUMIFS(tbl_plan[必要数],tbl_plan[ロットID],$A47,tbl_plan[計画状態],"有効"))</f>
        <v/>
      </c>
      <c r="G47" s="4" t="str">
        <f>IF($A47="","",SUMIFS(tbl_ledger[数量],tbl_ledger[ロットID],$A47,tbl_ledger[イベント種類],"発送"))</f>
        <v/>
      </c>
      <c r="H47" s="4" t="str">
        <f>IF($A47="","",SUMIFS(tbl_ledger[数量],tbl_ledger[ロットID],$A47,tbl_ledger[イベント種類],"搬入")+SUMIFS(tbl_ledger[数量],tbl_ledger[充当先ロットID],$A47,tbl_ledger[イベント種類],"充当")-SUMIFS(tbl_ledger[数量],tbl_ledger[ロットID],$A47,tbl_ledger[イベント種類],"充当")-SUMIFS(tbl_ledger[数量],tbl_ledger[ロットID],$A47,tbl_ledger[イベント種類],"発送")-SUMIFS(tbl_ledger[数量],tbl_ledger[ロットID],$A47,tbl_ledger[イベント種類],"倉庫A戻し")-SUMIFS(tbl_ledger[数量],tbl_ledger[ロットID],$A47,tbl_ledger[イベント種類],"余剰化")-SUMIFS(tbl_ledger[数量],tbl_ledger[ロットID],$A47,tbl_ledger[イベント種類],"不良発生"))</f>
        <v/>
      </c>
      <c r="I47" s="4" t="str">
        <f>IF($A47="","",SUMIFS(tbl_ledger[数量],tbl_ledger[品番],$B47,tbl_ledger[イベント種類],"余剰化")+SUMIFS(tbl_ledger[数量],tbl_ledger[品番],$B47,tbl_ledger[イベント種類],"搬入",tbl_ledger[ロットID],"=")-SUMIFS(tbl_ledger[数量],tbl_ledger[品番],$B47,tbl_ledger[イベント種類],"充当",tbl_ledger[ロットID],"=")-SUMIFS(tbl_ledger[数量],tbl_ledger[品番],$B47,tbl_ledger[イベント種類],"発送",tbl_ledger[ロットID],"=")-SUMIFS(tbl_ledger[数量],tbl_ledger[品番],$B47,tbl_ledger[イベント種類],"倉庫A戻し",tbl_ledger[ロットID],"=")-SUMIFS(tbl_ledger[数量],tbl_ledger[品番],$B47,tbl_ledger[イベント種類],"不良発生",tbl_ledger[ロットID],"="))</f>
        <v/>
      </c>
      <c r="J47" s="4" t="str">
        <f t="shared" si="0"/>
        <v/>
      </c>
      <c r="K47" s="4" t="str">
        <f t="shared" si="1"/>
        <v/>
      </c>
      <c r="L47" s="4" t="str">
        <f t="shared" si="2"/>
        <v/>
      </c>
      <c r="M47" s="4" t="str">
        <f>IF($A47="","",IF(INDEX(tbl_plan[計画状態],ROW()-1)="キャンセル","キャンセル",IF(K47=0,"発送済",IF(L47&gt;0,"要搬出","OK"))))</f>
        <v/>
      </c>
    </row>
    <row r="48" spans="1:13" ht="15" x14ac:dyDescent="0.25">
      <c r="A48" s="4" t="str">
        <f>IFERROR(INDEX(tbl_plan[ロットID],ROW()-1),"")</f>
        <v/>
      </c>
      <c r="B48" s="4" t="str">
        <f>IF($A48="","",INDEX(tbl_plan[品番],ROW()-1))</f>
        <v/>
      </c>
      <c r="C48" s="5" t="str">
        <f>IF($A48="","",INDEX(tbl_plan[出荷週],ROW()-1))</f>
        <v/>
      </c>
      <c r="D48" s="4" t="str">
        <f>IF($A48="","",INDEX(tbl_plan[納期先],ROW()-1)&amp;"")</f>
        <v/>
      </c>
      <c r="E48" s="4" t="str">
        <f>IF($A48="","",INDEX(tbl_plan[必要数],ROW()-1))</f>
        <v/>
      </c>
      <c r="F48" s="4" t="str">
        <f>IF($A48="","",SUMIFS(tbl_plan[必要数],tbl_plan[ロットID],$A48,tbl_plan[計画状態],"有効"))</f>
        <v/>
      </c>
      <c r="G48" s="4" t="str">
        <f>IF($A48="","",SUMIFS(tbl_ledger[数量],tbl_ledger[ロットID],$A48,tbl_ledger[イベント種類],"発送"))</f>
        <v/>
      </c>
      <c r="H48" s="4" t="str">
        <f>IF($A48="","",SUMIFS(tbl_ledger[数量],tbl_ledger[ロットID],$A48,tbl_ledger[イベント種類],"搬入")+SUMIFS(tbl_ledger[数量],tbl_ledger[充当先ロットID],$A48,tbl_ledger[イベント種類],"充当")-SUMIFS(tbl_ledger[数量],tbl_ledger[ロットID],$A48,tbl_ledger[イベント種類],"充当")-SUMIFS(tbl_ledger[数量],tbl_ledger[ロットID],$A48,tbl_ledger[イベント種類],"発送")-SUMIFS(tbl_ledger[数量],tbl_ledger[ロットID],$A48,tbl_ledger[イベント種類],"倉庫A戻し")-SUMIFS(tbl_ledger[数量],tbl_ledger[ロットID],$A48,tbl_ledger[イベント種類],"余剰化")-SUMIFS(tbl_ledger[数量],tbl_ledger[ロットID],$A48,tbl_ledger[イベント種類],"不良発生"))</f>
        <v/>
      </c>
      <c r="I48" s="4" t="str">
        <f>IF($A48="","",SUMIFS(tbl_ledger[数量],tbl_ledger[品番],$B48,tbl_ledger[イベント種類],"余剰化")+SUMIFS(tbl_ledger[数量],tbl_ledger[品番],$B48,tbl_ledger[イベント種類],"搬入",tbl_ledger[ロットID],"=")-SUMIFS(tbl_ledger[数量],tbl_ledger[品番],$B48,tbl_ledger[イベント種類],"充当",tbl_ledger[ロットID],"=")-SUMIFS(tbl_ledger[数量],tbl_ledger[品番],$B48,tbl_ledger[イベント種類],"発送",tbl_ledger[ロットID],"=")-SUMIFS(tbl_ledger[数量],tbl_ledger[品番],$B48,tbl_ledger[イベント種類],"倉庫A戻し",tbl_ledger[ロットID],"=")-SUMIFS(tbl_ledger[数量],tbl_ledger[品番],$B48,tbl_ledger[イベント種類],"不良発生",tbl_ledger[ロットID],"="))</f>
        <v/>
      </c>
      <c r="J48" s="4" t="str">
        <f t="shared" si="0"/>
        <v/>
      </c>
      <c r="K48" s="4" t="str">
        <f t="shared" si="1"/>
        <v/>
      </c>
      <c r="L48" s="4" t="str">
        <f t="shared" si="2"/>
        <v/>
      </c>
      <c r="M48" s="4" t="str">
        <f>IF($A48="","",IF(INDEX(tbl_plan[計画状態],ROW()-1)="キャンセル","キャンセル",IF(K48=0,"発送済",IF(L48&gt;0,"要搬出","OK"))))</f>
        <v/>
      </c>
    </row>
    <row r="49" spans="1:13" ht="15" x14ac:dyDescent="0.25">
      <c r="A49" s="4" t="str">
        <f>IFERROR(INDEX(tbl_plan[ロットID],ROW()-1),"")</f>
        <v/>
      </c>
      <c r="B49" s="4" t="str">
        <f>IF($A49="","",INDEX(tbl_plan[品番],ROW()-1))</f>
        <v/>
      </c>
      <c r="C49" s="5" t="str">
        <f>IF($A49="","",INDEX(tbl_plan[出荷週],ROW()-1))</f>
        <v/>
      </c>
      <c r="D49" s="4" t="str">
        <f>IF($A49="","",INDEX(tbl_plan[納期先],ROW()-1)&amp;"")</f>
        <v/>
      </c>
      <c r="E49" s="4" t="str">
        <f>IF($A49="","",INDEX(tbl_plan[必要数],ROW()-1))</f>
        <v/>
      </c>
      <c r="F49" s="4" t="str">
        <f>IF($A49="","",SUMIFS(tbl_plan[必要数],tbl_plan[ロットID],$A49,tbl_plan[計画状態],"有効"))</f>
        <v/>
      </c>
      <c r="G49" s="4" t="str">
        <f>IF($A49="","",SUMIFS(tbl_ledger[数量],tbl_ledger[ロットID],$A49,tbl_ledger[イベント種類],"発送"))</f>
        <v/>
      </c>
      <c r="H49" s="4" t="str">
        <f>IF($A49="","",SUMIFS(tbl_ledger[数量],tbl_ledger[ロットID],$A49,tbl_ledger[イベント種類],"搬入")+SUMIFS(tbl_ledger[数量],tbl_ledger[充当先ロットID],$A49,tbl_ledger[イベント種類],"充当")-SUMIFS(tbl_ledger[数量],tbl_ledger[ロットID],$A49,tbl_ledger[イベント種類],"充当")-SUMIFS(tbl_ledger[数量],tbl_ledger[ロットID],$A49,tbl_ledger[イベント種類],"発送")-SUMIFS(tbl_ledger[数量],tbl_ledger[ロットID],$A49,tbl_ledger[イベント種類],"倉庫A戻し")-SUMIFS(tbl_ledger[数量],tbl_ledger[ロットID],$A49,tbl_ledger[イベント種類],"余剰化")-SUMIFS(tbl_ledger[数量],tbl_ledger[ロットID],$A49,tbl_ledger[イベント種類],"不良発生"))</f>
        <v/>
      </c>
      <c r="I49" s="4" t="str">
        <f>IF($A49="","",SUMIFS(tbl_ledger[数量],tbl_ledger[品番],$B49,tbl_ledger[イベント種類],"余剰化")+SUMIFS(tbl_ledger[数量],tbl_ledger[品番],$B49,tbl_ledger[イベント種類],"搬入",tbl_ledger[ロットID],"=")-SUMIFS(tbl_ledger[数量],tbl_ledger[品番],$B49,tbl_ledger[イベント種類],"充当",tbl_ledger[ロットID],"=")-SUMIFS(tbl_ledger[数量],tbl_ledger[品番],$B49,tbl_ledger[イベント種類],"発送",tbl_ledger[ロットID],"=")-SUMIFS(tbl_ledger[数量],tbl_ledger[品番],$B49,tbl_ledger[イベント種類],"倉庫A戻し",tbl_ledger[ロットID],"=")-SUMIFS(tbl_ledger[数量],tbl_ledger[品番],$B49,tbl_ledger[イベント種類],"不良発生",tbl_ledger[ロットID],"="))</f>
        <v/>
      </c>
      <c r="J49" s="4" t="str">
        <f t="shared" si="0"/>
        <v/>
      </c>
      <c r="K49" s="4" t="str">
        <f t="shared" si="1"/>
        <v/>
      </c>
      <c r="L49" s="4" t="str">
        <f t="shared" si="2"/>
        <v/>
      </c>
      <c r="M49" s="4" t="str">
        <f>IF($A49="","",IF(INDEX(tbl_plan[計画状態],ROW()-1)="キャンセル","キャンセル",IF(K49=0,"発送済",IF(L49&gt;0,"要搬出","OK"))))</f>
        <v/>
      </c>
    </row>
    <row r="50" spans="1:13" ht="15" x14ac:dyDescent="0.25">
      <c r="A50" s="4" t="str">
        <f>IFERROR(INDEX(tbl_plan[ロットID],ROW()-1),"")</f>
        <v/>
      </c>
      <c r="B50" s="4" t="str">
        <f>IF($A50="","",INDEX(tbl_plan[品番],ROW()-1))</f>
        <v/>
      </c>
      <c r="C50" s="5" t="str">
        <f>IF($A50="","",INDEX(tbl_plan[出荷週],ROW()-1))</f>
        <v/>
      </c>
      <c r="D50" s="4" t="str">
        <f>IF($A50="","",INDEX(tbl_plan[納期先],ROW()-1)&amp;"")</f>
        <v/>
      </c>
      <c r="E50" s="4" t="str">
        <f>IF($A50="","",INDEX(tbl_plan[必要数],ROW()-1))</f>
        <v/>
      </c>
      <c r="F50" s="4" t="str">
        <f>IF($A50="","",SUMIFS(tbl_plan[必要数],tbl_plan[ロットID],$A50,tbl_plan[計画状態],"有効"))</f>
        <v/>
      </c>
      <c r="G50" s="4" t="str">
        <f>IF($A50="","",SUMIFS(tbl_ledger[数量],tbl_ledger[ロットID],$A50,tbl_ledger[イベント種類],"発送"))</f>
        <v/>
      </c>
      <c r="H50" s="4" t="str">
        <f>IF($A50="","",SUMIFS(tbl_ledger[数量],tbl_ledger[ロットID],$A50,tbl_ledger[イベント種類],"搬入")+SUMIFS(tbl_ledger[数量],tbl_ledger[充当先ロットID],$A50,tbl_ledger[イベント種類],"充当")-SUMIFS(tbl_ledger[数量],tbl_ledger[ロットID],$A50,tbl_ledger[イベント種類],"充当")-SUMIFS(tbl_ledger[数量],tbl_ledger[ロットID],$A50,tbl_ledger[イベント種類],"発送")-SUMIFS(tbl_ledger[数量],tbl_ledger[ロットID],$A50,tbl_ledger[イベント種類],"倉庫A戻し")-SUMIFS(tbl_ledger[数量],tbl_ledger[ロットID],$A50,tbl_ledger[イベント種類],"余剰化")-SUMIFS(tbl_ledger[数量],tbl_ledger[ロットID],$A50,tbl_ledger[イベント種類],"不良発生"))</f>
        <v/>
      </c>
      <c r="I50" s="4" t="str">
        <f>IF($A50="","",SUMIFS(tbl_ledger[数量],tbl_ledger[品番],$B50,tbl_ledger[イベント種類],"余剰化")+SUMIFS(tbl_ledger[数量],tbl_ledger[品番],$B50,tbl_ledger[イベント種類],"搬入",tbl_ledger[ロットID],"=")-SUMIFS(tbl_ledger[数量],tbl_ledger[品番],$B50,tbl_ledger[イベント種類],"充当",tbl_ledger[ロットID],"=")-SUMIFS(tbl_ledger[数量],tbl_ledger[品番],$B50,tbl_ledger[イベント種類],"発送",tbl_ledger[ロットID],"=")-SUMIFS(tbl_ledger[数量],tbl_ledger[品番],$B50,tbl_ledger[イベント種類],"倉庫A戻し",tbl_ledger[ロットID],"=")-SUMIFS(tbl_ledger[数量],tbl_ledger[品番],$B50,tbl_ledger[イベント種類],"不良発生",tbl_ledger[ロットID],"="))</f>
        <v/>
      </c>
      <c r="J50" s="4" t="str">
        <f t="shared" si="0"/>
        <v/>
      </c>
      <c r="K50" s="4" t="str">
        <f t="shared" si="1"/>
        <v/>
      </c>
      <c r="L50" s="4" t="str">
        <f t="shared" si="2"/>
        <v/>
      </c>
      <c r="M50" s="4" t="str">
        <f>IF($A50="","",IF(INDEX(tbl_plan[計画状態],ROW()-1)="キャンセル","キャンセル",IF(K50=0,"発送済",IF(L50&gt;0,"要搬出","OK"))))</f>
        <v/>
      </c>
    </row>
    <row r="51" spans="1:13" ht="15" x14ac:dyDescent="0.25">
      <c r="A51" s="4" t="str">
        <f>IFERROR(INDEX(tbl_plan[ロットID],ROW()-1),"")</f>
        <v/>
      </c>
      <c r="B51" s="4" t="str">
        <f>IF($A51="","",INDEX(tbl_plan[品番],ROW()-1))</f>
        <v/>
      </c>
      <c r="C51" s="5" t="str">
        <f>IF($A51="","",INDEX(tbl_plan[出荷週],ROW()-1))</f>
        <v/>
      </c>
      <c r="D51" s="4" t="str">
        <f>IF($A51="","",INDEX(tbl_plan[納期先],ROW()-1)&amp;"")</f>
        <v/>
      </c>
      <c r="E51" s="4" t="str">
        <f>IF($A51="","",INDEX(tbl_plan[必要数],ROW()-1))</f>
        <v/>
      </c>
      <c r="F51" s="4" t="str">
        <f>IF($A51="","",SUMIFS(tbl_plan[必要数],tbl_plan[ロットID],$A51,tbl_plan[計画状態],"有効"))</f>
        <v/>
      </c>
      <c r="G51" s="4" t="str">
        <f>IF($A51="","",SUMIFS(tbl_ledger[数量],tbl_ledger[ロットID],$A51,tbl_ledger[イベント種類],"発送"))</f>
        <v/>
      </c>
      <c r="H51" s="4" t="str">
        <f>IF($A51="","",SUMIFS(tbl_ledger[数量],tbl_ledger[ロットID],$A51,tbl_ledger[イベント種類],"搬入")+SUMIFS(tbl_ledger[数量],tbl_ledger[充当先ロットID],$A51,tbl_ledger[イベント種類],"充当")-SUMIFS(tbl_ledger[数量],tbl_ledger[ロットID],$A51,tbl_ledger[イベント種類],"充当")-SUMIFS(tbl_ledger[数量],tbl_ledger[ロットID],$A51,tbl_ledger[イベント種類],"発送")-SUMIFS(tbl_ledger[数量],tbl_ledger[ロットID],$A51,tbl_ledger[イベント種類],"倉庫A戻し")-SUMIFS(tbl_ledger[数量],tbl_ledger[ロットID],$A51,tbl_ledger[イベント種類],"余剰化")-SUMIFS(tbl_ledger[数量],tbl_ledger[ロットID],$A51,tbl_ledger[イベント種類],"不良発生"))</f>
        <v/>
      </c>
      <c r="I51" s="4" t="str">
        <f>IF($A51="","",SUMIFS(tbl_ledger[数量],tbl_ledger[品番],$B51,tbl_ledger[イベント種類],"余剰化")+SUMIFS(tbl_ledger[数量],tbl_ledger[品番],$B51,tbl_ledger[イベント種類],"搬入",tbl_ledger[ロットID],"=")-SUMIFS(tbl_ledger[数量],tbl_ledger[品番],$B51,tbl_ledger[イベント種類],"充当",tbl_ledger[ロットID],"=")-SUMIFS(tbl_ledger[数量],tbl_ledger[品番],$B51,tbl_ledger[イベント種類],"発送",tbl_ledger[ロットID],"=")-SUMIFS(tbl_ledger[数量],tbl_ledger[品番],$B51,tbl_ledger[イベント種類],"倉庫A戻し",tbl_ledger[ロットID],"=")-SUMIFS(tbl_ledger[数量],tbl_ledger[品番],$B51,tbl_ledger[イベント種類],"不良発生",tbl_ledger[ロットID],"="))</f>
        <v/>
      </c>
      <c r="J51" s="4" t="str">
        <f t="shared" si="0"/>
        <v/>
      </c>
      <c r="K51" s="4" t="str">
        <f t="shared" si="1"/>
        <v/>
      </c>
      <c r="L51" s="4" t="str">
        <f t="shared" si="2"/>
        <v/>
      </c>
      <c r="M51" s="4" t="str">
        <f>IF($A51="","",IF(INDEX(tbl_plan[計画状態],ROW()-1)="キャンセル","キャンセル",IF(K51=0,"発送済",IF(L51&gt;0,"要搬出","OK"))))</f>
        <v/>
      </c>
    </row>
    <row r="52" spans="1:13" ht="15" x14ac:dyDescent="0.25">
      <c r="A52" s="4" t="str">
        <f>IFERROR(INDEX(tbl_plan[ロットID],ROW()-1),"")</f>
        <v/>
      </c>
      <c r="B52" s="4" t="str">
        <f>IF($A52="","",INDEX(tbl_plan[品番],ROW()-1))</f>
        <v/>
      </c>
      <c r="C52" s="5" t="str">
        <f>IF($A52="","",INDEX(tbl_plan[出荷週],ROW()-1))</f>
        <v/>
      </c>
      <c r="D52" s="4" t="str">
        <f>IF($A52="","",INDEX(tbl_plan[納期先],ROW()-1)&amp;"")</f>
        <v/>
      </c>
      <c r="E52" s="4" t="str">
        <f>IF($A52="","",INDEX(tbl_plan[必要数],ROW()-1))</f>
        <v/>
      </c>
      <c r="F52" s="4" t="str">
        <f>IF($A52="","",SUMIFS(tbl_plan[必要数],tbl_plan[ロットID],$A52,tbl_plan[計画状態],"有効"))</f>
        <v/>
      </c>
      <c r="G52" s="4" t="str">
        <f>IF($A52="","",SUMIFS(tbl_ledger[数量],tbl_ledger[ロットID],$A52,tbl_ledger[イベント種類],"発送"))</f>
        <v/>
      </c>
      <c r="H52" s="4" t="str">
        <f>IF($A52="","",SUMIFS(tbl_ledger[数量],tbl_ledger[ロットID],$A52,tbl_ledger[イベント種類],"搬入")+SUMIFS(tbl_ledger[数量],tbl_ledger[充当先ロットID],$A52,tbl_ledger[イベント種類],"充当")-SUMIFS(tbl_ledger[数量],tbl_ledger[ロットID],$A52,tbl_ledger[イベント種類],"充当")-SUMIFS(tbl_ledger[数量],tbl_ledger[ロットID],$A52,tbl_ledger[イベント種類],"発送")-SUMIFS(tbl_ledger[数量],tbl_ledger[ロットID],$A52,tbl_ledger[イベント種類],"倉庫A戻し")-SUMIFS(tbl_ledger[数量],tbl_ledger[ロットID],$A52,tbl_ledger[イベント種類],"余剰化")-SUMIFS(tbl_ledger[数量],tbl_ledger[ロットID],$A52,tbl_ledger[イベント種類],"不良発生"))</f>
        <v/>
      </c>
      <c r="I52" s="4" t="str">
        <f>IF($A52="","",SUMIFS(tbl_ledger[数量],tbl_ledger[品番],$B52,tbl_ledger[イベント種類],"余剰化")+SUMIFS(tbl_ledger[数量],tbl_ledger[品番],$B52,tbl_ledger[イベント種類],"搬入",tbl_ledger[ロットID],"=")-SUMIFS(tbl_ledger[数量],tbl_ledger[品番],$B52,tbl_ledger[イベント種類],"充当",tbl_ledger[ロットID],"=")-SUMIFS(tbl_ledger[数量],tbl_ledger[品番],$B52,tbl_ledger[イベント種類],"発送",tbl_ledger[ロットID],"=")-SUMIFS(tbl_ledger[数量],tbl_ledger[品番],$B52,tbl_ledger[イベント種類],"倉庫A戻し",tbl_ledger[ロットID],"=")-SUMIFS(tbl_ledger[数量],tbl_ledger[品番],$B52,tbl_ledger[イベント種類],"不良発生",tbl_ledger[ロットID],"="))</f>
        <v/>
      </c>
      <c r="J52" s="4" t="str">
        <f t="shared" si="0"/>
        <v/>
      </c>
      <c r="K52" s="4" t="str">
        <f t="shared" si="1"/>
        <v/>
      </c>
      <c r="L52" s="4" t="str">
        <f t="shared" si="2"/>
        <v/>
      </c>
      <c r="M52" s="4" t="str">
        <f>IF($A52="","",IF(INDEX(tbl_plan[計画状態],ROW()-1)="キャンセル","キャンセル",IF(K52=0,"発送済",IF(L52&gt;0,"要搬出","OK"))))</f>
        <v/>
      </c>
    </row>
    <row r="53" spans="1:13" ht="15" x14ac:dyDescent="0.25">
      <c r="A53" s="4" t="str">
        <f>IFERROR(INDEX(tbl_plan[ロットID],ROW()-1),"")</f>
        <v/>
      </c>
      <c r="B53" s="4" t="str">
        <f>IF($A53="","",INDEX(tbl_plan[品番],ROW()-1))</f>
        <v/>
      </c>
      <c r="C53" s="5" t="str">
        <f>IF($A53="","",INDEX(tbl_plan[出荷週],ROW()-1))</f>
        <v/>
      </c>
      <c r="D53" s="4" t="str">
        <f>IF($A53="","",INDEX(tbl_plan[納期先],ROW()-1)&amp;"")</f>
        <v/>
      </c>
      <c r="E53" s="4" t="str">
        <f>IF($A53="","",INDEX(tbl_plan[必要数],ROW()-1))</f>
        <v/>
      </c>
      <c r="F53" s="4" t="str">
        <f>IF($A53="","",SUMIFS(tbl_plan[必要数],tbl_plan[ロットID],$A53,tbl_plan[計画状態],"有効"))</f>
        <v/>
      </c>
      <c r="G53" s="4" t="str">
        <f>IF($A53="","",SUMIFS(tbl_ledger[数量],tbl_ledger[ロットID],$A53,tbl_ledger[イベント種類],"発送"))</f>
        <v/>
      </c>
      <c r="H53" s="4" t="str">
        <f>IF($A53="","",SUMIFS(tbl_ledger[数量],tbl_ledger[ロットID],$A53,tbl_ledger[イベント種類],"搬入")+SUMIFS(tbl_ledger[数量],tbl_ledger[充当先ロットID],$A53,tbl_ledger[イベント種類],"充当")-SUMIFS(tbl_ledger[数量],tbl_ledger[ロットID],$A53,tbl_ledger[イベント種類],"充当")-SUMIFS(tbl_ledger[数量],tbl_ledger[ロットID],$A53,tbl_ledger[イベント種類],"発送")-SUMIFS(tbl_ledger[数量],tbl_ledger[ロットID],$A53,tbl_ledger[イベント種類],"倉庫A戻し")-SUMIFS(tbl_ledger[数量],tbl_ledger[ロットID],$A53,tbl_ledger[イベント種類],"余剰化")-SUMIFS(tbl_ledger[数量],tbl_ledger[ロットID],$A53,tbl_ledger[イベント種類],"不良発生"))</f>
        <v/>
      </c>
      <c r="I53" s="4" t="str">
        <f>IF($A53="","",SUMIFS(tbl_ledger[数量],tbl_ledger[品番],$B53,tbl_ledger[イベント種類],"余剰化")+SUMIFS(tbl_ledger[数量],tbl_ledger[品番],$B53,tbl_ledger[イベント種類],"搬入",tbl_ledger[ロットID],"=")-SUMIFS(tbl_ledger[数量],tbl_ledger[品番],$B53,tbl_ledger[イベント種類],"充当",tbl_ledger[ロットID],"=")-SUMIFS(tbl_ledger[数量],tbl_ledger[品番],$B53,tbl_ledger[イベント種類],"発送",tbl_ledger[ロットID],"=")-SUMIFS(tbl_ledger[数量],tbl_ledger[品番],$B53,tbl_ledger[イベント種類],"倉庫A戻し",tbl_ledger[ロットID],"=")-SUMIFS(tbl_ledger[数量],tbl_ledger[品番],$B53,tbl_ledger[イベント種類],"不良発生",tbl_ledger[ロットID],"="))</f>
        <v/>
      </c>
      <c r="J53" s="4" t="str">
        <f t="shared" si="0"/>
        <v/>
      </c>
      <c r="K53" s="4" t="str">
        <f t="shared" si="1"/>
        <v/>
      </c>
      <c r="L53" s="4" t="str">
        <f t="shared" si="2"/>
        <v/>
      </c>
      <c r="M53" s="4" t="str">
        <f>IF($A53="","",IF(INDEX(tbl_plan[計画状態],ROW()-1)="キャンセル","キャンセル",IF(K53=0,"発送済",IF(L53&gt;0,"要搬出","OK"))))</f>
        <v/>
      </c>
    </row>
    <row r="54" spans="1:13" ht="15" x14ac:dyDescent="0.25">
      <c r="A54" s="4" t="str">
        <f>IFERROR(INDEX(tbl_plan[ロットID],ROW()-1),"")</f>
        <v/>
      </c>
      <c r="B54" s="4" t="str">
        <f>IF($A54="","",INDEX(tbl_plan[品番],ROW()-1))</f>
        <v/>
      </c>
      <c r="C54" s="5" t="str">
        <f>IF($A54="","",INDEX(tbl_plan[出荷週],ROW()-1))</f>
        <v/>
      </c>
      <c r="D54" s="4" t="str">
        <f>IF($A54="","",INDEX(tbl_plan[納期先],ROW()-1)&amp;"")</f>
        <v/>
      </c>
      <c r="E54" s="4" t="str">
        <f>IF($A54="","",INDEX(tbl_plan[必要数],ROW()-1))</f>
        <v/>
      </c>
      <c r="F54" s="4" t="str">
        <f>IF($A54="","",SUMIFS(tbl_plan[必要数],tbl_plan[ロットID],$A54,tbl_plan[計画状態],"有効"))</f>
        <v/>
      </c>
      <c r="G54" s="4" t="str">
        <f>IF($A54="","",SUMIFS(tbl_ledger[数量],tbl_ledger[ロットID],$A54,tbl_ledger[イベント種類],"発送"))</f>
        <v/>
      </c>
      <c r="H54" s="4" t="str">
        <f>IF($A54="","",SUMIFS(tbl_ledger[数量],tbl_ledger[ロットID],$A54,tbl_ledger[イベント種類],"搬入")+SUMIFS(tbl_ledger[数量],tbl_ledger[充当先ロットID],$A54,tbl_ledger[イベント種類],"充当")-SUMIFS(tbl_ledger[数量],tbl_ledger[ロットID],$A54,tbl_ledger[イベント種類],"充当")-SUMIFS(tbl_ledger[数量],tbl_ledger[ロットID],$A54,tbl_ledger[イベント種類],"発送")-SUMIFS(tbl_ledger[数量],tbl_ledger[ロットID],$A54,tbl_ledger[イベント種類],"倉庫A戻し")-SUMIFS(tbl_ledger[数量],tbl_ledger[ロットID],$A54,tbl_ledger[イベント種類],"余剰化")-SUMIFS(tbl_ledger[数量],tbl_ledger[ロットID],$A54,tbl_ledger[イベント種類],"不良発生"))</f>
        <v/>
      </c>
      <c r="I54" s="4" t="str">
        <f>IF($A54="","",SUMIFS(tbl_ledger[数量],tbl_ledger[品番],$B54,tbl_ledger[イベント種類],"余剰化")+SUMIFS(tbl_ledger[数量],tbl_ledger[品番],$B54,tbl_ledger[イベント種類],"搬入",tbl_ledger[ロットID],"=")-SUMIFS(tbl_ledger[数量],tbl_ledger[品番],$B54,tbl_ledger[イベント種類],"充当",tbl_ledger[ロットID],"=")-SUMIFS(tbl_ledger[数量],tbl_ledger[品番],$B54,tbl_ledger[イベント種類],"発送",tbl_ledger[ロットID],"=")-SUMIFS(tbl_ledger[数量],tbl_ledger[品番],$B54,tbl_ledger[イベント種類],"倉庫A戻し",tbl_ledger[ロットID],"=")-SUMIFS(tbl_ledger[数量],tbl_ledger[品番],$B54,tbl_ledger[イベント種類],"不良発生",tbl_ledger[ロットID],"="))</f>
        <v/>
      </c>
      <c r="J54" s="4" t="str">
        <f t="shared" si="0"/>
        <v/>
      </c>
      <c r="K54" s="4" t="str">
        <f t="shared" si="1"/>
        <v/>
      </c>
      <c r="L54" s="4" t="str">
        <f t="shared" si="2"/>
        <v/>
      </c>
      <c r="M54" s="4" t="str">
        <f>IF($A54="","",IF(INDEX(tbl_plan[計画状態],ROW()-1)="キャンセル","キャンセル",IF(K54=0,"発送済",IF(L54&gt;0,"要搬出","OK"))))</f>
        <v/>
      </c>
    </row>
    <row r="55" spans="1:13" ht="15" x14ac:dyDescent="0.25">
      <c r="A55" s="4" t="str">
        <f>IFERROR(INDEX(tbl_plan[ロットID],ROW()-1),"")</f>
        <v/>
      </c>
      <c r="B55" s="4" t="str">
        <f>IF($A55="","",INDEX(tbl_plan[品番],ROW()-1))</f>
        <v/>
      </c>
      <c r="C55" s="5" t="str">
        <f>IF($A55="","",INDEX(tbl_plan[出荷週],ROW()-1))</f>
        <v/>
      </c>
      <c r="D55" s="4" t="str">
        <f>IF($A55="","",INDEX(tbl_plan[納期先],ROW()-1)&amp;"")</f>
        <v/>
      </c>
      <c r="E55" s="4" t="str">
        <f>IF($A55="","",INDEX(tbl_plan[必要数],ROW()-1))</f>
        <v/>
      </c>
      <c r="F55" s="4" t="str">
        <f>IF($A55="","",SUMIFS(tbl_plan[必要数],tbl_plan[ロットID],$A55,tbl_plan[計画状態],"有効"))</f>
        <v/>
      </c>
      <c r="G55" s="4" t="str">
        <f>IF($A55="","",SUMIFS(tbl_ledger[数量],tbl_ledger[ロットID],$A55,tbl_ledger[イベント種類],"発送"))</f>
        <v/>
      </c>
      <c r="H55" s="4" t="str">
        <f>IF($A55="","",SUMIFS(tbl_ledger[数量],tbl_ledger[ロットID],$A55,tbl_ledger[イベント種類],"搬入")+SUMIFS(tbl_ledger[数量],tbl_ledger[充当先ロットID],$A55,tbl_ledger[イベント種類],"充当")-SUMIFS(tbl_ledger[数量],tbl_ledger[ロットID],$A55,tbl_ledger[イベント種類],"充当")-SUMIFS(tbl_ledger[数量],tbl_ledger[ロットID],$A55,tbl_ledger[イベント種類],"発送")-SUMIFS(tbl_ledger[数量],tbl_ledger[ロットID],$A55,tbl_ledger[イベント種類],"倉庫A戻し")-SUMIFS(tbl_ledger[数量],tbl_ledger[ロットID],$A55,tbl_ledger[イベント種類],"余剰化")-SUMIFS(tbl_ledger[数量],tbl_ledger[ロットID],$A55,tbl_ledger[イベント種類],"不良発生"))</f>
        <v/>
      </c>
      <c r="I55" s="4" t="str">
        <f>IF($A55="","",SUMIFS(tbl_ledger[数量],tbl_ledger[品番],$B55,tbl_ledger[イベント種類],"余剰化")+SUMIFS(tbl_ledger[数量],tbl_ledger[品番],$B55,tbl_ledger[イベント種類],"搬入",tbl_ledger[ロットID],"=")-SUMIFS(tbl_ledger[数量],tbl_ledger[品番],$B55,tbl_ledger[イベント種類],"充当",tbl_ledger[ロットID],"=")-SUMIFS(tbl_ledger[数量],tbl_ledger[品番],$B55,tbl_ledger[イベント種類],"発送",tbl_ledger[ロットID],"=")-SUMIFS(tbl_ledger[数量],tbl_ledger[品番],$B55,tbl_ledger[イベント種類],"倉庫A戻し",tbl_ledger[ロットID],"=")-SUMIFS(tbl_ledger[数量],tbl_ledger[品番],$B55,tbl_ledger[イベント種類],"不良発生",tbl_ledger[ロットID],"="))</f>
        <v/>
      </c>
      <c r="J55" s="4" t="str">
        <f t="shared" si="0"/>
        <v/>
      </c>
      <c r="K55" s="4" t="str">
        <f t="shared" si="1"/>
        <v/>
      </c>
      <c r="L55" s="4" t="str">
        <f t="shared" si="2"/>
        <v/>
      </c>
      <c r="M55" s="4" t="str">
        <f>IF($A55="","",IF(INDEX(tbl_plan[計画状態],ROW()-1)="キャンセル","キャンセル",IF(K55=0,"発送済",IF(L55&gt;0,"要搬出","OK"))))</f>
        <v/>
      </c>
    </row>
    <row r="56" spans="1:13" ht="15" x14ac:dyDescent="0.25">
      <c r="A56" s="4" t="str">
        <f>IFERROR(INDEX(tbl_plan[ロットID],ROW()-1),"")</f>
        <v/>
      </c>
      <c r="B56" s="4" t="str">
        <f>IF($A56="","",INDEX(tbl_plan[品番],ROW()-1))</f>
        <v/>
      </c>
      <c r="C56" s="5" t="str">
        <f>IF($A56="","",INDEX(tbl_plan[出荷週],ROW()-1))</f>
        <v/>
      </c>
      <c r="D56" s="4" t="str">
        <f>IF($A56="","",INDEX(tbl_plan[納期先],ROW()-1)&amp;"")</f>
        <v/>
      </c>
      <c r="E56" s="4" t="str">
        <f>IF($A56="","",INDEX(tbl_plan[必要数],ROW()-1))</f>
        <v/>
      </c>
      <c r="F56" s="4" t="str">
        <f>IF($A56="","",SUMIFS(tbl_plan[必要数],tbl_plan[ロットID],$A56,tbl_plan[計画状態],"有効"))</f>
        <v/>
      </c>
      <c r="G56" s="4" t="str">
        <f>IF($A56="","",SUMIFS(tbl_ledger[数量],tbl_ledger[ロットID],$A56,tbl_ledger[イベント種類],"発送"))</f>
        <v/>
      </c>
      <c r="H56" s="4" t="str">
        <f>IF($A56="","",SUMIFS(tbl_ledger[数量],tbl_ledger[ロットID],$A56,tbl_ledger[イベント種類],"搬入")+SUMIFS(tbl_ledger[数量],tbl_ledger[充当先ロットID],$A56,tbl_ledger[イベント種類],"充当")-SUMIFS(tbl_ledger[数量],tbl_ledger[ロットID],$A56,tbl_ledger[イベント種類],"充当")-SUMIFS(tbl_ledger[数量],tbl_ledger[ロットID],$A56,tbl_ledger[イベント種類],"発送")-SUMIFS(tbl_ledger[数量],tbl_ledger[ロットID],$A56,tbl_ledger[イベント種類],"倉庫A戻し")-SUMIFS(tbl_ledger[数量],tbl_ledger[ロットID],$A56,tbl_ledger[イベント種類],"余剰化")-SUMIFS(tbl_ledger[数量],tbl_ledger[ロットID],$A56,tbl_ledger[イベント種類],"不良発生"))</f>
        <v/>
      </c>
      <c r="I56" s="4" t="str">
        <f>IF($A56="","",SUMIFS(tbl_ledger[数量],tbl_ledger[品番],$B56,tbl_ledger[イベント種類],"余剰化")+SUMIFS(tbl_ledger[数量],tbl_ledger[品番],$B56,tbl_ledger[イベント種類],"搬入",tbl_ledger[ロットID],"=")-SUMIFS(tbl_ledger[数量],tbl_ledger[品番],$B56,tbl_ledger[イベント種類],"充当",tbl_ledger[ロットID],"=")-SUMIFS(tbl_ledger[数量],tbl_ledger[品番],$B56,tbl_ledger[イベント種類],"発送",tbl_ledger[ロットID],"=")-SUMIFS(tbl_ledger[数量],tbl_ledger[品番],$B56,tbl_ledger[イベント種類],"倉庫A戻し",tbl_ledger[ロットID],"=")-SUMIFS(tbl_ledger[数量],tbl_ledger[品番],$B56,tbl_ledger[イベント種類],"不良発生",tbl_ledger[ロットID],"="))</f>
        <v/>
      </c>
      <c r="J56" s="4" t="str">
        <f t="shared" si="0"/>
        <v/>
      </c>
      <c r="K56" s="4" t="str">
        <f t="shared" si="1"/>
        <v/>
      </c>
      <c r="L56" s="4" t="str">
        <f t="shared" si="2"/>
        <v/>
      </c>
      <c r="M56" s="4" t="str">
        <f>IF($A56="","",IF(INDEX(tbl_plan[計画状態],ROW()-1)="キャンセル","キャンセル",IF(K56=0,"発送済",IF(L56&gt;0,"要搬出","OK"))))</f>
        <v/>
      </c>
    </row>
    <row r="57" spans="1:13" ht="15" x14ac:dyDescent="0.25">
      <c r="A57" s="4" t="str">
        <f>IFERROR(INDEX(tbl_plan[ロットID],ROW()-1),"")</f>
        <v/>
      </c>
      <c r="B57" s="4" t="str">
        <f>IF($A57="","",INDEX(tbl_plan[品番],ROW()-1))</f>
        <v/>
      </c>
      <c r="C57" s="5" t="str">
        <f>IF($A57="","",INDEX(tbl_plan[出荷週],ROW()-1))</f>
        <v/>
      </c>
      <c r="D57" s="4" t="str">
        <f>IF($A57="","",INDEX(tbl_plan[納期先],ROW()-1)&amp;"")</f>
        <v/>
      </c>
      <c r="E57" s="4" t="str">
        <f>IF($A57="","",INDEX(tbl_plan[必要数],ROW()-1))</f>
        <v/>
      </c>
      <c r="F57" s="4" t="str">
        <f>IF($A57="","",SUMIFS(tbl_plan[必要数],tbl_plan[ロットID],$A57,tbl_plan[計画状態],"有効"))</f>
        <v/>
      </c>
      <c r="G57" s="4" t="str">
        <f>IF($A57="","",SUMIFS(tbl_ledger[数量],tbl_ledger[ロットID],$A57,tbl_ledger[イベント種類],"発送"))</f>
        <v/>
      </c>
      <c r="H57" s="4" t="str">
        <f>IF($A57="","",SUMIFS(tbl_ledger[数量],tbl_ledger[ロットID],$A57,tbl_ledger[イベント種類],"搬入")+SUMIFS(tbl_ledger[数量],tbl_ledger[充当先ロットID],$A57,tbl_ledger[イベント種類],"充当")-SUMIFS(tbl_ledger[数量],tbl_ledger[ロットID],$A57,tbl_ledger[イベント種類],"充当")-SUMIFS(tbl_ledger[数量],tbl_ledger[ロットID],$A57,tbl_ledger[イベント種類],"発送")-SUMIFS(tbl_ledger[数量],tbl_ledger[ロットID],$A57,tbl_ledger[イベント種類],"倉庫A戻し")-SUMIFS(tbl_ledger[数量],tbl_ledger[ロットID],$A57,tbl_ledger[イベント種類],"余剰化")-SUMIFS(tbl_ledger[数量],tbl_ledger[ロットID],$A57,tbl_ledger[イベント種類],"不良発生"))</f>
        <v/>
      </c>
      <c r="I57" s="4" t="str">
        <f>IF($A57="","",SUMIFS(tbl_ledger[数量],tbl_ledger[品番],$B57,tbl_ledger[イベント種類],"余剰化")+SUMIFS(tbl_ledger[数量],tbl_ledger[品番],$B57,tbl_ledger[イベント種類],"搬入",tbl_ledger[ロットID],"=")-SUMIFS(tbl_ledger[数量],tbl_ledger[品番],$B57,tbl_ledger[イベント種類],"充当",tbl_ledger[ロットID],"=")-SUMIFS(tbl_ledger[数量],tbl_ledger[品番],$B57,tbl_ledger[イベント種類],"発送",tbl_ledger[ロットID],"=")-SUMIFS(tbl_ledger[数量],tbl_ledger[品番],$B57,tbl_ledger[イベント種類],"倉庫A戻し",tbl_ledger[ロットID],"=")-SUMIFS(tbl_ledger[数量],tbl_ledger[品番],$B57,tbl_ledger[イベント種類],"不良発生",tbl_ledger[ロットID],"="))</f>
        <v/>
      </c>
      <c r="J57" s="4" t="str">
        <f t="shared" si="0"/>
        <v/>
      </c>
      <c r="K57" s="4" t="str">
        <f t="shared" si="1"/>
        <v/>
      </c>
      <c r="L57" s="4" t="str">
        <f t="shared" si="2"/>
        <v/>
      </c>
      <c r="M57" s="4" t="str">
        <f>IF($A57="","",IF(INDEX(tbl_plan[計画状態],ROW()-1)="キャンセル","キャンセル",IF(K57=0,"発送済",IF(L57&gt;0,"要搬出","OK"))))</f>
        <v/>
      </c>
    </row>
    <row r="58" spans="1:13" ht="15" x14ac:dyDescent="0.25">
      <c r="A58" s="4" t="str">
        <f>IFERROR(INDEX(tbl_plan[ロットID],ROW()-1),"")</f>
        <v/>
      </c>
      <c r="B58" s="4" t="str">
        <f>IF($A58="","",INDEX(tbl_plan[品番],ROW()-1))</f>
        <v/>
      </c>
      <c r="C58" s="5" t="str">
        <f>IF($A58="","",INDEX(tbl_plan[出荷週],ROW()-1))</f>
        <v/>
      </c>
      <c r="D58" s="4" t="str">
        <f>IF($A58="","",INDEX(tbl_plan[納期先],ROW()-1)&amp;"")</f>
        <v/>
      </c>
      <c r="E58" s="4" t="str">
        <f>IF($A58="","",INDEX(tbl_plan[必要数],ROW()-1))</f>
        <v/>
      </c>
      <c r="F58" s="4" t="str">
        <f>IF($A58="","",SUMIFS(tbl_plan[必要数],tbl_plan[ロットID],$A58,tbl_plan[計画状態],"有効"))</f>
        <v/>
      </c>
      <c r="G58" s="4" t="str">
        <f>IF($A58="","",SUMIFS(tbl_ledger[数量],tbl_ledger[ロットID],$A58,tbl_ledger[イベント種類],"発送"))</f>
        <v/>
      </c>
      <c r="H58" s="4" t="str">
        <f>IF($A58="","",SUMIFS(tbl_ledger[数量],tbl_ledger[ロットID],$A58,tbl_ledger[イベント種類],"搬入")+SUMIFS(tbl_ledger[数量],tbl_ledger[充当先ロットID],$A58,tbl_ledger[イベント種類],"充当")-SUMIFS(tbl_ledger[数量],tbl_ledger[ロットID],$A58,tbl_ledger[イベント種類],"充当")-SUMIFS(tbl_ledger[数量],tbl_ledger[ロットID],$A58,tbl_ledger[イベント種類],"発送")-SUMIFS(tbl_ledger[数量],tbl_ledger[ロットID],$A58,tbl_ledger[イベント種類],"倉庫A戻し")-SUMIFS(tbl_ledger[数量],tbl_ledger[ロットID],$A58,tbl_ledger[イベント種類],"余剰化")-SUMIFS(tbl_ledger[数量],tbl_ledger[ロットID],$A58,tbl_ledger[イベント種類],"不良発生"))</f>
        <v/>
      </c>
      <c r="I58" s="4" t="str">
        <f>IF($A58="","",SUMIFS(tbl_ledger[数量],tbl_ledger[品番],$B58,tbl_ledger[イベント種類],"余剰化")+SUMIFS(tbl_ledger[数量],tbl_ledger[品番],$B58,tbl_ledger[イベント種類],"搬入",tbl_ledger[ロットID],"=")-SUMIFS(tbl_ledger[数量],tbl_ledger[品番],$B58,tbl_ledger[イベント種類],"充当",tbl_ledger[ロットID],"=")-SUMIFS(tbl_ledger[数量],tbl_ledger[品番],$B58,tbl_ledger[イベント種類],"発送",tbl_ledger[ロットID],"=")-SUMIFS(tbl_ledger[数量],tbl_ledger[品番],$B58,tbl_ledger[イベント種類],"倉庫A戻し",tbl_ledger[ロットID],"=")-SUMIFS(tbl_ledger[数量],tbl_ledger[品番],$B58,tbl_ledger[イベント種類],"不良発生",tbl_ledger[ロットID],"="))</f>
        <v/>
      </c>
      <c r="J58" s="4" t="str">
        <f t="shared" si="0"/>
        <v/>
      </c>
      <c r="K58" s="4" t="str">
        <f t="shared" si="1"/>
        <v/>
      </c>
      <c r="L58" s="4" t="str">
        <f t="shared" si="2"/>
        <v/>
      </c>
      <c r="M58" s="4" t="str">
        <f>IF($A58="","",IF(INDEX(tbl_plan[計画状態],ROW()-1)="キャンセル","キャンセル",IF(K58=0,"発送済",IF(L58&gt;0,"要搬出","OK"))))</f>
        <v/>
      </c>
    </row>
    <row r="59" spans="1:13" ht="15" x14ac:dyDescent="0.25">
      <c r="A59" s="4" t="str">
        <f>IFERROR(INDEX(tbl_plan[ロットID],ROW()-1),"")</f>
        <v/>
      </c>
      <c r="B59" s="4" t="str">
        <f>IF($A59="","",INDEX(tbl_plan[品番],ROW()-1))</f>
        <v/>
      </c>
      <c r="C59" s="5" t="str">
        <f>IF($A59="","",INDEX(tbl_plan[出荷週],ROW()-1))</f>
        <v/>
      </c>
      <c r="D59" s="4" t="str">
        <f>IF($A59="","",INDEX(tbl_plan[納期先],ROW()-1)&amp;"")</f>
        <v/>
      </c>
      <c r="E59" s="4" t="str">
        <f>IF($A59="","",INDEX(tbl_plan[必要数],ROW()-1))</f>
        <v/>
      </c>
      <c r="F59" s="4" t="str">
        <f>IF($A59="","",SUMIFS(tbl_plan[必要数],tbl_plan[ロットID],$A59,tbl_plan[計画状態],"有効"))</f>
        <v/>
      </c>
      <c r="G59" s="4" t="str">
        <f>IF($A59="","",SUMIFS(tbl_ledger[数量],tbl_ledger[ロットID],$A59,tbl_ledger[イベント種類],"発送"))</f>
        <v/>
      </c>
      <c r="H59" s="4" t="str">
        <f>IF($A59="","",SUMIFS(tbl_ledger[数量],tbl_ledger[ロットID],$A59,tbl_ledger[イベント種類],"搬入")+SUMIFS(tbl_ledger[数量],tbl_ledger[充当先ロットID],$A59,tbl_ledger[イベント種類],"充当")-SUMIFS(tbl_ledger[数量],tbl_ledger[ロットID],$A59,tbl_ledger[イベント種類],"充当")-SUMIFS(tbl_ledger[数量],tbl_ledger[ロットID],$A59,tbl_ledger[イベント種類],"発送")-SUMIFS(tbl_ledger[数量],tbl_ledger[ロットID],$A59,tbl_ledger[イベント種類],"倉庫A戻し")-SUMIFS(tbl_ledger[数量],tbl_ledger[ロットID],$A59,tbl_ledger[イベント種類],"余剰化")-SUMIFS(tbl_ledger[数量],tbl_ledger[ロットID],$A59,tbl_ledger[イベント種類],"不良発生"))</f>
        <v/>
      </c>
      <c r="I59" s="4" t="str">
        <f>IF($A59="","",SUMIFS(tbl_ledger[数量],tbl_ledger[品番],$B59,tbl_ledger[イベント種類],"余剰化")+SUMIFS(tbl_ledger[数量],tbl_ledger[品番],$B59,tbl_ledger[イベント種類],"搬入",tbl_ledger[ロットID],"=")-SUMIFS(tbl_ledger[数量],tbl_ledger[品番],$B59,tbl_ledger[イベント種類],"充当",tbl_ledger[ロットID],"=")-SUMIFS(tbl_ledger[数量],tbl_ledger[品番],$B59,tbl_ledger[イベント種類],"発送",tbl_ledger[ロットID],"=")-SUMIFS(tbl_ledger[数量],tbl_ledger[品番],$B59,tbl_ledger[イベント種類],"倉庫A戻し",tbl_ledger[ロットID],"=")-SUMIFS(tbl_ledger[数量],tbl_ledger[品番],$B59,tbl_ledger[イベント種類],"不良発生",tbl_ledger[ロットID],"="))</f>
        <v/>
      </c>
      <c r="J59" s="4" t="str">
        <f t="shared" si="0"/>
        <v/>
      </c>
      <c r="K59" s="4" t="str">
        <f t="shared" si="1"/>
        <v/>
      </c>
      <c r="L59" s="4" t="str">
        <f t="shared" si="2"/>
        <v/>
      </c>
      <c r="M59" s="4" t="str">
        <f>IF($A59="","",IF(INDEX(tbl_plan[計画状態],ROW()-1)="キャンセル","キャンセル",IF(K59=0,"発送済",IF(L59&gt;0,"要搬出","OK"))))</f>
        <v/>
      </c>
    </row>
    <row r="60" spans="1:13" ht="15" x14ac:dyDescent="0.25">
      <c r="A60" s="4" t="str">
        <f>IFERROR(INDEX(tbl_plan[ロットID],ROW()-1),"")</f>
        <v/>
      </c>
      <c r="B60" s="4" t="str">
        <f>IF($A60="","",INDEX(tbl_plan[品番],ROW()-1))</f>
        <v/>
      </c>
      <c r="C60" s="5" t="str">
        <f>IF($A60="","",INDEX(tbl_plan[出荷週],ROW()-1))</f>
        <v/>
      </c>
      <c r="D60" s="4" t="str">
        <f>IF($A60="","",INDEX(tbl_plan[納期先],ROW()-1)&amp;"")</f>
        <v/>
      </c>
      <c r="E60" s="4" t="str">
        <f>IF($A60="","",INDEX(tbl_plan[必要数],ROW()-1))</f>
        <v/>
      </c>
      <c r="F60" s="4" t="str">
        <f>IF($A60="","",SUMIFS(tbl_plan[必要数],tbl_plan[ロットID],$A60,tbl_plan[計画状態],"有効"))</f>
        <v/>
      </c>
      <c r="G60" s="4" t="str">
        <f>IF($A60="","",SUMIFS(tbl_ledger[数量],tbl_ledger[ロットID],$A60,tbl_ledger[イベント種類],"発送"))</f>
        <v/>
      </c>
      <c r="H60" s="4" t="str">
        <f>IF($A60="","",SUMIFS(tbl_ledger[数量],tbl_ledger[ロットID],$A60,tbl_ledger[イベント種類],"搬入")+SUMIFS(tbl_ledger[数量],tbl_ledger[充当先ロットID],$A60,tbl_ledger[イベント種類],"充当")-SUMIFS(tbl_ledger[数量],tbl_ledger[ロットID],$A60,tbl_ledger[イベント種類],"充当")-SUMIFS(tbl_ledger[数量],tbl_ledger[ロットID],$A60,tbl_ledger[イベント種類],"発送")-SUMIFS(tbl_ledger[数量],tbl_ledger[ロットID],$A60,tbl_ledger[イベント種類],"倉庫A戻し")-SUMIFS(tbl_ledger[数量],tbl_ledger[ロットID],$A60,tbl_ledger[イベント種類],"余剰化")-SUMIFS(tbl_ledger[数量],tbl_ledger[ロットID],$A60,tbl_ledger[イベント種類],"不良発生"))</f>
        <v/>
      </c>
      <c r="I60" s="4" t="str">
        <f>IF($A60="","",SUMIFS(tbl_ledger[数量],tbl_ledger[品番],$B60,tbl_ledger[イベント種類],"余剰化")+SUMIFS(tbl_ledger[数量],tbl_ledger[品番],$B60,tbl_ledger[イベント種類],"搬入",tbl_ledger[ロットID],"=")-SUMIFS(tbl_ledger[数量],tbl_ledger[品番],$B60,tbl_ledger[イベント種類],"充当",tbl_ledger[ロットID],"=")-SUMIFS(tbl_ledger[数量],tbl_ledger[品番],$B60,tbl_ledger[イベント種類],"発送",tbl_ledger[ロットID],"=")-SUMIFS(tbl_ledger[数量],tbl_ledger[品番],$B60,tbl_ledger[イベント種類],"倉庫A戻し",tbl_ledger[ロットID],"=")-SUMIFS(tbl_ledger[数量],tbl_ledger[品番],$B60,tbl_ledger[イベント種類],"不良発生",tbl_ledger[ロットID],"="))</f>
        <v/>
      </c>
      <c r="J60" s="4" t="str">
        <f t="shared" si="0"/>
        <v/>
      </c>
      <c r="K60" s="4" t="str">
        <f t="shared" si="1"/>
        <v/>
      </c>
      <c r="L60" s="4" t="str">
        <f t="shared" si="2"/>
        <v/>
      </c>
      <c r="M60" s="4" t="str">
        <f>IF($A60="","",IF(INDEX(tbl_plan[計画状態],ROW()-1)="キャンセル","キャンセル",IF(K60=0,"発送済",IF(L60&gt;0,"要搬出","OK"))))</f>
        <v/>
      </c>
    </row>
    <row r="61" spans="1:13" ht="15" x14ac:dyDescent="0.25">
      <c r="A61" s="4" t="str">
        <f>IFERROR(INDEX(tbl_plan[ロットID],ROW()-1),"")</f>
        <v/>
      </c>
      <c r="B61" s="4" t="str">
        <f>IF($A61="","",INDEX(tbl_plan[品番],ROW()-1))</f>
        <v/>
      </c>
      <c r="C61" s="5" t="str">
        <f>IF($A61="","",INDEX(tbl_plan[出荷週],ROW()-1))</f>
        <v/>
      </c>
      <c r="D61" s="4" t="str">
        <f>IF($A61="","",INDEX(tbl_plan[納期先],ROW()-1)&amp;"")</f>
        <v/>
      </c>
      <c r="E61" s="4" t="str">
        <f>IF($A61="","",INDEX(tbl_plan[必要数],ROW()-1))</f>
        <v/>
      </c>
      <c r="F61" s="4" t="str">
        <f>IF($A61="","",SUMIFS(tbl_plan[必要数],tbl_plan[ロットID],$A61,tbl_plan[計画状態],"有効"))</f>
        <v/>
      </c>
      <c r="G61" s="4" t="str">
        <f>IF($A61="","",SUMIFS(tbl_ledger[数量],tbl_ledger[ロットID],$A61,tbl_ledger[イベント種類],"発送"))</f>
        <v/>
      </c>
      <c r="H61" s="4" t="str">
        <f>IF($A61="","",SUMIFS(tbl_ledger[数量],tbl_ledger[ロットID],$A61,tbl_ledger[イベント種類],"搬入")+SUMIFS(tbl_ledger[数量],tbl_ledger[充当先ロットID],$A61,tbl_ledger[イベント種類],"充当")-SUMIFS(tbl_ledger[数量],tbl_ledger[ロットID],$A61,tbl_ledger[イベント種類],"充当")-SUMIFS(tbl_ledger[数量],tbl_ledger[ロットID],$A61,tbl_ledger[イベント種類],"発送")-SUMIFS(tbl_ledger[数量],tbl_ledger[ロットID],$A61,tbl_ledger[イベント種類],"倉庫A戻し")-SUMIFS(tbl_ledger[数量],tbl_ledger[ロットID],$A61,tbl_ledger[イベント種類],"余剰化")-SUMIFS(tbl_ledger[数量],tbl_ledger[ロットID],$A61,tbl_ledger[イベント種類],"不良発生"))</f>
        <v/>
      </c>
      <c r="I61" s="4" t="str">
        <f>IF($A61="","",SUMIFS(tbl_ledger[数量],tbl_ledger[品番],$B61,tbl_ledger[イベント種類],"余剰化")+SUMIFS(tbl_ledger[数量],tbl_ledger[品番],$B61,tbl_ledger[イベント種類],"搬入",tbl_ledger[ロットID],"=")-SUMIFS(tbl_ledger[数量],tbl_ledger[品番],$B61,tbl_ledger[イベント種類],"充当",tbl_ledger[ロットID],"=")-SUMIFS(tbl_ledger[数量],tbl_ledger[品番],$B61,tbl_ledger[イベント種類],"発送",tbl_ledger[ロットID],"=")-SUMIFS(tbl_ledger[数量],tbl_ledger[品番],$B61,tbl_ledger[イベント種類],"倉庫A戻し",tbl_ledger[ロットID],"=")-SUMIFS(tbl_ledger[数量],tbl_ledger[品番],$B61,tbl_ledger[イベント種類],"不良発生",tbl_ledger[ロットID],"="))</f>
        <v/>
      </c>
      <c r="J61" s="4" t="str">
        <f t="shared" si="0"/>
        <v/>
      </c>
      <c r="K61" s="4" t="str">
        <f t="shared" si="1"/>
        <v/>
      </c>
      <c r="L61" s="4" t="str">
        <f t="shared" si="2"/>
        <v/>
      </c>
      <c r="M61" s="4" t="str">
        <f>IF($A61="","",IF(INDEX(tbl_plan[計画状態],ROW()-1)="キャンセル","キャンセル",IF(K61=0,"発送済",IF(L61&gt;0,"要搬出","OK"))))</f>
        <v/>
      </c>
    </row>
    <row r="62" spans="1:13" ht="15" x14ac:dyDescent="0.25">
      <c r="A62" s="4" t="str">
        <f>IFERROR(INDEX(tbl_plan[ロットID],ROW()-1),"")</f>
        <v/>
      </c>
      <c r="B62" s="4" t="str">
        <f>IF($A62="","",INDEX(tbl_plan[品番],ROW()-1))</f>
        <v/>
      </c>
      <c r="C62" s="5" t="str">
        <f>IF($A62="","",INDEX(tbl_plan[出荷週],ROW()-1))</f>
        <v/>
      </c>
      <c r="D62" s="4" t="str">
        <f>IF($A62="","",INDEX(tbl_plan[納期先],ROW()-1)&amp;"")</f>
        <v/>
      </c>
      <c r="E62" s="4" t="str">
        <f>IF($A62="","",INDEX(tbl_plan[必要数],ROW()-1))</f>
        <v/>
      </c>
      <c r="F62" s="4" t="str">
        <f>IF($A62="","",SUMIFS(tbl_plan[必要数],tbl_plan[ロットID],$A62,tbl_plan[計画状態],"有効"))</f>
        <v/>
      </c>
      <c r="G62" s="4" t="str">
        <f>IF($A62="","",SUMIFS(tbl_ledger[数量],tbl_ledger[ロットID],$A62,tbl_ledger[イベント種類],"発送"))</f>
        <v/>
      </c>
      <c r="H62" s="4" t="str">
        <f>IF($A62="","",SUMIFS(tbl_ledger[数量],tbl_ledger[ロットID],$A62,tbl_ledger[イベント種類],"搬入")+SUMIFS(tbl_ledger[数量],tbl_ledger[充当先ロットID],$A62,tbl_ledger[イベント種類],"充当")-SUMIFS(tbl_ledger[数量],tbl_ledger[ロットID],$A62,tbl_ledger[イベント種類],"充当")-SUMIFS(tbl_ledger[数量],tbl_ledger[ロットID],$A62,tbl_ledger[イベント種類],"発送")-SUMIFS(tbl_ledger[数量],tbl_ledger[ロットID],$A62,tbl_ledger[イベント種類],"倉庫A戻し")-SUMIFS(tbl_ledger[数量],tbl_ledger[ロットID],$A62,tbl_ledger[イベント種類],"余剰化")-SUMIFS(tbl_ledger[数量],tbl_ledger[ロットID],$A62,tbl_ledger[イベント種類],"不良発生"))</f>
        <v/>
      </c>
      <c r="I62" s="4" t="str">
        <f>IF($A62="","",SUMIFS(tbl_ledger[数量],tbl_ledger[品番],$B62,tbl_ledger[イベント種類],"余剰化")+SUMIFS(tbl_ledger[数量],tbl_ledger[品番],$B62,tbl_ledger[イベント種類],"搬入",tbl_ledger[ロットID],"=")-SUMIFS(tbl_ledger[数量],tbl_ledger[品番],$B62,tbl_ledger[イベント種類],"充当",tbl_ledger[ロットID],"=")-SUMIFS(tbl_ledger[数量],tbl_ledger[品番],$B62,tbl_ledger[イベント種類],"発送",tbl_ledger[ロットID],"=")-SUMIFS(tbl_ledger[数量],tbl_ledger[品番],$B62,tbl_ledger[イベント種類],"倉庫A戻し",tbl_ledger[ロットID],"=")-SUMIFS(tbl_ledger[数量],tbl_ledger[品番],$B62,tbl_ledger[イベント種類],"不良発生",tbl_ledger[ロットID],"="))</f>
        <v/>
      </c>
      <c r="J62" s="4" t="str">
        <f t="shared" si="0"/>
        <v/>
      </c>
      <c r="K62" s="4" t="str">
        <f t="shared" si="1"/>
        <v/>
      </c>
      <c r="L62" s="4" t="str">
        <f t="shared" si="2"/>
        <v/>
      </c>
      <c r="M62" s="4" t="str">
        <f>IF($A62="","",IF(INDEX(tbl_plan[計画状態],ROW()-1)="キャンセル","キャンセル",IF(K62=0,"発送済",IF(L62&gt;0,"要搬出","OK"))))</f>
        <v/>
      </c>
    </row>
    <row r="63" spans="1:13" ht="15" x14ac:dyDescent="0.25">
      <c r="A63" s="4" t="str">
        <f>IFERROR(INDEX(tbl_plan[ロットID],ROW()-1),"")</f>
        <v/>
      </c>
      <c r="B63" s="4" t="str">
        <f>IF($A63="","",INDEX(tbl_plan[品番],ROW()-1))</f>
        <v/>
      </c>
      <c r="C63" s="5" t="str">
        <f>IF($A63="","",INDEX(tbl_plan[出荷週],ROW()-1))</f>
        <v/>
      </c>
      <c r="D63" s="4" t="str">
        <f>IF($A63="","",INDEX(tbl_plan[納期先],ROW()-1)&amp;"")</f>
        <v/>
      </c>
      <c r="E63" s="4" t="str">
        <f>IF($A63="","",INDEX(tbl_plan[必要数],ROW()-1))</f>
        <v/>
      </c>
      <c r="F63" s="4" t="str">
        <f>IF($A63="","",SUMIFS(tbl_plan[必要数],tbl_plan[ロットID],$A63,tbl_plan[計画状態],"有効"))</f>
        <v/>
      </c>
      <c r="G63" s="4" t="str">
        <f>IF($A63="","",SUMIFS(tbl_ledger[数量],tbl_ledger[ロットID],$A63,tbl_ledger[イベント種類],"発送"))</f>
        <v/>
      </c>
      <c r="H63" s="4" t="str">
        <f>IF($A63="","",SUMIFS(tbl_ledger[数量],tbl_ledger[ロットID],$A63,tbl_ledger[イベント種類],"搬入")+SUMIFS(tbl_ledger[数量],tbl_ledger[充当先ロットID],$A63,tbl_ledger[イベント種類],"充当")-SUMIFS(tbl_ledger[数量],tbl_ledger[ロットID],$A63,tbl_ledger[イベント種類],"充当")-SUMIFS(tbl_ledger[数量],tbl_ledger[ロットID],$A63,tbl_ledger[イベント種類],"発送")-SUMIFS(tbl_ledger[数量],tbl_ledger[ロットID],$A63,tbl_ledger[イベント種類],"倉庫A戻し")-SUMIFS(tbl_ledger[数量],tbl_ledger[ロットID],$A63,tbl_ledger[イベント種類],"余剰化")-SUMIFS(tbl_ledger[数量],tbl_ledger[ロットID],$A63,tbl_ledger[イベント種類],"不良発生"))</f>
        <v/>
      </c>
      <c r="I63" s="4" t="str">
        <f>IF($A63="","",SUMIFS(tbl_ledger[数量],tbl_ledger[品番],$B63,tbl_ledger[イベント種類],"余剰化")+SUMIFS(tbl_ledger[数量],tbl_ledger[品番],$B63,tbl_ledger[イベント種類],"搬入",tbl_ledger[ロットID],"=")-SUMIFS(tbl_ledger[数量],tbl_ledger[品番],$B63,tbl_ledger[イベント種類],"充当",tbl_ledger[ロットID],"=")-SUMIFS(tbl_ledger[数量],tbl_ledger[品番],$B63,tbl_ledger[イベント種類],"発送",tbl_ledger[ロットID],"=")-SUMIFS(tbl_ledger[数量],tbl_ledger[品番],$B63,tbl_ledger[イベント種類],"倉庫A戻し",tbl_ledger[ロットID],"=")-SUMIFS(tbl_ledger[数量],tbl_ledger[品番],$B63,tbl_ledger[イベント種類],"不良発生",tbl_ledger[ロットID],"="))</f>
        <v/>
      </c>
      <c r="J63" s="4" t="str">
        <f t="shared" si="0"/>
        <v/>
      </c>
      <c r="K63" s="4" t="str">
        <f t="shared" si="1"/>
        <v/>
      </c>
      <c r="L63" s="4" t="str">
        <f t="shared" si="2"/>
        <v/>
      </c>
      <c r="M63" s="4" t="str">
        <f>IF($A63="","",IF(INDEX(tbl_plan[計画状態],ROW()-1)="キャンセル","キャンセル",IF(K63=0,"発送済",IF(L63&gt;0,"要搬出","OK"))))</f>
        <v/>
      </c>
    </row>
    <row r="64" spans="1:13" ht="15" x14ac:dyDescent="0.25">
      <c r="A64" s="4" t="str">
        <f>IFERROR(INDEX(tbl_plan[ロットID],ROW()-1),"")</f>
        <v/>
      </c>
      <c r="B64" s="4" t="str">
        <f>IF($A64="","",INDEX(tbl_plan[品番],ROW()-1))</f>
        <v/>
      </c>
      <c r="C64" s="5" t="str">
        <f>IF($A64="","",INDEX(tbl_plan[出荷週],ROW()-1))</f>
        <v/>
      </c>
      <c r="D64" s="4" t="str">
        <f>IF($A64="","",INDEX(tbl_plan[納期先],ROW()-1)&amp;"")</f>
        <v/>
      </c>
      <c r="E64" s="4" t="str">
        <f>IF($A64="","",INDEX(tbl_plan[必要数],ROW()-1))</f>
        <v/>
      </c>
      <c r="F64" s="4" t="str">
        <f>IF($A64="","",SUMIFS(tbl_plan[必要数],tbl_plan[ロットID],$A64,tbl_plan[計画状態],"有効"))</f>
        <v/>
      </c>
      <c r="G64" s="4" t="str">
        <f>IF($A64="","",SUMIFS(tbl_ledger[数量],tbl_ledger[ロットID],$A64,tbl_ledger[イベント種類],"発送"))</f>
        <v/>
      </c>
      <c r="H64" s="4" t="str">
        <f>IF($A64="","",SUMIFS(tbl_ledger[数量],tbl_ledger[ロットID],$A64,tbl_ledger[イベント種類],"搬入")+SUMIFS(tbl_ledger[数量],tbl_ledger[充当先ロットID],$A64,tbl_ledger[イベント種類],"充当")-SUMIFS(tbl_ledger[数量],tbl_ledger[ロットID],$A64,tbl_ledger[イベント種類],"充当")-SUMIFS(tbl_ledger[数量],tbl_ledger[ロットID],$A64,tbl_ledger[イベント種類],"発送")-SUMIFS(tbl_ledger[数量],tbl_ledger[ロットID],$A64,tbl_ledger[イベント種類],"倉庫A戻し")-SUMIFS(tbl_ledger[数量],tbl_ledger[ロットID],$A64,tbl_ledger[イベント種類],"余剰化")-SUMIFS(tbl_ledger[数量],tbl_ledger[ロットID],$A64,tbl_ledger[イベント種類],"不良発生"))</f>
        <v/>
      </c>
      <c r="I64" s="4" t="str">
        <f>IF($A64="","",SUMIFS(tbl_ledger[数量],tbl_ledger[品番],$B64,tbl_ledger[イベント種類],"余剰化")+SUMIFS(tbl_ledger[数量],tbl_ledger[品番],$B64,tbl_ledger[イベント種類],"搬入",tbl_ledger[ロットID],"=")-SUMIFS(tbl_ledger[数量],tbl_ledger[品番],$B64,tbl_ledger[イベント種類],"充当",tbl_ledger[ロットID],"=")-SUMIFS(tbl_ledger[数量],tbl_ledger[品番],$B64,tbl_ledger[イベント種類],"発送",tbl_ledger[ロットID],"=")-SUMIFS(tbl_ledger[数量],tbl_ledger[品番],$B64,tbl_ledger[イベント種類],"倉庫A戻し",tbl_ledger[ロットID],"=")-SUMIFS(tbl_ledger[数量],tbl_ledger[品番],$B64,tbl_ledger[イベント種類],"不良発生",tbl_ledger[ロットID],"="))</f>
        <v/>
      </c>
      <c r="J64" s="4" t="str">
        <f t="shared" si="0"/>
        <v/>
      </c>
      <c r="K64" s="4" t="str">
        <f t="shared" si="1"/>
        <v/>
      </c>
      <c r="L64" s="4" t="str">
        <f t="shared" si="2"/>
        <v/>
      </c>
      <c r="M64" s="4" t="str">
        <f>IF($A64="","",IF(INDEX(tbl_plan[計画状態],ROW()-1)="キャンセル","キャンセル",IF(K64=0,"発送済",IF(L64&gt;0,"要搬出","OK"))))</f>
        <v/>
      </c>
    </row>
    <row r="65" spans="1:13" ht="15" x14ac:dyDescent="0.25">
      <c r="A65" s="4" t="str">
        <f>IFERROR(INDEX(tbl_plan[ロットID],ROW()-1),"")</f>
        <v/>
      </c>
      <c r="B65" s="4" t="str">
        <f>IF($A65="","",INDEX(tbl_plan[品番],ROW()-1))</f>
        <v/>
      </c>
      <c r="C65" s="5" t="str">
        <f>IF($A65="","",INDEX(tbl_plan[出荷週],ROW()-1))</f>
        <v/>
      </c>
      <c r="D65" s="4" t="str">
        <f>IF($A65="","",INDEX(tbl_plan[納期先],ROW()-1)&amp;"")</f>
        <v/>
      </c>
      <c r="E65" s="4" t="str">
        <f>IF($A65="","",INDEX(tbl_plan[必要数],ROW()-1))</f>
        <v/>
      </c>
      <c r="F65" s="4" t="str">
        <f>IF($A65="","",SUMIFS(tbl_plan[必要数],tbl_plan[ロットID],$A65,tbl_plan[計画状態],"有効"))</f>
        <v/>
      </c>
      <c r="G65" s="4" t="str">
        <f>IF($A65="","",SUMIFS(tbl_ledger[数量],tbl_ledger[ロットID],$A65,tbl_ledger[イベント種類],"発送"))</f>
        <v/>
      </c>
      <c r="H65" s="4" t="str">
        <f>IF($A65="","",SUMIFS(tbl_ledger[数量],tbl_ledger[ロットID],$A65,tbl_ledger[イベント種類],"搬入")+SUMIFS(tbl_ledger[数量],tbl_ledger[充当先ロットID],$A65,tbl_ledger[イベント種類],"充当")-SUMIFS(tbl_ledger[数量],tbl_ledger[ロットID],$A65,tbl_ledger[イベント種類],"充当")-SUMIFS(tbl_ledger[数量],tbl_ledger[ロットID],$A65,tbl_ledger[イベント種類],"発送")-SUMIFS(tbl_ledger[数量],tbl_ledger[ロットID],$A65,tbl_ledger[イベント種類],"倉庫A戻し")-SUMIFS(tbl_ledger[数量],tbl_ledger[ロットID],$A65,tbl_ledger[イベント種類],"余剰化")-SUMIFS(tbl_ledger[数量],tbl_ledger[ロットID],$A65,tbl_ledger[イベント種類],"不良発生"))</f>
        <v/>
      </c>
      <c r="I65" s="4" t="str">
        <f>IF($A65="","",SUMIFS(tbl_ledger[数量],tbl_ledger[品番],$B65,tbl_ledger[イベント種類],"余剰化")+SUMIFS(tbl_ledger[数量],tbl_ledger[品番],$B65,tbl_ledger[イベント種類],"搬入",tbl_ledger[ロットID],"=")-SUMIFS(tbl_ledger[数量],tbl_ledger[品番],$B65,tbl_ledger[イベント種類],"充当",tbl_ledger[ロットID],"=")-SUMIFS(tbl_ledger[数量],tbl_ledger[品番],$B65,tbl_ledger[イベント種類],"発送",tbl_ledger[ロットID],"=")-SUMIFS(tbl_ledger[数量],tbl_ledger[品番],$B65,tbl_ledger[イベント種類],"倉庫A戻し",tbl_ledger[ロットID],"=")-SUMIFS(tbl_ledger[数量],tbl_ledger[品番],$B65,tbl_ledger[イベント種類],"不良発生",tbl_ledger[ロットID],"="))</f>
        <v/>
      </c>
      <c r="J65" s="4" t="str">
        <f t="shared" si="0"/>
        <v/>
      </c>
      <c r="K65" s="4" t="str">
        <f t="shared" si="1"/>
        <v/>
      </c>
      <c r="L65" s="4" t="str">
        <f t="shared" si="2"/>
        <v/>
      </c>
      <c r="M65" s="4" t="str">
        <f>IF($A65="","",IF(INDEX(tbl_plan[計画状態],ROW()-1)="キャンセル","キャンセル",IF(K65=0,"発送済",IF(L65&gt;0,"要搬出","OK"))))</f>
        <v/>
      </c>
    </row>
    <row r="66" spans="1:13" ht="15" x14ac:dyDescent="0.25">
      <c r="A66" s="4" t="str">
        <f>IFERROR(INDEX(tbl_plan[ロットID],ROW()-1),"")</f>
        <v/>
      </c>
      <c r="B66" s="4" t="str">
        <f>IF($A66="","",INDEX(tbl_plan[品番],ROW()-1))</f>
        <v/>
      </c>
      <c r="C66" s="5" t="str">
        <f>IF($A66="","",INDEX(tbl_plan[出荷週],ROW()-1))</f>
        <v/>
      </c>
      <c r="D66" s="4" t="str">
        <f>IF($A66="","",INDEX(tbl_plan[納期先],ROW()-1)&amp;"")</f>
        <v/>
      </c>
      <c r="E66" s="4" t="str">
        <f>IF($A66="","",INDEX(tbl_plan[必要数],ROW()-1))</f>
        <v/>
      </c>
      <c r="F66" s="4" t="str">
        <f>IF($A66="","",SUMIFS(tbl_plan[必要数],tbl_plan[ロットID],$A66,tbl_plan[計画状態],"有効"))</f>
        <v/>
      </c>
      <c r="G66" s="4" t="str">
        <f>IF($A66="","",SUMIFS(tbl_ledger[数量],tbl_ledger[ロットID],$A66,tbl_ledger[イベント種類],"発送"))</f>
        <v/>
      </c>
      <c r="H66" s="4" t="str">
        <f>IF($A66="","",SUMIFS(tbl_ledger[数量],tbl_ledger[ロットID],$A66,tbl_ledger[イベント種類],"搬入")+SUMIFS(tbl_ledger[数量],tbl_ledger[充当先ロットID],$A66,tbl_ledger[イベント種類],"充当")-SUMIFS(tbl_ledger[数量],tbl_ledger[ロットID],$A66,tbl_ledger[イベント種類],"充当")-SUMIFS(tbl_ledger[数量],tbl_ledger[ロットID],$A66,tbl_ledger[イベント種類],"発送")-SUMIFS(tbl_ledger[数量],tbl_ledger[ロットID],$A66,tbl_ledger[イベント種類],"倉庫A戻し")-SUMIFS(tbl_ledger[数量],tbl_ledger[ロットID],$A66,tbl_ledger[イベント種類],"余剰化")-SUMIFS(tbl_ledger[数量],tbl_ledger[ロットID],$A66,tbl_ledger[イベント種類],"不良発生"))</f>
        <v/>
      </c>
      <c r="I66" s="4" t="str">
        <f>IF($A66="","",SUMIFS(tbl_ledger[数量],tbl_ledger[品番],$B66,tbl_ledger[イベント種類],"余剰化")+SUMIFS(tbl_ledger[数量],tbl_ledger[品番],$B66,tbl_ledger[イベント種類],"搬入",tbl_ledger[ロットID],"=")-SUMIFS(tbl_ledger[数量],tbl_ledger[品番],$B66,tbl_ledger[イベント種類],"充当",tbl_ledger[ロットID],"=")-SUMIFS(tbl_ledger[数量],tbl_ledger[品番],$B66,tbl_ledger[イベント種類],"発送",tbl_ledger[ロットID],"=")-SUMIFS(tbl_ledger[数量],tbl_ledger[品番],$B66,tbl_ledger[イベント種類],"倉庫A戻し",tbl_ledger[ロットID],"=")-SUMIFS(tbl_ledger[数量],tbl_ledger[品番],$B66,tbl_ledger[イベント種類],"不良発生",tbl_ledger[ロットID],"="))</f>
        <v/>
      </c>
      <c r="J66" s="4" t="str">
        <f t="shared" ref="J66:J129" si="3">IF($A66="","",H66+I66)</f>
        <v/>
      </c>
      <c r="K66" s="4" t="str">
        <f t="shared" ref="K66:K129" si="4">IF($A66="","",MAX(0,F66-G66))</f>
        <v/>
      </c>
      <c r="L66" s="4" t="str">
        <f t="shared" ref="L66:L129" si="5">IF($A66="","",MAX(0,K66-J66))</f>
        <v/>
      </c>
      <c r="M66" s="4" t="str">
        <f>IF($A66="","",IF(INDEX(tbl_plan[計画状態],ROW()-1)="キャンセル","キャンセル",IF(K66=0,"発送済",IF(L66&gt;0,"要搬出","OK"))))</f>
        <v/>
      </c>
    </row>
    <row r="67" spans="1:13" ht="15" x14ac:dyDescent="0.25">
      <c r="A67" s="4" t="str">
        <f>IFERROR(INDEX(tbl_plan[ロットID],ROW()-1),"")</f>
        <v/>
      </c>
      <c r="B67" s="4" t="str">
        <f>IF($A67="","",INDEX(tbl_plan[品番],ROW()-1))</f>
        <v/>
      </c>
      <c r="C67" s="5" t="str">
        <f>IF($A67="","",INDEX(tbl_plan[出荷週],ROW()-1))</f>
        <v/>
      </c>
      <c r="D67" s="4" t="str">
        <f>IF($A67="","",INDEX(tbl_plan[納期先],ROW()-1)&amp;"")</f>
        <v/>
      </c>
      <c r="E67" s="4" t="str">
        <f>IF($A67="","",INDEX(tbl_plan[必要数],ROW()-1))</f>
        <v/>
      </c>
      <c r="F67" s="4" t="str">
        <f>IF($A67="","",SUMIFS(tbl_plan[必要数],tbl_plan[ロットID],$A67,tbl_plan[計画状態],"有効"))</f>
        <v/>
      </c>
      <c r="G67" s="4" t="str">
        <f>IF($A67="","",SUMIFS(tbl_ledger[数量],tbl_ledger[ロットID],$A67,tbl_ledger[イベント種類],"発送"))</f>
        <v/>
      </c>
      <c r="H67" s="4" t="str">
        <f>IF($A67="","",SUMIFS(tbl_ledger[数量],tbl_ledger[ロットID],$A67,tbl_ledger[イベント種類],"搬入")+SUMIFS(tbl_ledger[数量],tbl_ledger[充当先ロットID],$A67,tbl_ledger[イベント種類],"充当")-SUMIFS(tbl_ledger[数量],tbl_ledger[ロットID],$A67,tbl_ledger[イベント種類],"充当")-SUMIFS(tbl_ledger[数量],tbl_ledger[ロットID],$A67,tbl_ledger[イベント種類],"発送")-SUMIFS(tbl_ledger[数量],tbl_ledger[ロットID],$A67,tbl_ledger[イベント種類],"倉庫A戻し")-SUMIFS(tbl_ledger[数量],tbl_ledger[ロットID],$A67,tbl_ledger[イベント種類],"余剰化")-SUMIFS(tbl_ledger[数量],tbl_ledger[ロットID],$A67,tbl_ledger[イベント種類],"不良発生"))</f>
        <v/>
      </c>
      <c r="I67" s="4" t="str">
        <f>IF($A67="","",SUMIFS(tbl_ledger[数量],tbl_ledger[品番],$B67,tbl_ledger[イベント種類],"余剰化")+SUMIFS(tbl_ledger[数量],tbl_ledger[品番],$B67,tbl_ledger[イベント種類],"搬入",tbl_ledger[ロットID],"=")-SUMIFS(tbl_ledger[数量],tbl_ledger[品番],$B67,tbl_ledger[イベント種類],"充当",tbl_ledger[ロットID],"=")-SUMIFS(tbl_ledger[数量],tbl_ledger[品番],$B67,tbl_ledger[イベント種類],"発送",tbl_ledger[ロットID],"=")-SUMIFS(tbl_ledger[数量],tbl_ledger[品番],$B67,tbl_ledger[イベント種類],"倉庫A戻し",tbl_ledger[ロットID],"=")-SUMIFS(tbl_ledger[数量],tbl_ledger[品番],$B67,tbl_ledger[イベント種類],"不良発生",tbl_ledger[ロットID],"="))</f>
        <v/>
      </c>
      <c r="J67" s="4" t="str">
        <f t="shared" si="3"/>
        <v/>
      </c>
      <c r="K67" s="4" t="str">
        <f t="shared" si="4"/>
        <v/>
      </c>
      <c r="L67" s="4" t="str">
        <f t="shared" si="5"/>
        <v/>
      </c>
      <c r="M67" s="4" t="str">
        <f>IF($A67="","",IF(INDEX(tbl_plan[計画状態],ROW()-1)="キャンセル","キャンセル",IF(K67=0,"発送済",IF(L67&gt;0,"要搬出","OK"))))</f>
        <v/>
      </c>
    </row>
    <row r="68" spans="1:13" ht="15" x14ac:dyDescent="0.25">
      <c r="A68" s="4" t="str">
        <f>IFERROR(INDEX(tbl_plan[ロットID],ROW()-1),"")</f>
        <v/>
      </c>
      <c r="B68" s="4" t="str">
        <f>IF($A68="","",INDEX(tbl_plan[品番],ROW()-1))</f>
        <v/>
      </c>
      <c r="C68" s="5" t="str">
        <f>IF($A68="","",INDEX(tbl_plan[出荷週],ROW()-1))</f>
        <v/>
      </c>
      <c r="D68" s="4" t="str">
        <f>IF($A68="","",INDEX(tbl_plan[納期先],ROW()-1)&amp;"")</f>
        <v/>
      </c>
      <c r="E68" s="4" t="str">
        <f>IF($A68="","",INDEX(tbl_plan[必要数],ROW()-1))</f>
        <v/>
      </c>
      <c r="F68" s="4" t="str">
        <f>IF($A68="","",SUMIFS(tbl_plan[必要数],tbl_plan[ロットID],$A68,tbl_plan[計画状態],"有効"))</f>
        <v/>
      </c>
      <c r="G68" s="4" t="str">
        <f>IF($A68="","",SUMIFS(tbl_ledger[数量],tbl_ledger[ロットID],$A68,tbl_ledger[イベント種類],"発送"))</f>
        <v/>
      </c>
      <c r="H68" s="4" t="str">
        <f>IF($A68="","",SUMIFS(tbl_ledger[数量],tbl_ledger[ロットID],$A68,tbl_ledger[イベント種類],"搬入")+SUMIFS(tbl_ledger[数量],tbl_ledger[充当先ロットID],$A68,tbl_ledger[イベント種類],"充当")-SUMIFS(tbl_ledger[数量],tbl_ledger[ロットID],$A68,tbl_ledger[イベント種類],"充当")-SUMIFS(tbl_ledger[数量],tbl_ledger[ロットID],$A68,tbl_ledger[イベント種類],"発送")-SUMIFS(tbl_ledger[数量],tbl_ledger[ロットID],$A68,tbl_ledger[イベント種類],"倉庫A戻し")-SUMIFS(tbl_ledger[数量],tbl_ledger[ロットID],$A68,tbl_ledger[イベント種類],"余剰化")-SUMIFS(tbl_ledger[数量],tbl_ledger[ロットID],$A68,tbl_ledger[イベント種類],"不良発生"))</f>
        <v/>
      </c>
      <c r="I68" s="4" t="str">
        <f>IF($A68="","",SUMIFS(tbl_ledger[数量],tbl_ledger[品番],$B68,tbl_ledger[イベント種類],"余剰化")+SUMIFS(tbl_ledger[数量],tbl_ledger[品番],$B68,tbl_ledger[イベント種類],"搬入",tbl_ledger[ロットID],"=")-SUMIFS(tbl_ledger[数量],tbl_ledger[品番],$B68,tbl_ledger[イベント種類],"充当",tbl_ledger[ロットID],"=")-SUMIFS(tbl_ledger[数量],tbl_ledger[品番],$B68,tbl_ledger[イベント種類],"発送",tbl_ledger[ロットID],"=")-SUMIFS(tbl_ledger[数量],tbl_ledger[品番],$B68,tbl_ledger[イベント種類],"倉庫A戻し",tbl_ledger[ロットID],"=")-SUMIFS(tbl_ledger[数量],tbl_ledger[品番],$B68,tbl_ledger[イベント種類],"不良発生",tbl_ledger[ロットID],"="))</f>
        <v/>
      </c>
      <c r="J68" s="4" t="str">
        <f t="shared" si="3"/>
        <v/>
      </c>
      <c r="K68" s="4" t="str">
        <f t="shared" si="4"/>
        <v/>
      </c>
      <c r="L68" s="4" t="str">
        <f t="shared" si="5"/>
        <v/>
      </c>
      <c r="M68" s="4" t="str">
        <f>IF($A68="","",IF(INDEX(tbl_plan[計画状態],ROW()-1)="キャンセル","キャンセル",IF(K68=0,"発送済",IF(L68&gt;0,"要搬出","OK"))))</f>
        <v/>
      </c>
    </row>
    <row r="69" spans="1:13" ht="15" x14ac:dyDescent="0.25">
      <c r="A69" s="4" t="str">
        <f>IFERROR(INDEX(tbl_plan[ロットID],ROW()-1),"")</f>
        <v/>
      </c>
      <c r="B69" s="4" t="str">
        <f>IF($A69="","",INDEX(tbl_plan[品番],ROW()-1))</f>
        <v/>
      </c>
      <c r="C69" s="5" t="str">
        <f>IF($A69="","",INDEX(tbl_plan[出荷週],ROW()-1))</f>
        <v/>
      </c>
      <c r="D69" s="4" t="str">
        <f>IF($A69="","",INDEX(tbl_plan[納期先],ROW()-1)&amp;"")</f>
        <v/>
      </c>
      <c r="E69" s="4" t="str">
        <f>IF($A69="","",INDEX(tbl_plan[必要数],ROW()-1))</f>
        <v/>
      </c>
      <c r="F69" s="4" t="str">
        <f>IF($A69="","",SUMIFS(tbl_plan[必要数],tbl_plan[ロットID],$A69,tbl_plan[計画状態],"有効"))</f>
        <v/>
      </c>
      <c r="G69" s="4" t="str">
        <f>IF($A69="","",SUMIFS(tbl_ledger[数量],tbl_ledger[ロットID],$A69,tbl_ledger[イベント種類],"発送"))</f>
        <v/>
      </c>
      <c r="H69" s="4" t="str">
        <f>IF($A69="","",SUMIFS(tbl_ledger[数量],tbl_ledger[ロットID],$A69,tbl_ledger[イベント種類],"搬入")+SUMIFS(tbl_ledger[数量],tbl_ledger[充当先ロットID],$A69,tbl_ledger[イベント種類],"充当")-SUMIFS(tbl_ledger[数量],tbl_ledger[ロットID],$A69,tbl_ledger[イベント種類],"充当")-SUMIFS(tbl_ledger[数量],tbl_ledger[ロットID],$A69,tbl_ledger[イベント種類],"発送")-SUMIFS(tbl_ledger[数量],tbl_ledger[ロットID],$A69,tbl_ledger[イベント種類],"倉庫A戻し")-SUMIFS(tbl_ledger[数量],tbl_ledger[ロットID],$A69,tbl_ledger[イベント種類],"余剰化")-SUMIFS(tbl_ledger[数量],tbl_ledger[ロットID],$A69,tbl_ledger[イベント種類],"不良発生"))</f>
        <v/>
      </c>
      <c r="I69" s="4" t="str">
        <f>IF($A69="","",SUMIFS(tbl_ledger[数量],tbl_ledger[品番],$B69,tbl_ledger[イベント種類],"余剰化")+SUMIFS(tbl_ledger[数量],tbl_ledger[品番],$B69,tbl_ledger[イベント種類],"搬入",tbl_ledger[ロットID],"=")-SUMIFS(tbl_ledger[数量],tbl_ledger[品番],$B69,tbl_ledger[イベント種類],"充当",tbl_ledger[ロットID],"=")-SUMIFS(tbl_ledger[数量],tbl_ledger[品番],$B69,tbl_ledger[イベント種類],"発送",tbl_ledger[ロットID],"=")-SUMIFS(tbl_ledger[数量],tbl_ledger[品番],$B69,tbl_ledger[イベント種類],"倉庫A戻し",tbl_ledger[ロットID],"=")-SUMIFS(tbl_ledger[数量],tbl_ledger[品番],$B69,tbl_ledger[イベント種類],"不良発生",tbl_ledger[ロットID],"="))</f>
        <v/>
      </c>
      <c r="J69" s="4" t="str">
        <f t="shared" si="3"/>
        <v/>
      </c>
      <c r="K69" s="4" t="str">
        <f t="shared" si="4"/>
        <v/>
      </c>
      <c r="L69" s="4" t="str">
        <f t="shared" si="5"/>
        <v/>
      </c>
      <c r="M69" s="4" t="str">
        <f>IF($A69="","",IF(INDEX(tbl_plan[計画状態],ROW()-1)="キャンセル","キャンセル",IF(K69=0,"発送済",IF(L69&gt;0,"要搬出","OK"))))</f>
        <v/>
      </c>
    </row>
    <row r="70" spans="1:13" ht="15" x14ac:dyDescent="0.25">
      <c r="A70" s="4" t="str">
        <f>IFERROR(INDEX(tbl_plan[ロットID],ROW()-1),"")</f>
        <v/>
      </c>
      <c r="B70" s="4" t="str">
        <f>IF($A70="","",INDEX(tbl_plan[品番],ROW()-1))</f>
        <v/>
      </c>
      <c r="C70" s="5" t="str">
        <f>IF($A70="","",INDEX(tbl_plan[出荷週],ROW()-1))</f>
        <v/>
      </c>
      <c r="D70" s="4" t="str">
        <f>IF($A70="","",INDEX(tbl_plan[納期先],ROW()-1)&amp;"")</f>
        <v/>
      </c>
      <c r="E70" s="4" t="str">
        <f>IF($A70="","",INDEX(tbl_plan[必要数],ROW()-1))</f>
        <v/>
      </c>
      <c r="F70" s="4" t="str">
        <f>IF($A70="","",SUMIFS(tbl_plan[必要数],tbl_plan[ロットID],$A70,tbl_plan[計画状態],"有効"))</f>
        <v/>
      </c>
      <c r="G70" s="4" t="str">
        <f>IF($A70="","",SUMIFS(tbl_ledger[数量],tbl_ledger[ロットID],$A70,tbl_ledger[イベント種類],"発送"))</f>
        <v/>
      </c>
      <c r="H70" s="4" t="str">
        <f>IF($A70="","",SUMIFS(tbl_ledger[数量],tbl_ledger[ロットID],$A70,tbl_ledger[イベント種類],"搬入")+SUMIFS(tbl_ledger[数量],tbl_ledger[充当先ロットID],$A70,tbl_ledger[イベント種類],"充当")-SUMIFS(tbl_ledger[数量],tbl_ledger[ロットID],$A70,tbl_ledger[イベント種類],"充当")-SUMIFS(tbl_ledger[数量],tbl_ledger[ロットID],$A70,tbl_ledger[イベント種類],"発送")-SUMIFS(tbl_ledger[数量],tbl_ledger[ロットID],$A70,tbl_ledger[イベント種類],"倉庫A戻し")-SUMIFS(tbl_ledger[数量],tbl_ledger[ロットID],$A70,tbl_ledger[イベント種類],"余剰化")-SUMIFS(tbl_ledger[数量],tbl_ledger[ロットID],$A70,tbl_ledger[イベント種類],"不良発生"))</f>
        <v/>
      </c>
      <c r="I70" s="4" t="str">
        <f>IF($A70="","",SUMIFS(tbl_ledger[数量],tbl_ledger[品番],$B70,tbl_ledger[イベント種類],"余剰化")+SUMIFS(tbl_ledger[数量],tbl_ledger[品番],$B70,tbl_ledger[イベント種類],"搬入",tbl_ledger[ロットID],"=")-SUMIFS(tbl_ledger[数量],tbl_ledger[品番],$B70,tbl_ledger[イベント種類],"充当",tbl_ledger[ロットID],"=")-SUMIFS(tbl_ledger[数量],tbl_ledger[品番],$B70,tbl_ledger[イベント種類],"発送",tbl_ledger[ロットID],"=")-SUMIFS(tbl_ledger[数量],tbl_ledger[品番],$B70,tbl_ledger[イベント種類],"倉庫A戻し",tbl_ledger[ロットID],"=")-SUMIFS(tbl_ledger[数量],tbl_ledger[品番],$B70,tbl_ledger[イベント種類],"不良発生",tbl_ledger[ロットID],"="))</f>
        <v/>
      </c>
      <c r="J70" s="4" t="str">
        <f t="shared" si="3"/>
        <v/>
      </c>
      <c r="K70" s="4" t="str">
        <f t="shared" si="4"/>
        <v/>
      </c>
      <c r="L70" s="4" t="str">
        <f t="shared" si="5"/>
        <v/>
      </c>
      <c r="M70" s="4" t="str">
        <f>IF($A70="","",IF(INDEX(tbl_plan[計画状態],ROW()-1)="キャンセル","キャンセル",IF(K70=0,"発送済",IF(L70&gt;0,"要搬出","OK"))))</f>
        <v/>
      </c>
    </row>
    <row r="71" spans="1:13" ht="15" x14ac:dyDescent="0.25">
      <c r="A71" s="4" t="str">
        <f>IFERROR(INDEX(tbl_plan[ロットID],ROW()-1),"")</f>
        <v/>
      </c>
      <c r="B71" s="4" t="str">
        <f>IF($A71="","",INDEX(tbl_plan[品番],ROW()-1))</f>
        <v/>
      </c>
      <c r="C71" s="5" t="str">
        <f>IF($A71="","",INDEX(tbl_plan[出荷週],ROW()-1))</f>
        <v/>
      </c>
      <c r="D71" s="4" t="str">
        <f>IF($A71="","",INDEX(tbl_plan[納期先],ROW()-1)&amp;"")</f>
        <v/>
      </c>
      <c r="E71" s="4" t="str">
        <f>IF($A71="","",INDEX(tbl_plan[必要数],ROW()-1))</f>
        <v/>
      </c>
      <c r="F71" s="4" t="str">
        <f>IF($A71="","",SUMIFS(tbl_plan[必要数],tbl_plan[ロットID],$A71,tbl_plan[計画状態],"有効"))</f>
        <v/>
      </c>
      <c r="G71" s="4" t="str">
        <f>IF($A71="","",SUMIFS(tbl_ledger[数量],tbl_ledger[ロットID],$A71,tbl_ledger[イベント種類],"発送"))</f>
        <v/>
      </c>
      <c r="H71" s="4" t="str">
        <f>IF($A71="","",SUMIFS(tbl_ledger[数量],tbl_ledger[ロットID],$A71,tbl_ledger[イベント種類],"搬入")+SUMIFS(tbl_ledger[数量],tbl_ledger[充当先ロットID],$A71,tbl_ledger[イベント種類],"充当")-SUMIFS(tbl_ledger[数量],tbl_ledger[ロットID],$A71,tbl_ledger[イベント種類],"充当")-SUMIFS(tbl_ledger[数量],tbl_ledger[ロットID],$A71,tbl_ledger[イベント種類],"発送")-SUMIFS(tbl_ledger[数量],tbl_ledger[ロットID],$A71,tbl_ledger[イベント種類],"倉庫A戻し")-SUMIFS(tbl_ledger[数量],tbl_ledger[ロットID],$A71,tbl_ledger[イベント種類],"余剰化")-SUMIFS(tbl_ledger[数量],tbl_ledger[ロットID],$A71,tbl_ledger[イベント種類],"不良発生"))</f>
        <v/>
      </c>
      <c r="I71" s="4" t="str">
        <f>IF($A71="","",SUMIFS(tbl_ledger[数量],tbl_ledger[品番],$B71,tbl_ledger[イベント種類],"余剰化")+SUMIFS(tbl_ledger[数量],tbl_ledger[品番],$B71,tbl_ledger[イベント種類],"搬入",tbl_ledger[ロットID],"=")-SUMIFS(tbl_ledger[数量],tbl_ledger[品番],$B71,tbl_ledger[イベント種類],"充当",tbl_ledger[ロットID],"=")-SUMIFS(tbl_ledger[数量],tbl_ledger[品番],$B71,tbl_ledger[イベント種類],"発送",tbl_ledger[ロットID],"=")-SUMIFS(tbl_ledger[数量],tbl_ledger[品番],$B71,tbl_ledger[イベント種類],"倉庫A戻し",tbl_ledger[ロットID],"=")-SUMIFS(tbl_ledger[数量],tbl_ledger[品番],$B71,tbl_ledger[イベント種類],"不良発生",tbl_ledger[ロットID],"="))</f>
        <v/>
      </c>
      <c r="J71" s="4" t="str">
        <f t="shared" si="3"/>
        <v/>
      </c>
      <c r="K71" s="4" t="str">
        <f t="shared" si="4"/>
        <v/>
      </c>
      <c r="L71" s="4" t="str">
        <f t="shared" si="5"/>
        <v/>
      </c>
      <c r="M71" s="4" t="str">
        <f>IF($A71="","",IF(INDEX(tbl_plan[計画状態],ROW()-1)="キャンセル","キャンセル",IF(K71=0,"発送済",IF(L71&gt;0,"要搬出","OK"))))</f>
        <v/>
      </c>
    </row>
    <row r="72" spans="1:13" ht="15" x14ac:dyDescent="0.25">
      <c r="A72" s="4" t="str">
        <f>IFERROR(INDEX(tbl_plan[ロットID],ROW()-1),"")</f>
        <v/>
      </c>
      <c r="B72" s="4" t="str">
        <f>IF($A72="","",INDEX(tbl_plan[品番],ROW()-1))</f>
        <v/>
      </c>
      <c r="C72" s="5" t="str">
        <f>IF($A72="","",INDEX(tbl_plan[出荷週],ROW()-1))</f>
        <v/>
      </c>
      <c r="D72" s="4" t="str">
        <f>IF($A72="","",INDEX(tbl_plan[納期先],ROW()-1)&amp;"")</f>
        <v/>
      </c>
      <c r="E72" s="4" t="str">
        <f>IF($A72="","",INDEX(tbl_plan[必要数],ROW()-1))</f>
        <v/>
      </c>
      <c r="F72" s="4" t="str">
        <f>IF($A72="","",SUMIFS(tbl_plan[必要数],tbl_plan[ロットID],$A72,tbl_plan[計画状態],"有効"))</f>
        <v/>
      </c>
      <c r="G72" s="4" t="str">
        <f>IF($A72="","",SUMIFS(tbl_ledger[数量],tbl_ledger[ロットID],$A72,tbl_ledger[イベント種類],"発送"))</f>
        <v/>
      </c>
      <c r="H72" s="4" t="str">
        <f>IF($A72="","",SUMIFS(tbl_ledger[数量],tbl_ledger[ロットID],$A72,tbl_ledger[イベント種類],"搬入")+SUMIFS(tbl_ledger[数量],tbl_ledger[充当先ロットID],$A72,tbl_ledger[イベント種類],"充当")-SUMIFS(tbl_ledger[数量],tbl_ledger[ロットID],$A72,tbl_ledger[イベント種類],"充当")-SUMIFS(tbl_ledger[数量],tbl_ledger[ロットID],$A72,tbl_ledger[イベント種類],"発送")-SUMIFS(tbl_ledger[数量],tbl_ledger[ロットID],$A72,tbl_ledger[イベント種類],"倉庫A戻し")-SUMIFS(tbl_ledger[数量],tbl_ledger[ロットID],$A72,tbl_ledger[イベント種類],"余剰化")-SUMIFS(tbl_ledger[数量],tbl_ledger[ロットID],$A72,tbl_ledger[イベント種類],"不良発生"))</f>
        <v/>
      </c>
      <c r="I72" s="4" t="str">
        <f>IF($A72="","",SUMIFS(tbl_ledger[数量],tbl_ledger[品番],$B72,tbl_ledger[イベント種類],"余剰化")+SUMIFS(tbl_ledger[数量],tbl_ledger[品番],$B72,tbl_ledger[イベント種類],"搬入",tbl_ledger[ロットID],"=")-SUMIFS(tbl_ledger[数量],tbl_ledger[品番],$B72,tbl_ledger[イベント種類],"充当",tbl_ledger[ロットID],"=")-SUMIFS(tbl_ledger[数量],tbl_ledger[品番],$B72,tbl_ledger[イベント種類],"発送",tbl_ledger[ロットID],"=")-SUMIFS(tbl_ledger[数量],tbl_ledger[品番],$B72,tbl_ledger[イベント種類],"倉庫A戻し",tbl_ledger[ロットID],"=")-SUMIFS(tbl_ledger[数量],tbl_ledger[品番],$B72,tbl_ledger[イベント種類],"不良発生",tbl_ledger[ロットID],"="))</f>
        <v/>
      </c>
      <c r="J72" s="4" t="str">
        <f t="shared" si="3"/>
        <v/>
      </c>
      <c r="K72" s="4" t="str">
        <f t="shared" si="4"/>
        <v/>
      </c>
      <c r="L72" s="4" t="str">
        <f t="shared" si="5"/>
        <v/>
      </c>
      <c r="M72" s="4" t="str">
        <f>IF($A72="","",IF(INDEX(tbl_plan[計画状態],ROW()-1)="キャンセル","キャンセル",IF(K72=0,"発送済",IF(L72&gt;0,"要搬出","OK"))))</f>
        <v/>
      </c>
    </row>
    <row r="73" spans="1:13" ht="15" x14ac:dyDescent="0.25">
      <c r="A73" s="4" t="str">
        <f>IFERROR(INDEX(tbl_plan[ロットID],ROW()-1),"")</f>
        <v/>
      </c>
      <c r="B73" s="4" t="str">
        <f>IF($A73="","",INDEX(tbl_plan[品番],ROW()-1))</f>
        <v/>
      </c>
      <c r="C73" s="5" t="str">
        <f>IF($A73="","",INDEX(tbl_plan[出荷週],ROW()-1))</f>
        <v/>
      </c>
      <c r="D73" s="4" t="str">
        <f>IF($A73="","",INDEX(tbl_plan[納期先],ROW()-1)&amp;"")</f>
        <v/>
      </c>
      <c r="E73" s="4" t="str">
        <f>IF($A73="","",INDEX(tbl_plan[必要数],ROW()-1))</f>
        <v/>
      </c>
      <c r="F73" s="4" t="str">
        <f>IF($A73="","",SUMIFS(tbl_plan[必要数],tbl_plan[ロットID],$A73,tbl_plan[計画状態],"有効"))</f>
        <v/>
      </c>
      <c r="G73" s="4" t="str">
        <f>IF($A73="","",SUMIFS(tbl_ledger[数量],tbl_ledger[ロットID],$A73,tbl_ledger[イベント種類],"発送"))</f>
        <v/>
      </c>
      <c r="H73" s="4" t="str">
        <f>IF($A73="","",SUMIFS(tbl_ledger[数量],tbl_ledger[ロットID],$A73,tbl_ledger[イベント種類],"搬入")+SUMIFS(tbl_ledger[数量],tbl_ledger[充当先ロットID],$A73,tbl_ledger[イベント種類],"充当")-SUMIFS(tbl_ledger[数量],tbl_ledger[ロットID],$A73,tbl_ledger[イベント種類],"充当")-SUMIFS(tbl_ledger[数量],tbl_ledger[ロットID],$A73,tbl_ledger[イベント種類],"発送")-SUMIFS(tbl_ledger[数量],tbl_ledger[ロットID],$A73,tbl_ledger[イベント種類],"倉庫A戻し")-SUMIFS(tbl_ledger[数量],tbl_ledger[ロットID],$A73,tbl_ledger[イベント種類],"余剰化")-SUMIFS(tbl_ledger[数量],tbl_ledger[ロットID],$A73,tbl_ledger[イベント種類],"不良発生"))</f>
        <v/>
      </c>
      <c r="I73" s="4" t="str">
        <f>IF($A73="","",SUMIFS(tbl_ledger[数量],tbl_ledger[品番],$B73,tbl_ledger[イベント種類],"余剰化")+SUMIFS(tbl_ledger[数量],tbl_ledger[品番],$B73,tbl_ledger[イベント種類],"搬入",tbl_ledger[ロットID],"=")-SUMIFS(tbl_ledger[数量],tbl_ledger[品番],$B73,tbl_ledger[イベント種類],"充当",tbl_ledger[ロットID],"=")-SUMIFS(tbl_ledger[数量],tbl_ledger[品番],$B73,tbl_ledger[イベント種類],"発送",tbl_ledger[ロットID],"=")-SUMIFS(tbl_ledger[数量],tbl_ledger[品番],$B73,tbl_ledger[イベント種類],"倉庫A戻し",tbl_ledger[ロットID],"=")-SUMIFS(tbl_ledger[数量],tbl_ledger[品番],$B73,tbl_ledger[イベント種類],"不良発生",tbl_ledger[ロットID],"="))</f>
        <v/>
      </c>
      <c r="J73" s="4" t="str">
        <f t="shared" si="3"/>
        <v/>
      </c>
      <c r="K73" s="4" t="str">
        <f t="shared" si="4"/>
        <v/>
      </c>
      <c r="L73" s="4" t="str">
        <f t="shared" si="5"/>
        <v/>
      </c>
      <c r="M73" s="4" t="str">
        <f>IF($A73="","",IF(INDEX(tbl_plan[計画状態],ROW()-1)="キャンセル","キャンセル",IF(K73=0,"発送済",IF(L73&gt;0,"要搬出","OK"))))</f>
        <v/>
      </c>
    </row>
    <row r="74" spans="1:13" ht="15" x14ac:dyDescent="0.25">
      <c r="A74" s="4" t="str">
        <f>IFERROR(INDEX(tbl_plan[ロットID],ROW()-1),"")</f>
        <v/>
      </c>
      <c r="B74" s="4" t="str">
        <f>IF($A74="","",INDEX(tbl_plan[品番],ROW()-1))</f>
        <v/>
      </c>
      <c r="C74" s="5" t="str">
        <f>IF($A74="","",INDEX(tbl_plan[出荷週],ROW()-1))</f>
        <v/>
      </c>
      <c r="D74" s="4" t="str">
        <f>IF($A74="","",INDEX(tbl_plan[納期先],ROW()-1)&amp;"")</f>
        <v/>
      </c>
      <c r="E74" s="4" t="str">
        <f>IF($A74="","",INDEX(tbl_plan[必要数],ROW()-1))</f>
        <v/>
      </c>
      <c r="F74" s="4" t="str">
        <f>IF($A74="","",SUMIFS(tbl_plan[必要数],tbl_plan[ロットID],$A74,tbl_plan[計画状態],"有効"))</f>
        <v/>
      </c>
      <c r="G74" s="4" t="str">
        <f>IF($A74="","",SUMIFS(tbl_ledger[数量],tbl_ledger[ロットID],$A74,tbl_ledger[イベント種類],"発送"))</f>
        <v/>
      </c>
      <c r="H74" s="4" t="str">
        <f>IF($A74="","",SUMIFS(tbl_ledger[数量],tbl_ledger[ロットID],$A74,tbl_ledger[イベント種類],"搬入")+SUMIFS(tbl_ledger[数量],tbl_ledger[充当先ロットID],$A74,tbl_ledger[イベント種類],"充当")-SUMIFS(tbl_ledger[数量],tbl_ledger[ロットID],$A74,tbl_ledger[イベント種類],"充当")-SUMIFS(tbl_ledger[数量],tbl_ledger[ロットID],$A74,tbl_ledger[イベント種類],"発送")-SUMIFS(tbl_ledger[数量],tbl_ledger[ロットID],$A74,tbl_ledger[イベント種類],"倉庫A戻し")-SUMIFS(tbl_ledger[数量],tbl_ledger[ロットID],$A74,tbl_ledger[イベント種類],"余剰化")-SUMIFS(tbl_ledger[数量],tbl_ledger[ロットID],$A74,tbl_ledger[イベント種類],"不良発生"))</f>
        <v/>
      </c>
      <c r="I74" s="4" t="str">
        <f>IF($A74="","",SUMIFS(tbl_ledger[数量],tbl_ledger[品番],$B74,tbl_ledger[イベント種類],"余剰化")+SUMIFS(tbl_ledger[数量],tbl_ledger[品番],$B74,tbl_ledger[イベント種類],"搬入",tbl_ledger[ロットID],"=")-SUMIFS(tbl_ledger[数量],tbl_ledger[品番],$B74,tbl_ledger[イベント種類],"充当",tbl_ledger[ロットID],"=")-SUMIFS(tbl_ledger[数量],tbl_ledger[品番],$B74,tbl_ledger[イベント種類],"発送",tbl_ledger[ロットID],"=")-SUMIFS(tbl_ledger[数量],tbl_ledger[品番],$B74,tbl_ledger[イベント種類],"倉庫A戻し",tbl_ledger[ロットID],"=")-SUMIFS(tbl_ledger[数量],tbl_ledger[品番],$B74,tbl_ledger[イベント種類],"不良発生",tbl_ledger[ロットID],"="))</f>
        <v/>
      </c>
      <c r="J74" s="4" t="str">
        <f t="shared" si="3"/>
        <v/>
      </c>
      <c r="K74" s="4" t="str">
        <f t="shared" si="4"/>
        <v/>
      </c>
      <c r="L74" s="4" t="str">
        <f t="shared" si="5"/>
        <v/>
      </c>
      <c r="M74" s="4" t="str">
        <f>IF($A74="","",IF(INDEX(tbl_plan[計画状態],ROW()-1)="キャンセル","キャンセル",IF(K74=0,"発送済",IF(L74&gt;0,"要搬出","OK"))))</f>
        <v/>
      </c>
    </row>
    <row r="75" spans="1:13" ht="15" x14ac:dyDescent="0.25">
      <c r="A75" s="4" t="str">
        <f>IFERROR(INDEX(tbl_plan[ロットID],ROW()-1),"")</f>
        <v/>
      </c>
      <c r="B75" s="4" t="str">
        <f>IF($A75="","",INDEX(tbl_plan[品番],ROW()-1))</f>
        <v/>
      </c>
      <c r="C75" s="5" t="str">
        <f>IF($A75="","",INDEX(tbl_plan[出荷週],ROW()-1))</f>
        <v/>
      </c>
      <c r="D75" s="4" t="str">
        <f>IF($A75="","",INDEX(tbl_plan[納期先],ROW()-1)&amp;"")</f>
        <v/>
      </c>
      <c r="E75" s="4" t="str">
        <f>IF($A75="","",INDEX(tbl_plan[必要数],ROW()-1))</f>
        <v/>
      </c>
      <c r="F75" s="4" t="str">
        <f>IF($A75="","",SUMIFS(tbl_plan[必要数],tbl_plan[ロットID],$A75,tbl_plan[計画状態],"有効"))</f>
        <v/>
      </c>
      <c r="G75" s="4" t="str">
        <f>IF($A75="","",SUMIFS(tbl_ledger[数量],tbl_ledger[ロットID],$A75,tbl_ledger[イベント種類],"発送"))</f>
        <v/>
      </c>
      <c r="H75" s="4" t="str">
        <f>IF($A75="","",SUMIFS(tbl_ledger[数量],tbl_ledger[ロットID],$A75,tbl_ledger[イベント種類],"搬入")+SUMIFS(tbl_ledger[数量],tbl_ledger[充当先ロットID],$A75,tbl_ledger[イベント種類],"充当")-SUMIFS(tbl_ledger[数量],tbl_ledger[ロットID],$A75,tbl_ledger[イベント種類],"充当")-SUMIFS(tbl_ledger[数量],tbl_ledger[ロットID],$A75,tbl_ledger[イベント種類],"発送")-SUMIFS(tbl_ledger[数量],tbl_ledger[ロットID],$A75,tbl_ledger[イベント種類],"倉庫A戻し")-SUMIFS(tbl_ledger[数量],tbl_ledger[ロットID],$A75,tbl_ledger[イベント種類],"余剰化")-SUMIFS(tbl_ledger[数量],tbl_ledger[ロットID],$A75,tbl_ledger[イベント種類],"不良発生"))</f>
        <v/>
      </c>
      <c r="I75" s="4" t="str">
        <f>IF($A75="","",SUMIFS(tbl_ledger[数量],tbl_ledger[品番],$B75,tbl_ledger[イベント種類],"余剰化")+SUMIFS(tbl_ledger[数量],tbl_ledger[品番],$B75,tbl_ledger[イベント種類],"搬入",tbl_ledger[ロットID],"=")-SUMIFS(tbl_ledger[数量],tbl_ledger[品番],$B75,tbl_ledger[イベント種類],"充当",tbl_ledger[ロットID],"=")-SUMIFS(tbl_ledger[数量],tbl_ledger[品番],$B75,tbl_ledger[イベント種類],"発送",tbl_ledger[ロットID],"=")-SUMIFS(tbl_ledger[数量],tbl_ledger[品番],$B75,tbl_ledger[イベント種類],"倉庫A戻し",tbl_ledger[ロットID],"=")-SUMIFS(tbl_ledger[数量],tbl_ledger[品番],$B75,tbl_ledger[イベント種類],"不良発生",tbl_ledger[ロットID],"="))</f>
        <v/>
      </c>
      <c r="J75" s="4" t="str">
        <f t="shared" si="3"/>
        <v/>
      </c>
      <c r="K75" s="4" t="str">
        <f t="shared" si="4"/>
        <v/>
      </c>
      <c r="L75" s="4" t="str">
        <f t="shared" si="5"/>
        <v/>
      </c>
      <c r="M75" s="4" t="str">
        <f>IF($A75="","",IF(INDEX(tbl_plan[計画状態],ROW()-1)="キャンセル","キャンセル",IF(K75=0,"発送済",IF(L75&gt;0,"要搬出","OK"))))</f>
        <v/>
      </c>
    </row>
    <row r="76" spans="1:13" ht="15" x14ac:dyDescent="0.25">
      <c r="A76" s="4" t="str">
        <f>IFERROR(INDEX(tbl_plan[ロットID],ROW()-1),"")</f>
        <v/>
      </c>
      <c r="B76" s="4" t="str">
        <f>IF($A76="","",INDEX(tbl_plan[品番],ROW()-1))</f>
        <v/>
      </c>
      <c r="C76" s="5" t="str">
        <f>IF($A76="","",INDEX(tbl_plan[出荷週],ROW()-1))</f>
        <v/>
      </c>
      <c r="D76" s="4" t="str">
        <f>IF($A76="","",INDEX(tbl_plan[納期先],ROW()-1)&amp;"")</f>
        <v/>
      </c>
      <c r="E76" s="4" t="str">
        <f>IF($A76="","",INDEX(tbl_plan[必要数],ROW()-1))</f>
        <v/>
      </c>
      <c r="F76" s="4" t="str">
        <f>IF($A76="","",SUMIFS(tbl_plan[必要数],tbl_plan[ロットID],$A76,tbl_plan[計画状態],"有効"))</f>
        <v/>
      </c>
      <c r="G76" s="4" t="str">
        <f>IF($A76="","",SUMIFS(tbl_ledger[数量],tbl_ledger[ロットID],$A76,tbl_ledger[イベント種類],"発送"))</f>
        <v/>
      </c>
      <c r="H76" s="4" t="str">
        <f>IF($A76="","",SUMIFS(tbl_ledger[数量],tbl_ledger[ロットID],$A76,tbl_ledger[イベント種類],"搬入")+SUMIFS(tbl_ledger[数量],tbl_ledger[充当先ロットID],$A76,tbl_ledger[イベント種類],"充当")-SUMIFS(tbl_ledger[数量],tbl_ledger[ロットID],$A76,tbl_ledger[イベント種類],"充当")-SUMIFS(tbl_ledger[数量],tbl_ledger[ロットID],$A76,tbl_ledger[イベント種類],"発送")-SUMIFS(tbl_ledger[数量],tbl_ledger[ロットID],$A76,tbl_ledger[イベント種類],"倉庫A戻し")-SUMIFS(tbl_ledger[数量],tbl_ledger[ロットID],$A76,tbl_ledger[イベント種類],"余剰化")-SUMIFS(tbl_ledger[数量],tbl_ledger[ロットID],$A76,tbl_ledger[イベント種類],"不良発生"))</f>
        <v/>
      </c>
      <c r="I76" s="4" t="str">
        <f>IF($A76="","",SUMIFS(tbl_ledger[数量],tbl_ledger[品番],$B76,tbl_ledger[イベント種類],"余剰化")+SUMIFS(tbl_ledger[数量],tbl_ledger[品番],$B76,tbl_ledger[イベント種類],"搬入",tbl_ledger[ロットID],"=")-SUMIFS(tbl_ledger[数量],tbl_ledger[品番],$B76,tbl_ledger[イベント種類],"充当",tbl_ledger[ロットID],"=")-SUMIFS(tbl_ledger[数量],tbl_ledger[品番],$B76,tbl_ledger[イベント種類],"発送",tbl_ledger[ロットID],"=")-SUMIFS(tbl_ledger[数量],tbl_ledger[品番],$B76,tbl_ledger[イベント種類],"倉庫A戻し",tbl_ledger[ロットID],"=")-SUMIFS(tbl_ledger[数量],tbl_ledger[品番],$B76,tbl_ledger[イベント種類],"不良発生",tbl_ledger[ロットID],"="))</f>
        <v/>
      </c>
      <c r="J76" s="4" t="str">
        <f t="shared" si="3"/>
        <v/>
      </c>
      <c r="K76" s="4" t="str">
        <f t="shared" si="4"/>
        <v/>
      </c>
      <c r="L76" s="4" t="str">
        <f t="shared" si="5"/>
        <v/>
      </c>
      <c r="M76" s="4" t="str">
        <f>IF($A76="","",IF(INDEX(tbl_plan[計画状態],ROW()-1)="キャンセル","キャンセル",IF(K76=0,"発送済",IF(L76&gt;0,"要搬出","OK"))))</f>
        <v/>
      </c>
    </row>
    <row r="77" spans="1:13" ht="15" x14ac:dyDescent="0.25">
      <c r="A77" s="4" t="str">
        <f>IFERROR(INDEX(tbl_plan[ロットID],ROW()-1),"")</f>
        <v/>
      </c>
      <c r="B77" s="4" t="str">
        <f>IF($A77="","",INDEX(tbl_plan[品番],ROW()-1))</f>
        <v/>
      </c>
      <c r="C77" s="5" t="str">
        <f>IF($A77="","",INDEX(tbl_plan[出荷週],ROW()-1))</f>
        <v/>
      </c>
      <c r="D77" s="4" t="str">
        <f>IF($A77="","",INDEX(tbl_plan[納期先],ROW()-1)&amp;"")</f>
        <v/>
      </c>
      <c r="E77" s="4" t="str">
        <f>IF($A77="","",INDEX(tbl_plan[必要数],ROW()-1))</f>
        <v/>
      </c>
      <c r="F77" s="4" t="str">
        <f>IF($A77="","",SUMIFS(tbl_plan[必要数],tbl_plan[ロットID],$A77,tbl_plan[計画状態],"有効"))</f>
        <v/>
      </c>
      <c r="G77" s="4" t="str">
        <f>IF($A77="","",SUMIFS(tbl_ledger[数量],tbl_ledger[ロットID],$A77,tbl_ledger[イベント種類],"発送"))</f>
        <v/>
      </c>
      <c r="H77" s="4" t="str">
        <f>IF($A77="","",SUMIFS(tbl_ledger[数量],tbl_ledger[ロットID],$A77,tbl_ledger[イベント種類],"搬入")+SUMIFS(tbl_ledger[数量],tbl_ledger[充当先ロットID],$A77,tbl_ledger[イベント種類],"充当")-SUMIFS(tbl_ledger[数量],tbl_ledger[ロットID],$A77,tbl_ledger[イベント種類],"充当")-SUMIFS(tbl_ledger[数量],tbl_ledger[ロットID],$A77,tbl_ledger[イベント種類],"発送")-SUMIFS(tbl_ledger[数量],tbl_ledger[ロットID],$A77,tbl_ledger[イベント種類],"倉庫A戻し")-SUMIFS(tbl_ledger[数量],tbl_ledger[ロットID],$A77,tbl_ledger[イベント種類],"余剰化")-SUMIFS(tbl_ledger[数量],tbl_ledger[ロットID],$A77,tbl_ledger[イベント種類],"不良発生"))</f>
        <v/>
      </c>
      <c r="I77" s="4" t="str">
        <f>IF($A77="","",SUMIFS(tbl_ledger[数量],tbl_ledger[品番],$B77,tbl_ledger[イベント種類],"余剰化")+SUMIFS(tbl_ledger[数量],tbl_ledger[品番],$B77,tbl_ledger[イベント種類],"搬入",tbl_ledger[ロットID],"=")-SUMIFS(tbl_ledger[数量],tbl_ledger[品番],$B77,tbl_ledger[イベント種類],"充当",tbl_ledger[ロットID],"=")-SUMIFS(tbl_ledger[数量],tbl_ledger[品番],$B77,tbl_ledger[イベント種類],"発送",tbl_ledger[ロットID],"=")-SUMIFS(tbl_ledger[数量],tbl_ledger[品番],$B77,tbl_ledger[イベント種類],"倉庫A戻し",tbl_ledger[ロットID],"=")-SUMIFS(tbl_ledger[数量],tbl_ledger[品番],$B77,tbl_ledger[イベント種類],"不良発生",tbl_ledger[ロットID],"="))</f>
        <v/>
      </c>
      <c r="J77" s="4" t="str">
        <f t="shared" si="3"/>
        <v/>
      </c>
      <c r="K77" s="4" t="str">
        <f t="shared" si="4"/>
        <v/>
      </c>
      <c r="L77" s="4" t="str">
        <f t="shared" si="5"/>
        <v/>
      </c>
      <c r="M77" s="4" t="str">
        <f>IF($A77="","",IF(INDEX(tbl_plan[計画状態],ROW()-1)="キャンセル","キャンセル",IF(K77=0,"発送済",IF(L77&gt;0,"要搬出","OK"))))</f>
        <v/>
      </c>
    </row>
    <row r="78" spans="1:13" ht="15" x14ac:dyDescent="0.25">
      <c r="A78" s="4" t="str">
        <f>IFERROR(INDEX(tbl_plan[ロットID],ROW()-1),"")</f>
        <v/>
      </c>
      <c r="B78" s="4" t="str">
        <f>IF($A78="","",INDEX(tbl_plan[品番],ROW()-1))</f>
        <v/>
      </c>
      <c r="C78" s="5" t="str">
        <f>IF($A78="","",INDEX(tbl_plan[出荷週],ROW()-1))</f>
        <v/>
      </c>
      <c r="D78" s="4" t="str">
        <f>IF($A78="","",INDEX(tbl_plan[納期先],ROW()-1)&amp;"")</f>
        <v/>
      </c>
      <c r="E78" s="4" t="str">
        <f>IF($A78="","",INDEX(tbl_plan[必要数],ROW()-1))</f>
        <v/>
      </c>
      <c r="F78" s="4" t="str">
        <f>IF($A78="","",SUMIFS(tbl_plan[必要数],tbl_plan[ロットID],$A78,tbl_plan[計画状態],"有効"))</f>
        <v/>
      </c>
      <c r="G78" s="4" t="str">
        <f>IF($A78="","",SUMIFS(tbl_ledger[数量],tbl_ledger[ロットID],$A78,tbl_ledger[イベント種類],"発送"))</f>
        <v/>
      </c>
      <c r="H78" s="4" t="str">
        <f>IF($A78="","",SUMIFS(tbl_ledger[数量],tbl_ledger[ロットID],$A78,tbl_ledger[イベント種類],"搬入")+SUMIFS(tbl_ledger[数量],tbl_ledger[充当先ロットID],$A78,tbl_ledger[イベント種類],"充当")-SUMIFS(tbl_ledger[数量],tbl_ledger[ロットID],$A78,tbl_ledger[イベント種類],"充当")-SUMIFS(tbl_ledger[数量],tbl_ledger[ロットID],$A78,tbl_ledger[イベント種類],"発送")-SUMIFS(tbl_ledger[数量],tbl_ledger[ロットID],$A78,tbl_ledger[イベント種類],"倉庫A戻し")-SUMIFS(tbl_ledger[数量],tbl_ledger[ロットID],$A78,tbl_ledger[イベント種類],"余剰化")-SUMIFS(tbl_ledger[数量],tbl_ledger[ロットID],$A78,tbl_ledger[イベント種類],"不良発生"))</f>
        <v/>
      </c>
      <c r="I78" s="4" t="str">
        <f>IF($A78="","",SUMIFS(tbl_ledger[数量],tbl_ledger[品番],$B78,tbl_ledger[イベント種類],"余剰化")+SUMIFS(tbl_ledger[数量],tbl_ledger[品番],$B78,tbl_ledger[イベント種類],"搬入",tbl_ledger[ロットID],"=")-SUMIFS(tbl_ledger[数量],tbl_ledger[品番],$B78,tbl_ledger[イベント種類],"充当",tbl_ledger[ロットID],"=")-SUMIFS(tbl_ledger[数量],tbl_ledger[品番],$B78,tbl_ledger[イベント種類],"発送",tbl_ledger[ロットID],"=")-SUMIFS(tbl_ledger[数量],tbl_ledger[品番],$B78,tbl_ledger[イベント種類],"倉庫A戻し",tbl_ledger[ロットID],"=")-SUMIFS(tbl_ledger[数量],tbl_ledger[品番],$B78,tbl_ledger[イベント種類],"不良発生",tbl_ledger[ロットID],"="))</f>
        <v/>
      </c>
      <c r="J78" s="4" t="str">
        <f t="shared" si="3"/>
        <v/>
      </c>
      <c r="K78" s="4" t="str">
        <f t="shared" si="4"/>
        <v/>
      </c>
      <c r="L78" s="4" t="str">
        <f t="shared" si="5"/>
        <v/>
      </c>
      <c r="M78" s="4" t="str">
        <f>IF($A78="","",IF(INDEX(tbl_plan[計画状態],ROW()-1)="キャンセル","キャンセル",IF(K78=0,"発送済",IF(L78&gt;0,"要搬出","OK"))))</f>
        <v/>
      </c>
    </row>
    <row r="79" spans="1:13" ht="15" x14ac:dyDescent="0.25">
      <c r="A79" s="4" t="str">
        <f>IFERROR(INDEX(tbl_plan[ロットID],ROW()-1),"")</f>
        <v/>
      </c>
      <c r="B79" s="4" t="str">
        <f>IF($A79="","",INDEX(tbl_plan[品番],ROW()-1))</f>
        <v/>
      </c>
      <c r="C79" s="5" t="str">
        <f>IF($A79="","",INDEX(tbl_plan[出荷週],ROW()-1))</f>
        <v/>
      </c>
      <c r="D79" s="4" t="str">
        <f>IF($A79="","",INDEX(tbl_plan[納期先],ROW()-1)&amp;"")</f>
        <v/>
      </c>
      <c r="E79" s="4" t="str">
        <f>IF($A79="","",INDEX(tbl_plan[必要数],ROW()-1))</f>
        <v/>
      </c>
      <c r="F79" s="4" t="str">
        <f>IF($A79="","",SUMIFS(tbl_plan[必要数],tbl_plan[ロットID],$A79,tbl_plan[計画状態],"有効"))</f>
        <v/>
      </c>
      <c r="G79" s="4" t="str">
        <f>IF($A79="","",SUMIFS(tbl_ledger[数量],tbl_ledger[ロットID],$A79,tbl_ledger[イベント種類],"発送"))</f>
        <v/>
      </c>
      <c r="H79" s="4" t="str">
        <f>IF($A79="","",SUMIFS(tbl_ledger[数量],tbl_ledger[ロットID],$A79,tbl_ledger[イベント種類],"搬入")+SUMIFS(tbl_ledger[数量],tbl_ledger[充当先ロットID],$A79,tbl_ledger[イベント種類],"充当")-SUMIFS(tbl_ledger[数量],tbl_ledger[ロットID],$A79,tbl_ledger[イベント種類],"充当")-SUMIFS(tbl_ledger[数量],tbl_ledger[ロットID],$A79,tbl_ledger[イベント種類],"発送")-SUMIFS(tbl_ledger[数量],tbl_ledger[ロットID],$A79,tbl_ledger[イベント種類],"倉庫A戻し")-SUMIFS(tbl_ledger[数量],tbl_ledger[ロットID],$A79,tbl_ledger[イベント種類],"余剰化")-SUMIFS(tbl_ledger[数量],tbl_ledger[ロットID],$A79,tbl_ledger[イベント種類],"不良発生"))</f>
        <v/>
      </c>
      <c r="I79" s="4" t="str">
        <f>IF($A79="","",SUMIFS(tbl_ledger[数量],tbl_ledger[品番],$B79,tbl_ledger[イベント種類],"余剰化")+SUMIFS(tbl_ledger[数量],tbl_ledger[品番],$B79,tbl_ledger[イベント種類],"搬入",tbl_ledger[ロットID],"=")-SUMIFS(tbl_ledger[数量],tbl_ledger[品番],$B79,tbl_ledger[イベント種類],"充当",tbl_ledger[ロットID],"=")-SUMIFS(tbl_ledger[数量],tbl_ledger[品番],$B79,tbl_ledger[イベント種類],"発送",tbl_ledger[ロットID],"=")-SUMIFS(tbl_ledger[数量],tbl_ledger[品番],$B79,tbl_ledger[イベント種類],"倉庫A戻し",tbl_ledger[ロットID],"=")-SUMIFS(tbl_ledger[数量],tbl_ledger[品番],$B79,tbl_ledger[イベント種類],"不良発生",tbl_ledger[ロットID],"="))</f>
        <v/>
      </c>
      <c r="J79" s="4" t="str">
        <f t="shared" si="3"/>
        <v/>
      </c>
      <c r="K79" s="4" t="str">
        <f t="shared" si="4"/>
        <v/>
      </c>
      <c r="L79" s="4" t="str">
        <f t="shared" si="5"/>
        <v/>
      </c>
      <c r="M79" s="4" t="str">
        <f>IF($A79="","",IF(INDEX(tbl_plan[計画状態],ROW()-1)="キャンセル","キャンセル",IF(K79=0,"発送済",IF(L79&gt;0,"要搬出","OK"))))</f>
        <v/>
      </c>
    </row>
    <row r="80" spans="1:13" ht="15" x14ac:dyDescent="0.25">
      <c r="A80" s="4" t="str">
        <f>IFERROR(INDEX(tbl_plan[ロットID],ROW()-1),"")</f>
        <v/>
      </c>
      <c r="B80" s="4" t="str">
        <f>IF($A80="","",INDEX(tbl_plan[品番],ROW()-1))</f>
        <v/>
      </c>
      <c r="C80" s="5" t="str">
        <f>IF($A80="","",INDEX(tbl_plan[出荷週],ROW()-1))</f>
        <v/>
      </c>
      <c r="D80" s="4" t="str">
        <f>IF($A80="","",INDEX(tbl_plan[納期先],ROW()-1)&amp;"")</f>
        <v/>
      </c>
      <c r="E80" s="4" t="str">
        <f>IF($A80="","",INDEX(tbl_plan[必要数],ROW()-1))</f>
        <v/>
      </c>
      <c r="F80" s="4" t="str">
        <f>IF($A80="","",SUMIFS(tbl_plan[必要数],tbl_plan[ロットID],$A80,tbl_plan[計画状態],"有効"))</f>
        <v/>
      </c>
      <c r="G80" s="4" t="str">
        <f>IF($A80="","",SUMIFS(tbl_ledger[数量],tbl_ledger[ロットID],$A80,tbl_ledger[イベント種類],"発送"))</f>
        <v/>
      </c>
      <c r="H80" s="4" t="str">
        <f>IF($A80="","",SUMIFS(tbl_ledger[数量],tbl_ledger[ロットID],$A80,tbl_ledger[イベント種類],"搬入")+SUMIFS(tbl_ledger[数量],tbl_ledger[充当先ロットID],$A80,tbl_ledger[イベント種類],"充当")-SUMIFS(tbl_ledger[数量],tbl_ledger[ロットID],$A80,tbl_ledger[イベント種類],"充当")-SUMIFS(tbl_ledger[数量],tbl_ledger[ロットID],$A80,tbl_ledger[イベント種類],"発送")-SUMIFS(tbl_ledger[数量],tbl_ledger[ロットID],$A80,tbl_ledger[イベント種類],"倉庫A戻し")-SUMIFS(tbl_ledger[数量],tbl_ledger[ロットID],$A80,tbl_ledger[イベント種類],"余剰化")-SUMIFS(tbl_ledger[数量],tbl_ledger[ロットID],$A80,tbl_ledger[イベント種類],"不良発生"))</f>
        <v/>
      </c>
      <c r="I80" s="4" t="str">
        <f>IF($A80="","",SUMIFS(tbl_ledger[数量],tbl_ledger[品番],$B80,tbl_ledger[イベント種類],"余剰化")+SUMIFS(tbl_ledger[数量],tbl_ledger[品番],$B80,tbl_ledger[イベント種類],"搬入",tbl_ledger[ロットID],"=")-SUMIFS(tbl_ledger[数量],tbl_ledger[品番],$B80,tbl_ledger[イベント種類],"充当",tbl_ledger[ロットID],"=")-SUMIFS(tbl_ledger[数量],tbl_ledger[品番],$B80,tbl_ledger[イベント種類],"発送",tbl_ledger[ロットID],"=")-SUMIFS(tbl_ledger[数量],tbl_ledger[品番],$B80,tbl_ledger[イベント種類],"倉庫A戻し",tbl_ledger[ロットID],"=")-SUMIFS(tbl_ledger[数量],tbl_ledger[品番],$B80,tbl_ledger[イベント種類],"不良発生",tbl_ledger[ロットID],"="))</f>
        <v/>
      </c>
      <c r="J80" s="4" t="str">
        <f t="shared" si="3"/>
        <v/>
      </c>
      <c r="K80" s="4" t="str">
        <f t="shared" si="4"/>
        <v/>
      </c>
      <c r="L80" s="4" t="str">
        <f t="shared" si="5"/>
        <v/>
      </c>
      <c r="M80" s="4" t="str">
        <f>IF($A80="","",IF(INDEX(tbl_plan[計画状態],ROW()-1)="キャンセル","キャンセル",IF(K80=0,"発送済",IF(L80&gt;0,"要搬出","OK"))))</f>
        <v/>
      </c>
    </row>
    <row r="81" spans="1:13" ht="15" x14ac:dyDescent="0.25">
      <c r="A81" s="4" t="str">
        <f>IFERROR(INDEX(tbl_plan[ロットID],ROW()-1),"")</f>
        <v/>
      </c>
      <c r="B81" s="4" t="str">
        <f>IF($A81="","",INDEX(tbl_plan[品番],ROW()-1))</f>
        <v/>
      </c>
      <c r="C81" s="5" t="str">
        <f>IF($A81="","",INDEX(tbl_plan[出荷週],ROW()-1))</f>
        <v/>
      </c>
      <c r="D81" s="4" t="str">
        <f>IF($A81="","",INDEX(tbl_plan[納期先],ROW()-1)&amp;"")</f>
        <v/>
      </c>
      <c r="E81" s="4" t="str">
        <f>IF($A81="","",INDEX(tbl_plan[必要数],ROW()-1))</f>
        <v/>
      </c>
      <c r="F81" s="4" t="str">
        <f>IF($A81="","",SUMIFS(tbl_plan[必要数],tbl_plan[ロットID],$A81,tbl_plan[計画状態],"有効"))</f>
        <v/>
      </c>
      <c r="G81" s="4" t="str">
        <f>IF($A81="","",SUMIFS(tbl_ledger[数量],tbl_ledger[ロットID],$A81,tbl_ledger[イベント種類],"発送"))</f>
        <v/>
      </c>
      <c r="H81" s="4" t="str">
        <f>IF($A81="","",SUMIFS(tbl_ledger[数量],tbl_ledger[ロットID],$A81,tbl_ledger[イベント種類],"搬入")+SUMIFS(tbl_ledger[数量],tbl_ledger[充当先ロットID],$A81,tbl_ledger[イベント種類],"充当")-SUMIFS(tbl_ledger[数量],tbl_ledger[ロットID],$A81,tbl_ledger[イベント種類],"充当")-SUMIFS(tbl_ledger[数量],tbl_ledger[ロットID],$A81,tbl_ledger[イベント種類],"発送")-SUMIFS(tbl_ledger[数量],tbl_ledger[ロットID],$A81,tbl_ledger[イベント種類],"倉庫A戻し")-SUMIFS(tbl_ledger[数量],tbl_ledger[ロットID],$A81,tbl_ledger[イベント種類],"余剰化")-SUMIFS(tbl_ledger[数量],tbl_ledger[ロットID],$A81,tbl_ledger[イベント種類],"不良発生"))</f>
        <v/>
      </c>
      <c r="I81" s="4" t="str">
        <f>IF($A81="","",SUMIFS(tbl_ledger[数量],tbl_ledger[品番],$B81,tbl_ledger[イベント種類],"余剰化")+SUMIFS(tbl_ledger[数量],tbl_ledger[品番],$B81,tbl_ledger[イベント種類],"搬入",tbl_ledger[ロットID],"=")-SUMIFS(tbl_ledger[数量],tbl_ledger[品番],$B81,tbl_ledger[イベント種類],"充当",tbl_ledger[ロットID],"=")-SUMIFS(tbl_ledger[数量],tbl_ledger[品番],$B81,tbl_ledger[イベント種類],"発送",tbl_ledger[ロットID],"=")-SUMIFS(tbl_ledger[数量],tbl_ledger[品番],$B81,tbl_ledger[イベント種類],"倉庫A戻し",tbl_ledger[ロットID],"=")-SUMIFS(tbl_ledger[数量],tbl_ledger[品番],$B81,tbl_ledger[イベント種類],"不良発生",tbl_ledger[ロットID],"="))</f>
        <v/>
      </c>
      <c r="J81" s="4" t="str">
        <f t="shared" si="3"/>
        <v/>
      </c>
      <c r="K81" s="4" t="str">
        <f t="shared" si="4"/>
        <v/>
      </c>
      <c r="L81" s="4" t="str">
        <f t="shared" si="5"/>
        <v/>
      </c>
      <c r="M81" s="4" t="str">
        <f>IF($A81="","",IF(INDEX(tbl_plan[計画状態],ROW()-1)="キャンセル","キャンセル",IF(K81=0,"発送済",IF(L81&gt;0,"要搬出","OK"))))</f>
        <v/>
      </c>
    </row>
    <row r="82" spans="1:13" ht="15" x14ac:dyDescent="0.25">
      <c r="A82" s="4" t="str">
        <f>IFERROR(INDEX(tbl_plan[ロットID],ROW()-1),"")</f>
        <v/>
      </c>
      <c r="B82" s="4" t="str">
        <f>IF($A82="","",INDEX(tbl_plan[品番],ROW()-1))</f>
        <v/>
      </c>
      <c r="C82" s="5" t="str">
        <f>IF($A82="","",INDEX(tbl_plan[出荷週],ROW()-1))</f>
        <v/>
      </c>
      <c r="D82" s="4" t="str">
        <f>IF($A82="","",INDEX(tbl_plan[納期先],ROW()-1)&amp;"")</f>
        <v/>
      </c>
      <c r="E82" s="4" t="str">
        <f>IF($A82="","",INDEX(tbl_plan[必要数],ROW()-1))</f>
        <v/>
      </c>
      <c r="F82" s="4" t="str">
        <f>IF($A82="","",SUMIFS(tbl_plan[必要数],tbl_plan[ロットID],$A82,tbl_plan[計画状態],"有効"))</f>
        <v/>
      </c>
      <c r="G82" s="4" t="str">
        <f>IF($A82="","",SUMIFS(tbl_ledger[数量],tbl_ledger[ロットID],$A82,tbl_ledger[イベント種類],"発送"))</f>
        <v/>
      </c>
      <c r="H82" s="4" t="str">
        <f>IF($A82="","",SUMIFS(tbl_ledger[数量],tbl_ledger[ロットID],$A82,tbl_ledger[イベント種類],"搬入")+SUMIFS(tbl_ledger[数量],tbl_ledger[充当先ロットID],$A82,tbl_ledger[イベント種類],"充当")-SUMIFS(tbl_ledger[数量],tbl_ledger[ロットID],$A82,tbl_ledger[イベント種類],"充当")-SUMIFS(tbl_ledger[数量],tbl_ledger[ロットID],$A82,tbl_ledger[イベント種類],"発送")-SUMIFS(tbl_ledger[数量],tbl_ledger[ロットID],$A82,tbl_ledger[イベント種類],"倉庫A戻し")-SUMIFS(tbl_ledger[数量],tbl_ledger[ロットID],$A82,tbl_ledger[イベント種類],"余剰化")-SUMIFS(tbl_ledger[数量],tbl_ledger[ロットID],$A82,tbl_ledger[イベント種類],"不良発生"))</f>
        <v/>
      </c>
      <c r="I82" s="4" t="str">
        <f>IF($A82="","",SUMIFS(tbl_ledger[数量],tbl_ledger[品番],$B82,tbl_ledger[イベント種類],"余剰化")+SUMIFS(tbl_ledger[数量],tbl_ledger[品番],$B82,tbl_ledger[イベント種類],"搬入",tbl_ledger[ロットID],"=")-SUMIFS(tbl_ledger[数量],tbl_ledger[品番],$B82,tbl_ledger[イベント種類],"充当",tbl_ledger[ロットID],"=")-SUMIFS(tbl_ledger[数量],tbl_ledger[品番],$B82,tbl_ledger[イベント種類],"発送",tbl_ledger[ロットID],"=")-SUMIFS(tbl_ledger[数量],tbl_ledger[品番],$B82,tbl_ledger[イベント種類],"倉庫A戻し",tbl_ledger[ロットID],"=")-SUMIFS(tbl_ledger[数量],tbl_ledger[品番],$B82,tbl_ledger[イベント種類],"不良発生",tbl_ledger[ロットID],"="))</f>
        <v/>
      </c>
      <c r="J82" s="4" t="str">
        <f t="shared" si="3"/>
        <v/>
      </c>
      <c r="K82" s="4" t="str">
        <f t="shared" si="4"/>
        <v/>
      </c>
      <c r="L82" s="4" t="str">
        <f t="shared" si="5"/>
        <v/>
      </c>
      <c r="M82" s="4" t="str">
        <f>IF($A82="","",IF(INDEX(tbl_plan[計画状態],ROW()-1)="キャンセル","キャンセル",IF(K82=0,"発送済",IF(L82&gt;0,"要搬出","OK"))))</f>
        <v/>
      </c>
    </row>
    <row r="83" spans="1:13" ht="15" x14ac:dyDescent="0.25">
      <c r="A83" s="4" t="str">
        <f>IFERROR(INDEX(tbl_plan[ロットID],ROW()-1),"")</f>
        <v/>
      </c>
      <c r="B83" s="4" t="str">
        <f>IF($A83="","",INDEX(tbl_plan[品番],ROW()-1))</f>
        <v/>
      </c>
      <c r="C83" s="5" t="str">
        <f>IF($A83="","",INDEX(tbl_plan[出荷週],ROW()-1))</f>
        <v/>
      </c>
      <c r="D83" s="4" t="str">
        <f>IF($A83="","",INDEX(tbl_plan[納期先],ROW()-1)&amp;"")</f>
        <v/>
      </c>
      <c r="E83" s="4" t="str">
        <f>IF($A83="","",INDEX(tbl_plan[必要数],ROW()-1))</f>
        <v/>
      </c>
      <c r="F83" s="4" t="str">
        <f>IF($A83="","",SUMIFS(tbl_plan[必要数],tbl_plan[ロットID],$A83,tbl_plan[計画状態],"有効"))</f>
        <v/>
      </c>
      <c r="G83" s="4" t="str">
        <f>IF($A83="","",SUMIFS(tbl_ledger[数量],tbl_ledger[ロットID],$A83,tbl_ledger[イベント種類],"発送"))</f>
        <v/>
      </c>
      <c r="H83" s="4" t="str">
        <f>IF($A83="","",SUMIFS(tbl_ledger[数量],tbl_ledger[ロットID],$A83,tbl_ledger[イベント種類],"搬入")+SUMIFS(tbl_ledger[数量],tbl_ledger[充当先ロットID],$A83,tbl_ledger[イベント種類],"充当")-SUMIFS(tbl_ledger[数量],tbl_ledger[ロットID],$A83,tbl_ledger[イベント種類],"充当")-SUMIFS(tbl_ledger[数量],tbl_ledger[ロットID],$A83,tbl_ledger[イベント種類],"発送")-SUMIFS(tbl_ledger[数量],tbl_ledger[ロットID],$A83,tbl_ledger[イベント種類],"倉庫A戻し")-SUMIFS(tbl_ledger[数量],tbl_ledger[ロットID],$A83,tbl_ledger[イベント種類],"余剰化")-SUMIFS(tbl_ledger[数量],tbl_ledger[ロットID],$A83,tbl_ledger[イベント種類],"不良発生"))</f>
        <v/>
      </c>
      <c r="I83" s="4" t="str">
        <f>IF($A83="","",SUMIFS(tbl_ledger[数量],tbl_ledger[品番],$B83,tbl_ledger[イベント種類],"余剰化")+SUMIFS(tbl_ledger[数量],tbl_ledger[品番],$B83,tbl_ledger[イベント種類],"搬入",tbl_ledger[ロットID],"=")-SUMIFS(tbl_ledger[数量],tbl_ledger[品番],$B83,tbl_ledger[イベント種類],"充当",tbl_ledger[ロットID],"=")-SUMIFS(tbl_ledger[数量],tbl_ledger[品番],$B83,tbl_ledger[イベント種類],"発送",tbl_ledger[ロットID],"=")-SUMIFS(tbl_ledger[数量],tbl_ledger[品番],$B83,tbl_ledger[イベント種類],"倉庫A戻し",tbl_ledger[ロットID],"=")-SUMIFS(tbl_ledger[数量],tbl_ledger[品番],$B83,tbl_ledger[イベント種類],"不良発生",tbl_ledger[ロットID],"="))</f>
        <v/>
      </c>
      <c r="J83" s="4" t="str">
        <f t="shared" si="3"/>
        <v/>
      </c>
      <c r="K83" s="4" t="str">
        <f t="shared" si="4"/>
        <v/>
      </c>
      <c r="L83" s="4" t="str">
        <f t="shared" si="5"/>
        <v/>
      </c>
      <c r="M83" s="4" t="str">
        <f>IF($A83="","",IF(INDEX(tbl_plan[計画状態],ROW()-1)="キャンセル","キャンセル",IF(K83=0,"発送済",IF(L83&gt;0,"要搬出","OK"))))</f>
        <v/>
      </c>
    </row>
    <row r="84" spans="1:13" ht="15" x14ac:dyDescent="0.25">
      <c r="A84" s="4" t="str">
        <f>IFERROR(INDEX(tbl_plan[ロットID],ROW()-1),"")</f>
        <v/>
      </c>
      <c r="B84" s="4" t="str">
        <f>IF($A84="","",INDEX(tbl_plan[品番],ROW()-1))</f>
        <v/>
      </c>
      <c r="C84" s="5" t="str">
        <f>IF($A84="","",INDEX(tbl_plan[出荷週],ROW()-1))</f>
        <v/>
      </c>
      <c r="D84" s="4" t="str">
        <f>IF($A84="","",INDEX(tbl_plan[納期先],ROW()-1)&amp;"")</f>
        <v/>
      </c>
      <c r="E84" s="4" t="str">
        <f>IF($A84="","",INDEX(tbl_plan[必要数],ROW()-1))</f>
        <v/>
      </c>
      <c r="F84" s="4" t="str">
        <f>IF($A84="","",SUMIFS(tbl_plan[必要数],tbl_plan[ロットID],$A84,tbl_plan[計画状態],"有効"))</f>
        <v/>
      </c>
      <c r="G84" s="4" t="str">
        <f>IF($A84="","",SUMIFS(tbl_ledger[数量],tbl_ledger[ロットID],$A84,tbl_ledger[イベント種類],"発送"))</f>
        <v/>
      </c>
      <c r="H84" s="4" t="str">
        <f>IF($A84="","",SUMIFS(tbl_ledger[数量],tbl_ledger[ロットID],$A84,tbl_ledger[イベント種類],"搬入")+SUMIFS(tbl_ledger[数量],tbl_ledger[充当先ロットID],$A84,tbl_ledger[イベント種類],"充当")-SUMIFS(tbl_ledger[数量],tbl_ledger[ロットID],$A84,tbl_ledger[イベント種類],"充当")-SUMIFS(tbl_ledger[数量],tbl_ledger[ロットID],$A84,tbl_ledger[イベント種類],"発送")-SUMIFS(tbl_ledger[数量],tbl_ledger[ロットID],$A84,tbl_ledger[イベント種類],"倉庫A戻し")-SUMIFS(tbl_ledger[数量],tbl_ledger[ロットID],$A84,tbl_ledger[イベント種類],"余剰化")-SUMIFS(tbl_ledger[数量],tbl_ledger[ロットID],$A84,tbl_ledger[イベント種類],"不良発生"))</f>
        <v/>
      </c>
      <c r="I84" s="4" t="str">
        <f>IF($A84="","",SUMIFS(tbl_ledger[数量],tbl_ledger[品番],$B84,tbl_ledger[イベント種類],"余剰化")+SUMIFS(tbl_ledger[数量],tbl_ledger[品番],$B84,tbl_ledger[イベント種類],"搬入",tbl_ledger[ロットID],"=")-SUMIFS(tbl_ledger[数量],tbl_ledger[品番],$B84,tbl_ledger[イベント種類],"充当",tbl_ledger[ロットID],"=")-SUMIFS(tbl_ledger[数量],tbl_ledger[品番],$B84,tbl_ledger[イベント種類],"発送",tbl_ledger[ロットID],"=")-SUMIFS(tbl_ledger[数量],tbl_ledger[品番],$B84,tbl_ledger[イベント種類],"倉庫A戻し",tbl_ledger[ロットID],"=")-SUMIFS(tbl_ledger[数量],tbl_ledger[品番],$B84,tbl_ledger[イベント種類],"不良発生",tbl_ledger[ロットID],"="))</f>
        <v/>
      </c>
      <c r="J84" s="4" t="str">
        <f t="shared" si="3"/>
        <v/>
      </c>
      <c r="K84" s="4" t="str">
        <f t="shared" si="4"/>
        <v/>
      </c>
      <c r="L84" s="4" t="str">
        <f t="shared" si="5"/>
        <v/>
      </c>
      <c r="M84" s="4" t="str">
        <f>IF($A84="","",IF(INDEX(tbl_plan[計画状態],ROW()-1)="キャンセル","キャンセル",IF(K84=0,"発送済",IF(L84&gt;0,"要搬出","OK"))))</f>
        <v/>
      </c>
    </row>
    <row r="85" spans="1:13" ht="15" x14ac:dyDescent="0.25">
      <c r="A85" s="4" t="str">
        <f>IFERROR(INDEX(tbl_plan[ロットID],ROW()-1),"")</f>
        <v/>
      </c>
      <c r="B85" s="4" t="str">
        <f>IF($A85="","",INDEX(tbl_plan[品番],ROW()-1))</f>
        <v/>
      </c>
      <c r="C85" s="5" t="str">
        <f>IF($A85="","",INDEX(tbl_plan[出荷週],ROW()-1))</f>
        <v/>
      </c>
      <c r="D85" s="4" t="str">
        <f>IF($A85="","",INDEX(tbl_plan[納期先],ROW()-1)&amp;"")</f>
        <v/>
      </c>
      <c r="E85" s="4" t="str">
        <f>IF($A85="","",INDEX(tbl_plan[必要数],ROW()-1))</f>
        <v/>
      </c>
      <c r="F85" s="4" t="str">
        <f>IF($A85="","",SUMIFS(tbl_plan[必要数],tbl_plan[ロットID],$A85,tbl_plan[計画状態],"有効"))</f>
        <v/>
      </c>
      <c r="G85" s="4" t="str">
        <f>IF($A85="","",SUMIFS(tbl_ledger[数量],tbl_ledger[ロットID],$A85,tbl_ledger[イベント種類],"発送"))</f>
        <v/>
      </c>
      <c r="H85" s="4" t="str">
        <f>IF($A85="","",SUMIFS(tbl_ledger[数量],tbl_ledger[ロットID],$A85,tbl_ledger[イベント種類],"搬入")+SUMIFS(tbl_ledger[数量],tbl_ledger[充当先ロットID],$A85,tbl_ledger[イベント種類],"充当")-SUMIFS(tbl_ledger[数量],tbl_ledger[ロットID],$A85,tbl_ledger[イベント種類],"充当")-SUMIFS(tbl_ledger[数量],tbl_ledger[ロットID],$A85,tbl_ledger[イベント種類],"発送")-SUMIFS(tbl_ledger[数量],tbl_ledger[ロットID],$A85,tbl_ledger[イベント種類],"倉庫A戻し")-SUMIFS(tbl_ledger[数量],tbl_ledger[ロットID],$A85,tbl_ledger[イベント種類],"余剰化")-SUMIFS(tbl_ledger[数量],tbl_ledger[ロットID],$A85,tbl_ledger[イベント種類],"不良発生"))</f>
        <v/>
      </c>
      <c r="I85" s="4" t="str">
        <f>IF($A85="","",SUMIFS(tbl_ledger[数量],tbl_ledger[品番],$B85,tbl_ledger[イベント種類],"余剰化")+SUMIFS(tbl_ledger[数量],tbl_ledger[品番],$B85,tbl_ledger[イベント種類],"搬入",tbl_ledger[ロットID],"=")-SUMIFS(tbl_ledger[数量],tbl_ledger[品番],$B85,tbl_ledger[イベント種類],"充当",tbl_ledger[ロットID],"=")-SUMIFS(tbl_ledger[数量],tbl_ledger[品番],$B85,tbl_ledger[イベント種類],"発送",tbl_ledger[ロットID],"=")-SUMIFS(tbl_ledger[数量],tbl_ledger[品番],$B85,tbl_ledger[イベント種類],"倉庫A戻し",tbl_ledger[ロットID],"=")-SUMIFS(tbl_ledger[数量],tbl_ledger[品番],$B85,tbl_ledger[イベント種類],"不良発生",tbl_ledger[ロットID],"="))</f>
        <v/>
      </c>
      <c r="J85" s="4" t="str">
        <f t="shared" si="3"/>
        <v/>
      </c>
      <c r="K85" s="4" t="str">
        <f t="shared" si="4"/>
        <v/>
      </c>
      <c r="L85" s="4" t="str">
        <f t="shared" si="5"/>
        <v/>
      </c>
      <c r="M85" s="4" t="str">
        <f>IF($A85="","",IF(INDEX(tbl_plan[計画状態],ROW()-1)="キャンセル","キャンセル",IF(K85=0,"発送済",IF(L85&gt;0,"要搬出","OK"))))</f>
        <v/>
      </c>
    </row>
    <row r="86" spans="1:13" ht="15" x14ac:dyDescent="0.25">
      <c r="A86" s="4" t="str">
        <f>IFERROR(INDEX(tbl_plan[ロットID],ROW()-1),"")</f>
        <v/>
      </c>
      <c r="B86" s="4" t="str">
        <f>IF($A86="","",INDEX(tbl_plan[品番],ROW()-1))</f>
        <v/>
      </c>
      <c r="C86" s="5" t="str">
        <f>IF($A86="","",INDEX(tbl_plan[出荷週],ROW()-1))</f>
        <v/>
      </c>
      <c r="D86" s="4" t="str">
        <f>IF($A86="","",INDEX(tbl_plan[納期先],ROW()-1)&amp;"")</f>
        <v/>
      </c>
      <c r="E86" s="4" t="str">
        <f>IF($A86="","",INDEX(tbl_plan[必要数],ROW()-1))</f>
        <v/>
      </c>
      <c r="F86" s="4" t="str">
        <f>IF($A86="","",SUMIFS(tbl_plan[必要数],tbl_plan[ロットID],$A86,tbl_plan[計画状態],"有効"))</f>
        <v/>
      </c>
      <c r="G86" s="4" t="str">
        <f>IF($A86="","",SUMIFS(tbl_ledger[数量],tbl_ledger[ロットID],$A86,tbl_ledger[イベント種類],"発送"))</f>
        <v/>
      </c>
      <c r="H86" s="4" t="str">
        <f>IF($A86="","",SUMIFS(tbl_ledger[数量],tbl_ledger[ロットID],$A86,tbl_ledger[イベント種類],"搬入")+SUMIFS(tbl_ledger[数量],tbl_ledger[充当先ロットID],$A86,tbl_ledger[イベント種類],"充当")-SUMIFS(tbl_ledger[数量],tbl_ledger[ロットID],$A86,tbl_ledger[イベント種類],"充当")-SUMIFS(tbl_ledger[数量],tbl_ledger[ロットID],$A86,tbl_ledger[イベント種類],"発送")-SUMIFS(tbl_ledger[数量],tbl_ledger[ロットID],$A86,tbl_ledger[イベント種類],"倉庫A戻し")-SUMIFS(tbl_ledger[数量],tbl_ledger[ロットID],$A86,tbl_ledger[イベント種類],"余剰化")-SUMIFS(tbl_ledger[数量],tbl_ledger[ロットID],$A86,tbl_ledger[イベント種類],"不良発生"))</f>
        <v/>
      </c>
      <c r="I86" s="4" t="str">
        <f>IF($A86="","",SUMIFS(tbl_ledger[数量],tbl_ledger[品番],$B86,tbl_ledger[イベント種類],"余剰化")+SUMIFS(tbl_ledger[数量],tbl_ledger[品番],$B86,tbl_ledger[イベント種類],"搬入",tbl_ledger[ロットID],"=")-SUMIFS(tbl_ledger[数量],tbl_ledger[品番],$B86,tbl_ledger[イベント種類],"充当",tbl_ledger[ロットID],"=")-SUMIFS(tbl_ledger[数量],tbl_ledger[品番],$B86,tbl_ledger[イベント種類],"発送",tbl_ledger[ロットID],"=")-SUMIFS(tbl_ledger[数量],tbl_ledger[品番],$B86,tbl_ledger[イベント種類],"倉庫A戻し",tbl_ledger[ロットID],"=")-SUMIFS(tbl_ledger[数量],tbl_ledger[品番],$B86,tbl_ledger[イベント種類],"不良発生",tbl_ledger[ロットID],"="))</f>
        <v/>
      </c>
      <c r="J86" s="4" t="str">
        <f t="shared" si="3"/>
        <v/>
      </c>
      <c r="K86" s="4" t="str">
        <f t="shared" si="4"/>
        <v/>
      </c>
      <c r="L86" s="4" t="str">
        <f t="shared" si="5"/>
        <v/>
      </c>
      <c r="M86" s="4" t="str">
        <f>IF($A86="","",IF(INDEX(tbl_plan[計画状態],ROW()-1)="キャンセル","キャンセル",IF(K86=0,"発送済",IF(L86&gt;0,"要搬出","OK"))))</f>
        <v/>
      </c>
    </row>
    <row r="87" spans="1:13" ht="15" x14ac:dyDescent="0.25">
      <c r="A87" s="4" t="str">
        <f>IFERROR(INDEX(tbl_plan[ロットID],ROW()-1),"")</f>
        <v/>
      </c>
      <c r="B87" s="4" t="str">
        <f>IF($A87="","",INDEX(tbl_plan[品番],ROW()-1))</f>
        <v/>
      </c>
      <c r="C87" s="5" t="str">
        <f>IF($A87="","",INDEX(tbl_plan[出荷週],ROW()-1))</f>
        <v/>
      </c>
      <c r="D87" s="4" t="str">
        <f>IF($A87="","",INDEX(tbl_plan[納期先],ROW()-1)&amp;"")</f>
        <v/>
      </c>
      <c r="E87" s="4" t="str">
        <f>IF($A87="","",INDEX(tbl_plan[必要数],ROW()-1))</f>
        <v/>
      </c>
      <c r="F87" s="4" t="str">
        <f>IF($A87="","",SUMIFS(tbl_plan[必要数],tbl_plan[ロットID],$A87,tbl_plan[計画状態],"有効"))</f>
        <v/>
      </c>
      <c r="G87" s="4" t="str">
        <f>IF($A87="","",SUMIFS(tbl_ledger[数量],tbl_ledger[ロットID],$A87,tbl_ledger[イベント種類],"発送"))</f>
        <v/>
      </c>
      <c r="H87" s="4" t="str">
        <f>IF($A87="","",SUMIFS(tbl_ledger[数量],tbl_ledger[ロットID],$A87,tbl_ledger[イベント種類],"搬入")+SUMIFS(tbl_ledger[数量],tbl_ledger[充当先ロットID],$A87,tbl_ledger[イベント種類],"充当")-SUMIFS(tbl_ledger[数量],tbl_ledger[ロットID],$A87,tbl_ledger[イベント種類],"充当")-SUMIFS(tbl_ledger[数量],tbl_ledger[ロットID],$A87,tbl_ledger[イベント種類],"発送")-SUMIFS(tbl_ledger[数量],tbl_ledger[ロットID],$A87,tbl_ledger[イベント種類],"倉庫A戻し")-SUMIFS(tbl_ledger[数量],tbl_ledger[ロットID],$A87,tbl_ledger[イベント種類],"余剰化")-SUMIFS(tbl_ledger[数量],tbl_ledger[ロットID],$A87,tbl_ledger[イベント種類],"不良発生"))</f>
        <v/>
      </c>
      <c r="I87" s="4" t="str">
        <f>IF($A87="","",SUMIFS(tbl_ledger[数量],tbl_ledger[品番],$B87,tbl_ledger[イベント種類],"余剰化")+SUMIFS(tbl_ledger[数量],tbl_ledger[品番],$B87,tbl_ledger[イベント種類],"搬入",tbl_ledger[ロットID],"=")-SUMIFS(tbl_ledger[数量],tbl_ledger[品番],$B87,tbl_ledger[イベント種類],"充当",tbl_ledger[ロットID],"=")-SUMIFS(tbl_ledger[数量],tbl_ledger[品番],$B87,tbl_ledger[イベント種類],"発送",tbl_ledger[ロットID],"=")-SUMIFS(tbl_ledger[数量],tbl_ledger[品番],$B87,tbl_ledger[イベント種類],"倉庫A戻し",tbl_ledger[ロットID],"=")-SUMIFS(tbl_ledger[数量],tbl_ledger[品番],$B87,tbl_ledger[イベント種類],"不良発生",tbl_ledger[ロットID],"="))</f>
        <v/>
      </c>
      <c r="J87" s="4" t="str">
        <f t="shared" si="3"/>
        <v/>
      </c>
      <c r="K87" s="4" t="str">
        <f t="shared" si="4"/>
        <v/>
      </c>
      <c r="L87" s="4" t="str">
        <f t="shared" si="5"/>
        <v/>
      </c>
      <c r="M87" s="4" t="str">
        <f>IF($A87="","",IF(INDEX(tbl_plan[計画状態],ROW()-1)="キャンセル","キャンセル",IF(K87=0,"発送済",IF(L87&gt;0,"要搬出","OK"))))</f>
        <v/>
      </c>
    </row>
    <row r="88" spans="1:13" ht="15" x14ac:dyDescent="0.25">
      <c r="A88" s="4" t="str">
        <f>IFERROR(INDEX(tbl_plan[ロットID],ROW()-1),"")</f>
        <v/>
      </c>
      <c r="B88" s="4" t="str">
        <f>IF($A88="","",INDEX(tbl_plan[品番],ROW()-1))</f>
        <v/>
      </c>
      <c r="C88" s="5" t="str">
        <f>IF($A88="","",INDEX(tbl_plan[出荷週],ROW()-1))</f>
        <v/>
      </c>
      <c r="D88" s="4" t="str">
        <f>IF($A88="","",INDEX(tbl_plan[納期先],ROW()-1)&amp;"")</f>
        <v/>
      </c>
      <c r="E88" s="4" t="str">
        <f>IF($A88="","",INDEX(tbl_plan[必要数],ROW()-1))</f>
        <v/>
      </c>
      <c r="F88" s="4" t="str">
        <f>IF($A88="","",SUMIFS(tbl_plan[必要数],tbl_plan[ロットID],$A88,tbl_plan[計画状態],"有効"))</f>
        <v/>
      </c>
      <c r="G88" s="4" t="str">
        <f>IF($A88="","",SUMIFS(tbl_ledger[数量],tbl_ledger[ロットID],$A88,tbl_ledger[イベント種類],"発送"))</f>
        <v/>
      </c>
      <c r="H88" s="4" t="str">
        <f>IF($A88="","",SUMIFS(tbl_ledger[数量],tbl_ledger[ロットID],$A88,tbl_ledger[イベント種類],"搬入")+SUMIFS(tbl_ledger[数量],tbl_ledger[充当先ロットID],$A88,tbl_ledger[イベント種類],"充当")-SUMIFS(tbl_ledger[数量],tbl_ledger[ロットID],$A88,tbl_ledger[イベント種類],"充当")-SUMIFS(tbl_ledger[数量],tbl_ledger[ロットID],$A88,tbl_ledger[イベント種類],"発送")-SUMIFS(tbl_ledger[数量],tbl_ledger[ロットID],$A88,tbl_ledger[イベント種類],"倉庫A戻し")-SUMIFS(tbl_ledger[数量],tbl_ledger[ロットID],$A88,tbl_ledger[イベント種類],"余剰化")-SUMIFS(tbl_ledger[数量],tbl_ledger[ロットID],$A88,tbl_ledger[イベント種類],"不良発生"))</f>
        <v/>
      </c>
      <c r="I88" s="4" t="str">
        <f>IF($A88="","",SUMIFS(tbl_ledger[数量],tbl_ledger[品番],$B88,tbl_ledger[イベント種類],"余剰化")+SUMIFS(tbl_ledger[数量],tbl_ledger[品番],$B88,tbl_ledger[イベント種類],"搬入",tbl_ledger[ロットID],"=")-SUMIFS(tbl_ledger[数量],tbl_ledger[品番],$B88,tbl_ledger[イベント種類],"充当",tbl_ledger[ロットID],"=")-SUMIFS(tbl_ledger[数量],tbl_ledger[品番],$B88,tbl_ledger[イベント種類],"発送",tbl_ledger[ロットID],"=")-SUMIFS(tbl_ledger[数量],tbl_ledger[品番],$B88,tbl_ledger[イベント種類],"倉庫A戻し",tbl_ledger[ロットID],"=")-SUMIFS(tbl_ledger[数量],tbl_ledger[品番],$B88,tbl_ledger[イベント種類],"不良発生",tbl_ledger[ロットID],"="))</f>
        <v/>
      </c>
      <c r="J88" s="4" t="str">
        <f t="shared" si="3"/>
        <v/>
      </c>
      <c r="K88" s="4" t="str">
        <f t="shared" si="4"/>
        <v/>
      </c>
      <c r="L88" s="4" t="str">
        <f t="shared" si="5"/>
        <v/>
      </c>
      <c r="M88" s="4" t="str">
        <f>IF($A88="","",IF(INDEX(tbl_plan[計画状態],ROW()-1)="キャンセル","キャンセル",IF(K88=0,"発送済",IF(L88&gt;0,"要搬出","OK"))))</f>
        <v/>
      </c>
    </row>
    <row r="89" spans="1:13" ht="15" x14ac:dyDescent="0.25">
      <c r="A89" s="4" t="str">
        <f>IFERROR(INDEX(tbl_plan[ロットID],ROW()-1),"")</f>
        <v/>
      </c>
      <c r="B89" s="4" t="str">
        <f>IF($A89="","",INDEX(tbl_plan[品番],ROW()-1))</f>
        <v/>
      </c>
      <c r="C89" s="5" t="str">
        <f>IF($A89="","",INDEX(tbl_plan[出荷週],ROW()-1))</f>
        <v/>
      </c>
      <c r="D89" s="4" t="str">
        <f>IF($A89="","",INDEX(tbl_plan[納期先],ROW()-1)&amp;"")</f>
        <v/>
      </c>
      <c r="E89" s="4" t="str">
        <f>IF($A89="","",INDEX(tbl_plan[必要数],ROW()-1))</f>
        <v/>
      </c>
      <c r="F89" s="4" t="str">
        <f>IF($A89="","",SUMIFS(tbl_plan[必要数],tbl_plan[ロットID],$A89,tbl_plan[計画状態],"有効"))</f>
        <v/>
      </c>
      <c r="G89" s="4" t="str">
        <f>IF($A89="","",SUMIFS(tbl_ledger[数量],tbl_ledger[ロットID],$A89,tbl_ledger[イベント種類],"発送"))</f>
        <v/>
      </c>
      <c r="H89" s="4" t="str">
        <f>IF($A89="","",SUMIFS(tbl_ledger[数量],tbl_ledger[ロットID],$A89,tbl_ledger[イベント種類],"搬入")+SUMIFS(tbl_ledger[数量],tbl_ledger[充当先ロットID],$A89,tbl_ledger[イベント種類],"充当")-SUMIFS(tbl_ledger[数量],tbl_ledger[ロットID],$A89,tbl_ledger[イベント種類],"充当")-SUMIFS(tbl_ledger[数量],tbl_ledger[ロットID],$A89,tbl_ledger[イベント種類],"発送")-SUMIFS(tbl_ledger[数量],tbl_ledger[ロットID],$A89,tbl_ledger[イベント種類],"倉庫A戻し")-SUMIFS(tbl_ledger[数量],tbl_ledger[ロットID],$A89,tbl_ledger[イベント種類],"余剰化")-SUMIFS(tbl_ledger[数量],tbl_ledger[ロットID],$A89,tbl_ledger[イベント種類],"不良発生"))</f>
        <v/>
      </c>
      <c r="I89" s="4" t="str">
        <f>IF($A89="","",SUMIFS(tbl_ledger[数量],tbl_ledger[品番],$B89,tbl_ledger[イベント種類],"余剰化")+SUMIFS(tbl_ledger[数量],tbl_ledger[品番],$B89,tbl_ledger[イベント種類],"搬入",tbl_ledger[ロットID],"=")-SUMIFS(tbl_ledger[数量],tbl_ledger[品番],$B89,tbl_ledger[イベント種類],"充当",tbl_ledger[ロットID],"=")-SUMIFS(tbl_ledger[数量],tbl_ledger[品番],$B89,tbl_ledger[イベント種類],"発送",tbl_ledger[ロットID],"=")-SUMIFS(tbl_ledger[数量],tbl_ledger[品番],$B89,tbl_ledger[イベント種類],"倉庫A戻し",tbl_ledger[ロットID],"=")-SUMIFS(tbl_ledger[数量],tbl_ledger[品番],$B89,tbl_ledger[イベント種類],"不良発生",tbl_ledger[ロットID],"="))</f>
        <v/>
      </c>
      <c r="J89" s="4" t="str">
        <f t="shared" si="3"/>
        <v/>
      </c>
      <c r="K89" s="4" t="str">
        <f t="shared" si="4"/>
        <v/>
      </c>
      <c r="L89" s="4" t="str">
        <f t="shared" si="5"/>
        <v/>
      </c>
      <c r="M89" s="4" t="str">
        <f>IF($A89="","",IF(INDEX(tbl_plan[計画状態],ROW()-1)="キャンセル","キャンセル",IF(K89=0,"発送済",IF(L89&gt;0,"要搬出","OK"))))</f>
        <v/>
      </c>
    </row>
    <row r="90" spans="1:13" ht="15" x14ac:dyDescent="0.25">
      <c r="A90" s="4" t="str">
        <f>IFERROR(INDEX(tbl_plan[ロットID],ROW()-1),"")</f>
        <v/>
      </c>
      <c r="B90" s="4" t="str">
        <f>IF($A90="","",INDEX(tbl_plan[品番],ROW()-1))</f>
        <v/>
      </c>
      <c r="C90" s="5" t="str">
        <f>IF($A90="","",INDEX(tbl_plan[出荷週],ROW()-1))</f>
        <v/>
      </c>
      <c r="D90" s="4" t="str">
        <f>IF($A90="","",INDEX(tbl_plan[納期先],ROW()-1)&amp;"")</f>
        <v/>
      </c>
      <c r="E90" s="4" t="str">
        <f>IF($A90="","",INDEX(tbl_plan[必要数],ROW()-1))</f>
        <v/>
      </c>
      <c r="F90" s="4" t="str">
        <f>IF($A90="","",SUMIFS(tbl_plan[必要数],tbl_plan[ロットID],$A90,tbl_plan[計画状態],"有効"))</f>
        <v/>
      </c>
      <c r="G90" s="4" t="str">
        <f>IF($A90="","",SUMIFS(tbl_ledger[数量],tbl_ledger[ロットID],$A90,tbl_ledger[イベント種類],"発送"))</f>
        <v/>
      </c>
      <c r="H90" s="4" t="str">
        <f>IF($A90="","",SUMIFS(tbl_ledger[数量],tbl_ledger[ロットID],$A90,tbl_ledger[イベント種類],"搬入")+SUMIFS(tbl_ledger[数量],tbl_ledger[充当先ロットID],$A90,tbl_ledger[イベント種類],"充当")-SUMIFS(tbl_ledger[数量],tbl_ledger[ロットID],$A90,tbl_ledger[イベント種類],"充当")-SUMIFS(tbl_ledger[数量],tbl_ledger[ロットID],$A90,tbl_ledger[イベント種類],"発送")-SUMIFS(tbl_ledger[数量],tbl_ledger[ロットID],$A90,tbl_ledger[イベント種類],"倉庫A戻し")-SUMIFS(tbl_ledger[数量],tbl_ledger[ロットID],$A90,tbl_ledger[イベント種類],"余剰化")-SUMIFS(tbl_ledger[数量],tbl_ledger[ロットID],$A90,tbl_ledger[イベント種類],"不良発生"))</f>
        <v/>
      </c>
      <c r="I90" s="4" t="str">
        <f>IF($A90="","",SUMIFS(tbl_ledger[数量],tbl_ledger[品番],$B90,tbl_ledger[イベント種類],"余剰化")+SUMIFS(tbl_ledger[数量],tbl_ledger[品番],$B90,tbl_ledger[イベント種類],"搬入",tbl_ledger[ロットID],"=")-SUMIFS(tbl_ledger[数量],tbl_ledger[品番],$B90,tbl_ledger[イベント種類],"充当",tbl_ledger[ロットID],"=")-SUMIFS(tbl_ledger[数量],tbl_ledger[品番],$B90,tbl_ledger[イベント種類],"発送",tbl_ledger[ロットID],"=")-SUMIFS(tbl_ledger[数量],tbl_ledger[品番],$B90,tbl_ledger[イベント種類],"倉庫A戻し",tbl_ledger[ロットID],"=")-SUMIFS(tbl_ledger[数量],tbl_ledger[品番],$B90,tbl_ledger[イベント種類],"不良発生",tbl_ledger[ロットID],"="))</f>
        <v/>
      </c>
      <c r="J90" s="4" t="str">
        <f t="shared" si="3"/>
        <v/>
      </c>
      <c r="K90" s="4" t="str">
        <f t="shared" si="4"/>
        <v/>
      </c>
      <c r="L90" s="4" t="str">
        <f t="shared" si="5"/>
        <v/>
      </c>
      <c r="M90" s="4" t="str">
        <f>IF($A90="","",IF(INDEX(tbl_plan[計画状態],ROW()-1)="キャンセル","キャンセル",IF(K90=0,"発送済",IF(L90&gt;0,"要搬出","OK"))))</f>
        <v/>
      </c>
    </row>
    <row r="91" spans="1:13" ht="15" x14ac:dyDescent="0.25">
      <c r="A91" s="4" t="str">
        <f>IFERROR(INDEX(tbl_plan[ロットID],ROW()-1),"")</f>
        <v/>
      </c>
      <c r="B91" s="4" t="str">
        <f>IF($A91="","",INDEX(tbl_plan[品番],ROW()-1))</f>
        <v/>
      </c>
      <c r="C91" s="5" t="str">
        <f>IF($A91="","",INDEX(tbl_plan[出荷週],ROW()-1))</f>
        <v/>
      </c>
      <c r="D91" s="4" t="str">
        <f>IF($A91="","",INDEX(tbl_plan[納期先],ROW()-1)&amp;"")</f>
        <v/>
      </c>
      <c r="E91" s="4" t="str">
        <f>IF($A91="","",INDEX(tbl_plan[必要数],ROW()-1))</f>
        <v/>
      </c>
      <c r="F91" s="4" t="str">
        <f>IF($A91="","",SUMIFS(tbl_plan[必要数],tbl_plan[ロットID],$A91,tbl_plan[計画状態],"有効"))</f>
        <v/>
      </c>
      <c r="G91" s="4" t="str">
        <f>IF($A91="","",SUMIFS(tbl_ledger[数量],tbl_ledger[ロットID],$A91,tbl_ledger[イベント種類],"発送"))</f>
        <v/>
      </c>
      <c r="H91" s="4" t="str">
        <f>IF($A91="","",SUMIFS(tbl_ledger[数量],tbl_ledger[ロットID],$A91,tbl_ledger[イベント種類],"搬入")+SUMIFS(tbl_ledger[数量],tbl_ledger[充当先ロットID],$A91,tbl_ledger[イベント種類],"充当")-SUMIFS(tbl_ledger[数量],tbl_ledger[ロットID],$A91,tbl_ledger[イベント種類],"充当")-SUMIFS(tbl_ledger[数量],tbl_ledger[ロットID],$A91,tbl_ledger[イベント種類],"発送")-SUMIFS(tbl_ledger[数量],tbl_ledger[ロットID],$A91,tbl_ledger[イベント種類],"倉庫A戻し")-SUMIFS(tbl_ledger[数量],tbl_ledger[ロットID],$A91,tbl_ledger[イベント種類],"余剰化")-SUMIFS(tbl_ledger[数量],tbl_ledger[ロットID],$A91,tbl_ledger[イベント種類],"不良発生"))</f>
        <v/>
      </c>
      <c r="I91" s="4" t="str">
        <f>IF($A91="","",SUMIFS(tbl_ledger[数量],tbl_ledger[品番],$B91,tbl_ledger[イベント種類],"余剰化")+SUMIFS(tbl_ledger[数量],tbl_ledger[品番],$B91,tbl_ledger[イベント種類],"搬入",tbl_ledger[ロットID],"=")-SUMIFS(tbl_ledger[数量],tbl_ledger[品番],$B91,tbl_ledger[イベント種類],"充当",tbl_ledger[ロットID],"=")-SUMIFS(tbl_ledger[数量],tbl_ledger[品番],$B91,tbl_ledger[イベント種類],"発送",tbl_ledger[ロットID],"=")-SUMIFS(tbl_ledger[数量],tbl_ledger[品番],$B91,tbl_ledger[イベント種類],"倉庫A戻し",tbl_ledger[ロットID],"=")-SUMIFS(tbl_ledger[数量],tbl_ledger[品番],$B91,tbl_ledger[イベント種類],"不良発生",tbl_ledger[ロットID],"="))</f>
        <v/>
      </c>
      <c r="J91" s="4" t="str">
        <f t="shared" si="3"/>
        <v/>
      </c>
      <c r="K91" s="4" t="str">
        <f t="shared" si="4"/>
        <v/>
      </c>
      <c r="L91" s="4" t="str">
        <f t="shared" si="5"/>
        <v/>
      </c>
      <c r="M91" s="4" t="str">
        <f>IF($A91="","",IF(INDEX(tbl_plan[計画状態],ROW()-1)="キャンセル","キャンセル",IF(K91=0,"発送済",IF(L91&gt;0,"要搬出","OK"))))</f>
        <v/>
      </c>
    </row>
    <row r="92" spans="1:13" ht="15" x14ac:dyDescent="0.25">
      <c r="A92" s="4" t="str">
        <f>IFERROR(INDEX(tbl_plan[ロットID],ROW()-1),"")</f>
        <v/>
      </c>
      <c r="B92" s="4" t="str">
        <f>IF($A92="","",INDEX(tbl_plan[品番],ROW()-1))</f>
        <v/>
      </c>
      <c r="C92" s="5" t="str">
        <f>IF($A92="","",INDEX(tbl_plan[出荷週],ROW()-1))</f>
        <v/>
      </c>
      <c r="D92" s="4" t="str">
        <f>IF($A92="","",INDEX(tbl_plan[納期先],ROW()-1)&amp;"")</f>
        <v/>
      </c>
      <c r="E92" s="4" t="str">
        <f>IF($A92="","",INDEX(tbl_plan[必要数],ROW()-1))</f>
        <v/>
      </c>
      <c r="F92" s="4" t="str">
        <f>IF($A92="","",SUMIFS(tbl_plan[必要数],tbl_plan[ロットID],$A92,tbl_plan[計画状態],"有効"))</f>
        <v/>
      </c>
      <c r="G92" s="4" t="str">
        <f>IF($A92="","",SUMIFS(tbl_ledger[数量],tbl_ledger[ロットID],$A92,tbl_ledger[イベント種類],"発送"))</f>
        <v/>
      </c>
      <c r="H92" s="4" t="str">
        <f>IF($A92="","",SUMIFS(tbl_ledger[数量],tbl_ledger[ロットID],$A92,tbl_ledger[イベント種類],"搬入")+SUMIFS(tbl_ledger[数量],tbl_ledger[充当先ロットID],$A92,tbl_ledger[イベント種類],"充当")-SUMIFS(tbl_ledger[数量],tbl_ledger[ロットID],$A92,tbl_ledger[イベント種類],"充当")-SUMIFS(tbl_ledger[数量],tbl_ledger[ロットID],$A92,tbl_ledger[イベント種類],"発送")-SUMIFS(tbl_ledger[数量],tbl_ledger[ロットID],$A92,tbl_ledger[イベント種類],"倉庫A戻し")-SUMIFS(tbl_ledger[数量],tbl_ledger[ロットID],$A92,tbl_ledger[イベント種類],"余剰化")-SUMIFS(tbl_ledger[数量],tbl_ledger[ロットID],$A92,tbl_ledger[イベント種類],"不良発生"))</f>
        <v/>
      </c>
      <c r="I92" s="4" t="str">
        <f>IF($A92="","",SUMIFS(tbl_ledger[数量],tbl_ledger[品番],$B92,tbl_ledger[イベント種類],"余剰化")+SUMIFS(tbl_ledger[数量],tbl_ledger[品番],$B92,tbl_ledger[イベント種類],"搬入",tbl_ledger[ロットID],"=")-SUMIFS(tbl_ledger[数量],tbl_ledger[品番],$B92,tbl_ledger[イベント種類],"充当",tbl_ledger[ロットID],"=")-SUMIFS(tbl_ledger[数量],tbl_ledger[品番],$B92,tbl_ledger[イベント種類],"発送",tbl_ledger[ロットID],"=")-SUMIFS(tbl_ledger[数量],tbl_ledger[品番],$B92,tbl_ledger[イベント種類],"倉庫A戻し",tbl_ledger[ロットID],"=")-SUMIFS(tbl_ledger[数量],tbl_ledger[品番],$B92,tbl_ledger[イベント種類],"不良発生",tbl_ledger[ロットID],"="))</f>
        <v/>
      </c>
      <c r="J92" s="4" t="str">
        <f t="shared" si="3"/>
        <v/>
      </c>
      <c r="K92" s="4" t="str">
        <f t="shared" si="4"/>
        <v/>
      </c>
      <c r="L92" s="4" t="str">
        <f t="shared" si="5"/>
        <v/>
      </c>
      <c r="M92" s="4" t="str">
        <f>IF($A92="","",IF(INDEX(tbl_plan[計画状態],ROW()-1)="キャンセル","キャンセル",IF(K92=0,"発送済",IF(L92&gt;0,"要搬出","OK"))))</f>
        <v/>
      </c>
    </row>
    <row r="93" spans="1:13" ht="15" x14ac:dyDescent="0.25">
      <c r="A93" s="4" t="str">
        <f>IFERROR(INDEX(tbl_plan[ロットID],ROW()-1),"")</f>
        <v/>
      </c>
      <c r="B93" s="4" t="str">
        <f>IF($A93="","",INDEX(tbl_plan[品番],ROW()-1))</f>
        <v/>
      </c>
      <c r="C93" s="5" t="str">
        <f>IF($A93="","",INDEX(tbl_plan[出荷週],ROW()-1))</f>
        <v/>
      </c>
      <c r="D93" s="4" t="str">
        <f>IF($A93="","",INDEX(tbl_plan[納期先],ROW()-1)&amp;"")</f>
        <v/>
      </c>
      <c r="E93" s="4" t="str">
        <f>IF($A93="","",INDEX(tbl_plan[必要数],ROW()-1))</f>
        <v/>
      </c>
      <c r="F93" s="4" t="str">
        <f>IF($A93="","",SUMIFS(tbl_plan[必要数],tbl_plan[ロットID],$A93,tbl_plan[計画状態],"有効"))</f>
        <v/>
      </c>
      <c r="G93" s="4" t="str">
        <f>IF($A93="","",SUMIFS(tbl_ledger[数量],tbl_ledger[ロットID],$A93,tbl_ledger[イベント種類],"発送"))</f>
        <v/>
      </c>
      <c r="H93" s="4" t="str">
        <f>IF($A93="","",SUMIFS(tbl_ledger[数量],tbl_ledger[ロットID],$A93,tbl_ledger[イベント種類],"搬入")+SUMIFS(tbl_ledger[数量],tbl_ledger[充当先ロットID],$A93,tbl_ledger[イベント種類],"充当")-SUMIFS(tbl_ledger[数量],tbl_ledger[ロットID],$A93,tbl_ledger[イベント種類],"充当")-SUMIFS(tbl_ledger[数量],tbl_ledger[ロットID],$A93,tbl_ledger[イベント種類],"発送")-SUMIFS(tbl_ledger[数量],tbl_ledger[ロットID],$A93,tbl_ledger[イベント種類],"倉庫A戻し")-SUMIFS(tbl_ledger[数量],tbl_ledger[ロットID],$A93,tbl_ledger[イベント種類],"余剰化")-SUMIFS(tbl_ledger[数量],tbl_ledger[ロットID],$A93,tbl_ledger[イベント種類],"不良発生"))</f>
        <v/>
      </c>
      <c r="I93" s="4" t="str">
        <f>IF($A93="","",SUMIFS(tbl_ledger[数量],tbl_ledger[品番],$B93,tbl_ledger[イベント種類],"余剰化")+SUMIFS(tbl_ledger[数量],tbl_ledger[品番],$B93,tbl_ledger[イベント種類],"搬入",tbl_ledger[ロットID],"=")-SUMIFS(tbl_ledger[数量],tbl_ledger[品番],$B93,tbl_ledger[イベント種類],"充当",tbl_ledger[ロットID],"=")-SUMIFS(tbl_ledger[数量],tbl_ledger[品番],$B93,tbl_ledger[イベント種類],"発送",tbl_ledger[ロットID],"=")-SUMIFS(tbl_ledger[数量],tbl_ledger[品番],$B93,tbl_ledger[イベント種類],"倉庫A戻し",tbl_ledger[ロットID],"=")-SUMIFS(tbl_ledger[数量],tbl_ledger[品番],$B93,tbl_ledger[イベント種類],"不良発生",tbl_ledger[ロットID],"="))</f>
        <v/>
      </c>
      <c r="J93" s="4" t="str">
        <f t="shared" si="3"/>
        <v/>
      </c>
      <c r="K93" s="4" t="str">
        <f t="shared" si="4"/>
        <v/>
      </c>
      <c r="L93" s="4" t="str">
        <f t="shared" si="5"/>
        <v/>
      </c>
      <c r="M93" s="4" t="str">
        <f>IF($A93="","",IF(INDEX(tbl_plan[計画状態],ROW()-1)="キャンセル","キャンセル",IF(K93=0,"発送済",IF(L93&gt;0,"要搬出","OK"))))</f>
        <v/>
      </c>
    </row>
    <row r="94" spans="1:13" ht="15" x14ac:dyDescent="0.25">
      <c r="A94" s="4" t="str">
        <f>IFERROR(INDEX(tbl_plan[ロットID],ROW()-1),"")</f>
        <v/>
      </c>
      <c r="B94" s="4" t="str">
        <f>IF($A94="","",INDEX(tbl_plan[品番],ROW()-1))</f>
        <v/>
      </c>
      <c r="C94" s="5" t="str">
        <f>IF($A94="","",INDEX(tbl_plan[出荷週],ROW()-1))</f>
        <v/>
      </c>
      <c r="D94" s="4" t="str">
        <f>IF($A94="","",INDEX(tbl_plan[納期先],ROW()-1)&amp;"")</f>
        <v/>
      </c>
      <c r="E94" s="4" t="str">
        <f>IF($A94="","",INDEX(tbl_plan[必要数],ROW()-1))</f>
        <v/>
      </c>
      <c r="F94" s="4" t="str">
        <f>IF($A94="","",SUMIFS(tbl_plan[必要数],tbl_plan[ロットID],$A94,tbl_plan[計画状態],"有効"))</f>
        <v/>
      </c>
      <c r="G94" s="4" t="str">
        <f>IF($A94="","",SUMIFS(tbl_ledger[数量],tbl_ledger[ロットID],$A94,tbl_ledger[イベント種類],"発送"))</f>
        <v/>
      </c>
      <c r="H94" s="4" t="str">
        <f>IF($A94="","",SUMIFS(tbl_ledger[数量],tbl_ledger[ロットID],$A94,tbl_ledger[イベント種類],"搬入")+SUMIFS(tbl_ledger[数量],tbl_ledger[充当先ロットID],$A94,tbl_ledger[イベント種類],"充当")-SUMIFS(tbl_ledger[数量],tbl_ledger[ロットID],$A94,tbl_ledger[イベント種類],"充当")-SUMIFS(tbl_ledger[数量],tbl_ledger[ロットID],$A94,tbl_ledger[イベント種類],"発送")-SUMIFS(tbl_ledger[数量],tbl_ledger[ロットID],$A94,tbl_ledger[イベント種類],"倉庫A戻し")-SUMIFS(tbl_ledger[数量],tbl_ledger[ロットID],$A94,tbl_ledger[イベント種類],"余剰化")-SUMIFS(tbl_ledger[数量],tbl_ledger[ロットID],$A94,tbl_ledger[イベント種類],"不良発生"))</f>
        <v/>
      </c>
      <c r="I94" s="4" t="str">
        <f>IF($A94="","",SUMIFS(tbl_ledger[数量],tbl_ledger[品番],$B94,tbl_ledger[イベント種類],"余剰化")+SUMIFS(tbl_ledger[数量],tbl_ledger[品番],$B94,tbl_ledger[イベント種類],"搬入",tbl_ledger[ロットID],"=")-SUMIFS(tbl_ledger[数量],tbl_ledger[品番],$B94,tbl_ledger[イベント種類],"充当",tbl_ledger[ロットID],"=")-SUMIFS(tbl_ledger[数量],tbl_ledger[品番],$B94,tbl_ledger[イベント種類],"発送",tbl_ledger[ロットID],"=")-SUMIFS(tbl_ledger[数量],tbl_ledger[品番],$B94,tbl_ledger[イベント種類],"倉庫A戻し",tbl_ledger[ロットID],"=")-SUMIFS(tbl_ledger[数量],tbl_ledger[品番],$B94,tbl_ledger[イベント種類],"不良発生",tbl_ledger[ロットID],"="))</f>
        <v/>
      </c>
      <c r="J94" s="4" t="str">
        <f t="shared" si="3"/>
        <v/>
      </c>
      <c r="K94" s="4" t="str">
        <f t="shared" si="4"/>
        <v/>
      </c>
      <c r="L94" s="4" t="str">
        <f t="shared" si="5"/>
        <v/>
      </c>
      <c r="M94" s="4" t="str">
        <f>IF($A94="","",IF(INDEX(tbl_plan[計画状態],ROW()-1)="キャンセル","キャンセル",IF(K94=0,"発送済",IF(L94&gt;0,"要搬出","OK"))))</f>
        <v/>
      </c>
    </row>
    <row r="95" spans="1:13" ht="15" x14ac:dyDescent="0.25">
      <c r="A95" s="4" t="str">
        <f>IFERROR(INDEX(tbl_plan[ロットID],ROW()-1),"")</f>
        <v/>
      </c>
      <c r="B95" s="4" t="str">
        <f>IF($A95="","",INDEX(tbl_plan[品番],ROW()-1))</f>
        <v/>
      </c>
      <c r="C95" s="5" t="str">
        <f>IF($A95="","",INDEX(tbl_plan[出荷週],ROW()-1))</f>
        <v/>
      </c>
      <c r="D95" s="4" t="str">
        <f>IF($A95="","",INDEX(tbl_plan[納期先],ROW()-1)&amp;"")</f>
        <v/>
      </c>
      <c r="E95" s="4" t="str">
        <f>IF($A95="","",INDEX(tbl_plan[必要数],ROW()-1))</f>
        <v/>
      </c>
      <c r="F95" s="4" t="str">
        <f>IF($A95="","",SUMIFS(tbl_plan[必要数],tbl_plan[ロットID],$A95,tbl_plan[計画状態],"有効"))</f>
        <v/>
      </c>
      <c r="G95" s="4" t="str">
        <f>IF($A95="","",SUMIFS(tbl_ledger[数量],tbl_ledger[ロットID],$A95,tbl_ledger[イベント種類],"発送"))</f>
        <v/>
      </c>
      <c r="H95" s="4" t="str">
        <f>IF($A95="","",SUMIFS(tbl_ledger[数量],tbl_ledger[ロットID],$A95,tbl_ledger[イベント種類],"搬入")+SUMIFS(tbl_ledger[数量],tbl_ledger[充当先ロットID],$A95,tbl_ledger[イベント種類],"充当")-SUMIFS(tbl_ledger[数量],tbl_ledger[ロットID],$A95,tbl_ledger[イベント種類],"充当")-SUMIFS(tbl_ledger[数量],tbl_ledger[ロットID],$A95,tbl_ledger[イベント種類],"発送")-SUMIFS(tbl_ledger[数量],tbl_ledger[ロットID],$A95,tbl_ledger[イベント種類],"倉庫A戻し")-SUMIFS(tbl_ledger[数量],tbl_ledger[ロットID],$A95,tbl_ledger[イベント種類],"余剰化")-SUMIFS(tbl_ledger[数量],tbl_ledger[ロットID],$A95,tbl_ledger[イベント種類],"不良発生"))</f>
        <v/>
      </c>
      <c r="I95" s="4" t="str">
        <f>IF($A95="","",SUMIFS(tbl_ledger[数量],tbl_ledger[品番],$B95,tbl_ledger[イベント種類],"余剰化")+SUMIFS(tbl_ledger[数量],tbl_ledger[品番],$B95,tbl_ledger[イベント種類],"搬入",tbl_ledger[ロットID],"=")-SUMIFS(tbl_ledger[数量],tbl_ledger[品番],$B95,tbl_ledger[イベント種類],"充当",tbl_ledger[ロットID],"=")-SUMIFS(tbl_ledger[数量],tbl_ledger[品番],$B95,tbl_ledger[イベント種類],"発送",tbl_ledger[ロットID],"=")-SUMIFS(tbl_ledger[数量],tbl_ledger[品番],$B95,tbl_ledger[イベント種類],"倉庫A戻し",tbl_ledger[ロットID],"=")-SUMIFS(tbl_ledger[数量],tbl_ledger[品番],$B95,tbl_ledger[イベント種類],"不良発生",tbl_ledger[ロットID],"="))</f>
        <v/>
      </c>
      <c r="J95" s="4" t="str">
        <f t="shared" si="3"/>
        <v/>
      </c>
      <c r="K95" s="4" t="str">
        <f t="shared" si="4"/>
        <v/>
      </c>
      <c r="L95" s="4" t="str">
        <f t="shared" si="5"/>
        <v/>
      </c>
      <c r="M95" s="4" t="str">
        <f>IF($A95="","",IF(INDEX(tbl_plan[計画状態],ROW()-1)="キャンセル","キャンセル",IF(K95=0,"発送済",IF(L95&gt;0,"要搬出","OK"))))</f>
        <v/>
      </c>
    </row>
    <row r="96" spans="1:13" ht="15" x14ac:dyDescent="0.25">
      <c r="A96" s="4" t="str">
        <f>IFERROR(INDEX(tbl_plan[ロットID],ROW()-1),"")</f>
        <v/>
      </c>
      <c r="B96" s="4" t="str">
        <f>IF($A96="","",INDEX(tbl_plan[品番],ROW()-1))</f>
        <v/>
      </c>
      <c r="C96" s="5" t="str">
        <f>IF($A96="","",INDEX(tbl_plan[出荷週],ROW()-1))</f>
        <v/>
      </c>
      <c r="D96" s="4" t="str">
        <f>IF($A96="","",INDEX(tbl_plan[納期先],ROW()-1)&amp;"")</f>
        <v/>
      </c>
      <c r="E96" s="4" t="str">
        <f>IF($A96="","",INDEX(tbl_plan[必要数],ROW()-1))</f>
        <v/>
      </c>
      <c r="F96" s="4" t="str">
        <f>IF($A96="","",SUMIFS(tbl_plan[必要数],tbl_plan[ロットID],$A96,tbl_plan[計画状態],"有効"))</f>
        <v/>
      </c>
      <c r="G96" s="4" t="str">
        <f>IF($A96="","",SUMIFS(tbl_ledger[数量],tbl_ledger[ロットID],$A96,tbl_ledger[イベント種類],"発送"))</f>
        <v/>
      </c>
      <c r="H96" s="4" t="str">
        <f>IF($A96="","",SUMIFS(tbl_ledger[数量],tbl_ledger[ロットID],$A96,tbl_ledger[イベント種類],"搬入")+SUMIFS(tbl_ledger[数量],tbl_ledger[充当先ロットID],$A96,tbl_ledger[イベント種類],"充当")-SUMIFS(tbl_ledger[数量],tbl_ledger[ロットID],$A96,tbl_ledger[イベント種類],"充当")-SUMIFS(tbl_ledger[数量],tbl_ledger[ロットID],$A96,tbl_ledger[イベント種類],"発送")-SUMIFS(tbl_ledger[数量],tbl_ledger[ロットID],$A96,tbl_ledger[イベント種類],"倉庫A戻し")-SUMIFS(tbl_ledger[数量],tbl_ledger[ロットID],$A96,tbl_ledger[イベント種類],"余剰化")-SUMIFS(tbl_ledger[数量],tbl_ledger[ロットID],$A96,tbl_ledger[イベント種類],"不良発生"))</f>
        <v/>
      </c>
      <c r="I96" s="4" t="str">
        <f>IF($A96="","",SUMIFS(tbl_ledger[数量],tbl_ledger[品番],$B96,tbl_ledger[イベント種類],"余剰化")+SUMIFS(tbl_ledger[数量],tbl_ledger[品番],$B96,tbl_ledger[イベント種類],"搬入",tbl_ledger[ロットID],"=")-SUMIFS(tbl_ledger[数量],tbl_ledger[品番],$B96,tbl_ledger[イベント種類],"充当",tbl_ledger[ロットID],"=")-SUMIFS(tbl_ledger[数量],tbl_ledger[品番],$B96,tbl_ledger[イベント種類],"発送",tbl_ledger[ロットID],"=")-SUMIFS(tbl_ledger[数量],tbl_ledger[品番],$B96,tbl_ledger[イベント種類],"倉庫A戻し",tbl_ledger[ロットID],"=")-SUMIFS(tbl_ledger[数量],tbl_ledger[品番],$B96,tbl_ledger[イベント種類],"不良発生",tbl_ledger[ロットID],"="))</f>
        <v/>
      </c>
      <c r="J96" s="4" t="str">
        <f t="shared" si="3"/>
        <v/>
      </c>
      <c r="K96" s="4" t="str">
        <f t="shared" si="4"/>
        <v/>
      </c>
      <c r="L96" s="4" t="str">
        <f t="shared" si="5"/>
        <v/>
      </c>
      <c r="M96" s="4" t="str">
        <f>IF($A96="","",IF(INDEX(tbl_plan[計画状態],ROW()-1)="キャンセル","キャンセル",IF(K96=0,"発送済",IF(L96&gt;0,"要搬出","OK"))))</f>
        <v/>
      </c>
    </row>
    <row r="97" spans="1:13" ht="15" x14ac:dyDescent="0.25">
      <c r="A97" s="4" t="str">
        <f>IFERROR(INDEX(tbl_plan[ロットID],ROW()-1),"")</f>
        <v/>
      </c>
      <c r="B97" s="4" t="str">
        <f>IF($A97="","",INDEX(tbl_plan[品番],ROW()-1))</f>
        <v/>
      </c>
      <c r="C97" s="5" t="str">
        <f>IF($A97="","",INDEX(tbl_plan[出荷週],ROW()-1))</f>
        <v/>
      </c>
      <c r="D97" s="4" t="str">
        <f>IF($A97="","",INDEX(tbl_plan[納期先],ROW()-1)&amp;"")</f>
        <v/>
      </c>
      <c r="E97" s="4" t="str">
        <f>IF($A97="","",INDEX(tbl_plan[必要数],ROW()-1))</f>
        <v/>
      </c>
      <c r="F97" s="4" t="str">
        <f>IF($A97="","",SUMIFS(tbl_plan[必要数],tbl_plan[ロットID],$A97,tbl_plan[計画状態],"有効"))</f>
        <v/>
      </c>
      <c r="G97" s="4" t="str">
        <f>IF($A97="","",SUMIFS(tbl_ledger[数量],tbl_ledger[ロットID],$A97,tbl_ledger[イベント種類],"発送"))</f>
        <v/>
      </c>
      <c r="H97" s="4" t="str">
        <f>IF($A97="","",SUMIFS(tbl_ledger[数量],tbl_ledger[ロットID],$A97,tbl_ledger[イベント種類],"搬入")+SUMIFS(tbl_ledger[数量],tbl_ledger[充当先ロットID],$A97,tbl_ledger[イベント種類],"充当")-SUMIFS(tbl_ledger[数量],tbl_ledger[ロットID],$A97,tbl_ledger[イベント種類],"充当")-SUMIFS(tbl_ledger[数量],tbl_ledger[ロットID],$A97,tbl_ledger[イベント種類],"発送")-SUMIFS(tbl_ledger[数量],tbl_ledger[ロットID],$A97,tbl_ledger[イベント種類],"倉庫A戻し")-SUMIFS(tbl_ledger[数量],tbl_ledger[ロットID],$A97,tbl_ledger[イベント種類],"余剰化")-SUMIFS(tbl_ledger[数量],tbl_ledger[ロットID],$A97,tbl_ledger[イベント種類],"不良発生"))</f>
        <v/>
      </c>
      <c r="I97" s="4" t="str">
        <f>IF($A97="","",SUMIFS(tbl_ledger[数量],tbl_ledger[品番],$B97,tbl_ledger[イベント種類],"余剰化")+SUMIFS(tbl_ledger[数量],tbl_ledger[品番],$B97,tbl_ledger[イベント種類],"搬入",tbl_ledger[ロットID],"=")-SUMIFS(tbl_ledger[数量],tbl_ledger[品番],$B97,tbl_ledger[イベント種類],"充当",tbl_ledger[ロットID],"=")-SUMIFS(tbl_ledger[数量],tbl_ledger[品番],$B97,tbl_ledger[イベント種類],"発送",tbl_ledger[ロットID],"=")-SUMIFS(tbl_ledger[数量],tbl_ledger[品番],$B97,tbl_ledger[イベント種類],"倉庫A戻し",tbl_ledger[ロットID],"=")-SUMIFS(tbl_ledger[数量],tbl_ledger[品番],$B97,tbl_ledger[イベント種類],"不良発生",tbl_ledger[ロットID],"="))</f>
        <v/>
      </c>
      <c r="J97" s="4" t="str">
        <f t="shared" si="3"/>
        <v/>
      </c>
      <c r="K97" s="4" t="str">
        <f t="shared" si="4"/>
        <v/>
      </c>
      <c r="L97" s="4" t="str">
        <f t="shared" si="5"/>
        <v/>
      </c>
      <c r="M97" s="4" t="str">
        <f>IF($A97="","",IF(INDEX(tbl_plan[計画状態],ROW()-1)="キャンセル","キャンセル",IF(K97=0,"発送済",IF(L97&gt;0,"要搬出","OK"))))</f>
        <v/>
      </c>
    </row>
    <row r="98" spans="1:13" ht="15" x14ac:dyDescent="0.25">
      <c r="A98" s="4" t="str">
        <f>IFERROR(INDEX(tbl_plan[ロットID],ROW()-1),"")</f>
        <v/>
      </c>
      <c r="B98" s="4" t="str">
        <f>IF($A98="","",INDEX(tbl_plan[品番],ROW()-1))</f>
        <v/>
      </c>
      <c r="C98" s="5" t="str">
        <f>IF($A98="","",INDEX(tbl_plan[出荷週],ROW()-1))</f>
        <v/>
      </c>
      <c r="D98" s="4" t="str">
        <f>IF($A98="","",INDEX(tbl_plan[納期先],ROW()-1)&amp;"")</f>
        <v/>
      </c>
      <c r="E98" s="4" t="str">
        <f>IF($A98="","",INDEX(tbl_plan[必要数],ROW()-1))</f>
        <v/>
      </c>
      <c r="F98" s="4" t="str">
        <f>IF($A98="","",SUMIFS(tbl_plan[必要数],tbl_plan[ロットID],$A98,tbl_plan[計画状態],"有効"))</f>
        <v/>
      </c>
      <c r="G98" s="4" t="str">
        <f>IF($A98="","",SUMIFS(tbl_ledger[数量],tbl_ledger[ロットID],$A98,tbl_ledger[イベント種類],"発送"))</f>
        <v/>
      </c>
      <c r="H98" s="4" t="str">
        <f>IF($A98="","",SUMIFS(tbl_ledger[数量],tbl_ledger[ロットID],$A98,tbl_ledger[イベント種類],"搬入")+SUMIFS(tbl_ledger[数量],tbl_ledger[充当先ロットID],$A98,tbl_ledger[イベント種類],"充当")-SUMIFS(tbl_ledger[数量],tbl_ledger[ロットID],$A98,tbl_ledger[イベント種類],"充当")-SUMIFS(tbl_ledger[数量],tbl_ledger[ロットID],$A98,tbl_ledger[イベント種類],"発送")-SUMIFS(tbl_ledger[数量],tbl_ledger[ロットID],$A98,tbl_ledger[イベント種類],"倉庫A戻し")-SUMIFS(tbl_ledger[数量],tbl_ledger[ロットID],$A98,tbl_ledger[イベント種類],"余剰化")-SUMIFS(tbl_ledger[数量],tbl_ledger[ロットID],$A98,tbl_ledger[イベント種類],"不良発生"))</f>
        <v/>
      </c>
      <c r="I98" s="4" t="str">
        <f>IF($A98="","",SUMIFS(tbl_ledger[数量],tbl_ledger[品番],$B98,tbl_ledger[イベント種類],"余剰化")+SUMIFS(tbl_ledger[数量],tbl_ledger[品番],$B98,tbl_ledger[イベント種類],"搬入",tbl_ledger[ロットID],"=")-SUMIFS(tbl_ledger[数量],tbl_ledger[品番],$B98,tbl_ledger[イベント種類],"充当",tbl_ledger[ロットID],"=")-SUMIFS(tbl_ledger[数量],tbl_ledger[品番],$B98,tbl_ledger[イベント種類],"発送",tbl_ledger[ロットID],"=")-SUMIFS(tbl_ledger[数量],tbl_ledger[品番],$B98,tbl_ledger[イベント種類],"倉庫A戻し",tbl_ledger[ロットID],"=")-SUMIFS(tbl_ledger[数量],tbl_ledger[品番],$B98,tbl_ledger[イベント種類],"不良発生",tbl_ledger[ロットID],"="))</f>
        <v/>
      </c>
      <c r="J98" s="4" t="str">
        <f t="shared" si="3"/>
        <v/>
      </c>
      <c r="K98" s="4" t="str">
        <f t="shared" si="4"/>
        <v/>
      </c>
      <c r="L98" s="4" t="str">
        <f t="shared" si="5"/>
        <v/>
      </c>
      <c r="M98" s="4" t="str">
        <f>IF($A98="","",IF(INDEX(tbl_plan[計画状態],ROW()-1)="キャンセル","キャンセル",IF(K98=0,"発送済",IF(L98&gt;0,"要搬出","OK"))))</f>
        <v/>
      </c>
    </row>
    <row r="99" spans="1:13" ht="15" x14ac:dyDescent="0.25">
      <c r="A99" s="4" t="str">
        <f>IFERROR(INDEX(tbl_plan[ロットID],ROW()-1),"")</f>
        <v/>
      </c>
      <c r="B99" s="4" t="str">
        <f>IF($A99="","",INDEX(tbl_plan[品番],ROW()-1))</f>
        <v/>
      </c>
      <c r="C99" s="5" t="str">
        <f>IF($A99="","",INDEX(tbl_plan[出荷週],ROW()-1))</f>
        <v/>
      </c>
      <c r="D99" s="4" t="str">
        <f>IF($A99="","",INDEX(tbl_plan[納期先],ROW()-1)&amp;"")</f>
        <v/>
      </c>
      <c r="E99" s="4" t="str">
        <f>IF($A99="","",INDEX(tbl_plan[必要数],ROW()-1))</f>
        <v/>
      </c>
      <c r="F99" s="4" t="str">
        <f>IF($A99="","",SUMIFS(tbl_plan[必要数],tbl_plan[ロットID],$A99,tbl_plan[計画状態],"有効"))</f>
        <v/>
      </c>
      <c r="G99" s="4" t="str">
        <f>IF($A99="","",SUMIFS(tbl_ledger[数量],tbl_ledger[ロットID],$A99,tbl_ledger[イベント種類],"発送"))</f>
        <v/>
      </c>
      <c r="H99" s="4" t="str">
        <f>IF($A99="","",SUMIFS(tbl_ledger[数量],tbl_ledger[ロットID],$A99,tbl_ledger[イベント種類],"搬入")+SUMIFS(tbl_ledger[数量],tbl_ledger[充当先ロットID],$A99,tbl_ledger[イベント種類],"充当")-SUMIFS(tbl_ledger[数量],tbl_ledger[ロットID],$A99,tbl_ledger[イベント種類],"充当")-SUMIFS(tbl_ledger[数量],tbl_ledger[ロットID],$A99,tbl_ledger[イベント種類],"発送")-SUMIFS(tbl_ledger[数量],tbl_ledger[ロットID],$A99,tbl_ledger[イベント種類],"倉庫A戻し")-SUMIFS(tbl_ledger[数量],tbl_ledger[ロットID],$A99,tbl_ledger[イベント種類],"余剰化")-SUMIFS(tbl_ledger[数量],tbl_ledger[ロットID],$A99,tbl_ledger[イベント種類],"不良発生"))</f>
        <v/>
      </c>
      <c r="I99" s="4" t="str">
        <f>IF($A99="","",SUMIFS(tbl_ledger[数量],tbl_ledger[品番],$B99,tbl_ledger[イベント種類],"余剰化")+SUMIFS(tbl_ledger[数量],tbl_ledger[品番],$B99,tbl_ledger[イベント種類],"搬入",tbl_ledger[ロットID],"=")-SUMIFS(tbl_ledger[数量],tbl_ledger[品番],$B99,tbl_ledger[イベント種類],"充当",tbl_ledger[ロットID],"=")-SUMIFS(tbl_ledger[数量],tbl_ledger[品番],$B99,tbl_ledger[イベント種類],"発送",tbl_ledger[ロットID],"=")-SUMIFS(tbl_ledger[数量],tbl_ledger[品番],$B99,tbl_ledger[イベント種類],"倉庫A戻し",tbl_ledger[ロットID],"=")-SUMIFS(tbl_ledger[数量],tbl_ledger[品番],$B99,tbl_ledger[イベント種類],"不良発生",tbl_ledger[ロットID],"="))</f>
        <v/>
      </c>
      <c r="J99" s="4" t="str">
        <f t="shared" si="3"/>
        <v/>
      </c>
      <c r="K99" s="4" t="str">
        <f t="shared" si="4"/>
        <v/>
      </c>
      <c r="L99" s="4" t="str">
        <f t="shared" si="5"/>
        <v/>
      </c>
      <c r="M99" s="4" t="str">
        <f>IF($A99="","",IF(INDEX(tbl_plan[計画状態],ROW()-1)="キャンセル","キャンセル",IF(K99=0,"発送済",IF(L99&gt;0,"要搬出","OK"))))</f>
        <v/>
      </c>
    </row>
    <row r="100" spans="1:13" ht="15" x14ac:dyDescent="0.25">
      <c r="A100" s="4" t="str">
        <f>IFERROR(INDEX(tbl_plan[ロットID],ROW()-1),"")</f>
        <v/>
      </c>
      <c r="B100" s="4" t="str">
        <f>IF($A100="","",INDEX(tbl_plan[品番],ROW()-1))</f>
        <v/>
      </c>
      <c r="C100" s="5" t="str">
        <f>IF($A100="","",INDEX(tbl_plan[出荷週],ROW()-1))</f>
        <v/>
      </c>
      <c r="D100" s="4" t="str">
        <f>IF($A100="","",INDEX(tbl_plan[納期先],ROW()-1)&amp;"")</f>
        <v/>
      </c>
      <c r="E100" s="4" t="str">
        <f>IF($A100="","",INDEX(tbl_plan[必要数],ROW()-1))</f>
        <v/>
      </c>
      <c r="F100" s="4" t="str">
        <f>IF($A100="","",SUMIFS(tbl_plan[必要数],tbl_plan[ロットID],$A100,tbl_plan[計画状態],"有効"))</f>
        <v/>
      </c>
      <c r="G100" s="4" t="str">
        <f>IF($A100="","",SUMIFS(tbl_ledger[数量],tbl_ledger[ロットID],$A100,tbl_ledger[イベント種類],"発送"))</f>
        <v/>
      </c>
      <c r="H100" s="4" t="str">
        <f>IF($A100="","",SUMIFS(tbl_ledger[数量],tbl_ledger[ロットID],$A100,tbl_ledger[イベント種類],"搬入")+SUMIFS(tbl_ledger[数量],tbl_ledger[充当先ロットID],$A100,tbl_ledger[イベント種類],"充当")-SUMIFS(tbl_ledger[数量],tbl_ledger[ロットID],$A100,tbl_ledger[イベント種類],"充当")-SUMIFS(tbl_ledger[数量],tbl_ledger[ロットID],$A100,tbl_ledger[イベント種類],"発送")-SUMIFS(tbl_ledger[数量],tbl_ledger[ロットID],$A100,tbl_ledger[イベント種類],"倉庫A戻し")-SUMIFS(tbl_ledger[数量],tbl_ledger[ロットID],$A100,tbl_ledger[イベント種類],"余剰化")-SUMIFS(tbl_ledger[数量],tbl_ledger[ロットID],$A100,tbl_ledger[イベント種類],"不良発生"))</f>
        <v/>
      </c>
      <c r="I100" s="4" t="str">
        <f>IF($A100="","",SUMIFS(tbl_ledger[数量],tbl_ledger[品番],$B100,tbl_ledger[イベント種類],"余剰化")+SUMIFS(tbl_ledger[数量],tbl_ledger[品番],$B100,tbl_ledger[イベント種類],"搬入",tbl_ledger[ロットID],"=")-SUMIFS(tbl_ledger[数量],tbl_ledger[品番],$B100,tbl_ledger[イベント種類],"充当",tbl_ledger[ロットID],"=")-SUMIFS(tbl_ledger[数量],tbl_ledger[品番],$B100,tbl_ledger[イベント種類],"発送",tbl_ledger[ロットID],"=")-SUMIFS(tbl_ledger[数量],tbl_ledger[品番],$B100,tbl_ledger[イベント種類],"倉庫A戻し",tbl_ledger[ロットID],"=")-SUMIFS(tbl_ledger[数量],tbl_ledger[品番],$B100,tbl_ledger[イベント種類],"不良発生",tbl_ledger[ロットID],"="))</f>
        <v/>
      </c>
      <c r="J100" s="4" t="str">
        <f t="shared" si="3"/>
        <v/>
      </c>
      <c r="K100" s="4" t="str">
        <f t="shared" si="4"/>
        <v/>
      </c>
      <c r="L100" s="4" t="str">
        <f t="shared" si="5"/>
        <v/>
      </c>
      <c r="M100" s="4" t="str">
        <f>IF($A100="","",IF(INDEX(tbl_plan[計画状態],ROW()-1)="キャンセル","キャンセル",IF(K100=0,"発送済",IF(L100&gt;0,"要搬出","OK"))))</f>
        <v/>
      </c>
    </row>
    <row r="101" spans="1:13" ht="15" x14ac:dyDescent="0.25">
      <c r="A101" s="4" t="str">
        <f>IFERROR(INDEX(tbl_plan[ロットID],ROW()-1),"")</f>
        <v/>
      </c>
      <c r="B101" s="4" t="str">
        <f>IF($A101="","",INDEX(tbl_plan[品番],ROW()-1))</f>
        <v/>
      </c>
      <c r="C101" s="5" t="str">
        <f>IF($A101="","",INDEX(tbl_plan[出荷週],ROW()-1))</f>
        <v/>
      </c>
      <c r="D101" s="4" t="str">
        <f>IF($A101="","",INDEX(tbl_plan[納期先],ROW()-1)&amp;"")</f>
        <v/>
      </c>
      <c r="E101" s="4" t="str">
        <f>IF($A101="","",INDEX(tbl_plan[必要数],ROW()-1))</f>
        <v/>
      </c>
      <c r="F101" s="4" t="str">
        <f>IF($A101="","",SUMIFS(tbl_plan[必要数],tbl_plan[ロットID],$A101,tbl_plan[計画状態],"有効"))</f>
        <v/>
      </c>
      <c r="G101" s="4" t="str">
        <f>IF($A101="","",SUMIFS(tbl_ledger[数量],tbl_ledger[ロットID],$A101,tbl_ledger[イベント種類],"発送"))</f>
        <v/>
      </c>
      <c r="H101" s="4" t="str">
        <f>IF($A101="","",SUMIFS(tbl_ledger[数量],tbl_ledger[ロットID],$A101,tbl_ledger[イベント種類],"搬入")+SUMIFS(tbl_ledger[数量],tbl_ledger[充当先ロットID],$A101,tbl_ledger[イベント種類],"充当")-SUMIFS(tbl_ledger[数量],tbl_ledger[ロットID],$A101,tbl_ledger[イベント種類],"充当")-SUMIFS(tbl_ledger[数量],tbl_ledger[ロットID],$A101,tbl_ledger[イベント種類],"発送")-SUMIFS(tbl_ledger[数量],tbl_ledger[ロットID],$A101,tbl_ledger[イベント種類],"倉庫A戻し")-SUMIFS(tbl_ledger[数量],tbl_ledger[ロットID],$A101,tbl_ledger[イベント種類],"余剰化")-SUMIFS(tbl_ledger[数量],tbl_ledger[ロットID],$A101,tbl_ledger[イベント種類],"不良発生"))</f>
        <v/>
      </c>
      <c r="I101" s="4" t="str">
        <f>IF($A101="","",SUMIFS(tbl_ledger[数量],tbl_ledger[品番],$B101,tbl_ledger[イベント種類],"余剰化")+SUMIFS(tbl_ledger[数量],tbl_ledger[品番],$B101,tbl_ledger[イベント種類],"搬入",tbl_ledger[ロットID],"=")-SUMIFS(tbl_ledger[数量],tbl_ledger[品番],$B101,tbl_ledger[イベント種類],"充当",tbl_ledger[ロットID],"=")-SUMIFS(tbl_ledger[数量],tbl_ledger[品番],$B101,tbl_ledger[イベント種類],"発送",tbl_ledger[ロットID],"=")-SUMIFS(tbl_ledger[数量],tbl_ledger[品番],$B101,tbl_ledger[イベント種類],"倉庫A戻し",tbl_ledger[ロットID],"=")-SUMIFS(tbl_ledger[数量],tbl_ledger[品番],$B101,tbl_ledger[イベント種類],"不良発生",tbl_ledger[ロットID],"="))</f>
        <v/>
      </c>
      <c r="J101" s="4" t="str">
        <f t="shared" si="3"/>
        <v/>
      </c>
      <c r="K101" s="4" t="str">
        <f t="shared" si="4"/>
        <v/>
      </c>
      <c r="L101" s="4" t="str">
        <f t="shared" si="5"/>
        <v/>
      </c>
      <c r="M101" s="4" t="str">
        <f>IF($A101="","",IF(INDEX(tbl_plan[計画状態],ROW()-1)="キャンセル","キャンセル",IF(K101=0,"発送済",IF(L101&gt;0,"要搬出","OK"))))</f>
        <v/>
      </c>
    </row>
    <row r="102" spans="1:13" ht="15" x14ac:dyDescent="0.25">
      <c r="A102" s="4" t="str">
        <f>IFERROR(INDEX(tbl_plan[ロットID],ROW()-1),"")</f>
        <v/>
      </c>
      <c r="B102" s="4" t="str">
        <f>IF($A102="","",INDEX(tbl_plan[品番],ROW()-1))</f>
        <v/>
      </c>
      <c r="C102" s="5" t="str">
        <f>IF($A102="","",INDEX(tbl_plan[出荷週],ROW()-1))</f>
        <v/>
      </c>
      <c r="D102" s="4" t="str">
        <f>IF($A102="","",INDEX(tbl_plan[納期先],ROW()-1)&amp;"")</f>
        <v/>
      </c>
      <c r="E102" s="4" t="str">
        <f>IF($A102="","",INDEX(tbl_plan[必要数],ROW()-1))</f>
        <v/>
      </c>
      <c r="F102" s="4" t="str">
        <f>IF($A102="","",SUMIFS(tbl_plan[必要数],tbl_plan[ロットID],$A102,tbl_plan[計画状態],"有効"))</f>
        <v/>
      </c>
      <c r="G102" s="4" t="str">
        <f>IF($A102="","",SUMIFS(tbl_ledger[数量],tbl_ledger[ロットID],$A102,tbl_ledger[イベント種類],"発送"))</f>
        <v/>
      </c>
      <c r="H102" s="4" t="str">
        <f>IF($A102="","",SUMIFS(tbl_ledger[数量],tbl_ledger[ロットID],$A102,tbl_ledger[イベント種類],"搬入")+SUMIFS(tbl_ledger[数量],tbl_ledger[充当先ロットID],$A102,tbl_ledger[イベント種類],"充当")-SUMIFS(tbl_ledger[数量],tbl_ledger[ロットID],$A102,tbl_ledger[イベント種類],"充当")-SUMIFS(tbl_ledger[数量],tbl_ledger[ロットID],$A102,tbl_ledger[イベント種類],"発送")-SUMIFS(tbl_ledger[数量],tbl_ledger[ロットID],$A102,tbl_ledger[イベント種類],"倉庫A戻し")-SUMIFS(tbl_ledger[数量],tbl_ledger[ロットID],$A102,tbl_ledger[イベント種類],"余剰化")-SUMIFS(tbl_ledger[数量],tbl_ledger[ロットID],$A102,tbl_ledger[イベント種類],"不良発生"))</f>
        <v/>
      </c>
      <c r="I102" s="4" t="str">
        <f>IF($A102="","",SUMIFS(tbl_ledger[数量],tbl_ledger[品番],$B102,tbl_ledger[イベント種類],"余剰化")+SUMIFS(tbl_ledger[数量],tbl_ledger[品番],$B102,tbl_ledger[イベント種類],"搬入",tbl_ledger[ロットID],"=")-SUMIFS(tbl_ledger[数量],tbl_ledger[品番],$B102,tbl_ledger[イベント種類],"充当",tbl_ledger[ロットID],"=")-SUMIFS(tbl_ledger[数量],tbl_ledger[品番],$B102,tbl_ledger[イベント種類],"発送",tbl_ledger[ロットID],"=")-SUMIFS(tbl_ledger[数量],tbl_ledger[品番],$B102,tbl_ledger[イベント種類],"倉庫A戻し",tbl_ledger[ロットID],"=")-SUMIFS(tbl_ledger[数量],tbl_ledger[品番],$B102,tbl_ledger[イベント種類],"不良発生",tbl_ledger[ロットID],"="))</f>
        <v/>
      </c>
      <c r="J102" s="4" t="str">
        <f t="shared" si="3"/>
        <v/>
      </c>
      <c r="K102" s="4" t="str">
        <f t="shared" si="4"/>
        <v/>
      </c>
      <c r="L102" s="4" t="str">
        <f t="shared" si="5"/>
        <v/>
      </c>
      <c r="M102" s="4" t="str">
        <f>IF($A102="","",IF(INDEX(tbl_plan[計画状態],ROW()-1)="キャンセル","キャンセル",IF(K102=0,"発送済",IF(L102&gt;0,"要搬出","OK"))))</f>
        <v/>
      </c>
    </row>
    <row r="103" spans="1:13" ht="15" x14ac:dyDescent="0.25">
      <c r="A103" s="4" t="str">
        <f>IFERROR(INDEX(tbl_plan[ロットID],ROW()-1),"")</f>
        <v/>
      </c>
      <c r="B103" s="4" t="str">
        <f>IF($A103="","",INDEX(tbl_plan[品番],ROW()-1))</f>
        <v/>
      </c>
      <c r="C103" s="5" t="str">
        <f>IF($A103="","",INDEX(tbl_plan[出荷週],ROW()-1))</f>
        <v/>
      </c>
      <c r="D103" s="4" t="str">
        <f>IF($A103="","",INDEX(tbl_plan[納期先],ROW()-1)&amp;"")</f>
        <v/>
      </c>
      <c r="E103" s="4" t="str">
        <f>IF($A103="","",INDEX(tbl_plan[必要数],ROW()-1))</f>
        <v/>
      </c>
      <c r="F103" s="4" t="str">
        <f>IF($A103="","",SUMIFS(tbl_plan[必要数],tbl_plan[ロットID],$A103,tbl_plan[計画状態],"有効"))</f>
        <v/>
      </c>
      <c r="G103" s="4" t="str">
        <f>IF($A103="","",SUMIFS(tbl_ledger[数量],tbl_ledger[ロットID],$A103,tbl_ledger[イベント種類],"発送"))</f>
        <v/>
      </c>
      <c r="H103" s="4" t="str">
        <f>IF($A103="","",SUMIFS(tbl_ledger[数量],tbl_ledger[ロットID],$A103,tbl_ledger[イベント種類],"搬入")+SUMIFS(tbl_ledger[数量],tbl_ledger[充当先ロットID],$A103,tbl_ledger[イベント種類],"充当")-SUMIFS(tbl_ledger[数量],tbl_ledger[ロットID],$A103,tbl_ledger[イベント種類],"充当")-SUMIFS(tbl_ledger[数量],tbl_ledger[ロットID],$A103,tbl_ledger[イベント種類],"発送")-SUMIFS(tbl_ledger[数量],tbl_ledger[ロットID],$A103,tbl_ledger[イベント種類],"倉庫A戻し")-SUMIFS(tbl_ledger[数量],tbl_ledger[ロットID],$A103,tbl_ledger[イベント種類],"余剰化")-SUMIFS(tbl_ledger[数量],tbl_ledger[ロットID],$A103,tbl_ledger[イベント種類],"不良発生"))</f>
        <v/>
      </c>
      <c r="I103" s="4" t="str">
        <f>IF($A103="","",SUMIFS(tbl_ledger[数量],tbl_ledger[品番],$B103,tbl_ledger[イベント種類],"余剰化")+SUMIFS(tbl_ledger[数量],tbl_ledger[品番],$B103,tbl_ledger[イベント種類],"搬入",tbl_ledger[ロットID],"=")-SUMIFS(tbl_ledger[数量],tbl_ledger[品番],$B103,tbl_ledger[イベント種類],"充当",tbl_ledger[ロットID],"=")-SUMIFS(tbl_ledger[数量],tbl_ledger[品番],$B103,tbl_ledger[イベント種類],"発送",tbl_ledger[ロットID],"=")-SUMIFS(tbl_ledger[数量],tbl_ledger[品番],$B103,tbl_ledger[イベント種類],"倉庫A戻し",tbl_ledger[ロットID],"=")-SUMIFS(tbl_ledger[数量],tbl_ledger[品番],$B103,tbl_ledger[イベント種類],"不良発生",tbl_ledger[ロットID],"="))</f>
        <v/>
      </c>
      <c r="J103" s="4" t="str">
        <f t="shared" si="3"/>
        <v/>
      </c>
      <c r="K103" s="4" t="str">
        <f t="shared" si="4"/>
        <v/>
      </c>
      <c r="L103" s="4" t="str">
        <f t="shared" si="5"/>
        <v/>
      </c>
      <c r="M103" s="4" t="str">
        <f>IF($A103="","",IF(INDEX(tbl_plan[計画状態],ROW()-1)="キャンセル","キャンセル",IF(K103=0,"発送済",IF(L103&gt;0,"要搬出","OK"))))</f>
        <v/>
      </c>
    </row>
    <row r="104" spans="1:13" ht="15" x14ac:dyDescent="0.25">
      <c r="A104" s="4" t="str">
        <f>IFERROR(INDEX(tbl_plan[ロットID],ROW()-1),"")</f>
        <v/>
      </c>
      <c r="B104" s="4" t="str">
        <f>IF($A104="","",INDEX(tbl_plan[品番],ROW()-1))</f>
        <v/>
      </c>
      <c r="C104" s="5" t="str">
        <f>IF($A104="","",INDEX(tbl_plan[出荷週],ROW()-1))</f>
        <v/>
      </c>
      <c r="D104" s="4" t="str">
        <f>IF($A104="","",INDEX(tbl_plan[納期先],ROW()-1)&amp;"")</f>
        <v/>
      </c>
      <c r="E104" s="4" t="str">
        <f>IF($A104="","",INDEX(tbl_plan[必要数],ROW()-1))</f>
        <v/>
      </c>
      <c r="F104" s="4" t="str">
        <f>IF($A104="","",SUMIFS(tbl_plan[必要数],tbl_plan[ロットID],$A104,tbl_plan[計画状態],"有効"))</f>
        <v/>
      </c>
      <c r="G104" s="4" t="str">
        <f>IF($A104="","",SUMIFS(tbl_ledger[数量],tbl_ledger[ロットID],$A104,tbl_ledger[イベント種類],"発送"))</f>
        <v/>
      </c>
      <c r="H104" s="4" t="str">
        <f>IF($A104="","",SUMIFS(tbl_ledger[数量],tbl_ledger[ロットID],$A104,tbl_ledger[イベント種類],"搬入")+SUMIFS(tbl_ledger[数量],tbl_ledger[充当先ロットID],$A104,tbl_ledger[イベント種類],"充当")-SUMIFS(tbl_ledger[数量],tbl_ledger[ロットID],$A104,tbl_ledger[イベント種類],"充当")-SUMIFS(tbl_ledger[数量],tbl_ledger[ロットID],$A104,tbl_ledger[イベント種類],"発送")-SUMIFS(tbl_ledger[数量],tbl_ledger[ロットID],$A104,tbl_ledger[イベント種類],"倉庫A戻し")-SUMIFS(tbl_ledger[数量],tbl_ledger[ロットID],$A104,tbl_ledger[イベント種類],"余剰化")-SUMIFS(tbl_ledger[数量],tbl_ledger[ロットID],$A104,tbl_ledger[イベント種類],"不良発生"))</f>
        <v/>
      </c>
      <c r="I104" s="4" t="str">
        <f>IF($A104="","",SUMIFS(tbl_ledger[数量],tbl_ledger[品番],$B104,tbl_ledger[イベント種類],"余剰化")+SUMIFS(tbl_ledger[数量],tbl_ledger[品番],$B104,tbl_ledger[イベント種類],"搬入",tbl_ledger[ロットID],"=")-SUMIFS(tbl_ledger[数量],tbl_ledger[品番],$B104,tbl_ledger[イベント種類],"充当",tbl_ledger[ロットID],"=")-SUMIFS(tbl_ledger[数量],tbl_ledger[品番],$B104,tbl_ledger[イベント種類],"発送",tbl_ledger[ロットID],"=")-SUMIFS(tbl_ledger[数量],tbl_ledger[品番],$B104,tbl_ledger[イベント種類],"倉庫A戻し",tbl_ledger[ロットID],"=")-SUMIFS(tbl_ledger[数量],tbl_ledger[品番],$B104,tbl_ledger[イベント種類],"不良発生",tbl_ledger[ロットID],"="))</f>
        <v/>
      </c>
      <c r="J104" s="4" t="str">
        <f t="shared" si="3"/>
        <v/>
      </c>
      <c r="K104" s="4" t="str">
        <f t="shared" si="4"/>
        <v/>
      </c>
      <c r="L104" s="4" t="str">
        <f t="shared" si="5"/>
        <v/>
      </c>
      <c r="M104" s="4" t="str">
        <f>IF($A104="","",IF(INDEX(tbl_plan[計画状態],ROW()-1)="キャンセル","キャンセル",IF(K104=0,"発送済",IF(L104&gt;0,"要搬出","OK"))))</f>
        <v/>
      </c>
    </row>
    <row r="105" spans="1:13" ht="15" x14ac:dyDescent="0.25">
      <c r="A105" s="4" t="str">
        <f>IFERROR(INDEX(tbl_plan[ロットID],ROW()-1),"")</f>
        <v/>
      </c>
      <c r="B105" s="4" t="str">
        <f>IF($A105="","",INDEX(tbl_plan[品番],ROW()-1))</f>
        <v/>
      </c>
      <c r="C105" s="5" t="str">
        <f>IF($A105="","",INDEX(tbl_plan[出荷週],ROW()-1))</f>
        <v/>
      </c>
      <c r="D105" s="4" t="str">
        <f>IF($A105="","",INDEX(tbl_plan[納期先],ROW()-1)&amp;"")</f>
        <v/>
      </c>
      <c r="E105" s="4" t="str">
        <f>IF($A105="","",INDEX(tbl_plan[必要数],ROW()-1))</f>
        <v/>
      </c>
      <c r="F105" s="4" t="str">
        <f>IF($A105="","",SUMIFS(tbl_plan[必要数],tbl_plan[ロットID],$A105,tbl_plan[計画状態],"有効"))</f>
        <v/>
      </c>
      <c r="G105" s="4" t="str">
        <f>IF($A105="","",SUMIFS(tbl_ledger[数量],tbl_ledger[ロットID],$A105,tbl_ledger[イベント種類],"発送"))</f>
        <v/>
      </c>
      <c r="H105" s="4" t="str">
        <f>IF($A105="","",SUMIFS(tbl_ledger[数量],tbl_ledger[ロットID],$A105,tbl_ledger[イベント種類],"搬入")+SUMIFS(tbl_ledger[数量],tbl_ledger[充当先ロットID],$A105,tbl_ledger[イベント種類],"充当")-SUMIFS(tbl_ledger[数量],tbl_ledger[ロットID],$A105,tbl_ledger[イベント種類],"充当")-SUMIFS(tbl_ledger[数量],tbl_ledger[ロットID],$A105,tbl_ledger[イベント種類],"発送")-SUMIFS(tbl_ledger[数量],tbl_ledger[ロットID],$A105,tbl_ledger[イベント種類],"倉庫A戻し")-SUMIFS(tbl_ledger[数量],tbl_ledger[ロットID],$A105,tbl_ledger[イベント種類],"余剰化")-SUMIFS(tbl_ledger[数量],tbl_ledger[ロットID],$A105,tbl_ledger[イベント種類],"不良発生"))</f>
        <v/>
      </c>
      <c r="I105" s="4" t="str">
        <f>IF($A105="","",SUMIFS(tbl_ledger[数量],tbl_ledger[品番],$B105,tbl_ledger[イベント種類],"余剰化")+SUMIFS(tbl_ledger[数量],tbl_ledger[品番],$B105,tbl_ledger[イベント種類],"搬入",tbl_ledger[ロットID],"=")-SUMIFS(tbl_ledger[数量],tbl_ledger[品番],$B105,tbl_ledger[イベント種類],"充当",tbl_ledger[ロットID],"=")-SUMIFS(tbl_ledger[数量],tbl_ledger[品番],$B105,tbl_ledger[イベント種類],"発送",tbl_ledger[ロットID],"=")-SUMIFS(tbl_ledger[数量],tbl_ledger[品番],$B105,tbl_ledger[イベント種類],"倉庫A戻し",tbl_ledger[ロットID],"=")-SUMIFS(tbl_ledger[数量],tbl_ledger[品番],$B105,tbl_ledger[イベント種類],"不良発生",tbl_ledger[ロットID],"="))</f>
        <v/>
      </c>
      <c r="J105" s="4" t="str">
        <f t="shared" si="3"/>
        <v/>
      </c>
      <c r="K105" s="4" t="str">
        <f t="shared" si="4"/>
        <v/>
      </c>
      <c r="L105" s="4" t="str">
        <f t="shared" si="5"/>
        <v/>
      </c>
      <c r="M105" s="4" t="str">
        <f>IF($A105="","",IF(INDEX(tbl_plan[計画状態],ROW()-1)="キャンセル","キャンセル",IF(K105=0,"発送済",IF(L105&gt;0,"要搬出","OK"))))</f>
        <v/>
      </c>
    </row>
    <row r="106" spans="1:13" ht="15" x14ac:dyDescent="0.25">
      <c r="A106" s="4" t="str">
        <f>IFERROR(INDEX(tbl_plan[ロットID],ROW()-1),"")</f>
        <v/>
      </c>
      <c r="B106" s="4" t="str">
        <f>IF($A106="","",INDEX(tbl_plan[品番],ROW()-1))</f>
        <v/>
      </c>
      <c r="C106" s="5" t="str">
        <f>IF($A106="","",INDEX(tbl_plan[出荷週],ROW()-1))</f>
        <v/>
      </c>
      <c r="D106" s="4" t="str">
        <f>IF($A106="","",INDEX(tbl_plan[納期先],ROW()-1)&amp;"")</f>
        <v/>
      </c>
      <c r="E106" s="4" t="str">
        <f>IF($A106="","",INDEX(tbl_plan[必要数],ROW()-1))</f>
        <v/>
      </c>
      <c r="F106" s="4" t="str">
        <f>IF($A106="","",SUMIFS(tbl_plan[必要数],tbl_plan[ロットID],$A106,tbl_plan[計画状態],"有効"))</f>
        <v/>
      </c>
      <c r="G106" s="4" t="str">
        <f>IF($A106="","",SUMIFS(tbl_ledger[数量],tbl_ledger[ロットID],$A106,tbl_ledger[イベント種類],"発送"))</f>
        <v/>
      </c>
      <c r="H106" s="4" t="str">
        <f>IF($A106="","",SUMIFS(tbl_ledger[数量],tbl_ledger[ロットID],$A106,tbl_ledger[イベント種類],"搬入")+SUMIFS(tbl_ledger[数量],tbl_ledger[充当先ロットID],$A106,tbl_ledger[イベント種類],"充当")-SUMIFS(tbl_ledger[数量],tbl_ledger[ロットID],$A106,tbl_ledger[イベント種類],"充当")-SUMIFS(tbl_ledger[数量],tbl_ledger[ロットID],$A106,tbl_ledger[イベント種類],"発送")-SUMIFS(tbl_ledger[数量],tbl_ledger[ロットID],$A106,tbl_ledger[イベント種類],"倉庫A戻し")-SUMIFS(tbl_ledger[数量],tbl_ledger[ロットID],$A106,tbl_ledger[イベント種類],"余剰化")-SUMIFS(tbl_ledger[数量],tbl_ledger[ロットID],$A106,tbl_ledger[イベント種類],"不良発生"))</f>
        <v/>
      </c>
      <c r="I106" s="4" t="str">
        <f>IF($A106="","",SUMIFS(tbl_ledger[数量],tbl_ledger[品番],$B106,tbl_ledger[イベント種類],"余剰化")+SUMIFS(tbl_ledger[数量],tbl_ledger[品番],$B106,tbl_ledger[イベント種類],"搬入",tbl_ledger[ロットID],"=")-SUMIFS(tbl_ledger[数量],tbl_ledger[品番],$B106,tbl_ledger[イベント種類],"充当",tbl_ledger[ロットID],"=")-SUMIFS(tbl_ledger[数量],tbl_ledger[品番],$B106,tbl_ledger[イベント種類],"発送",tbl_ledger[ロットID],"=")-SUMIFS(tbl_ledger[数量],tbl_ledger[品番],$B106,tbl_ledger[イベント種類],"倉庫A戻し",tbl_ledger[ロットID],"=")-SUMIFS(tbl_ledger[数量],tbl_ledger[品番],$B106,tbl_ledger[イベント種類],"不良発生",tbl_ledger[ロットID],"="))</f>
        <v/>
      </c>
      <c r="J106" s="4" t="str">
        <f t="shared" si="3"/>
        <v/>
      </c>
      <c r="K106" s="4" t="str">
        <f t="shared" si="4"/>
        <v/>
      </c>
      <c r="L106" s="4" t="str">
        <f t="shared" si="5"/>
        <v/>
      </c>
      <c r="M106" s="4" t="str">
        <f>IF($A106="","",IF(INDEX(tbl_plan[計画状態],ROW()-1)="キャンセル","キャンセル",IF(K106=0,"発送済",IF(L106&gt;0,"要搬出","OK"))))</f>
        <v/>
      </c>
    </row>
    <row r="107" spans="1:13" ht="15" x14ac:dyDescent="0.25">
      <c r="A107" s="4" t="str">
        <f>IFERROR(INDEX(tbl_plan[ロットID],ROW()-1),"")</f>
        <v/>
      </c>
      <c r="B107" s="4" t="str">
        <f>IF($A107="","",INDEX(tbl_plan[品番],ROW()-1))</f>
        <v/>
      </c>
      <c r="C107" s="5" t="str">
        <f>IF($A107="","",INDEX(tbl_plan[出荷週],ROW()-1))</f>
        <v/>
      </c>
      <c r="D107" s="4" t="str">
        <f>IF($A107="","",INDEX(tbl_plan[納期先],ROW()-1)&amp;"")</f>
        <v/>
      </c>
      <c r="E107" s="4" t="str">
        <f>IF($A107="","",INDEX(tbl_plan[必要数],ROW()-1))</f>
        <v/>
      </c>
      <c r="F107" s="4" t="str">
        <f>IF($A107="","",SUMIFS(tbl_plan[必要数],tbl_plan[ロットID],$A107,tbl_plan[計画状態],"有効"))</f>
        <v/>
      </c>
      <c r="G107" s="4" t="str">
        <f>IF($A107="","",SUMIFS(tbl_ledger[数量],tbl_ledger[ロットID],$A107,tbl_ledger[イベント種類],"発送"))</f>
        <v/>
      </c>
      <c r="H107" s="4" t="str">
        <f>IF($A107="","",SUMIFS(tbl_ledger[数量],tbl_ledger[ロットID],$A107,tbl_ledger[イベント種類],"搬入")+SUMIFS(tbl_ledger[数量],tbl_ledger[充当先ロットID],$A107,tbl_ledger[イベント種類],"充当")-SUMIFS(tbl_ledger[数量],tbl_ledger[ロットID],$A107,tbl_ledger[イベント種類],"充当")-SUMIFS(tbl_ledger[数量],tbl_ledger[ロットID],$A107,tbl_ledger[イベント種類],"発送")-SUMIFS(tbl_ledger[数量],tbl_ledger[ロットID],$A107,tbl_ledger[イベント種類],"倉庫A戻し")-SUMIFS(tbl_ledger[数量],tbl_ledger[ロットID],$A107,tbl_ledger[イベント種類],"余剰化")-SUMIFS(tbl_ledger[数量],tbl_ledger[ロットID],$A107,tbl_ledger[イベント種類],"不良発生"))</f>
        <v/>
      </c>
      <c r="I107" s="4" t="str">
        <f>IF($A107="","",SUMIFS(tbl_ledger[数量],tbl_ledger[品番],$B107,tbl_ledger[イベント種類],"余剰化")+SUMIFS(tbl_ledger[数量],tbl_ledger[品番],$B107,tbl_ledger[イベント種類],"搬入",tbl_ledger[ロットID],"=")-SUMIFS(tbl_ledger[数量],tbl_ledger[品番],$B107,tbl_ledger[イベント種類],"充当",tbl_ledger[ロットID],"=")-SUMIFS(tbl_ledger[数量],tbl_ledger[品番],$B107,tbl_ledger[イベント種類],"発送",tbl_ledger[ロットID],"=")-SUMIFS(tbl_ledger[数量],tbl_ledger[品番],$B107,tbl_ledger[イベント種類],"倉庫A戻し",tbl_ledger[ロットID],"=")-SUMIFS(tbl_ledger[数量],tbl_ledger[品番],$B107,tbl_ledger[イベント種類],"不良発生",tbl_ledger[ロットID],"="))</f>
        <v/>
      </c>
      <c r="J107" s="4" t="str">
        <f t="shared" si="3"/>
        <v/>
      </c>
      <c r="K107" s="4" t="str">
        <f t="shared" si="4"/>
        <v/>
      </c>
      <c r="L107" s="4" t="str">
        <f t="shared" si="5"/>
        <v/>
      </c>
      <c r="M107" s="4" t="str">
        <f>IF($A107="","",IF(INDEX(tbl_plan[計画状態],ROW()-1)="キャンセル","キャンセル",IF(K107=0,"発送済",IF(L107&gt;0,"要搬出","OK"))))</f>
        <v/>
      </c>
    </row>
    <row r="108" spans="1:13" ht="15" x14ac:dyDescent="0.25">
      <c r="A108" s="4" t="str">
        <f>IFERROR(INDEX(tbl_plan[ロットID],ROW()-1),"")</f>
        <v/>
      </c>
      <c r="B108" s="4" t="str">
        <f>IF($A108="","",INDEX(tbl_plan[品番],ROW()-1))</f>
        <v/>
      </c>
      <c r="C108" s="5" t="str">
        <f>IF($A108="","",INDEX(tbl_plan[出荷週],ROW()-1))</f>
        <v/>
      </c>
      <c r="D108" s="4" t="str">
        <f>IF($A108="","",INDEX(tbl_plan[納期先],ROW()-1)&amp;"")</f>
        <v/>
      </c>
      <c r="E108" s="4" t="str">
        <f>IF($A108="","",INDEX(tbl_plan[必要数],ROW()-1))</f>
        <v/>
      </c>
      <c r="F108" s="4" t="str">
        <f>IF($A108="","",SUMIFS(tbl_plan[必要数],tbl_plan[ロットID],$A108,tbl_plan[計画状態],"有効"))</f>
        <v/>
      </c>
      <c r="G108" s="4" t="str">
        <f>IF($A108="","",SUMIFS(tbl_ledger[数量],tbl_ledger[ロットID],$A108,tbl_ledger[イベント種類],"発送"))</f>
        <v/>
      </c>
      <c r="H108" s="4" t="str">
        <f>IF($A108="","",SUMIFS(tbl_ledger[数量],tbl_ledger[ロットID],$A108,tbl_ledger[イベント種類],"搬入")+SUMIFS(tbl_ledger[数量],tbl_ledger[充当先ロットID],$A108,tbl_ledger[イベント種類],"充当")-SUMIFS(tbl_ledger[数量],tbl_ledger[ロットID],$A108,tbl_ledger[イベント種類],"充当")-SUMIFS(tbl_ledger[数量],tbl_ledger[ロットID],$A108,tbl_ledger[イベント種類],"発送")-SUMIFS(tbl_ledger[数量],tbl_ledger[ロットID],$A108,tbl_ledger[イベント種類],"倉庫A戻し")-SUMIFS(tbl_ledger[数量],tbl_ledger[ロットID],$A108,tbl_ledger[イベント種類],"余剰化")-SUMIFS(tbl_ledger[数量],tbl_ledger[ロットID],$A108,tbl_ledger[イベント種類],"不良発生"))</f>
        <v/>
      </c>
      <c r="I108" s="4" t="str">
        <f>IF($A108="","",SUMIFS(tbl_ledger[数量],tbl_ledger[品番],$B108,tbl_ledger[イベント種類],"余剰化")+SUMIFS(tbl_ledger[数量],tbl_ledger[品番],$B108,tbl_ledger[イベント種類],"搬入",tbl_ledger[ロットID],"=")-SUMIFS(tbl_ledger[数量],tbl_ledger[品番],$B108,tbl_ledger[イベント種類],"充当",tbl_ledger[ロットID],"=")-SUMIFS(tbl_ledger[数量],tbl_ledger[品番],$B108,tbl_ledger[イベント種類],"発送",tbl_ledger[ロットID],"=")-SUMIFS(tbl_ledger[数量],tbl_ledger[品番],$B108,tbl_ledger[イベント種類],"倉庫A戻し",tbl_ledger[ロットID],"=")-SUMIFS(tbl_ledger[数量],tbl_ledger[品番],$B108,tbl_ledger[イベント種類],"不良発生",tbl_ledger[ロットID],"="))</f>
        <v/>
      </c>
      <c r="J108" s="4" t="str">
        <f t="shared" si="3"/>
        <v/>
      </c>
      <c r="K108" s="4" t="str">
        <f t="shared" si="4"/>
        <v/>
      </c>
      <c r="L108" s="4" t="str">
        <f t="shared" si="5"/>
        <v/>
      </c>
      <c r="M108" s="4" t="str">
        <f>IF($A108="","",IF(INDEX(tbl_plan[計画状態],ROW()-1)="キャンセル","キャンセル",IF(K108=0,"発送済",IF(L108&gt;0,"要搬出","OK"))))</f>
        <v/>
      </c>
    </row>
    <row r="109" spans="1:13" ht="15" x14ac:dyDescent="0.25">
      <c r="A109" s="4" t="str">
        <f>IFERROR(INDEX(tbl_plan[ロットID],ROW()-1),"")</f>
        <v/>
      </c>
      <c r="B109" s="4" t="str">
        <f>IF($A109="","",INDEX(tbl_plan[品番],ROW()-1))</f>
        <v/>
      </c>
      <c r="C109" s="5" t="str">
        <f>IF($A109="","",INDEX(tbl_plan[出荷週],ROW()-1))</f>
        <v/>
      </c>
      <c r="D109" s="4" t="str">
        <f>IF($A109="","",INDEX(tbl_plan[納期先],ROW()-1)&amp;"")</f>
        <v/>
      </c>
      <c r="E109" s="4" t="str">
        <f>IF($A109="","",INDEX(tbl_plan[必要数],ROW()-1))</f>
        <v/>
      </c>
      <c r="F109" s="4" t="str">
        <f>IF($A109="","",SUMIFS(tbl_plan[必要数],tbl_plan[ロットID],$A109,tbl_plan[計画状態],"有効"))</f>
        <v/>
      </c>
      <c r="G109" s="4" t="str">
        <f>IF($A109="","",SUMIFS(tbl_ledger[数量],tbl_ledger[ロットID],$A109,tbl_ledger[イベント種類],"発送"))</f>
        <v/>
      </c>
      <c r="H109" s="4" t="str">
        <f>IF($A109="","",SUMIFS(tbl_ledger[数量],tbl_ledger[ロットID],$A109,tbl_ledger[イベント種類],"搬入")+SUMIFS(tbl_ledger[数量],tbl_ledger[充当先ロットID],$A109,tbl_ledger[イベント種類],"充当")-SUMIFS(tbl_ledger[数量],tbl_ledger[ロットID],$A109,tbl_ledger[イベント種類],"充当")-SUMIFS(tbl_ledger[数量],tbl_ledger[ロットID],$A109,tbl_ledger[イベント種類],"発送")-SUMIFS(tbl_ledger[数量],tbl_ledger[ロットID],$A109,tbl_ledger[イベント種類],"倉庫A戻し")-SUMIFS(tbl_ledger[数量],tbl_ledger[ロットID],$A109,tbl_ledger[イベント種類],"余剰化")-SUMIFS(tbl_ledger[数量],tbl_ledger[ロットID],$A109,tbl_ledger[イベント種類],"不良発生"))</f>
        <v/>
      </c>
      <c r="I109" s="4" t="str">
        <f>IF($A109="","",SUMIFS(tbl_ledger[数量],tbl_ledger[品番],$B109,tbl_ledger[イベント種類],"余剰化")+SUMIFS(tbl_ledger[数量],tbl_ledger[品番],$B109,tbl_ledger[イベント種類],"搬入",tbl_ledger[ロットID],"=")-SUMIFS(tbl_ledger[数量],tbl_ledger[品番],$B109,tbl_ledger[イベント種類],"充当",tbl_ledger[ロットID],"=")-SUMIFS(tbl_ledger[数量],tbl_ledger[品番],$B109,tbl_ledger[イベント種類],"発送",tbl_ledger[ロットID],"=")-SUMIFS(tbl_ledger[数量],tbl_ledger[品番],$B109,tbl_ledger[イベント種類],"倉庫A戻し",tbl_ledger[ロットID],"=")-SUMIFS(tbl_ledger[数量],tbl_ledger[品番],$B109,tbl_ledger[イベント種類],"不良発生",tbl_ledger[ロットID],"="))</f>
        <v/>
      </c>
      <c r="J109" s="4" t="str">
        <f t="shared" si="3"/>
        <v/>
      </c>
      <c r="K109" s="4" t="str">
        <f t="shared" si="4"/>
        <v/>
      </c>
      <c r="L109" s="4" t="str">
        <f t="shared" si="5"/>
        <v/>
      </c>
      <c r="M109" s="4" t="str">
        <f>IF($A109="","",IF(INDEX(tbl_plan[計画状態],ROW()-1)="キャンセル","キャンセル",IF(K109=0,"発送済",IF(L109&gt;0,"要搬出","OK"))))</f>
        <v/>
      </c>
    </row>
    <row r="110" spans="1:13" ht="15" x14ac:dyDescent="0.25">
      <c r="A110" s="4" t="str">
        <f>IFERROR(INDEX(tbl_plan[ロットID],ROW()-1),"")</f>
        <v/>
      </c>
      <c r="B110" s="4" t="str">
        <f>IF($A110="","",INDEX(tbl_plan[品番],ROW()-1))</f>
        <v/>
      </c>
      <c r="C110" s="5" t="str">
        <f>IF($A110="","",INDEX(tbl_plan[出荷週],ROW()-1))</f>
        <v/>
      </c>
      <c r="D110" s="4" t="str">
        <f>IF($A110="","",INDEX(tbl_plan[納期先],ROW()-1)&amp;"")</f>
        <v/>
      </c>
      <c r="E110" s="4" t="str">
        <f>IF($A110="","",INDEX(tbl_plan[必要数],ROW()-1))</f>
        <v/>
      </c>
      <c r="F110" s="4" t="str">
        <f>IF($A110="","",SUMIFS(tbl_plan[必要数],tbl_plan[ロットID],$A110,tbl_plan[計画状態],"有効"))</f>
        <v/>
      </c>
      <c r="G110" s="4" t="str">
        <f>IF($A110="","",SUMIFS(tbl_ledger[数量],tbl_ledger[ロットID],$A110,tbl_ledger[イベント種類],"発送"))</f>
        <v/>
      </c>
      <c r="H110" s="4" t="str">
        <f>IF($A110="","",SUMIFS(tbl_ledger[数量],tbl_ledger[ロットID],$A110,tbl_ledger[イベント種類],"搬入")+SUMIFS(tbl_ledger[数量],tbl_ledger[充当先ロットID],$A110,tbl_ledger[イベント種類],"充当")-SUMIFS(tbl_ledger[数量],tbl_ledger[ロットID],$A110,tbl_ledger[イベント種類],"充当")-SUMIFS(tbl_ledger[数量],tbl_ledger[ロットID],$A110,tbl_ledger[イベント種類],"発送")-SUMIFS(tbl_ledger[数量],tbl_ledger[ロットID],$A110,tbl_ledger[イベント種類],"倉庫A戻し")-SUMIFS(tbl_ledger[数量],tbl_ledger[ロットID],$A110,tbl_ledger[イベント種類],"余剰化")-SUMIFS(tbl_ledger[数量],tbl_ledger[ロットID],$A110,tbl_ledger[イベント種類],"不良発生"))</f>
        <v/>
      </c>
      <c r="I110" s="4" t="str">
        <f>IF($A110="","",SUMIFS(tbl_ledger[数量],tbl_ledger[品番],$B110,tbl_ledger[イベント種類],"余剰化")+SUMIFS(tbl_ledger[数量],tbl_ledger[品番],$B110,tbl_ledger[イベント種類],"搬入",tbl_ledger[ロットID],"=")-SUMIFS(tbl_ledger[数量],tbl_ledger[品番],$B110,tbl_ledger[イベント種類],"充当",tbl_ledger[ロットID],"=")-SUMIFS(tbl_ledger[数量],tbl_ledger[品番],$B110,tbl_ledger[イベント種類],"発送",tbl_ledger[ロットID],"=")-SUMIFS(tbl_ledger[数量],tbl_ledger[品番],$B110,tbl_ledger[イベント種類],"倉庫A戻し",tbl_ledger[ロットID],"=")-SUMIFS(tbl_ledger[数量],tbl_ledger[品番],$B110,tbl_ledger[イベント種類],"不良発生",tbl_ledger[ロットID],"="))</f>
        <v/>
      </c>
      <c r="J110" s="4" t="str">
        <f t="shared" si="3"/>
        <v/>
      </c>
      <c r="K110" s="4" t="str">
        <f t="shared" si="4"/>
        <v/>
      </c>
      <c r="L110" s="4" t="str">
        <f t="shared" si="5"/>
        <v/>
      </c>
      <c r="M110" s="4" t="str">
        <f>IF($A110="","",IF(INDEX(tbl_plan[計画状態],ROW()-1)="キャンセル","キャンセル",IF(K110=0,"発送済",IF(L110&gt;0,"要搬出","OK"))))</f>
        <v/>
      </c>
    </row>
    <row r="111" spans="1:13" ht="15" x14ac:dyDescent="0.25">
      <c r="A111" s="4" t="str">
        <f>IFERROR(INDEX(tbl_plan[ロットID],ROW()-1),"")</f>
        <v/>
      </c>
      <c r="B111" s="4" t="str">
        <f>IF($A111="","",INDEX(tbl_plan[品番],ROW()-1))</f>
        <v/>
      </c>
      <c r="C111" s="5" t="str">
        <f>IF($A111="","",INDEX(tbl_plan[出荷週],ROW()-1))</f>
        <v/>
      </c>
      <c r="D111" s="4" t="str">
        <f>IF($A111="","",INDEX(tbl_plan[納期先],ROW()-1)&amp;"")</f>
        <v/>
      </c>
      <c r="E111" s="4" t="str">
        <f>IF($A111="","",INDEX(tbl_plan[必要数],ROW()-1))</f>
        <v/>
      </c>
      <c r="F111" s="4" t="str">
        <f>IF($A111="","",SUMIFS(tbl_plan[必要数],tbl_plan[ロットID],$A111,tbl_plan[計画状態],"有効"))</f>
        <v/>
      </c>
      <c r="G111" s="4" t="str">
        <f>IF($A111="","",SUMIFS(tbl_ledger[数量],tbl_ledger[ロットID],$A111,tbl_ledger[イベント種類],"発送"))</f>
        <v/>
      </c>
      <c r="H111" s="4" t="str">
        <f>IF($A111="","",SUMIFS(tbl_ledger[数量],tbl_ledger[ロットID],$A111,tbl_ledger[イベント種類],"搬入")+SUMIFS(tbl_ledger[数量],tbl_ledger[充当先ロットID],$A111,tbl_ledger[イベント種類],"充当")-SUMIFS(tbl_ledger[数量],tbl_ledger[ロットID],$A111,tbl_ledger[イベント種類],"充当")-SUMIFS(tbl_ledger[数量],tbl_ledger[ロットID],$A111,tbl_ledger[イベント種類],"発送")-SUMIFS(tbl_ledger[数量],tbl_ledger[ロットID],$A111,tbl_ledger[イベント種類],"倉庫A戻し")-SUMIFS(tbl_ledger[数量],tbl_ledger[ロットID],$A111,tbl_ledger[イベント種類],"余剰化")-SUMIFS(tbl_ledger[数量],tbl_ledger[ロットID],$A111,tbl_ledger[イベント種類],"不良発生"))</f>
        <v/>
      </c>
      <c r="I111" s="4" t="str">
        <f>IF($A111="","",SUMIFS(tbl_ledger[数量],tbl_ledger[品番],$B111,tbl_ledger[イベント種類],"余剰化")+SUMIFS(tbl_ledger[数量],tbl_ledger[品番],$B111,tbl_ledger[イベント種類],"搬入",tbl_ledger[ロットID],"=")-SUMIFS(tbl_ledger[数量],tbl_ledger[品番],$B111,tbl_ledger[イベント種類],"充当",tbl_ledger[ロットID],"=")-SUMIFS(tbl_ledger[数量],tbl_ledger[品番],$B111,tbl_ledger[イベント種類],"発送",tbl_ledger[ロットID],"=")-SUMIFS(tbl_ledger[数量],tbl_ledger[品番],$B111,tbl_ledger[イベント種類],"倉庫A戻し",tbl_ledger[ロットID],"=")-SUMIFS(tbl_ledger[数量],tbl_ledger[品番],$B111,tbl_ledger[イベント種類],"不良発生",tbl_ledger[ロットID],"="))</f>
        <v/>
      </c>
      <c r="J111" s="4" t="str">
        <f t="shared" si="3"/>
        <v/>
      </c>
      <c r="K111" s="4" t="str">
        <f t="shared" si="4"/>
        <v/>
      </c>
      <c r="L111" s="4" t="str">
        <f t="shared" si="5"/>
        <v/>
      </c>
      <c r="M111" s="4" t="str">
        <f>IF($A111="","",IF(INDEX(tbl_plan[計画状態],ROW()-1)="キャンセル","キャンセル",IF(K111=0,"発送済",IF(L111&gt;0,"要搬出","OK"))))</f>
        <v/>
      </c>
    </row>
    <row r="112" spans="1:13" ht="15" x14ac:dyDescent="0.25">
      <c r="A112" s="4" t="str">
        <f>IFERROR(INDEX(tbl_plan[ロットID],ROW()-1),"")</f>
        <v/>
      </c>
      <c r="B112" s="4" t="str">
        <f>IF($A112="","",INDEX(tbl_plan[品番],ROW()-1))</f>
        <v/>
      </c>
      <c r="C112" s="5" t="str">
        <f>IF($A112="","",INDEX(tbl_plan[出荷週],ROW()-1))</f>
        <v/>
      </c>
      <c r="D112" s="4" t="str">
        <f>IF($A112="","",INDEX(tbl_plan[納期先],ROW()-1)&amp;"")</f>
        <v/>
      </c>
      <c r="E112" s="4" t="str">
        <f>IF($A112="","",INDEX(tbl_plan[必要数],ROW()-1))</f>
        <v/>
      </c>
      <c r="F112" s="4" t="str">
        <f>IF($A112="","",SUMIFS(tbl_plan[必要数],tbl_plan[ロットID],$A112,tbl_plan[計画状態],"有効"))</f>
        <v/>
      </c>
      <c r="G112" s="4" t="str">
        <f>IF($A112="","",SUMIFS(tbl_ledger[数量],tbl_ledger[ロットID],$A112,tbl_ledger[イベント種類],"発送"))</f>
        <v/>
      </c>
      <c r="H112" s="4" t="str">
        <f>IF($A112="","",SUMIFS(tbl_ledger[数量],tbl_ledger[ロットID],$A112,tbl_ledger[イベント種類],"搬入")+SUMIFS(tbl_ledger[数量],tbl_ledger[充当先ロットID],$A112,tbl_ledger[イベント種類],"充当")-SUMIFS(tbl_ledger[数量],tbl_ledger[ロットID],$A112,tbl_ledger[イベント種類],"充当")-SUMIFS(tbl_ledger[数量],tbl_ledger[ロットID],$A112,tbl_ledger[イベント種類],"発送")-SUMIFS(tbl_ledger[数量],tbl_ledger[ロットID],$A112,tbl_ledger[イベント種類],"倉庫A戻し")-SUMIFS(tbl_ledger[数量],tbl_ledger[ロットID],$A112,tbl_ledger[イベント種類],"余剰化")-SUMIFS(tbl_ledger[数量],tbl_ledger[ロットID],$A112,tbl_ledger[イベント種類],"不良発生"))</f>
        <v/>
      </c>
      <c r="I112" s="4" t="str">
        <f>IF($A112="","",SUMIFS(tbl_ledger[数量],tbl_ledger[品番],$B112,tbl_ledger[イベント種類],"余剰化")+SUMIFS(tbl_ledger[数量],tbl_ledger[品番],$B112,tbl_ledger[イベント種類],"搬入",tbl_ledger[ロットID],"=")-SUMIFS(tbl_ledger[数量],tbl_ledger[品番],$B112,tbl_ledger[イベント種類],"充当",tbl_ledger[ロットID],"=")-SUMIFS(tbl_ledger[数量],tbl_ledger[品番],$B112,tbl_ledger[イベント種類],"発送",tbl_ledger[ロットID],"=")-SUMIFS(tbl_ledger[数量],tbl_ledger[品番],$B112,tbl_ledger[イベント種類],"倉庫A戻し",tbl_ledger[ロットID],"=")-SUMIFS(tbl_ledger[数量],tbl_ledger[品番],$B112,tbl_ledger[イベント種類],"不良発生",tbl_ledger[ロットID],"="))</f>
        <v/>
      </c>
      <c r="J112" s="4" t="str">
        <f t="shared" si="3"/>
        <v/>
      </c>
      <c r="K112" s="4" t="str">
        <f t="shared" si="4"/>
        <v/>
      </c>
      <c r="L112" s="4" t="str">
        <f t="shared" si="5"/>
        <v/>
      </c>
      <c r="M112" s="4" t="str">
        <f>IF($A112="","",IF(INDEX(tbl_plan[計画状態],ROW()-1)="キャンセル","キャンセル",IF(K112=0,"発送済",IF(L112&gt;0,"要搬出","OK"))))</f>
        <v/>
      </c>
    </row>
    <row r="113" spans="1:13" ht="15" x14ac:dyDescent="0.25">
      <c r="A113" s="4" t="str">
        <f>IFERROR(INDEX(tbl_plan[ロットID],ROW()-1),"")</f>
        <v/>
      </c>
      <c r="B113" s="4" t="str">
        <f>IF($A113="","",INDEX(tbl_plan[品番],ROW()-1))</f>
        <v/>
      </c>
      <c r="C113" s="5" t="str">
        <f>IF($A113="","",INDEX(tbl_plan[出荷週],ROW()-1))</f>
        <v/>
      </c>
      <c r="D113" s="4" t="str">
        <f>IF($A113="","",INDEX(tbl_plan[納期先],ROW()-1)&amp;"")</f>
        <v/>
      </c>
      <c r="E113" s="4" t="str">
        <f>IF($A113="","",INDEX(tbl_plan[必要数],ROW()-1))</f>
        <v/>
      </c>
      <c r="F113" s="4" t="str">
        <f>IF($A113="","",SUMIFS(tbl_plan[必要数],tbl_plan[ロットID],$A113,tbl_plan[計画状態],"有効"))</f>
        <v/>
      </c>
      <c r="G113" s="4" t="str">
        <f>IF($A113="","",SUMIFS(tbl_ledger[数量],tbl_ledger[ロットID],$A113,tbl_ledger[イベント種類],"発送"))</f>
        <v/>
      </c>
      <c r="H113" s="4" t="str">
        <f>IF($A113="","",SUMIFS(tbl_ledger[数量],tbl_ledger[ロットID],$A113,tbl_ledger[イベント種類],"搬入")+SUMIFS(tbl_ledger[数量],tbl_ledger[充当先ロットID],$A113,tbl_ledger[イベント種類],"充当")-SUMIFS(tbl_ledger[数量],tbl_ledger[ロットID],$A113,tbl_ledger[イベント種類],"充当")-SUMIFS(tbl_ledger[数量],tbl_ledger[ロットID],$A113,tbl_ledger[イベント種類],"発送")-SUMIFS(tbl_ledger[数量],tbl_ledger[ロットID],$A113,tbl_ledger[イベント種類],"倉庫A戻し")-SUMIFS(tbl_ledger[数量],tbl_ledger[ロットID],$A113,tbl_ledger[イベント種類],"余剰化")-SUMIFS(tbl_ledger[数量],tbl_ledger[ロットID],$A113,tbl_ledger[イベント種類],"不良発生"))</f>
        <v/>
      </c>
      <c r="I113" s="4" t="str">
        <f>IF($A113="","",SUMIFS(tbl_ledger[数量],tbl_ledger[品番],$B113,tbl_ledger[イベント種類],"余剰化")+SUMIFS(tbl_ledger[数量],tbl_ledger[品番],$B113,tbl_ledger[イベント種類],"搬入",tbl_ledger[ロットID],"=")-SUMIFS(tbl_ledger[数量],tbl_ledger[品番],$B113,tbl_ledger[イベント種類],"充当",tbl_ledger[ロットID],"=")-SUMIFS(tbl_ledger[数量],tbl_ledger[品番],$B113,tbl_ledger[イベント種類],"発送",tbl_ledger[ロットID],"=")-SUMIFS(tbl_ledger[数量],tbl_ledger[品番],$B113,tbl_ledger[イベント種類],"倉庫A戻し",tbl_ledger[ロットID],"=")-SUMIFS(tbl_ledger[数量],tbl_ledger[品番],$B113,tbl_ledger[イベント種類],"不良発生",tbl_ledger[ロットID],"="))</f>
        <v/>
      </c>
      <c r="J113" s="4" t="str">
        <f t="shared" si="3"/>
        <v/>
      </c>
      <c r="K113" s="4" t="str">
        <f t="shared" si="4"/>
        <v/>
      </c>
      <c r="L113" s="4" t="str">
        <f t="shared" si="5"/>
        <v/>
      </c>
      <c r="M113" s="4" t="str">
        <f>IF($A113="","",IF(INDEX(tbl_plan[計画状態],ROW()-1)="キャンセル","キャンセル",IF(K113=0,"発送済",IF(L113&gt;0,"要搬出","OK"))))</f>
        <v/>
      </c>
    </row>
    <row r="114" spans="1:13" ht="15" x14ac:dyDescent="0.25">
      <c r="A114" s="4" t="str">
        <f>IFERROR(INDEX(tbl_plan[ロットID],ROW()-1),"")</f>
        <v/>
      </c>
      <c r="B114" s="4" t="str">
        <f>IF($A114="","",INDEX(tbl_plan[品番],ROW()-1))</f>
        <v/>
      </c>
      <c r="C114" s="5" t="str">
        <f>IF($A114="","",INDEX(tbl_plan[出荷週],ROW()-1))</f>
        <v/>
      </c>
      <c r="D114" s="4" t="str">
        <f>IF($A114="","",INDEX(tbl_plan[納期先],ROW()-1)&amp;"")</f>
        <v/>
      </c>
      <c r="E114" s="4" t="str">
        <f>IF($A114="","",INDEX(tbl_plan[必要数],ROW()-1))</f>
        <v/>
      </c>
      <c r="F114" s="4" t="str">
        <f>IF($A114="","",SUMIFS(tbl_plan[必要数],tbl_plan[ロットID],$A114,tbl_plan[計画状態],"有効"))</f>
        <v/>
      </c>
      <c r="G114" s="4" t="str">
        <f>IF($A114="","",SUMIFS(tbl_ledger[数量],tbl_ledger[ロットID],$A114,tbl_ledger[イベント種類],"発送"))</f>
        <v/>
      </c>
      <c r="H114" s="4" t="str">
        <f>IF($A114="","",SUMIFS(tbl_ledger[数量],tbl_ledger[ロットID],$A114,tbl_ledger[イベント種類],"搬入")+SUMIFS(tbl_ledger[数量],tbl_ledger[充当先ロットID],$A114,tbl_ledger[イベント種類],"充当")-SUMIFS(tbl_ledger[数量],tbl_ledger[ロットID],$A114,tbl_ledger[イベント種類],"充当")-SUMIFS(tbl_ledger[数量],tbl_ledger[ロットID],$A114,tbl_ledger[イベント種類],"発送")-SUMIFS(tbl_ledger[数量],tbl_ledger[ロットID],$A114,tbl_ledger[イベント種類],"倉庫A戻し")-SUMIFS(tbl_ledger[数量],tbl_ledger[ロットID],$A114,tbl_ledger[イベント種類],"余剰化")-SUMIFS(tbl_ledger[数量],tbl_ledger[ロットID],$A114,tbl_ledger[イベント種類],"不良発生"))</f>
        <v/>
      </c>
      <c r="I114" s="4" t="str">
        <f>IF($A114="","",SUMIFS(tbl_ledger[数量],tbl_ledger[品番],$B114,tbl_ledger[イベント種類],"余剰化")+SUMIFS(tbl_ledger[数量],tbl_ledger[品番],$B114,tbl_ledger[イベント種類],"搬入",tbl_ledger[ロットID],"=")-SUMIFS(tbl_ledger[数量],tbl_ledger[品番],$B114,tbl_ledger[イベント種類],"充当",tbl_ledger[ロットID],"=")-SUMIFS(tbl_ledger[数量],tbl_ledger[品番],$B114,tbl_ledger[イベント種類],"発送",tbl_ledger[ロットID],"=")-SUMIFS(tbl_ledger[数量],tbl_ledger[品番],$B114,tbl_ledger[イベント種類],"倉庫A戻し",tbl_ledger[ロットID],"=")-SUMIFS(tbl_ledger[数量],tbl_ledger[品番],$B114,tbl_ledger[イベント種類],"不良発生",tbl_ledger[ロットID],"="))</f>
        <v/>
      </c>
      <c r="J114" s="4" t="str">
        <f t="shared" si="3"/>
        <v/>
      </c>
      <c r="K114" s="4" t="str">
        <f t="shared" si="4"/>
        <v/>
      </c>
      <c r="L114" s="4" t="str">
        <f t="shared" si="5"/>
        <v/>
      </c>
      <c r="M114" s="4" t="str">
        <f>IF($A114="","",IF(INDEX(tbl_plan[計画状態],ROW()-1)="キャンセル","キャンセル",IF(K114=0,"発送済",IF(L114&gt;0,"要搬出","OK"))))</f>
        <v/>
      </c>
    </row>
    <row r="115" spans="1:13" ht="15" x14ac:dyDescent="0.25">
      <c r="A115" s="4" t="str">
        <f>IFERROR(INDEX(tbl_plan[ロットID],ROW()-1),"")</f>
        <v/>
      </c>
      <c r="B115" s="4" t="str">
        <f>IF($A115="","",INDEX(tbl_plan[品番],ROW()-1))</f>
        <v/>
      </c>
      <c r="C115" s="5" t="str">
        <f>IF($A115="","",INDEX(tbl_plan[出荷週],ROW()-1))</f>
        <v/>
      </c>
      <c r="D115" s="4" t="str">
        <f>IF($A115="","",INDEX(tbl_plan[納期先],ROW()-1)&amp;"")</f>
        <v/>
      </c>
      <c r="E115" s="4" t="str">
        <f>IF($A115="","",INDEX(tbl_plan[必要数],ROW()-1))</f>
        <v/>
      </c>
      <c r="F115" s="4" t="str">
        <f>IF($A115="","",SUMIFS(tbl_plan[必要数],tbl_plan[ロットID],$A115,tbl_plan[計画状態],"有効"))</f>
        <v/>
      </c>
      <c r="G115" s="4" t="str">
        <f>IF($A115="","",SUMIFS(tbl_ledger[数量],tbl_ledger[ロットID],$A115,tbl_ledger[イベント種類],"発送"))</f>
        <v/>
      </c>
      <c r="H115" s="4" t="str">
        <f>IF($A115="","",SUMIFS(tbl_ledger[数量],tbl_ledger[ロットID],$A115,tbl_ledger[イベント種類],"搬入")+SUMIFS(tbl_ledger[数量],tbl_ledger[充当先ロットID],$A115,tbl_ledger[イベント種類],"充当")-SUMIFS(tbl_ledger[数量],tbl_ledger[ロットID],$A115,tbl_ledger[イベント種類],"充当")-SUMIFS(tbl_ledger[数量],tbl_ledger[ロットID],$A115,tbl_ledger[イベント種類],"発送")-SUMIFS(tbl_ledger[数量],tbl_ledger[ロットID],$A115,tbl_ledger[イベント種類],"倉庫A戻し")-SUMIFS(tbl_ledger[数量],tbl_ledger[ロットID],$A115,tbl_ledger[イベント種類],"余剰化")-SUMIFS(tbl_ledger[数量],tbl_ledger[ロットID],$A115,tbl_ledger[イベント種類],"不良発生"))</f>
        <v/>
      </c>
      <c r="I115" s="4" t="str">
        <f>IF($A115="","",SUMIFS(tbl_ledger[数量],tbl_ledger[品番],$B115,tbl_ledger[イベント種類],"余剰化")+SUMIFS(tbl_ledger[数量],tbl_ledger[品番],$B115,tbl_ledger[イベント種類],"搬入",tbl_ledger[ロットID],"=")-SUMIFS(tbl_ledger[数量],tbl_ledger[品番],$B115,tbl_ledger[イベント種類],"充当",tbl_ledger[ロットID],"=")-SUMIFS(tbl_ledger[数量],tbl_ledger[品番],$B115,tbl_ledger[イベント種類],"発送",tbl_ledger[ロットID],"=")-SUMIFS(tbl_ledger[数量],tbl_ledger[品番],$B115,tbl_ledger[イベント種類],"倉庫A戻し",tbl_ledger[ロットID],"=")-SUMIFS(tbl_ledger[数量],tbl_ledger[品番],$B115,tbl_ledger[イベント種類],"不良発生",tbl_ledger[ロットID],"="))</f>
        <v/>
      </c>
      <c r="J115" s="4" t="str">
        <f t="shared" si="3"/>
        <v/>
      </c>
      <c r="K115" s="4" t="str">
        <f t="shared" si="4"/>
        <v/>
      </c>
      <c r="L115" s="4" t="str">
        <f t="shared" si="5"/>
        <v/>
      </c>
      <c r="M115" s="4" t="str">
        <f>IF($A115="","",IF(INDEX(tbl_plan[計画状態],ROW()-1)="キャンセル","キャンセル",IF(K115=0,"発送済",IF(L115&gt;0,"要搬出","OK"))))</f>
        <v/>
      </c>
    </row>
    <row r="116" spans="1:13" ht="15" x14ac:dyDescent="0.25">
      <c r="A116" s="4" t="str">
        <f>IFERROR(INDEX(tbl_plan[ロットID],ROW()-1),"")</f>
        <v/>
      </c>
      <c r="B116" s="4" t="str">
        <f>IF($A116="","",INDEX(tbl_plan[品番],ROW()-1))</f>
        <v/>
      </c>
      <c r="C116" s="5" t="str">
        <f>IF($A116="","",INDEX(tbl_plan[出荷週],ROW()-1))</f>
        <v/>
      </c>
      <c r="D116" s="4" t="str">
        <f>IF($A116="","",INDEX(tbl_plan[納期先],ROW()-1)&amp;"")</f>
        <v/>
      </c>
      <c r="E116" s="4" t="str">
        <f>IF($A116="","",INDEX(tbl_plan[必要数],ROW()-1))</f>
        <v/>
      </c>
      <c r="F116" s="4" t="str">
        <f>IF($A116="","",SUMIFS(tbl_plan[必要数],tbl_plan[ロットID],$A116,tbl_plan[計画状態],"有効"))</f>
        <v/>
      </c>
      <c r="G116" s="4" t="str">
        <f>IF($A116="","",SUMIFS(tbl_ledger[数量],tbl_ledger[ロットID],$A116,tbl_ledger[イベント種類],"発送"))</f>
        <v/>
      </c>
      <c r="H116" s="4" t="str">
        <f>IF($A116="","",SUMIFS(tbl_ledger[数量],tbl_ledger[ロットID],$A116,tbl_ledger[イベント種類],"搬入")+SUMIFS(tbl_ledger[数量],tbl_ledger[充当先ロットID],$A116,tbl_ledger[イベント種類],"充当")-SUMIFS(tbl_ledger[数量],tbl_ledger[ロットID],$A116,tbl_ledger[イベント種類],"充当")-SUMIFS(tbl_ledger[数量],tbl_ledger[ロットID],$A116,tbl_ledger[イベント種類],"発送")-SUMIFS(tbl_ledger[数量],tbl_ledger[ロットID],$A116,tbl_ledger[イベント種類],"倉庫A戻し")-SUMIFS(tbl_ledger[数量],tbl_ledger[ロットID],$A116,tbl_ledger[イベント種類],"余剰化")-SUMIFS(tbl_ledger[数量],tbl_ledger[ロットID],$A116,tbl_ledger[イベント種類],"不良発生"))</f>
        <v/>
      </c>
      <c r="I116" s="4" t="str">
        <f>IF($A116="","",SUMIFS(tbl_ledger[数量],tbl_ledger[品番],$B116,tbl_ledger[イベント種類],"余剰化")+SUMIFS(tbl_ledger[数量],tbl_ledger[品番],$B116,tbl_ledger[イベント種類],"搬入",tbl_ledger[ロットID],"=")-SUMIFS(tbl_ledger[数量],tbl_ledger[品番],$B116,tbl_ledger[イベント種類],"充当",tbl_ledger[ロットID],"=")-SUMIFS(tbl_ledger[数量],tbl_ledger[品番],$B116,tbl_ledger[イベント種類],"発送",tbl_ledger[ロットID],"=")-SUMIFS(tbl_ledger[数量],tbl_ledger[品番],$B116,tbl_ledger[イベント種類],"倉庫A戻し",tbl_ledger[ロットID],"=")-SUMIFS(tbl_ledger[数量],tbl_ledger[品番],$B116,tbl_ledger[イベント種類],"不良発生",tbl_ledger[ロットID],"="))</f>
        <v/>
      </c>
      <c r="J116" s="4" t="str">
        <f t="shared" si="3"/>
        <v/>
      </c>
      <c r="K116" s="4" t="str">
        <f t="shared" si="4"/>
        <v/>
      </c>
      <c r="L116" s="4" t="str">
        <f t="shared" si="5"/>
        <v/>
      </c>
      <c r="M116" s="4" t="str">
        <f>IF($A116="","",IF(INDEX(tbl_plan[計画状態],ROW()-1)="キャンセル","キャンセル",IF(K116=0,"発送済",IF(L116&gt;0,"要搬出","OK"))))</f>
        <v/>
      </c>
    </row>
    <row r="117" spans="1:13" ht="15" x14ac:dyDescent="0.25">
      <c r="A117" s="4" t="str">
        <f>IFERROR(INDEX(tbl_plan[ロットID],ROW()-1),"")</f>
        <v/>
      </c>
      <c r="B117" s="4" t="str">
        <f>IF($A117="","",INDEX(tbl_plan[品番],ROW()-1))</f>
        <v/>
      </c>
      <c r="C117" s="5" t="str">
        <f>IF($A117="","",INDEX(tbl_plan[出荷週],ROW()-1))</f>
        <v/>
      </c>
      <c r="D117" s="4" t="str">
        <f>IF($A117="","",INDEX(tbl_plan[納期先],ROW()-1)&amp;"")</f>
        <v/>
      </c>
      <c r="E117" s="4" t="str">
        <f>IF($A117="","",INDEX(tbl_plan[必要数],ROW()-1))</f>
        <v/>
      </c>
      <c r="F117" s="4" t="str">
        <f>IF($A117="","",SUMIFS(tbl_plan[必要数],tbl_plan[ロットID],$A117,tbl_plan[計画状態],"有効"))</f>
        <v/>
      </c>
      <c r="G117" s="4" t="str">
        <f>IF($A117="","",SUMIFS(tbl_ledger[数量],tbl_ledger[ロットID],$A117,tbl_ledger[イベント種類],"発送"))</f>
        <v/>
      </c>
      <c r="H117" s="4" t="str">
        <f>IF($A117="","",SUMIFS(tbl_ledger[数量],tbl_ledger[ロットID],$A117,tbl_ledger[イベント種類],"搬入")+SUMIFS(tbl_ledger[数量],tbl_ledger[充当先ロットID],$A117,tbl_ledger[イベント種類],"充当")-SUMIFS(tbl_ledger[数量],tbl_ledger[ロットID],$A117,tbl_ledger[イベント種類],"充当")-SUMIFS(tbl_ledger[数量],tbl_ledger[ロットID],$A117,tbl_ledger[イベント種類],"発送")-SUMIFS(tbl_ledger[数量],tbl_ledger[ロットID],$A117,tbl_ledger[イベント種類],"倉庫A戻し")-SUMIFS(tbl_ledger[数量],tbl_ledger[ロットID],$A117,tbl_ledger[イベント種類],"余剰化")-SUMIFS(tbl_ledger[数量],tbl_ledger[ロットID],$A117,tbl_ledger[イベント種類],"不良発生"))</f>
        <v/>
      </c>
      <c r="I117" s="4" t="str">
        <f>IF($A117="","",SUMIFS(tbl_ledger[数量],tbl_ledger[品番],$B117,tbl_ledger[イベント種類],"余剰化")+SUMIFS(tbl_ledger[数量],tbl_ledger[品番],$B117,tbl_ledger[イベント種類],"搬入",tbl_ledger[ロットID],"=")-SUMIFS(tbl_ledger[数量],tbl_ledger[品番],$B117,tbl_ledger[イベント種類],"充当",tbl_ledger[ロットID],"=")-SUMIFS(tbl_ledger[数量],tbl_ledger[品番],$B117,tbl_ledger[イベント種類],"発送",tbl_ledger[ロットID],"=")-SUMIFS(tbl_ledger[数量],tbl_ledger[品番],$B117,tbl_ledger[イベント種類],"倉庫A戻し",tbl_ledger[ロットID],"=")-SUMIFS(tbl_ledger[数量],tbl_ledger[品番],$B117,tbl_ledger[イベント種類],"不良発生",tbl_ledger[ロットID],"="))</f>
        <v/>
      </c>
      <c r="J117" s="4" t="str">
        <f t="shared" si="3"/>
        <v/>
      </c>
      <c r="K117" s="4" t="str">
        <f t="shared" si="4"/>
        <v/>
      </c>
      <c r="L117" s="4" t="str">
        <f t="shared" si="5"/>
        <v/>
      </c>
      <c r="M117" s="4" t="str">
        <f>IF($A117="","",IF(INDEX(tbl_plan[計画状態],ROW()-1)="キャンセル","キャンセル",IF(K117=0,"発送済",IF(L117&gt;0,"要搬出","OK"))))</f>
        <v/>
      </c>
    </row>
    <row r="118" spans="1:13" ht="15" x14ac:dyDescent="0.25">
      <c r="A118" s="4" t="str">
        <f>IFERROR(INDEX(tbl_plan[ロットID],ROW()-1),"")</f>
        <v/>
      </c>
      <c r="B118" s="4" t="str">
        <f>IF($A118="","",INDEX(tbl_plan[品番],ROW()-1))</f>
        <v/>
      </c>
      <c r="C118" s="5" t="str">
        <f>IF($A118="","",INDEX(tbl_plan[出荷週],ROW()-1))</f>
        <v/>
      </c>
      <c r="D118" s="4" t="str">
        <f>IF($A118="","",INDEX(tbl_plan[納期先],ROW()-1)&amp;"")</f>
        <v/>
      </c>
      <c r="E118" s="4" t="str">
        <f>IF($A118="","",INDEX(tbl_plan[必要数],ROW()-1))</f>
        <v/>
      </c>
      <c r="F118" s="4" t="str">
        <f>IF($A118="","",SUMIFS(tbl_plan[必要数],tbl_plan[ロットID],$A118,tbl_plan[計画状態],"有効"))</f>
        <v/>
      </c>
      <c r="G118" s="4" t="str">
        <f>IF($A118="","",SUMIFS(tbl_ledger[数量],tbl_ledger[ロットID],$A118,tbl_ledger[イベント種類],"発送"))</f>
        <v/>
      </c>
      <c r="H118" s="4" t="str">
        <f>IF($A118="","",SUMIFS(tbl_ledger[数量],tbl_ledger[ロットID],$A118,tbl_ledger[イベント種類],"搬入")+SUMIFS(tbl_ledger[数量],tbl_ledger[充当先ロットID],$A118,tbl_ledger[イベント種類],"充当")-SUMIFS(tbl_ledger[数量],tbl_ledger[ロットID],$A118,tbl_ledger[イベント種類],"充当")-SUMIFS(tbl_ledger[数量],tbl_ledger[ロットID],$A118,tbl_ledger[イベント種類],"発送")-SUMIFS(tbl_ledger[数量],tbl_ledger[ロットID],$A118,tbl_ledger[イベント種類],"倉庫A戻し")-SUMIFS(tbl_ledger[数量],tbl_ledger[ロットID],$A118,tbl_ledger[イベント種類],"余剰化")-SUMIFS(tbl_ledger[数量],tbl_ledger[ロットID],$A118,tbl_ledger[イベント種類],"不良発生"))</f>
        <v/>
      </c>
      <c r="I118" s="4" t="str">
        <f>IF($A118="","",SUMIFS(tbl_ledger[数量],tbl_ledger[品番],$B118,tbl_ledger[イベント種類],"余剰化")+SUMIFS(tbl_ledger[数量],tbl_ledger[品番],$B118,tbl_ledger[イベント種類],"搬入",tbl_ledger[ロットID],"=")-SUMIFS(tbl_ledger[数量],tbl_ledger[品番],$B118,tbl_ledger[イベント種類],"充当",tbl_ledger[ロットID],"=")-SUMIFS(tbl_ledger[数量],tbl_ledger[品番],$B118,tbl_ledger[イベント種類],"発送",tbl_ledger[ロットID],"=")-SUMIFS(tbl_ledger[数量],tbl_ledger[品番],$B118,tbl_ledger[イベント種類],"倉庫A戻し",tbl_ledger[ロットID],"=")-SUMIFS(tbl_ledger[数量],tbl_ledger[品番],$B118,tbl_ledger[イベント種類],"不良発生",tbl_ledger[ロットID],"="))</f>
        <v/>
      </c>
      <c r="J118" s="4" t="str">
        <f t="shared" si="3"/>
        <v/>
      </c>
      <c r="K118" s="4" t="str">
        <f t="shared" si="4"/>
        <v/>
      </c>
      <c r="L118" s="4" t="str">
        <f t="shared" si="5"/>
        <v/>
      </c>
      <c r="M118" s="4" t="str">
        <f>IF($A118="","",IF(INDEX(tbl_plan[計画状態],ROW()-1)="キャンセル","キャンセル",IF(K118=0,"発送済",IF(L118&gt;0,"要搬出","OK"))))</f>
        <v/>
      </c>
    </row>
    <row r="119" spans="1:13" ht="15" x14ac:dyDescent="0.25">
      <c r="A119" s="4" t="str">
        <f>IFERROR(INDEX(tbl_plan[ロットID],ROW()-1),"")</f>
        <v/>
      </c>
      <c r="B119" s="4" t="str">
        <f>IF($A119="","",INDEX(tbl_plan[品番],ROW()-1))</f>
        <v/>
      </c>
      <c r="C119" s="5" t="str">
        <f>IF($A119="","",INDEX(tbl_plan[出荷週],ROW()-1))</f>
        <v/>
      </c>
      <c r="D119" s="4" t="str">
        <f>IF($A119="","",INDEX(tbl_plan[納期先],ROW()-1)&amp;"")</f>
        <v/>
      </c>
      <c r="E119" s="4" t="str">
        <f>IF($A119="","",INDEX(tbl_plan[必要数],ROW()-1))</f>
        <v/>
      </c>
      <c r="F119" s="4" t="str">
        <f>IF($A119="","",SUMIFS(tbl_plan[必要数],tbl_plan[ロットID],$A119,tbl_plan[計画状態],"有効"))</f>
        <v/>
      </c>
      <c r="G119" s="4" t="str">
        <f>IF($A119="","",SUMIFS(tbl_ledger[数量],tbl_ledger[ロットID],$A119,tbl_ledger[イベント種類],"発送"))</f>
        <v/>
      </c>
      <c r="H119" s="4" t="str">
        <f>IF($A119="","",SUMIFS(tbl_ledger[数量],tbl_ledger[ロットID],$A119,tbl_ledger[イベント種類],"搬入")+SUMIFS(tbl_ledger[数量],tbl_ledger[充当先ロットID],$A119,tbl_ledger[イベント種類],"充当")-SUMIFS(tbl_ledger[数量],tbl_ledger[ロットID],$A119,tbl_ledger[イベント種類],"充当")-SUMIFS(tbl_ledger[数量],tbl_ledger[ロットID],$A119,tbl_ledger[イベント種類],"発送")-SUMIFS(tbl_ledger[数量],tbl_ledger[ロットID],$A119,tbl_ledger[イベント種類],"倉庫A戻し")-SUMIFS(tbl_ledger[数量],tbl_ledger[ロットID],$A119,tbl_ledger[イベント種類],"余剰化")-SUMIFS(tbl_ledger[数量],tbl_ledger[ロットID],$A119,tbl_ledger[イベント種類],"不良発生"))</f>
        <v/>
      </c>
      <c r="I119" s="4" t="str">
        <f>IF($A119="","",SUMIFS(tbl_ledger[数量],tbl_ledger[品番],$B119,tbl_ledger[イベント種類],"余剰化")+SUMIFS(tbl_ledger[数量],tbl_ledger[品番],$B119,tbl_ledger[イベント種類],"搬入",tbl_ledger[ロットID],"=")-SUMIFS(tbl_ledger[数量],tbl_ledger[品番],$B119,tbl_ledger[イベント種類],"充当",tbl_ledger[ロットID],"=")-SUMIFS(tbl_ledger[数量],tbl_ledger[品番],$B119,tbl_ledger[イベント種類],"発送",tbl_ledger[ロットID],"=")-SUMIFS(tbl_ledger[数量],tbl_ledger[品番],$B119,tbl_ledger[イベント種類],"倉庫A戻し",tbl_ledger[ロットID],"=")-SUMIFS(tbl_ledger[数量],tbl_ledger[品番],$B119,tbl_ledger[イベント種類],"不良発生",tbl_ledger[ロットID],"="))</f>
        <v/>
      </c>
      <c r="J119" s="4" t="str">
        <f t="shared" si="3"/>
        <v/>
      </c>
      <c r="K119" s="4" t="str">
        <f t="shared" si="4"/>
        <v/>
      </c>
      <c r="L119" s="4" t="str">
        <f t="shared" si="5"/>
        <v/>
      </c>
      <c r="M119" s="4" t="str">
        <f>IF($A119="","",IF(INDEX(tbl_plan[計画状態],ROW()-1)="キャンセル","キャンセル",IF(K119=0,"発送済",IF(L119&gt;0,"要搬出","OK"))))</f>
        <v/>
      </c>
    </row>
    <row r="120" spans="1:13" ht="15" x14ac:dyDescent="0.25">
      <c r="A120" s="4" t="str">
        <f>IFERROR(INDEX(tbl_plan[ロットID],ROW()-1),"")</f>
        <v/>
      </c>
      <c r="B120" s="4" t="str">
        <f>IF($A120="","",INDEX(tbl_plan[品番],ROW()-1))</f>
        <v/>
      </c>
      <c r="C120" s="5" t="str">
        <f>IF($A120="","",INDEX(tbl_plan[出荷週],ROW()-1))</f>
        <v/>
      </c>
      <c r="D120" s="4" t="str">
        <f>IF($A120="","",INDEX(tbl_plan[納期先],ROW()-1)&amp;"")</f>
        <v/>
      </c>
      <c r="E120" s="4" t="str">
        <f>IF($A120="","",INDEX(tbl_plan[必要数],ROW()-1))</f>
        <v/>
      </c>
      <c r="F120" s="4" t="str">
        <f>IF($A120="","",SUMIFS(tbl_plan[必要数],tbl_plan[ロットID],$A120,tbl_plan[計画状態],"有効"))</f>
        <v/>
      </c>
      <c r="G120" s="4" t="str">
        <f>IF($A120="","",SUMIFS(tbl_ledger[数量],tbl_ledger[ロットID],$A120,tbl_ledger[イベント種類],"発送"))</f>
        <v/>
      </c>
      <c r="H120" s="4" t="str">
        <f>IF($A120="","",SUMIFS(tbl_ledger[数量],tbl_ledger[ロットID],$A120,tbl_ledger[イベント種類],"搬入")+SUMIFS(tbl_ledger[数量],tbl_ledger[充当先ロットID],$A120,tbl_ledger[イベント種類],"充当")-SUMIFS(tbl_ledger[数量],tbl_ledger[ロットID],$A120,tbl_ledger[イベント種類],"充当")-SUMIFS(tbl_ledger[数量],tbl_ledger[ロットID],$A120,tbl_ledger[イベント種類],"発送")-SUMIFS(tbl_ledger[数量],tbl_ledger[ロットID],$A120,tbl_ledger[イベント種類],"倉庫A戻し")-SUMIFS(tbl_ledger[数量],tbl_ledger[ロットID],$A120,tbl_ledger[イベント種類],"余剰化")-SUMIFS(tbl_ledger[数量],tbl_ledger[ロットID],$A120,tbl_ledger[イベント種類],"不良発生"))</f>
        <v/>
      </c>
      <c r="I120" s="4" t="str">
        <f>IF($A120="","",SUMIFS(tbl_ledger[数量],tbl_ledger[品番],$B120,tbl_ledger[イベント種類],"余剰化")+SUMIFS(tbl_ledger[数量],tbl_ledger[品番],$B120,tbl_ledger[イベント種類],"搬入",tbl_ledger[ロットID],"=")-SUMIFS(tbl_ledger[数量],tbl_ledger[品番],$B120,tbl_ledger[イベント種類],"充当",tbl_ledger[ロットID],"=")-SUMIFS(tbl_ledger[数量],tbl_ledger[品番],$B120,tbl_ledger[イベント種類],"発送",tbl_ledger[ロットID],"=")-SUMIFS(tbl_ledger[数量],tbl_ledger[品番],$B120,tbl_ledger[イベント種類],"倉庫A戻し",tbl_ledger[ロットID],"=")-SUMIFS(tbl_ledger[数量],tbl_ledger[品番],$B120,tbl_ledger[イベント種類],"不良発生",tbl_ledger[ロットID],"="))</f>
        <v/>
      </c>
      <c r="J120" s="4" t="str">
        <f t="shared" si="3"/>
        <v/>
      </c>
      <c r="K120" s="4" t="str">
        <f t="shared" si="4"/>
        <v/>
      </c>
      <c r="L120" s="4" t="str">
        <f t="shared" si="5"/>
        <v/>
      </c>
      <c r="M120" s="4" t="str">
        <f>IF($A120="","",IF(INDEX(tbl_plan[計画状態],ROW()-1)="キャンセル","キャンセル",IF(K120=0,"発送済",IF(L120&gt;0,"要搬出","OK"))))</f>
        <v/>
      </c>
    </row>
    <row r="121" spans="1:13" ht="15" x14ac:dyDescent="0.25">
      <c r="A121" s="4" t="str">
        <f>IFERROR(INDEX(tbl_plan[ロットID],ROW()-1),"")</f>
        <v/>
      </c>
      <c r="B121" s="4" t="str">
        <f>IF($A121="","",INDEX(tbl_plan[品番],ROW()-1))</f>
        <v/>
      </c>
      <c r="C121" s="5" t="str">
        <f>IF($A121="","",INDEX(tbl_plan[出荷週],ROW()-1))</f>
        <v/>
      </c>
      <c r="D121" s="4" t="str">
        <f>IF($A121="","",INDEX(tbl_plan[納期先],ROW()-1)&amp;"")</f>
        <v/>
      </c>
      <c r="E121" s="4" t="str">
        <f>IF($A121="","",INDEX(tbl_plan[必要数],ROW()-1))</f>
        <v/>
      </c>
      <c r="F121" s="4" t="str">
        <f>IF($A121="","",SUMIFS(tbl_plan[必要数],tbl_plan[ロットID],$A121,tbl_plan[計画状態],"有効"))</f>
        <v/>
      </c>
      <c r="G121" s="4" t="str">
        <f>IF($A121="","",SUMIFS(tbl_ledger[数量],tbl_ledger[ロットID],$A121,tbl_ledger[イベント種類],"発送"))</f>
        <v/>
      </c>
      <c r="H121" s="4" t="str">
        <f>IF($A121="","",SUMIFS(tbl_ledger[数量],tbl_ledger[ロットID],$A121,tbl_ledger[イベント種類],"搬入")+SUMIFS(tbl_ledger[数量],tbl_ledger[充当先ロットID],$A121,tbl_ledger[イベント種類],"充当")-SUMIFS(tbl_ledger[数量],tbl_ledger[ロットID],$A121,tbl_ledger[イベント種類],"充当")-SUMIFS(tbl_ledger[数量],tbl_ledger[ロットID],$A121,tbl_ledger[イベント種類],"発送")-SUMIFS(tbl_ledger[数量],tbl_ledger[ロットID],$A121,tbl_ledger[イベント種類],"倉庫A戻し")-SUMIFS(tbl_ledger[数量],tbl_ledger[ロットID],$A121,tbl_ledger[イベント種類],"余剰化")-SUMIFS(tbl_ledger[数量],tbl_ledger[ロットID],$A121,tbl_ledger[イベント種類],"不良発生"))</f>
        <v/>
      </c>
      <c r="I121" s="4" t="str">
        <f>IF($A121="","",SUMIFS(tbl_ledger[数量],tbl_ledger[品番],$B121,tbl_ledger[イベント種類],"余剰化")+SUMIFS(tbl_ledger[数量],tbl_ledger[品番],$B121,tbl_ledger[イベント種類],"搬入",tbl_ledger[ロットID],"=")-SUMIFS(tbl_ledger[数量],tbl_ledger[品番],$B121,tbl_ledger[イベント種類],"充当",tbl_ledger[ロットID],"=")-SUMIFS(tbl_ledger[数量],tbl_ledger[品番],$B121,tbl_ledger[イベント種類],"発送",tbl_ledger[ロットID],"=")-SUMIFS(tbl_ledger[数量],tbl_ledger[品番],$B121,tbl_ledger[イベント種類],"倉庫A戻し",tbl_ledger[ロットID],"=")-SUMIFS(tbl_ledger[数量],tbl_ledger[品番],$B121,tbl_ledger[イベント種類],"不良発生",tbl_ledger[ロットID],"="))</f>
        <v/>
      </c>
      <c r="J121" s="4" t="str">
        <f t="shared" si="3"/>
        <v/>
      </c>
      <c r="K121" s="4" t="str">
        <f t="shared" si="4"/>
        <v/>
      </c>
      <c r="L121" s="4" t="str">
        <f t="shared" si="5"/>
        <v/>
      </c>
      <c r="M121" s="4" t="str">
        <f>IF($A121="","",IF(INDEX(tbl_plan[計画状態],ROW()-1)="キャンセル","キャンセル",IF(K121=0,"発送済",IF(L121&gt;0,"要搬出","OK"))))</f>
        <v/>
      </c>
    </row>
    <row r="122" spans="1:13" ht="15" x14ac:dyDescent="0.25">
      <c r="A122" s="4" t="str">
        <f>IFERROR(INDEX(tbl_plan[ロットID],ROW()-1),"")</f>
        <v/>
      </c>
      <c r="B122" s="4" t="str">
        <f>IF($A122="","",INDEX(tbl_plan[品番],ROW()-1))</f>
        <v/>
      </c>
      <c r="C122" s="5" t="str">
        <f>IF($A122="","",INDEX(tbl_plan[出荷週],ROW()-1))</f>
        <v/>
      </c>
      <c r="D122" s="4" t="str">
        <f>IF($A122="","",INDEX(tbl_plan[納期先],ROW()-1)&amp;"")</f>
        <v/>
      </c>
      <c r="E122" s="4" t="str">
        <f>IF($A122="","",INDEX(tbl_plan[必要数],ROW()-1))</f>
        <v/>
      </c>
      <c r="F122" s="4" t="str">
        <f>IF($A122="","",SUMIFS(tbl_plan[必要数],tbl_plan[ロットID],$A122,tbl_plan[計画状態],"有効"))</f>
        <v/>
      </c>
      <c r="G122" s="4" t="str">
        <f>IF($A122="","",SUMIFS(tbl_ledger[数量],tbl_ledger[ロットID],$A122,tbl_ledger[イベント種類],"発送"))</f>
        <v/>
      </c>
      <c r="H122" s="4" t="str">
        <f>IF($A122="","",SUMIFS(tbl_ledger[数量],tbl_ledger[ロットID],$A122,tbl_ledger[イベント種類],"搬入")+SUMIFS(tbl_ledger[数量],tbl_ledger[充当先ロットID],$A122,tbl_ledger[イベント種類],"充当")-SUMIFS(tbl_ledger[数量],tbl_ledger[ロットID],$A122,tbl_ledger[イベント種類],"充当")-SUMIFS(tbl_ledger[数量],tbl_ledger[ロットID],$A122,tbl_ledger[イベント種類],"発送")-SUMIFS(tbl_ledger[数量],tbl_ledger[ロットID],$A122,tbl_ledger[イベント種類],"倉庫A戻し")-SUMIFS(tbl_ledger[数量],tbl_ledger[ロットID],$A122,tbl_ledger[イベント種類],"余剰化")-SUMIFS(tbl_ledger[数量],tbl_ledger[ロットID],$A122,tbl_ledger[イベント種類],"不良発生"))</f>
        <v/>
      </c>
      <c r="I122" s="4" t="str">
        <f>IF($A122="","",SUMIFS(tbl_ledger[数量],tbl_ledger[品番],$B122,tbl_ledger[イベント種類],"余剰化")+SUMIFS(tbl_ledger[数量],tbl_ledger[品番],$B122,tbl_ledger[イベント種類],"搬入",tbl_ledger[ロットID],"=")-SUMIFS(tbl_ledger[数量],tbl_ledger[品番],$B122,tbl_ledger[イベント種類],"充当",tbl_ledger[ロットID],"=")-SUMIFS(tbl_ledger[数量],tbl_ledger[品番],$B122,tbl_ledger[イベント種類],"発送",tbl_ledger[ロットID],"=")-SUMIFS(tbl_ledger[数量],tbl_ledger[品番],$B122,tbl_ledger[イベント種類],"倉庫A戻し",tbl_ledger[ロットID],"=")-SUMIFS(tbl_ledger[数量],tbl_ledger[品番],$B122,tbl_ledger[イベント種類],"不良発生",tbl_ledger[ロットID],"="))</f>
        <v/>
      </c>
      <c r="J122" s="4" t="str">
        <f t="shared" si="3"/>
        <v/>
      </c>
      <c r="K122" s="4" t="str">
        <f t="shared" si="4"/>
        <v/>
      </c>
      <c r="L122" s="4" t="str">
        <f t="shared" si="5"/>
        <v/>
      </c>
      <c r="M122" s="4" t="str">
        <f>IF($A122="","",IF(INDEX(tbl_plan[計画状態],ROW()-1)="キャンセル","キャンセル",IF(K122=0,"発送済",IF(L122&gt;0,"要搬出","OK"))))</f>
        <v/>
      </c>
    </row>
    <row r="123" spans="1:13" ht="15" x14ac:dyDescent="0.25">
      <c r="A123" s="4" t="str">
        <f>IFERROR(INDEX(tbl_plan[ロットID],ROW()-1),"")</f>
        <v/>
      </c>
      <c r="B123" s="4" t="str">
        <f>IF($A123="","",INDEX(tbl_plan[品番],ROW()-1))</f>
        <v/>
      </c>
      <c r="C123" s="5" t="str">
        <f>IF($A123="","",INDEX(tbl_plan[出荷週],ROW()-1))</f>
        <v/>
      </c>
      <c r="D123" s="4" t="str">
        <f>IF($A123="","",INDEX(tbl_plan[納期先],ROW()-1)&amp;"")</f>
        <v/>
      </c>
      <c r="E123" s="4" t="str">
        <f>IF($A123="","",INDEX(tbl_plan[必要数],ROW()-1))</f>
        <v/>
      </c>
      <c r="F123" s="4" t="str">
        <f>IF($A123="","",SUMIFS(tbl_plan[必要数],tbl_plan[ロットID],$A123,tbl_plan[計画状態],"有効"))</f>
        <v/>
      </c>
      <c r="G123" s="4" t="str">
        <f>IF($A123="","",SUMIFS(tbl_ledger[数量],tbl_ledger[ロットID],$A123,tbl_ledger[イベント種類],"発送"))</f>
        <v/>
      </c>
      <c r="H123" s="4" t="str">
        <f>IF($A123="","",SUMIFS(tbl_ledger[数量],tbl_ledger[ロットID],$A123,tbl_ledger[イベント種類],"搬入")+SUMIFS(tbl_ledger[数量],tbl_ledger[充当先ロットID],$A123,tbl_ledger[イベント種類],"充当")-SUMIFS(tbl_ledger[数量],tbl_ledger[ロットID],$A123,tbl_ledger[イベント種類],"充当")-SUMIFS(tbl_ledger[数量],tbl_ledger[ロットID],$A123,tbl_ledger[イベント種類],"発送")-SUMIFS(tbl_ledger[数量],tbl_ledger[ロットID],$A123,tbl_ledger[イベント種類],"倉庫A戻し")-SUMIFS(tbl_ledger[数量],tbl_ledger[ロットID],$A123,tbl_ledger[イベント種類],"余剰化")-SUMIFS(tbl_ledger[数量],tbl_ledger[ロットID],$A123,tbl_ledger[イベント種類],"不良発生"))</f>
        <v/>
      </c>
      <c r="I123" s="4" t="str">
        <f>IF($A123="","",SUMIFS(tbl_ledger[数量],tbl_ledger[品番],$B123,tbl_ledger[イベント種類],"余剰化")+SUMIFS(tbl_ledger[数量],tbl_ledger[品番],$B123,tbl_ledger[イベント種類],"搬入",tbl_ledger[ロットID],"=")-SUMIFS(tbl_ledger[数量],tbl_ledger[品番],$B123,tbl_ledger[イベント種類],"充当",tbl_ledger[ロットID],"=")-SUMIFS(tbl_ledger[数量],tbl_ledger[品番],$B123,tbl_ledger[イベント種類],"発送",tbl_ledger[ロットID],"=")-SUMIFS(tbl_ledger[数量],tbl_ledger[品番],$B123,tbl_ledger[イベント種類],"倉庫A戻し",tbl_ledger[ロットID],"=")-SUMIFS(tbl_ledger[数量],tbl_ledger[品番],$B123,tbl_ledger[イベント種類],"不良発生",tbl_ledger[ロットID],"="))</f>
        <v/>
      </c>
      <c r="J123" s="4" t="str">
        <f t="shared" si="3"/>
        <v/>
      </c>
      <c r="K123" s="4" t="str">
        <f t="shared" si="4"/>
        <v/>
      </c>
      <c r="L123" s="4" t="str">
        <f t="shared" si="5"/>
        <v/>
      </c>
      <c r="M123" s="4" t="str">
        <f>IF($A123="","",IF(INDEX(tbl_plan[計画状態],ROW()-1)="キャンセル","キャンセル",IF(K123=0,"発送済",IF(L123&gt;0,"要搬出","OK"))))</f>
        <v/>
      </c>
    </row>
    <row r="124" spans="1:13" ht="15" x14ac:dyDescent="0.25">
      <c r="A124" s="4" t="str">
        <f>IFERROR(INDEX(tbl_plan[ロットID],ROW()-1),"")</f>
        <v/>
      </c>
      <c r="B124" s="4" t="str">
        <f>IF($A124="","",INDEX(tbl_plan[品番],ROW()-1))</f>
        <v/>
      </c>
      <c r="C124" s="5" t="str">
        <f>IF($A124="","",INDEX(tbl_plan[出荷週],ROW()-1))</f>
        <v/>
      </c>
      <c r="D124" s="4" t="str">
        <f>IF($A124="","",INDEX(tbl_plan[納期先],ROW()-1)&amp;"")</f>
        <v/>
      </c>
      <c r="E124" s="4" t="str">
        <f>IF($A124="","",INDEX(tbl_plan[必要数],ROW()-1))</f>
        <v/>
      </c>
      <c r="F124" s="4" t="str">
        <f>IF($A124="","",SUMIFS(tbl_plan[必要数],tbl_plan[ロットID],$A124,tbl_plan[計画状態],"有効"))</f>
        <v/>
      </c>
      <c r="G124" s="4" t="str">
        <f>IF($A124="","",SUMIFS(tbl_ledger[数量],tbl_ledger[ロットID],$A124,tbl_ledger[イベント種類],"発送"))</f>
        <v/>
      </c>
      <c r="H124" s="4" t="str">
        <f>IF($A124="","",SUMIFS(tbl_ledger[数量],tbl_ledger[ロットID],$A124,tbl_ledger[イベント種類],"搬入")+SUMIFS(tbl_ledger[数量],tbl_ledger[充当先ロットID],$A124,tbl_ledger[イベント種類],"充当")-SUMIFS(tbl_ledger[数量],tbl_ledger[ロットID],$A124,tbl_ledger[イベント種類],"充当")-SUMIFS(tbl_ledger[数量],tbl_ledger[ロットID],$A124,tbl_ledger[イベント種類],"発送")-SUMIFS(tbl_ledger[数量],tbl_ledger[ロットID],$A124,tbl_ledger[イベント種類],"倉庫A戻し")-SUMIFS(tbl_ledger[数量],tbl_ledger[ロットID],$A124,tbl_ledger[イベント種類],"余剰化")-SUMIFS(tbl_ledger[数量],tbl_ledger[ロットID],$A124,tbl_ledger[イベント種類],"不良発生"))</f>
        <v/>
      </c>
      <c r="I124" s="4" t="str">
        <f>IF($A124="","",SUMIFS(tbl_ledger[数量],tbl_ledger[品番],$B124,tbl_ledger[イベント種類],"余剰化")+SUMIFS(tbl_ledger[数量],tbl_ledger[品番],$B124,tbl_ledger[イベント種類],"搬入",tbl_ledger[ロットID],"=")-SUMIFS(tbl_ledger[数量],tbl_ledger[品番],$B124,tbl_ledger[イベント種類],"充当",tbl_ledger[ロットID],"=")-SUMIFS(tbl_ledger[数量],tbl_ledger[品番],$B124,tbl_ledger[イベント種類],"発送",tbl_ledger[ロットID],"=")-SUMIFS(tbl_ledger[数量],tbl_ledger[品番],$B124,tbl_ledger[イベント種類],"倉庫A戻し",tbl_ledger[ロットID],"=")-SUMIFS(tbl_ledger[数量],tbl_ledger[品番],$B124,tbl_ledger[イベント種類],"不良発生",tbl_ledger[ロットID],"="))</f>
        <v/>
      </c>
      <c r="J124" s="4" t="str">
        <f t="shared" si="3"/>
        <v/>
      </c>
      <c r="K124" s="4" t="str">
        <f t="shared" si="4"/>
        <v/>
      </c>
      <c r="L124" s="4" t="str">
        <f t="shared" si="5"/>
        <v/>
      </c>
      <c r="M124" s="4" t="str">
        <f>IF($A124="","",IF(INDEX(tbl_plan[計画状態],ROW()-1)="キャンセル","キャンセル",IF(K124=0,"発送済",IF(L124&gt;0,"要搬出","OK"))))</f>
        <v/>
      </c>
    </row>
    <row r="125" spans="1:13" ht="15" x14ac:dyDescent="0.25">
      <c r="A125" s="4" t="str">
        <f>IFERROR(INDEX(tbl_plan[ロットID],ROW()-1),"")</f>
        <v/>
      </c>
      <c r="B125" s="4" t="str">
        <f>IF($A125="","",INDEX(tbl_plan[品番],ROW()-1))</f>
        <v/>
      </c>
      <c r="C125" s="5" t="str">
        <f>IF($A125="","",INDEX(tbl_plan[出荷週],ROW()-1))</f>
        <v/>
      </c>
      <c r="D125" s="4" t="str">
        <f>IF($A125="","",INDEX(tbl_plan[納期先],ROW()-1)&amp;"")</f>
        <v/>
      </c>
      <c r="E125" s="4" t="str">
        <f>IF($A125="","",INDEX(tbl_plan[必要数],ROW()-1))</f>
        <v/>
      </c>
      <c r="F125" s="4" t="str">
        <f>IF($A125="","",SUMIFS(tbl_plan[必要数],tbl_plan[ロットID],$A125,tbl_plan[計画状態],"有効"))</f>
        <v/>
      </c>
      <c r="G125" s="4" t="str">
        <f>IF($A125="","",SUMIFS(tbl_ledger[数量],tbl_ledger[ロットID],$A125,tbl_ledger[イベント種類],"発送"))</f>
        <v/>
      </c>
      <c r="H125" s="4" t="str">
        <f>IF($A125="","",SUMIFS(tbl_ledger[数量],tbl_ledger[ロットID],$A125,tbl_ledger[イベント種類],"搬入")+SUMIFS(tbl_ledger[数量],tbl_ledger[充当先ロットID],$A125,tbl_ledger[イベント種類],"充当")-SUMIFS(tbl_ledger[数量],tbl_ledger[ロットID],$A125,tbl_ledger[イベント種類],"充当")-SUMIFS(tbl_ledger[数量],tbl_ledger[ロットID],$A125,tbl_ledger[イベント種類],"発送")-SUMIFS(tbl_ledger[数量],tbl_ledger[ロットID],$A125,tbl_ledger[イベント種類],"倉庫A戻し")-SUMIFS(tbl_ledger[数量],tbl_ledger[ロットID],$A125,tbl_ledger[イベント種類],"余剰化")-SUMIFS(tbl_ledger[数量],tbl_ledger[ロットID],$A125,tbl_ledger[イベント種類],"不良発生"))</f>
        <v/>
      </c>
      <c r="I125" s="4" t="str">
        <f>IF($A125="","",SUMIFS(tbl_ledger[数量],tbl_ledger[品番],$B125,tbl_ledger[イベント種類],"余剰化")+SUMIFS(tbl_ledger[数量],tbl_ledger[品番],$B125,tbl_ledger[イベント種類],"搬入",tbl_ledger[ロットID],"=")-SUMIFS(tbl_ledger[数量],tbl_ledger[品番],$B125,tbl_ledger[イベント種類],"充当",tbl_ledger[ロットID],"=")-SUMIFS(tbl_ledger[数量],tbl_ledger[品番],$B125,tbl_ledger[イベント種類],"発送",tbl_ledger[ロットID],"=")-SUMIFS(tbl_ledger[数量],tbl_ledger[品番],$B125,tbl_ledger[イベント種類],"倉庫A戻し",tbl_ledger[ロットID],"=")-SUMIFS(tbl_ledger[数量],tbl_ledger[品番],$B125,tbl_ledger[イベント種類],"不良発生",tbl_ledger[ロットID],"="))</f>
        <v/>
      </c>
      <c r="J125" s="4" t="str">
        <f t="shared" si="3"/>
        <v/>
      </c>
      <c r="K125" s="4" t="str">
        <f t="shared" si="4"/>
        <v/>
      </c>
      <c r="L125" s="4" t="str">
        <f t="shared" si="5"/>
        <v/>
      </c>
      <c r="M125" s="4" t="str">
        <f>IF($A125="","",IF(INDEX(tbl_plan[計画状態],ROW()-1)="キャンセル","キャンセル",IF(K125=0,"発送済",IF(L125&gt;0,"要搬出","OK"))))</f>
        <v/>
      </c>
    </row>
    <row r="126" spans="1:13" ht="15" x14ac:dyDescent="0.25">
      <c r="A126" s="4" t="str">
        <f>IFERROR(INDEX(tbl_plan[ロットID],ROW()-1),"")</f>
        <v/>
      </c>
      <c r="B126" s="4" t="str">
        <f>IF($A126="","",INDEX(tbl_plan[品番],ROW()-1))</f>
        <v/>
      </c>
      <c r="C126" s="5" t="str">
        <f>IF($A126="","",INDEX(tbl_plan[出荷週],ROW()-1))</f>
        <v/>
      </c>
      <c r="D126" s="4" t="str">
        <f>IF($A126="","",INDEX(tbl_plan[納期先],ROW()-1)&amp;"")</f>
        <v/>
      </c>
      <c r="E126" s="4" t="str">
        <f>IF($A126="","",INDEX(tbl_plan[必要数],ROW()-1))</f>
        <v/>
      </c>
      <c r="F126" s="4" t="str">
        <f>IF($A126="","",SUMIFS(tbl_plan[必要数],tbl_plan[ロットID],$A126,tbl_plan[計画状態],"有効"))</f>
        <v/>
      </c>
      <c r="G126" s="4" t="str">
        <f>IF($A126="","",SUMIFS(tbl_ledger[数量],tbl_ledger[ロットID],$A126,tbl_ledger[イベント種類],"発送"))</f>
        <v/>
      </c>
      <c r="H126" s="4" t="str">
        <f>IF($A126="","",SUMIFS(tbl_ledger[数量],tbl_ledger[ロットID],$A126,tbl_ledger[イベント種類],"搬入")+SUMIFS(tbl_ledger[数量],tbl_ledger[充当先ロットID],$A126,tbl_ledger[イベント種類],"充当")-SUMIFS(tbl_ledger[数量],tbl_ledger[ロットID],$A126,tbl_ledger[イベント種類],"充当")-SUMIFS(tbl_ledger[数量],tbl_ledger[ロットID],$A126,tbl_ledger[イベント種類],"発送")-SUMIFS(tbl_ledger[数量],tbl_ledger[ロットID],$A126,tbl_ledger[イベント種類],"倉庫A戻し")-SUMIFS(tbl_ledger[数量],tbl_ledger[ロットID],$A126,tbl_ledger[イベント種類],"余剰化")-SUMIFS(tbl_ledger[数量],tbl_ledger[ロットID],$A126,tbl_ledger[イベント種類],"不良発生"))</f>
        <v/>
      </c>
      <c r="I126" s="4" t="str">
        <f>IF($A126="","",SUMIFS(tbl_ledger[数量],tbl_ledger[品番],$B126,tbl_ledger[イベント種類],"余剰化")+SUMIFS(tbl_ledger[数量],tbl_ledger[品番],$B126,tbl_ledger[イベント種類],"搬入",tbl_ledger[ロットID],"=")-SUMIFS(tbl_ledger[数量],tbl_ledger[品番],$B126,tbl_ledger[イベント種類],"充当",tbl_ledger[ロットID],"=")-SUMIFS(tbl_ledger[数量],tbl_ledger[品番],$B126,tbl_ledger[イベント種類],"発送",tbl_ledger[ロットID],"=")-SUMIFS(tbl_ledger[数量],tbl_ledger[品番],$B126,tbl_ledger[イベント種類],"倉庫A戻し",tbl_ledger[ロットID],"=")-SUMIFS(tbl_ledger[数量],tbl_ledger[品番],$B126,tbl_ledger[イベント種類],"不良発生",tbl_ledger[ロットID],"="))</f>
        <v/>
      </c>
      <c r="J126" s="4" t="str">
        <f t="shared" si="3"/>
        <v/>
      </c>
      <c r="K126" s="4" t="str">
        <f t="shared" si="4"/>
        <v/>
      </c>
      <c r="L126" s="4" t="str">
        <f t="shared" si="5"/>
        <v/>
      </c>
      <c r="M126" s="4" t="str">
        <f>IF($A126="","",IF(INDEX(tbl_plan[計画状態],ROW()-1)="キャンセル","キャンセル",IF(K126=0,"発送済",IF(L126&gt;0,"要搬出","OK"))))</f>
        <v/>
      </c>
    </row>
    <row r="127" spans="1:13" ht="15" x14ac:dyDescent="0.25">
      <c r="A127" s="4" t="str">
        <f>IFERROR(INDEX(tbl_plan[ロットID],ROW()-1),"")</f>
        <v/>
      </c>
      <c r="B127" s="4" t="str">
        <f>IF($A127="","",INDEX(tbl_plan[品番],ROW()-1))</f>
        <v/>
      </c>
      <c r="C127" s="5" t="str">
        <f>IF($A127="","",INDEX(tbl_plan[出荷週],ROW()-1))</f>
        <v/>
      </c>
      <c r="D127" s="4" t="str">
        <f>IF($A127="","",INDEX(tbl_plan[納期先],ROW()-1)&amp;"")</f>
        <v/>
      </c>
      <c r="E127" s="4" t="str">
        <f>IF($A127="","",INDEX(tbl_plan[必要数],ROW()-1))</f>
        <v/>
      </c>
      <c r="F127" s="4" t="str">
        <f>IF($A127="","",SUMIFS(tbl_plan[必要数],tbl_plan[ロットID],$A127,tbl_plan[計画状態],"有効"))</f>
        <v/>
      </c>
      <c r="G127" s="4" t="str">
        <f>IF($A127="","",SUMIFS(tbl_ledger[数量],tbl_ledger[ロットID],$A127,tbl_ledger[イベント種類],"発送"))</f>
        <v/>
      </c>
      <c r="H127" s="4" t="str">
        <f>IF($A127="","",SUMIFS(tbl_ledger[数量],tbl_ledger[ロットID],$A127,tbl_ledger[イベント種類],"搬入")+SUMIFS(tbl_ledger[数量],tbl_ledger[充当先ロットID],$A127,tbl_ledger[イベント種類],"充当")-SUMIFS(tbl_ledger[数量],tbl_ledger[ロットID],$A127,tbl_ledger[イベント種類],"充当")-SUMIFS(tbl_ledger[数量],tbl_ledger[ロットID],$A127,tbl_ledger[イベント種類],"発送")-SUMIFS(tbl_ledger[数量],tbl_ledger[ロットID],$A127,tbl_ledger[イベント種類],"倉庫A戻し")-SUMIFS(tbl_ledger[数量],tbl_ledger[ロットID],$A127,tbl_ledger[イベント種類],"余剰化")-SUMIFS(tbl_ledger[数量],tbl_ledger[ロットID],$A127,tbl_ledger[イベント種類],"不良発生"))</f>
        <v/>
      </c>
      <c r="I127" s="4" t="str">
        <f>IF($A127="","",SUMIFS(tbl_ledger[数量],tbl_ledger[品番],$B127,tbl_ledger[イベント種類],"余剰化")+SUMIFS(tbl_ledger[数量],tbl_ledger[品番],$B127,tbl_ledger[イベント種類],"搬入",tbl_ledger[ロットID],"=")-SUMIFS(tbl_ledger[数量],tbl_ledger[品番],$B127,tbl_ledger[イベント種類],"充当",tbl_ledger[ロットID],"=")-SUMIFS(tbl_ledger[数量],tbl_ledger[品番],$B127,tbl_ledger[イベント種類],"発送",tbl_ledger[ロットID],"=")-SUMIFS(tbl_ledger[数量],tbl_ledger[品番],$B127,tbl_ledger[イベント種類],"倉庫A戻し",tbl_ledger[ロットID],"=")-SUMIFS(tbl_ledger[数量],tbl_ledger[品番],$B127,tbl_ledger[イベント種類],"不良発生",tbl_ledger[ロットID],"="))</f>
        <v/>
      </c>
      <c r="J127" s="4" t="str">
        <f t="shared" si="3"/>
        <v/>
      </c>
      <c r="K127" s="4" t="str">
        <f t="shared" si="4"/>
        <v/>
      </c>
      <c r="L127" s="4" t="str">
        <f t="shared" si="5"/>
        <v/>
      </c>
      <c r="M127" s="4" t="str">
        <f>IF($A127="","",IF(INDEX(tbl_plan[計画状態],ROW()-1)="キャンセル","キャンセル",IF(K127=0,"発送済",IF(L127&gt;0,"要搬出","OK"))))</f>
        <v/>
      </c>
    </row>
    <row r="128" spans="1:13" ht="15" x14ac:dyDescent="0.25">
      <c r="A128" s="4" t="str">
        <f>IFERROR(INDEX(tbl_plan[ロットID],ROW()-1),"")</f>
        <v/>
      </c>
      <c r="B128" s="4" t="str">
        <f>IF($A128="","",INDEX(tbl_plan[品番],ROW()-1))</f>
        <v/>
      </c>
      <c r="C128" s="5" t="str">
        <f>IF($A128="","",INDEX(tbl_plan[出荷週],ROW()-1))</f>
        <v/>
      </c>
      <c r="D128" s="4" t="str">
        <f>IF($A128="","",INDEX(tbl_plan[納期先],ROW()-1)&amp;"")</f>
        <v/>
      </c>
      <c r="E128" s="4" t="str">
        <f>IF($A128="","",INDEX(tbl_plan[必要数],ROW()-1))</f>
        <v/>
      </c>
      <c r="F128" s="4" t="str">
        <f>IF($A128="","",SUMIFS(tbl_plan[必要数],tbl_plan[ロットID],$A128,tbl_plan[計画状態],"有効"))</f>
        <v/>
      </c>
      <c r="G128" s="4" t="str">
        <f>IF($A128="","",SUMIFS(tbl_ledger[数量],tbl_ledger[ロットID],$A128,tbl_ledger[イベント種類],"発送"))</f>
        <v/>
      </c>
      <c r="H128" s="4" t="str">
        <f>IF($A128="","",SUMIFS(tbl_ledger[数量],tbl_ledger[ロットID],$A128,tbl_ledger[イベント種類],"搬入")+SUMIFS(tbl_ledger[数量],tbl_ledger[充当先ロットID],$A128,tbl_ledger[イベント種類],"充当")-SUMIFS(tbl_ledger[数量],tbl_ledger[ロットID],$A128,tbl_ledger[イベント種類],"充当")-SUMIFS(tbl_ledger[数量],tbl_ledger[ロットID],$A128,tbl_ledger[イベント種類],"発送")-SUMIFS(tbl_ledger[数量],tbl_ledger[ロットID],$A128,tbl_ledger[イベント種類],"倉庫A戻し")-SUMIFS(tbl_ledger[数量],tbl_ledger[ロットID],$A128,tbl_ledger[イベント種類],"余剰化")-SUMIFS(tbl_ledger[数量],tbl_ledger[ロットID],$A128,tbl_ledger[イベント種類],"不良発生"))</f>
        <v/>
      </c>
      <c r="I128" s="4" t="str">
        <f>IF($A128="","",SUMIFS(tbl_ledger[数量],tbl_ledger[品番],$B128,tbl_ledger[イベント種類],"余剰化")+SUMIFS(tbl_ledger[数量],tbl_ledger[品番],$B128,tbl_ledger[イベント種類],"搬入",tbl_ledger[ロットID],"=")-SUMIFS(tbl_ledger[数量],tbl_ledger[品番],$B128,tbl_ledger[イベント種類],"充当",tbl_ledger[ロットID],"=")-SUMIFS(tbl_ledger[数量],tbl_ledger[品番],$B128,tbl_ledger[イベント種類],"発送",tbl_ledger[ロットID],"=")-SUMIFS(tbl_ledger[数量],tbl_ledger[品番],$B128,tbl_ledger[イベント種類],"倉庫A戻し",tbl_ledger[ロットID],"=")-SUMIFS(tbl_ledger[数量],tbl_ledger[品番],$B128,tbl_ledger[イベント種類],"不良発生",tbl_ledger[ロットID],"="))</f>
        <v/>
      </c>
      <c r="J128" s="4" t="str">
        <f t="shared" si="3"/>
        <v/>
      </c>
      <c r="K128" s="4" t="str">
        <f t="shared" si="4"/>
        <v/>
      </c>
      <c r="L128" s="4" t="str">
        <f t="shared" si="5"/>
        <v/>
      </c>
      <c r="M128" s="4" t="str">
        <f>IF($A128="","",IF(INDEX(tbl_plan[計画状態],ROW()-1)="キャンセル","キャンセル",IF(K128=0,"発送済",IF(L128&gt;0,"要搬出","OK"))))</f>
        <v/>
      </c>
    </row>
    <row r="129" spans="1:13" ht="15" x14ac:dyDescent="0.25">
      <c r="A129" s="4" t="str">
        <f>IFERROR(INDEX(tbl_plan[ロットID],ROW()-1),"")</f>
        <v/>
      </c>
      <c r="B129" s="4" t="str">
        <f>IF($A129="","",INDEX(tbl_plan[品番],ROW()-1))</f>
        <v/>
      </c>
      <c r="C129" s="5" t="str">
        <f>IF($A129="","",INDEX(tbl_plan[出荷週],ROW()-1))</f>
        <v/>
      </c>
      <c r="D129" s="4" t="str">
        <f>IF($A129="","",INDEX(tbl_plan[納期先],ROW()-1)&amp;"")</f>
        <v/>
      </c>
      <c r="E129" s="4" t="str">
        <f>IF($A129="","",INDEX(tbl_plan[必要数],ROW()-1))</f>
        <v/>
      </c>
      <c r="F129" s="4" t="str">
        <f>IF($A129="","",SUMIFS(tbl_plan[必要数],tbl_plan[ロットID],$A129,tbl_plan[計画状態],"有効"))</f>
        <v/>
      </c>
      <c r="G129" s="4" t="str">
        <f>IF($A129="","",SUMIFS(tbl_ledger[数量],tbl_ledger[ロットID],$A129,tbl_ledger[イベント種類],"発送"))</f>
        <v/>
      </c>
      <c r="H129" s="4" t="str">
        <f>IF($A129="","",SUMIFS(tbl_ledger[数量],tbl_ledger[ロットID],$A129,tbl_ledger[イベント種類],"搬入")+SUMIFS(tbl_ledger[数量],tbl_ledger[充当先ロットID],$A129,tbl_ledger[イベント種類],"充当")-SUMIFS(tbl_ledger[数量],tbl_ledger[ロットID],$A129,tbl_ledger[イベント種類],"充当")-SUMIFS(tbl_ledger[数量],tbl_ledger[ロットID],$A129,tbl_ledger[イベント種類],"発送")-SUMIFS(tbl_ledger[数量],tbl_ledger[ロットID],$A129,tbl_ledger[イベント種類],"倉庫A戻し")-SUMIFS(tbl_ledger[数量],tbl_ledger[ロットID],$A129,tbl_ledger[イベント種類],"余剰化")-SUMIFS(tbl_ledger[数量],tbl_ledger[ロットID],$A129,tbl_ledger[イベント種類],"不良発生"))</f>
        <v/>
      </c>
      <c r="I129" s="4" t="str">
        <f>IF($A129="","",SUMIFS(tbl_ledger[数量],tbl_ledger[品番],$B129,tbl_ledger[イベント種類],"余剰化")+SUMIFS(tbl_ledger[数量],tbl_ledger[品番],$B129,tbl_ledger[イベント種類],"搬入",tbl_ledger[ロットID],"=")-SUMIFS(tbl_ledger[数量],tbl_ledger[品番],$B129,tbl_ledger[イベント種類],"充当",tbl_ledger[ロットID],"=")-SUMIFS(tbl_ledger[数量],tbl_ledger[品番],$B129,tbl_ledger[イベント種類],"発送",tbl_ledger[ロットID],"=")-SUMIFS(tbl_ledger[数量],tbl_ledger[品番],$B129,tbl_ledger[イベント種類],"倉庫A戻し",tbl_ledger[ロットID],"=")-SUMIFS(tbl_ledger[数量],tbl_ledger[品番],$B129,tbl_ledger[イベント種類],"不良発生",tbl_ledger[ロットID],"="))</f>
        <v/>
      </c>
      <c r="J129" s="4" t="str">
        <f t="shared" si="3"/>
        <v/>
      </c>
      <c r="K129" s="4" t="str">
        <f t="shared" si="4"/>
        <v/>
      </c>
      <c r="L129" s="4" t="str">
        <f t="shared" si="5"/>
        <v/>
      </c>
      <c r="M129" s="4" t="str">
        <f>IF($A129="","",IF(INDEX(tbl_plan[計画状態],ROW()-1)="キャンセル","キャンセル",IF(K129=0,"発送済",IF(L129&gt;0,"要搬出","OK"))))</f>
        <v/>
      </c>
    </row>
    <row r="130" spans="1:13" ht="15" x14ac:dyDescent="0.25">
      <c r="A130" s="4" t="str">
        <f>IFERROR(INDEX(tbl_plan[ロットID],ROW()-1),"")</f>
        <v/>
      </c>
      <c r="B130" s="4" t="str">
        <f>IF($A130="","",INDEX(tbl_plan[品番],ROW()-1))</f>
        <v/>
      </c>
      <c r="C130" s="5" t="str">
        <f>IF($A130="","",INDEX(tbl_plan[出荷週],ROW()-1))</f>
        <v/>
      </c>
      <c r="D130" s="4" t="str">
        <f>IF($A130="","",INDEX(tbl_plan[納期先],ROW()-1)&amp;"")</f>
        <v/>
      </c>
      <c r="E130" s="4" t="str">
        <f>IF($A130="","",INDEX(tbl_plan[必要数],ROW()-1))</f>
        <v/>
      </c>
      <c r="F130" s="4" t="str">
        <f>IF($A130="","",SUMIFS(tbl_plan[必要数],tbl_plan[ロットID],$A130,tbl_plan[計画状態],"有効"))</f>
        <v/>
      </c>
      <c r="G130" s="4" t="str">
        <f>IF($A130="","",SUMIFS(tbl_ledger[数量],tbl_ledger[ロットID],$A130,tbl_ledger[イベント種類],"発送"))</f>
        <v/>
      </c>
      <c r="H130" s="4" t="str">
        <f>IF($A130="","",SUMIFS(tbl_ledger[数量],tbl_ledger[ロットID],$A130,tbl_ledger[イベント種類],"搬入")+SUMIFS(tbl_ledger[数量],tbl_ledger[充当先ロットID],$A130,tbl_ledger[イベント種類],"充当")-SUMIFS(tbl_ledger[数量],tbl_ledger[ロットID],$A130,tbl_ledger[イベント種類],"充当")-SUMIFS(tbl_ledger[数量],tbl_ledger[ロットID],$A130,tbl_ledger[イベント種類],"発送")-SUMIFS(tbl_ledger[数量],tbl_ledger[ロットID],$A130,tbl_ledger[イベント種類],"倉庫A戻し")-SUMIFS(tbl_ledger[数量],tbl_ledger[ロットID],$A130,tbl_ledger[イベント種類],"余剰化")-SUMIFS(tbl_ledger[数量],tbl_ledger[ロットID],$A130,tbl_ledger[イベント種類],"不良発生"))</f>
        <v/>
      </c>
      <c r="I130" s="4" t="str">
        <f>IF($A130="","",SUMIFS(tbl_ledger[数量],tbl_ledger[品番],$B130,tbl_ledger[イベント種類],"余剰化")+SUMIFS(tbl_ledger[数量],tbl_ledger[品番],$B130,tbl_ledger[イベント種類],"搬入",tbl_ledger[ロットID],"=")-SUMIFS(tbl_ledger[数量],tbl_ledger[品番],$B130,tbl_ledger[イベント種類],"充当",tbl_ledger[ロットID],"=")-SUMIFS(tbl_ledger[数量],tbl_ledger[品番],$B130,tbl_ledger[イベント種類],"発送",tbl_ledger[ロットID],"=")-SUMIFS(tbl_ledger[数量],tbl_ledger[品番],$B130,tbl_ledger[イベント種類],"倉庫A戻し",tbl_ledger[ロットID],"=")-SUMIFS(tbl_ledger[数量],tbl_ledger[品番],$B130,tbl_ledger[イベント種類],"不良発生",tbl_ledger[ロットID],"="))</f>
        <v/>
      </c>
      <c r="J130" s="4" t="str">
        <f t="shared" ref="J130:J193" si="6">IF($A130="","",H130+I130)</f>
        <v/>
      </c>
      <c r="K130" s="4" t="str">
        <f t="shared" ref="K130:K193" si="7">IF($A130="","",MAX(0,F130-G130))</f>
        <v/>
      </c>
      <c r="L130" s="4" t="str">
        <f t="shared" ref="L130:L193" si="8">IF($A130="","",MAX(0,K130-J130))</f>
        <v/>
      </c>
      <c r="M130" s="4" t="str">
        <f>IF($A130="","",IF(INDEX(tbl_plan[計画状態],ROW()-1)="キャンセル","キャンセル",IF(K130=0,"発送済",IF(L130&gt;0,"要搬出","OK"))))</f>
        <v/>
      </c>
    </row>
    <row r="131" spans="1:13" ht="15" x14ac:dyDescent="0.25">
      <c r="A131" s="4" t="str">
        <f>IFERROR(INDEX(tbl_plan[ロットID],ROW()-1),"")</f>
        <v/>
      </c>
      <c r="B131" s="4" t="str">
        <f>IF($A131="","",INDEX(tbl_plan[品番],ROW()-1))</f>
        <v/>
      </c>
      <c r="C131" s="5" t="str">
        <f>IF($A131="","",INDEX(tbl_plan[出荷週],ROW()-1))</f>
        <v/>
      </c>
      <c r="D131" s="4" t="str">
        <f>IF($A131="","",INDEX(tbl_plan[納期先],ROW()-1)&amp;"")</f>
        <v/>
      </c>
      <c r="E131" s="4" t="str">
        <f>IF($A131="","",INDEX(tbl_plan[必要数],ROW()-1))</f>
        <v/>
      </c>
      <c r="F131" s="4" t="str">
        <f>IF($A131="","",SUMIFS(tbl_plan[必要数],tbl_plan[ロットID],$A131,tbl_plan[計画状態],"有効"))</f>
        <v/>
      </c>
      <c r="G131" s="4" t="str">
        <f>IF($A131="","",SUMIFS(tbl_ledger[数量],tbl_ledger[ロットID],$A131,tbl_ledger[イベント種類],"発送"))</f>
        <v/>
      </c>
      <c r="H131" s="4" t="str">
        <f>IF($A131="","",SUMIFS(tbl_ledger[数量],tbl_ledger[ロットID],$A131,tbl_ledger[イベント種類],"搬入")+SUMIFS(tbl_ledger[数量],tbl_ledger[充当先ロットID],$A131,tbl_ledger[イベント種類],"充当")-SUMIFS(tbl_ledger[数量],tbl_ledger[ロットID],$A131,tbl_ledger[イベント種類],"充当")-SUMIFS(tbl_ledger[数量],tbl_ledger[ロットID],$A131,tbl_ledger[イベント種類],"発送")-SUMIFS(tbl_ledger[数量],tbl_ledger[ロットID],$A131,tbl_ledger[イベント種類],"倉庫A戻し")-SUMIFS(tbl_ledger[数量],tbl_ledger[ロットID],$A131,tbl_ledger[イベント種類],"余剰化")-SUMIFS(tbl_ledger[数量],tbl_ledger[ロットID],$A131,tbl_ledger[イベント種類],"不良発生"))</f>
        <v/>
      </c>
      <c r="I131" s="4" t="str">
        <f>IF($A131="","",SUMIFS(tbl_ledger[数量],tbl_ledger[品番],$B131,tbl_ledger[イベント種類],"余剰化")+SUMIFS(tbl_ledger[数量],tbl_ledger[品番],$B131,tbl_ledger[イベント種類],"搬入",tbl_ledger[ロットID],"=")-SUMIFS(tbl_ledger[数量],tbl_ledger[品番],$B131,tbl_ledger[イベント種類],"充当",tbl_ledger[ロットID],"=")-SUMIFS(tbl_ledger[数量],tbl_ledger[品番],$B131,tbl_ledger[イベント種類],"発送",tbl_ledger[ロットID],"=")-SUMIFS(tbl_ledger[数量],tbl_ledger[品番],$B131,tbl_ledger[イベント種類],"倉庫A戻し",tbl_ledger[ロットID],"=")-SUMIFS(tbl_ledger[数量],tbl_ledger[品番],$B131,tbl_ledger[イベント種類],"不良発生",tbl_ledger[ロットID],"="))</f>
        <v/>
      </c>
      <c r="J131" s="4" t="str">
        <f t="shared" si="6"/>
        <v/>
      </c>
      <c r="K131" s="4" t="str">
        <f t="shared" si="7"/>
        <v/>
      </c>
      <c r="L131" s="4" t="str">
        <f t="shared" si="8"/>
        <v/>
      </c>
      <c r="M131" s="4" t="str">
        <f>IF($A131="","",IF(INDEX(tbl_plan[計画状態],ROW()-1)="キャンセル","キャンセル",IF(K131=0,"発送済",IF(L131&gt;0,"要搬出","OK"))))</f>
        <v/>
      </c>
    </row>
    <row r="132" spans="1:13" ht="15" x14ac:dyDescent="0.25">
      <c r="A132" s="4" t="str">
        <f>IFERROR(INDEX(tbl_plan[ロットID],ROW()-1),"")</f>
        <v/>
      </c>
      <c r="B132" s="4" t="str">
        <f>IF($A132="","",INDEX(tbl_plan[品番],ROW()-1))</f>
        <v/>
      </c>
      <c r="C132" s="5" t="str">
        <f>IF($A132="","",INDEX(tbl_plan[出荷週],ROW()-1))</f>
        <v/>
      </c>
      <c r="D132" s="4" t="str">
        <f>IF($A132="","",INDEX(tbl_plan[納期先],ROW()-1)&amp;"")</f>
        <v/>
      </c>
      <c r="E132" s="4" t="str">
        <f>IF($A132="","",INDEX(tbl_plan[必要数],ROW()-1))</f>
        <v/>
      </c>
      <c r="F132" s="4" t="str">
        <f>IF($A132="","",SUMIFS(tbl_plan[必要数],tbl_plan[ロットID],$A132,tbl_plan[計画状態],"有効"))</f>
        <v/>
      </c>
      <c r="G132" s="4" t="str">
        <f>IF($A132="","",SUMIFS(tbl_ledger[数量],tbl_ledger[ロットID],$A132,tbl_ledger[イベント種類],"発送"))</f>
        <v/>
      </c>
      <c r="H132" s="4" t="str">
        <f>IF($A132="","",SUMIFS(tbl_ledger[数量],tbl_ledger[ロットID],$A132,tbl_ledger[イベント種類],"搬入")+SUMIFS(tbl_ledger[数量],tbl_ledger[充当先ロットID],$A132,tbl_ledger[イベント種類],"充当")-SUMIFS(tbl_ledger[数量],tbl_ledger[ロットID],$A132,tbl_ledger[イベント種類],"充当")-SUMIFS(tbl_ledger[数量],tbl_ledger[ロットID],$A132,tbl_ledger[イベント種類],"発送")-SUMIFS(tbl_ledger[数量],tbl_ledger[ロットID],$A132,tbl_ledger[イベント種類],"倉庫A戻し")-SUMIFS(tbl_ledger[数量],tbl_ledger[ロットID],$A132,tbl_ledger[イベント種類],"余剰化")-SUMIFS(tbl_ledger[数量],tbl_ledger[ロットID],$A132,tbl_ledger[イベント種類],"不良発生"))</f>
        <v/>
      </c>
      <c r="I132" s="4" t="str">
        <f>IF($A132="","",SUMIFS(tbl_ledger[数量],tbl_ledger[品番],$B132,tbl_ledger[イベント種類],"余剰化")+SUMIFS(tbl_ledger[数量],tbl_ledger[品番],$B132,tbl_ledger[イベント種類],"搬入",tbl_ledger[ロットID],"=")-SUMIFS(tbl_ledger[数量],tbl_ledger[品番],$B132,tbl_ledger[イベント種類],"充当",tbl_ledger[ロットID],"=")-SUMIFS(tbl_ledger[数量],tbl_ledger[品番],$B132,tbl_ledger[イベント種類],"発送",tbl_ledger[ロットID],"=")-SUMIFS(tbl_ledger[数量],tbl_ledger[品番],$B132,tbl_ledger[イベント種類],"倉庫A戻し",tbl_ledger[ロットID],"=")-SUMIFS(tbl_ledger[数量],tbl_ledger[品番],$B132,tbl_ledger[イベント種類],"不良発生",tbl_ledger[ロットID],"="))</f>
        <v/>
      </c>
      <c r="J132" s="4" t="str">
        <f t="shared" si="6"/>
        <v/>
      </c>
      <c r="K132" s="4" t="str">
        <f t="shared" si="7"/>
        <v/>
      </c>
      <c r="L132" s="4" t="str">
        <f t="shared" si="8"/>
        <v/>
      </c>
      <c r="M132" s="4" t="str">
        <f>IF($A132="","",IF(INDEX(tbl_plan[計画状態],ROW()-1)="キャンセル","キャンセル",IF(K132=0,"発送済",IF(L132&gt;0,"要搬出","OK"))))</f>
        <v/>
      </c>
    </row>
    <row r="133" spans="1:13" ht="15" x14ac:dyDescent="0.25">
      <c r="A133" s="4" t="str">
        <f>IFERROR(INDEX(tbl_plan[ロットID],ROW()-1),"")</f>
        <v/>
      </c>
      <c r="B133" s="4" t="str">
        <f>IF($A133="","",INDEX(tbl_plan[品番],ROW()-1))</f>
        <v/>
      </c>
      <c r="C133" s="5" t="str">
        <f>IF($A133="","",INDEX(tbl_plan[出荷週],ROW()-1))</f>
        <v/>
      </c>
      <c r="D133" s="4" t="str">
        <f>IF($A133="","",INDEX(tbl_plan[納期先],ROW()-1)&amp;"")</f>
        <v/>
      </c>
      <c r="E133" s="4" t="str">
        <f>IF($A133="","",INDEX(tbl_plan[必要数],ROW()-1))</f>
        <v/>
      </c>
      <c r="F133" s="4" t="str">
        <f>IF($A133="","",SUMIFS(tbl_plan[必要数],tbl_plan[ロットID],$A133,tbl_plan[計画状態],"有効"))</f>
        <v/>
      </c>
      <c r="G133" s="4" t="str">
        <f>IF($A133="","",SUMIFS(tbl_ledger[数量],tbl_ledger[ロットID],$A133,tbl_ledger[イベント種類],"発送"))</f>
        <v/>
      </c>
      <c r="H133" s="4" t="str">
        <f>IF($A133="","",SUMIFS(tbl_ledger[数量],tbl_ledger[ロットID],$A133,tbl_ledger[イベント種類],"搬入")+SUMIFS(tbl_ledger[数量],tbl_ledger[充当先ロットID],$A133,tbl_ledger[イベント種類],"充当")-SUMIFS(tbl_ledger[数量],tbl_ledger[ロットID],$A133,tbl_ledger[イベント種類],"充当")-SUMIFS(tbl_ledger[数量],tbl_ledger[ロットID],$A133,tbl_ledger[イベント種類],"発送")-SUMIFS(tbl_ledger[数量],tbl_ledger[ロットID],$A133,tbl_ledger[イベント種類],"倉庫A戻し")-SUMIFS(tbl_ledger[数量],tbl_ledger[ロットID],$A133,tbl_ledger[イベント種類],"余剰化")-SUMIFS(tbl_ledger[数量],tbl_ledger[ロットID],$A133,tbl_ledger[イベント種類],"不良発生"))</f>
        <v/>
      </c>
      <c r="I133" s="4" t="str">
        <f>IF($A133="","",SUMIFS(tbl_ledger[数量],tbl_ledger[品番],$B133,tbl_ledger[イベント種類],"余剰化")+SUMIFS(tbl_ledger[数量],tbl_ledger[品番],$B133,tbl_ledger[イベント種類],"搬入",tbl_ledger[ロットID],"=")-SUMIFS(tbl_ledger[数量],tbl_ledger[品番],$B133,tbl_ledger[イベント種類],"充当",tbl_ledger[ロットID],"=")-SUMIFS(tbl_ledger[数量],tbl_ledger[品番],$B133,tbl_ledger[イベント種類],"発送",tbl_ledger[ロットID],"=")-SUMIFS(tbl_ledger[数量],tbl_ledger[品番],$B133,tbl_ledger[イベント種類],"倉庫A戻し",tbl_ledger[ロットID],"=")-SUMIFS(tbl_ledger[数量],tbl_ledger[品番],$B133,tbl_ledger[イベント種類],"不良発生",tbl_ledger[ロットID],"="))</f>
        <v/>
      </c>
      <c r="J133" s="4" t="str">
        <f t="shared" si="6"/>
        <v/>
      </c>
      <c r="K133" s="4" t="str">
        <f t="shared" si="7"/>
        <v/>
      </c>
      <c r="L133" s="4" t="str">
        <f t="shared" si="8"/>
        <v/>
      </c>
      <c r="M133" s="4" t="str">
        <f>IF($A133="","",IF(INDEX(tbl_plan[計画状態],ROW()-1)="キャンセル","キャンセル",IF(K133=0,"発送済",IF(L133&gt;0,"要搬出","OK"))))</f>
        <v/>
      </c>
    </row>
    <row r="134" spans="1:13" ht="15" x14ac:dyDescent="0.25">
      <c r="A134" s="4" t="str">
        <f>IFERROR(INDEX(tbl_plan[ロットID],ROW()-1),"")</f>
        <v/>
      </c>
      <c r="B134" s="4" t="str">
        <f>IF($A134="","",INDEX(tbl_plan[品番],ROW()-1))</f>
        <v/>
      </c>
      <c r="C134" s="5" t="str">
        <f>IF($A134="","",INDEX(tbl_plan[出荷週],ROW()-1))</f>
        <v/>
      </c>
      <c r="D134" s="4" t="str">
        <f>IF($A134="","",INDEX(tbl_plan[納期先],ROW()-1)&amp;"")</f>
        <v/>
      </c>
      <c r="E134" s="4" t="str">
        <f>IF($A134="","",INDEX(tbl_plan[必要数],ROW()-1))</f>
        <v/>
      </c>
      <c r="F134" s="4" t="str">
        <f>IF($A134="","",SUMIFS(tbl_plan[必要数],tbl_plan[ロットID],$A134,tbl_plan[計画状態],"有効"))</f>
        <v/>
      </c>
      <c r="G134" s="4" t="str">
        <f>IF($A134="","",SUMIFS(tbl_ledger[数量],tbl_ledger[ロットID],$A134,tbl_ledger[イベント種類],"発送"))</f>
        <v/>
      </c>
      <c r="H134" s="4" t="str">
        <f>IF($A134="","",SUMIFS(tbl_ledger[数量],tbl_ledger[ロットID],$A134,tbl_ledger[イベント種類],"搬入")+SUMIFS(tbl_ledger[数量],tbl_ledger[充当先ロットID],$A134,tbl_ledger[イベント種類],"充当")-SUMIFS(tbl_ledger[数量],tbl_ledger[ロットID],$A134,tbl_ledger[イベント種類],"充当")-SUMIFS(tbl_ledger[数量],tbl_ledger[ロットID],$A134,tbl_ledger[イベント種類],"発送")-SUMIFS(tbl_ledger[数量],tbl_ledger[ロットID],$A134,tbl_ledger[イベント種類],"倉庫A戻し")-SUMIFS(tbl_ledger[数量],tbl_ledger[ロットID],$A134,tbl_ledger[イベント種類],"余剰化")-SUMIFS(tbl_ledger[数量],tbl_ledger[ロットID],$A134,tbl_ledger[イベント種類],"不良発生"))</f>
        <v/>
      </c>
      <c r="I134" s="4" t="str">
        <f>IF($A134="","",SUMIFS(tbl_ledger[数量],tbl_ledger[品番],$B134,tbl_ledger[イベント種類],"余剰化")+SUMIFS(tbl_ledger[数量],tbl_ledger[品番],$B134,tbl_ledger[イベント種類],"搬入",tbl_ledger[ロットID],"=")-SUMIFS(tbl_ledger[数量],tbl_ledger[品番],$B134,tbl_ledger[イベント種類],"充当",tbl_ledger[ロットID],"=")-SUMIFS(tbl_ledger[数量],tbl_ledger[品番],$B134,tbl_ledger[イベント種類],"発送",tbl_ledger[ロットID],"=")-SUMIFS(tbl_ledger[数量],tbl_ledger[品番],$B134,tbl_ledger[イベント種類],"倉庫A戻し",tbl_ledger[ロットID],"=")-SUMIFS(tbl_ledger[数量],tbl_ledger[品番],$B134,tbl_ledger[イベント種類],"不良発生",tbl_ledger[ロットID],"="))</f>
        <v/>
      </c>
      <c r="J134" s="4" t="str">
        <f t="shared" si="6"/>
        <v/>
      </c>
      <c r="K134" s="4" t="str">
        <f t="shared" si="7"/>
        <v/>
      </c>
      <c r="L134" s="4" t="str">
        <f t="shared" si="8"/>
        <v/>
      </c>
      <c r="M134" s="4" t="str">
        <f>IF($A134="","",IF(INDEX(tbl_plan[計画状態],ROW()-1)="キャンセル","キャンセル",IF(K134=0,"発送済",IF(L134&gt;0,"要搬出","OK"))))</f>
        <v/>
      </c>
    </row>
    <row r="135" spans="1:13" ht="15" x14ac:dyDescent="0.25">
      <c r="A135" s="4" t="str">
        <f>IFERROR(INDEX(tbl_plan[ロットID],ROW()-1),"")</f>
        <v/>
      </c>
      <c r="B135" s="4" t="str">
        <f>IF($A135="","",INDEX(tbl_plan[品番],ROW()-1))</f>
        <v/>
      </c>
      <c r="C135" s="5" t="str">
        <f>IF($A135="","",INDEX(tbl_plan[出荷週],ROW()-1))</f>
        <v/>
      </c>
      <c r="D135" s="4" t="str">
        <f>IF($A135="","",INDEX(tbl_plan[納期先],ROW()-1)&amp;"")</f>
        <v/>
      </c>
      <c r="E135" s="4" t="str">
        <f>IF($A135="","",INDEX(tbl_plan[必要数],ROW()-1))</f>
        <v/>
      </c>
      <c r="F135" s="4" t="str">
        <f>IF($A135="","",SUMIFS(tbl_plan[必要数],tbl_plan[ロットID],$A135,tbl_plan[計画状態],"有効"))</f>
        <v/>
      </c>
      <c r="G135" s="4" t="str">
        <f>IF($A135="","",SUMIFS(tbl_ledger[数量],tbl_ledger[ロットID],$A135,tbl_ledger[イベント種類],"発送"))</f>
        <v/>
      </c>
      <c r="H135" s="4" t="str">
        <f>IF($A135="","",SUMIFS(tbl_ledger[数量],tbl_ledger[ロットID],$A135,tbl_ledger[イベント種類],"搬入")+SUMIFS(tbl_ledger[数量],tbl_ledger[充当先ロットID],$A135,tbl_ledger[イベント種類],"充当")-SUMIFS(tbl_ledger[数量],tbl_ledger[ロットID],$A135,tbl_ledger[イベント種類],"充当")-SUMIFS(tbl_ledger[数量],tbl_ledger[ロットID],$A135,tbl_ledger[イベント種類],"発送")-SUMIFS(tbl_ledger[数量],tbl_ledger[ロットID],$A135,tbl_ledger[イベント種類],"倉庫A戻し")-SUMIFS(tbl_ledger[数量],tbl_ledger[ロットID],$A135,tbl_ledger[イベント種類],"余剰化")-SUMIFS(tbl_ledger[数量],tbl_ledger[ロットID],$A135,tbl_ledger[イベント種類],"不良発生"))</f>
        <v/>
      </c>
      <c r="I135" s="4" t="str">
        <f>IF($A135="","",SUMIFS(tbl_ledger[数量],tbl_ledger[品番],$B135,tbl_ledger[イベント種類],"余剰化")+SUMIFS(tbl_ledger[数量],tbl_ledger[品番],$B135,tbl_ledger[イベント種類],"搬入",tbl_ledger[ロットID],"=")-SUMIFS(tbl_ledger[数量],tbl_ledger[品番],$B135,tbl_ledger[イベント種類],"充当",tbl_ledger[ロットID],"=")-SUMIFS(tbl_ledger[数量],tbl_ledger[品番],$B135,tbl_ledger[イベント種類],"発送",tbl_ledger[ロットID],"=")-SUMIFS(tbl_ledger[数量],tbl_ledger[品番],$B135,tbl_ledger[イベント種類],"倉庫A戻し",tbl_ledger[ロットID],"=")-SUMIFS(tbl_ledger[数量],tbl_ledger[品番],$B135,tbl_ledger[イベント種類],"不良発生",tbl_ledger[ロットID],"="))</f>
        <v/>
      </c>
      <c r="J135" s="4" t="str">
        <f t="shared" si="6"/>
        <v/>
      </c>
      <c r="K135" s="4" t="str">
        <f t="shared" si="7"/>
        <v/>
      </c>
      <c r="L135" s="4" t="str">
        <f t="shared" si="8"/>
        <v/>
      </c>
      <c r="M135" s="4" t="str">
        <f>IF($A135="","",IF(INDEX(tbl_plan[計画状態],ROW()-1)="キャンセル","キャンセル",IF(K135=0,"発送済",IF(L135&gt;0,"要搬出","OK"))))</f>
        <v/>
      </c>
    </row>
    <row r="136" spans="1:13" ht="15" x14ac:dyDescent="0.25">
      <c r="A136" s="4" t="str">
        <f>IFERROR(INDEX(tbl_plan[ロットID],ROW()-1),"")</f>
        <v/>
      </c>
      <c r="B136" s="4" t="str">
        <f>IF($A136="","",INDEX(tbl_plan[品番],ROW()-1))</f>
        <v/>
      </c>
      <c r="C136" s="5" t="str">
        <f>IF($A136="","",INDEX(tbl_plan[出荷週],ROW()-1))</f>
        <v/>
      </c>
      <c r="D136" s="4" t="str">
        <f>IF($A136="","",INDEX(tbl_plan[納期先],ROW()-1)&amp;"")</f>
        <v/>
      </c>
      <c r="E136" s="4" t="str">
        <f>IF($A136="","",INDEX(tbl_plan[必要数],ROW()-1))</f>
        <v/>
      </c>
      <c r="F136" s="4" t="str">
        <f>IF($A136="","",SUMIFS(tbl_plan[必要数],tbl_plan[ロットID],$A136,tbl_plan[計画状態],"有効"))</f>
        <v/>
      </c>
      <c r="G136" s="4" t="str">
        <f>IF($A136="","",SUMIFS(tbl_ledger[数量],tbl_ledger[ロットID],$A136,tbl_ledger[イベント種類],"発送"))</f>
        <v/>
      </c>
      <c r="H136" s="4" t="str">
        <f>IF($A136="","",SUMIFS(tbl_ledger[数量],tbl_ledger[ロットID],$A136,tbl_ledger[イベント種類],"搬入")+SUMIFS(tbl_ledger[数量],tbl_ledger[充当先ロットID],$A136,tbl_ledger[イベント種類],"充当")-SUMIFS(tbl_ledger[数量],tbl_ledger[ロットID],$A136,tbl_ledger[イベント種類],"充当")-SUMIFS(tbl_ledger[数量],tbl_ledger[ロットID],$A136,tbl_ledger[イベント種類],"発送")-SUMIFS(tbl_ledger[数量],tbl_ledger[ロットID],$A136,tbl_ledger[イベント種類],"倉庫A戻し")-SUMIFS(tbl_ledger[数量],tbl_ledger[ロットID],$A136,tbl_ledger[イベント種類],"余剰化")-SUMIFS(tbl_ledger[数量],tbl_ledger[ロットID],$A136,tbl_ledger[イベント種類],"不良発生"))</f>
        <v/>
      </c>
      <c r="I136" s="4" t="str">
        <f>IF($A136="","",SUMIFS(tbl_ledger[数量],tbl_ledger[品番],$B136,tbl_ledger[イベント種類],"余剰化")+SUMIFS(tbl_ledger[数量],tbl_ledger[品番],$B136,tbl_ledger[イベント種類],"搬入",tbl_ledger[ロットID],"=")-SUMIFS(tbl_ledger[数量],tbl_ledger[品番],$B136,tbl_ledger[イベント種類],"充当",tbl_ledger[ロットID],"=")-SUMIFS(tbl_ledger[数量],tbl_ledger[品番],$B136,tbl_ledger[イベント種類],"発送",tbl_ledger[ロットID],"=")-SUMIFS(tbl_ledger[数量],tbl_ledger[品番],$B136,tbl_ledger[イベント種類],"倉庫A戻し",tbl_ledger[ロットID],"=")-SUMIFS(tbl_ledger[数量],tbl_ledger[品番],$B136,tbl_ledger[イベント種類],"不良発生",tbl_ledger[ロットID],"="))</f>
        <v/>
      </c>
      <c r="J136" s="4" t="str">
        <f t="shared" si="6"/>
        <v/>
      </c>
      <c r="K136" s="4" t="str">
        <f t="shared" si="7"/>
        <v/>
      </c>
      <c r="L136" s="4" t="str">
        <f t="shared" si="8"/>
        <v/>
      </c>
      <c r="M136" s="4" t="str">
        <f>IF($A136="","",IF(INDEX(tbl_plan[計画状態],ROW()-1)="キャンセル","キャンセル",IF(K136=0,"発送済",IF(L136&gt;0,"要搬出","OK"))))</f>
        <v/>
      </c>
    </row>
    <row r="137" spans="1:13" ht="15" x14ac:dyDescent="0.25">
      <c r="A137" s="4" t="str">
        <f>IFERROR(INDEX(tbl_plan[ロットID],ROW()-1),"")</f>
        <v/>
      </c>
      <c r="B137" s="4" t="str">
        <f>IF($A137="","",INDEX(tbl_plan[品番],ROW()-1))</f>
        <v/>
      </c>
      <c r="C137" s="5" t="str">
        <f>IF($A137="","",INDEX(tbl_plan[出荷週],ROW()-1))</f>
        <v/>
      </c>
      <c r="D137" s="4" t="str">
        <f>IF($A137="","",INDEX(tbl_plan[納期先],ROW()-1)&amp;"")</f>
        <v/>
      </c>
      <c r="E137" s="4" t="str">
        <f>IF($A137="","",INDEX(tbl_plan[必要数],ROW()-1))</f>
        <v/>
      </c>
      <c r="F137" s="4" t="str">
        <f>IF($A137="","",SUMIFS(tbl_plan[必要数],tbl_plan[ロットID],$A137,tbl_plan[計画状態],"有効"))</f>
        <v/>
      </c>
      <c r="G137" s="4" t="str">
        <f>IF($A137="","",SUMIFS(tbl_ledger[数量],tbl_ledger[ロットID],$A137,tbl_ledger[イベント種類],"発送"))</f>
        <v/>
      </c>
      <c r="H137" s="4" t="str">
        <f>IF($A137="","",SUMIFS(tbl_ledger[数量],tbl_ledger[ロットID],$A137,tbl_ledger[イベント種類],"搬入")+SUMIFS(tbl_ledger[数量],tbl_ledger[充当先ロットID],$A137,tbl_ledger[イベント種類],"充当")-SUMIFS(tbl_ledger[数量],tbl_ledger[ロットID],$A137,tbl_ledger[イベント種類],"充当")-SUMIFS(tbl_ledger[数量],tbl_ledger[ロットID],$A137,tbl_ledger[イベント種類],"発送")-SUMIFS(tbl_ledger[数量],tbl_ledger[ロットID],$A137,tbl_ledger[イベント種類],"倉庫A戻し")-SUMIFS(tbl_ledger[数量],tbl_ledger[ロットID],$A137,tbl_ledger[イベント種類],"余剰化")-SUMIFS(tbl_ledger[数量],tbl_ledger[ロットID],$A137,tbl_ledger[イベント種類],"不良発生"))</f>
        <v/>
      </c>
      <c r="I137" s="4" t="str">
        <f>IF($A137="","",SUMIFS(tbl_ledger[数量],tbl_ledger[品番],$B137,tbl_ledger[イベント種類],"余剰化")+SUMIFS(tbl_ledger[数量],tbl_ledger[品番],$B137,tbl_ledger[イベント種類],"搬入",tbl_ledger[ロットID],"=")-SUMIFS(tbl_ledger[数量],tbl_ledger[品番],$B137,tbl_ledger[イベント種類],"充当",tbl_ledger[ロットID],"=")-SUMIFS(tbl_ledger[数量],tbl_ledger[品番],$B137,tbl_ledger[イベント種類],"発送",tbl_ledger[ロットID],"=")-SUMIFS(tbl_ledger[数量],tbl_ledger[品番],$B137,tbl_ledger[イベント種類],"倉庫A戻し",tbl_ledger[ロットID],"=")-SUMIFS(tbl_ledger[数量],tbl_ledger[品番],$B137,tbl_ledger[イベント種類],"不良発生",tbl_ledger[ロットID],"="))</f>
        <v/>
      </c>
      <c r="J137" s="4" t="str">
        <f t="shared" si="6"/>
        <v/>
      </c>
      <c r="K137" s="4" t="str">
        <f t="shared" si="7"/>
        <v/>
      </c>
      <c r="L137" s="4" t="str">
        <f t="shared" si="8"/>
        <v/>
      </c>
      <c r="M137" s="4" t="str">
        <f>IF($A137="","",IF(INDEX(tbl_plan[計画状態],ROW()-1)="キャンセル","キャンセル",IF(K137=0,"発送済",IF(L137&gt;0,"要搬出","OK"))))</f>
        <v/>
      </c>
    </row>
    <row r="138" spans="1:13" ht="15" x14ac:dyDescent="0.25">
      <c r="A138" s="4" t="str">
        <f>IFERROR(INDEX(tbl_plan[ロットID],ROW()-1),"")</f>
        <v/>
      </c>
      <c r="B138" s="4" t="str">
        <f>IF($A138="","",INDEX(tbl_plan[品番],ROW()-1))</f>
        <v/>
      </c>
      <c r="C138" s="5" t="str">
        <f>IF($A138="","",INDEX(tbl_plan[出荷週],ROW()-1))</f>
        <v/>
      </c>
      <c r="D138" s="4" t="str">
        <f>IF($A138="","",INDEX(tbl_plan[納期先],ROW()-1)&amp;"")</f>
        <v/>
      </c>
      <c r="E138" s="4" t="str">
        <f>IF($A138="","",INDEX(tbl_plan[必要数],ROW()-1))</f>
        <v/>
      </c>
      <c r="F138" s="4" t="str">
        <f>IF($A138="","",SUMIFS(tbl_plan[必要数],tbl_plan[ロットID],$A138,tbl_plan[計画状態],"有効"))</f>
        <v/>
      </c>
      <c r="G138" s="4" t="str">
        <f>IF($A138="","",SUMIFS(tbl_ledger[数量],tbl_ledger[ロットID],$A138,tbl_ledger[イベント種類],"発送"))</f>
        <v/>
      </c>
      <c r="H138" s="4" t="str">
        <f>IF($A138="","",SUMIFS(tbl_ledger[数量],tbl_ledger[ロットID],$A138,tbl_ledger[イベント種類],"搬入")+SUMIFS(tbl_ledger[数量],tbl_ledger[充当先ロットID],$A138,tbl_ledger[イベント種類],"充当")-SUMIFS(tbl_ledger[数量],tbl_ledger[ロットID],$A138,tbl_ledger[イベント種類],"充当")-SUMIFS(tbl_ledger[数量],tbl_ledger[ロットID],$A138,tbl_ledger[イベント種類],"発送")-SUMIFS(tbl_ledger[数量],tbl_ledger[ロットID],$A138,tbl_ledger[イベント種類],"倉庫A戻し")-SUMIFS(tbl_ledger[数量],tbl_ledger[ロットID],$A138,tbl_ledger[イベント種類],"余剰化")-SUMIFS(tbl_ledger[数量],tbl_ledger[ロットID],$A138,tbl_ledger[イベント種類],"不良発生"))</f>
        <v/>
      </c>
      <c r="I138" s="4" t="str">
        <f>IF($A138="","",SUMIFS(tbl_ledger[数量],tbl_ledger[品番],$B138,tbl_ledger[イベント種類],"余剰化")+SUMIFS(tbl_ledger[数量],tbl_ledger[品番],$B138,tbl_ledger[イベント種類],"搬入",tbl_ledger[ロットID],"=")-SUMIFS(tbl_ledger[数量],tbl_ledger[品番],$B138,tbl_ledger[イベント種類],"充当",tbl_ledger[ロットID],"=")-SUMIFS(tbl_ledger[数量],tbl_ledger[品番],$B138,tbl_ledger[イベント種類],"発送",tbl_ledger[ロットID],"=")-SUMIFS(tbl_ledger[数量],tbl_ledger[品番],$B138,tbl_ledger[イベント種類],"倉庫A戻し",tbl_ledger[ロットID],"=")-SUMIFS(tbl_ledger[数量],tbl_ledger[品番],$B138,tbl_ledger[イベント種類],"不良発生",tbl_ledger[ロットID],"="))</f>
        <v/>
      </c>
      <c r="J138" s="4" t="str">
        <f t="shared" si="6"/>
        <v/>
      </c>
      <c r="K138" s="4" t="str">
        <f t="shared" si="7"/>
        <v/>
      </c>
      <c r="L138" s="4" t="str">
        <f t="shared" si="8"/>
        <v/>
      </c>
      <c r="M138" s="4" t="str">
        <f>IF($A138="","",IF(INDEX(tbl_plan[計画状態],ROW()-1)="キャンセル","キャンセル",IF(K138=0,"発送済",IF(L138&gt;0,"要搬出","OK"))))</f>
        <v/>
      </c>
    </row>
    <row r="139" spans="1:13" ht="15" x14ac:dyDescent="0.25">
      <c r="A139" s="4" t="str">
        <f>IFERROR(INDEX(tbl_plan[ロットID],ROW()-1),"")</f>
        <v/>
      </c>
      <c r="B139" s="4" t="str">
        <f>IF($A139="","",INDEX(tbl_plan[品番],ROW()-1))</f>
        <v/>
      </c>
      <c r="C139" s="5" t="str">
        <f>IF($A139="","",INDEX(tbl_plan[出荷週],ROW()-1))</f>
        <v/>
      </c>
      <c r="D139" s="4" t="str">
        <f>IF($A139="","",INDEX(tbl_plan[納期先],ROW()-1)&amp;"")</f>
        <v/>
      </c>
      <c r="E139" s="4" t="str">
        <f>IF($A139="","",INDEX(tbl_plan[必要数],ROW()-1))</f>
        <v/>
      </c>
      <c r="F139" s="4" t="str">
        <f>IF($A139="","",SUMIFS(tbl_plan[必要数],tbl_plan[ロットID],$A139,tbl_plan[計画状態],"有効"))</f>
        <v/>
      </c>
      <c r="G139" s="4" t="str">
        <f>IF($A139="","",SUMIFS(tbl_ledger[数量],tbl_ledger[ロットID],$A139,tbl_ledger[イベント種類],"発送"))</f>
        <v/>
      </c>
      <c r="H139" s="4" t="str">
        <f>IF($A139="","",SUMIFS(tbl_ledger[数量],tbl_ledger[ロットID],$A139,tbl_ledger[イベント種類],"搬入")+SUMIFS(tbl_ledger[数量],tbl_ledger[充当先ロットID],$A139,tbl_ledger[イベント種類],"充当")-SUMIFS(tbl_ledger[数量],tbl_ledger[ロットID],$A139,tbl_ledger[イベント種類],"充当")-SUMIFS(tbl_ledger[数量],tbl_ledger[ロットID],$A139,tbl_ledger[イベント種類],"発送")-SUMIFS(tbl_ledger[数量],tbl_ledger[ロットID],$A139,tbl_ledger[イベント種類],"倉庫A戻し")-SUMIFS(tbl_ledger[数量],tbl_ledger[ロットID],$A139,tbl_ledger[イベント種類],"余剰化")-SUMIFS(tbl_ledger[数量],tbl_ledger[ロットID],$A139,tbl_ledger[イベント種類],"不良発生"))</f>
        <v/>
      </c>
      <c r="I139" s="4" t="str">
        <f>IF($A139="","",SUMIFS(tbl_ledger[数量],tbl_ledger[品番],$B139,tbl_ledger[イベント種類],"余剰化")+SUMIFS(tbl_ledger[数量],tbl_ledger[品番],$B139,tbl_ledger[イベント種類],"搬入",tbl_ledger[ロットID],"=")-SUMIFS(tbl_ledger[数量],tbl_ledger[品番],$B139,tbl_ledger[イベント種類],"充当",tbl_ledger[ロットID],"=")-SUMIFS(tbl_ledger[数量],tbl_ledger[品番],$B139,tbl_ledger[イベント種類],"発送",tbl_ledger[ロットID],"=")-SUMIFS(tbl_ledger[数量],tbl_ledger[品番],$B139,tbl_ledger[イベント種類],"倉庫A戻し",tbl_ledger[ロットID],"=")-SUMIFS(tbl_ledger[数量],tbl_ledger[品番],$B139,tbl_ledger[イベント種類],"不良発生",tbl_ledger[ロットID],"="))</f>
        <v/>
      </c>
      <c r="J139" s="4" t="str">
        <f t="shared" si="6"/>
        <v/>
      </c>
      <c r="K139" s="4" t="str">
        <f t="shared" si="7"/>
        <v/>
      </c>
      <c r="L139" s="4" t="str">
        <f t="shared" si="8"/>
        <v/>
      </c>
      <c r="M139" s="4" t="str">
        <f>IF($A139="","",IF(INDEX(tbl_plan[計画状態],ROW()-1)="キャンセル","キャンセル",IF(K139=0,"発送済",IF(L139&gt;0,"要搬出","OK"))))</f>
        <v/>
      </c>
    </row>
    <row r="140" spans="1:13" ht="15" x14ac:dyDescent="0.25">
      <c r="A140" s="4" t="str">
        <f>IFERROR(INDEX(tbl_plan[ロットID],ROW()-1),"")</f>
        <v/>
      </c>
      <c r="B140" s="4" t="str">
        <f>IF($A140="","",INDEX(tbl_plan[品番],ROW()-1))</f>
        <v/>
      </c>
      <c r="C140" s="5" t="str">
        <f>IF($A140="","",INDEX(tbl_plan[出荷週],ROW()-1))</f>
        <v/>
      </c>
      <c r="D140" s="4" t="str">
        <f>IF($A140="","",INDEX(tbl_plan[納期先],ROW()-1)&amp;"")</f>
        <v/>
      </c>
      <c r="E140" s="4" t="str">
        <f>IF($A140="","",INDEX(tbl_plan[必要数],ROW()-1))</f>
        <v/>
      </c>
      <c r="F140" s="4" t="str">
        <f>IF($A140="","",SUMIFS(tbl_plan[必要数],tbl_plan[ロットID],$A140,tbl_plan[計画状態],"有効"))</f>
        <v/>
      </c>
      <c r="G140" s="4" t="str">
        <f>IF($A140="","",SUMIFS(tbl_ledger[数量],tbl_ledger[ロットID],$A140,tbl_ledger[イベント種類],"発送"))</f>
        <v/>
      </c>
      <c r="H140" s="4" t="str">
        <f>IF($A140="","",SUMIFS(tbl_ledger[数量],tbl_ledger[ロットID],$A140,tbl_ledger[イベント種類],"搬入")+SUMIFS(tbl_ledger[数量],tbl_ledger[充当先ロットID],$A140,tbl_ledger[イベント種類],"充当")-SUMIFS(tbl_ledger[数量],tbl_ledger[ロットID],$A140,tbl_ledger[イベント種類],"充当")-SUMIFS(tbl_ledger[数量],tbl_ledger[ロットID],$A140,tbl_ledger[イベント種類],"発送")-SUMIFS(tbl_ledger[数量],tbl_ledger[ロットID],$A140,tbl_ledger[イベント種類],"倉庫A戻し")-SUMIFS(tbl_ledger[数量],tbl_ledger[ロットID],$A140,tbl_ledger[イベント種類],"余剰化")-SUMIFS(tbl_ledger[数量],tbl_ledger[ロットID],$A140,tbl_ledger[イベント種類],"不良発生"))</f>
        <v/>
      </c>
      <c r="I140" s="4" t="str">
        <f>IF($A140="","",SUMIFS(tbl_ledger[数量],tbl_ledger[品番],$B140,tbl_ledger[イベント種類],"余剰化")+SUMIFS(tbl_ledger[数量],tbl_ledger[品番],$B140,tbl_ledger[イベント種類],"搬入",tbl_ledger[ロットID],"=")-SUMIFS(tbl_ledger[数量],tbl_ledger[品番],$B140,tbl_ledger[イベント種類],"充当",tbl_ledger[ロットID],"=")-SUMIFS(tbl_ledger[数量],tbl_ledger[品番],$B140,tbl_ledger[イベント種類],"発送",tbl_ledger[ロットID],"=")-SUMIFS(tbl_ledger[数量],tbl_ledger[品番],$B140,tbl_ledger[イベント種類],"倉庫A戻し",tbl_ledger[ロットID],"=")-SUMIFS(tbl_ledger[数量],tbl_ledger[品番],$B140,tbl_ledger[イベント種類],"不良発生",tbl_ledger[ロットID],"="))</f>
        <v/>
      </c>
      <c r="J140" s="4" t="str">
        <f t="shared" si="6"/>
        <v/>
      </c>
      <c r="K140" s="4" t="str">
        <f t="shared" si="7"/>
        <v/>
      </c>
      <c r="L140" s="4" t="str">
        <f t="shared" si="8"/>
        <v/>
      </c>
      <c r="M140" s="4" t="str">
        <f>IF($A140="","",IF(INDEX(tbl_plan[計画状態],ROW()-1)="キャンセル","キャンセル",IF(K140=0,"発送済",IF(L140&gt;0,"要搬出","OK"))))</f>
        <v/>
      </c>
    </row>
    <row r="141" spans="1:13" ht="15" x14ac:dyDescent="0.25">
      <c r="A141" s="4" t="str">
        <f>IFERROR(INDEX(tbl_plan[ロットID],ROW()-1),"")</f>
        <v/>
      </c>
      <c r="B141" s="4" t="str">
        <f>IF($A141="","",INDEX(tbl_plan[品番],ROW()-1))</f>
        <v/>
      </c>
      <c r="C141" s="5" t="str">
        <f>IF($A141="","",INDEX(tbl_plan[出荷週],ROW()-1))</f>
        <v/>
      </c>
      <c r="D141" s="4" t="str">
        <f>IF($A141="","",INDEX(tbl_plan[納期先],ROW()-1)&amp;"")</f>
        <v/>
      </c>
      <c r="E141" s="4" t="str">
        <f>IF($A141="","",INDEX(tbl_plan[必要数],ROW()-1))</f>
        <v/>
      </c>
      <c r="F141" s="4" t="str">
        <f>IF($A141="","",SUMIFS(tbl_plan[必要数],tbl_plan[ロットID],$A141,tbl_plan[計画状態],"有効"))</f>
        <v/>
      </c>
      <c r="G141" s="4" t="str">
        <f>IF($A141="","",SUMIFS(tbl_ledger[数量],tbl_ledger[ロットID],$A141,tbl_ledger[イベント種類],"発送"))</f>
        <v/>
      </c>
      <c r="H141" s="4" t="str">
        <f>IF($A141="","",SUMIFS(tbl_ledger[数量],tbl_ledger[ロットID],$A141,tbl_ledger[イベント種類],"搬入")+SUMIFS(tbl_ledger[数量],tbl_ledger[充当先ロットID],$A141,tbl_ledger[イベント種類],"充当")-SUMIFS(tbl_ledger[数量],tbl_ledger[ロットID],$A141,tbl_ledger[イベント種類],"充当")-SUMIFS(tbl_ledger[数量],tbl_ledger[ロットID],$A141,tbl_ledger[イベント種類],"発送")-SUMIFS(tbl_ledger[数量],tbl_ledger[ロットID],$A141,tbl_ledger[イベント種類],"倉庫A戻し")-SUMIFS(tbl_ledger[数量],tbl_ledger[ロットID],$A141,tbl_ledger[イベント種類],"余剰化")-SUMIFS(tbl_ledger[数量],tbl_ledger[ロットID],$A141,tbl_ledger[イベント種類],"不良発生"))</f>
        <v/>
      </c>
      <c r="I141" s="4" t="str">
        <f>IF($A141="","",SUMIFS(tbl_ledger[数量],tbl_ledger[品番],$B141,tbl_ledger[イベント種類],"余剰化")+SUMIFS(tbl_ledger[数量],tbl_ledger[品番],$B141,tbl_ledger[イベント種類],"搬入",tbl_ledger[ロットID],"=")-SUMIFS(tbl_ledger[数量],tbl_ledger[品番],$B141,tbl_ledger[イベント種類],"充当",tbl_ledger[ロットID],"=")-SUMIFS(tbl_ledger[数量],tbl_ledger[品番],$B141,tbl_ledger[イベント種類],"発送",tbl_ledger[ロットID],"=")-SUMIFS(tbl_ledger[数量],tbl_ledger[品番],$B141,tbl_ledger[イベント種類],"倉庫A戻し",tbl_ledger[ロットID],"=")-SUMIFS(tbl_ledger[数量],tbl_ledger[品番],$B141,tbl_ledger[イベント種類],"不良発生",tbl_ledger[ロットID],"="))</f>
        <v/>
      </c>
      <c r="J141" s="4" t="str">
        <f t="shared" si="6"/>
        <v/>
      </c>
      <c r="K141" s="4" t="str">
        <f t="shared" si="7"/>
        <v/>
      </c>
      <c r="L141" s="4" t="str">
        <f t="shared" si="8"/>
        <v/>
      </c>
      <c r="M141" s="4" t="str">
        <f>IF($A141="","",IF(INDEX(tbl_plan[計画状態],ROW()-1)="キャンセル","キャンセル",IF(K141=0,"発送済",IF(L141&gt;0,"要搬出","OK"))))</f>
        <v/>
      </c>
    </row>
    <row r="142" spans="1:13" ht="15" x14ac:dyDescent="0.25">
      <c r="A142" s="4" t="str">
        <f>IFERROR(INDEX(tbl_plan[ロットID],ROW()-1),"")</f>
        <v/>
      </c>
      <c r="B142" s="4" t="str">
        <f>IF($A142="","",INDEX(tbl_plan[品番],ROW()-1))</f>
        <v/>
      </c>
      <c r="C142" s="5" t="str">
        <f>IF($A142="","",INDEX(tbl_plan[出荷週],ROW()-1))</f>
        <v/>
      </c>
      <c r="D142" s="4" t="str">
        <f>IF($A142="","",INDEX(tbl_plan[納期先],ROW()-1)&amp;"")</f>
        <v/>
      </c>
      <c r="E142" s="4" t="str">
        <f>IF($A142="","",INDEX(tbl_plan[必要数],ROW()-1))</f>
        <v/>
      </c>
      <c r="F142" s="4" t="str">
        <f>IF($A142="","",SUMIFS(tbl_plan[必要数],tbl_plan[ロットID],$A142,tbl_plan[計画状態],"有効"))</f>
        <v/>
      </c>
      <c r="G142" s="4" t="str">
        <f>IF($A142="","",SUMIFS(tbl_ledger[数量],tbl_ledger[ロットID],$A142,tbl_ledger[イベント種類],"発送"))</f>
        <v/>
      </c>
      <c r="H142" s="4" t="str">
        <f>IF($A142="","",SUMIFS(tbl_ledger[数量],tbl_ledger[ロットID],$A142,tbl_ledger[イベント種類],"搬入")+SUMIFS(tbl_ledger[数量],tbl_ledger[充当先ロットID],$A142,tbl_ledger[イベント種類],"充当")-SUMIFS(tbl_ledger[数量],tbl_ledger[ロットID],$A142,tbl_ledger[イベント種類],"充当")-SUMIFS(tbl_ledger[数量],tbl_ledger[ロットID],$A142,tbl_ledger[イベント種類],"発送")-SUMIFS(tbl_ledger[数量],tbl_ledger[ロットID],$A142,tbl_ledger[イベント種類],"倉庫A戻し")-SUMIFS(tbl_ledger[数量],tbl_ledger[ロットID],$A142,tbl_ledger[イベント種類],"余剰化")-SUMIFS(tbl_ledger[数量],tbl_ledger[ロットID],$A142,tbl_ledger[イベント種類],"不良発生"))</f>
        <v/>
      </c>
      <c r="I142" s="4" t="str">
        <f>IF($A142="","",SUMIFS(tbl_ledger[数量],tbl_ledger[品番],$B142,tbl_ledger[イベント種類],"余剰化")+SUMIFS(tbl_ledger[数量],tbl_ledger[品番],$B142,tbl_ledger[イベント種類],"搬入",tbl_ledger[ロットID],"=")-SUMIFS(tbl_ledger[数量],tbl_ledger[品番],$B142,tbl_ledger[イベント種類],"充当",tbl_ledger[ロットID],"=")-SUMIFS(tbl_ledger[数量],tbl_ledger[品番],$B142,tbl_ledger[イベント種類],"発送",tbl_ledger[ロットID],"=")-SUMIFS(tbl_ledger[数量],tbl_ledger[品番],$B142,tbl_ledger[イベント種類],"倉庫A戻し",tbl_ledger[ロットID],"=")-SUMIFS(tbl_ledger[数量],tbl_ledger[品番],$B142,tbl_ledger[イベント種類],"不良発生",tbl_ledger[ロットID],"="))</f>
        <v/>
      </c>
      <c r="J142" s="4" t="str">
        <f t="shared" si="6"/>
        <v/>
      </c>
      <c r="K142" s="4" t="str">
        <f t="shared" si="7"/>
        <v/>
      </c>
      <c r="L142" s="4" t="str">
        <f t="shared" si="8"/>
        <v/>
      </c>
      <c r="M142" s="4" t="str">
        <f>IF($A142="","",IF(INDEX(tbl_plan[計画状態],ROW()-1)="キャンセル","キャンセル",IF(K142=0,"発送済",IF(L142&gt;0,"要搬出","OK"))))</f>
        <v/>
      </c>
    </row>
    <row r="143" spans="1:13" ht="15" x14ac:dyDescent="0.25">
      <c r="A143" s="4" t="str">
        <f>IFERROR(INDEX(tbl_plan[ロットID],ROW()-1),"")</f>
        <v/>
      </c>
      <c r="B143" s="4" t="str">
        <f>IF($A143="","",INDEX(tbl_plan[品番],ROW()-1))</f>
        <v/>
      </c>
      <c r="C143" s="5" t="str">
        <f>IF($A143="","",INDEX(tbl_plan[出荷週],ROW()-1))</f>
        <v/>
      </c>
      <c r="D143" s="4" t="str">
        <f>IF($A143="","",INDEX(tbl_plan[納期先],ROW()-1)&amp;"")</f>
        <v/>
      </c>
      <c r="E143" s="4" t="str">
        <f>IF($A143="","",INDEX(tbl_plan[必要数],ROW()-1))</f>
        <v/>
      </c>
      <c r="F143" s="4" t="str">
        <f>IF($A143="","",SUMIFS(tbl_plan[必要数],tbl_plan[ロットID],$A143,tbl_plan[計画状態],"有効"))</f>
        <v/>
      </c>
      <c r="G143" s="4" t="str">
        <f>IF($A143="","",SUMIFS(tbl_ledger[数量],tbl_ledger[ロットID],$A143,tbl_ledger[イベント種類],"発送"))</f>
        <v/>
      </c>
      <c r="H143" s="4" t="str">
        <f>IF($A143="","",SUMIFS(tbl_ledger[数量],tbl_ledger[ロットID],$A143,tbl_ledger[イベント種類],"搬入")+SUMIFS(tbl_ledger[数量],tbl_ledger[充当先ロットID],$A143,tbl_ledger[イベント種類],"充当")-SUMIFS(tbl_ledger[数量],tbl_ledger[ロットID],$A143,tbl_ledger[イベント種類],"充当")-SUMIFS(tbl_ledger[数量],tbl_ledger[ロットID],$A143,tbl_ledger[イベント種類],"発送")-SUMIFS(tbl_ledger[数量],tbl_ledger[ロットID],$A143,tbl_ledger[イベント種類],"倉庫A戻し")-SUMIFS(tbl_ledger[数量],tbl_ledger[ロットID],$A143,tbl_ledger[イベント種類],"余剰化")-SUMIFS(tbl_ledger[数量],tbl_ledger[ロットID],$A143,tbl_ledger[イベント種類],"不良発生"))</f>
        <v/>
      </c>
      <c r="I143" s="4" t="str">
        <f>IF($A143="","",SUMIFS(tbl_ledger[数量],tbl_ledger[品番],$B143,tbl_ledger[イベント種類],"余剰化")+SUMIFS(tbl_ledger[数量],tbl_ledger[品番],$B143,tbl_ledger[イベント種類],"搬入",tbl_ledger[ロットID],"=")-SUMIFS(tbl_ledger[数量],tbl_ledger[品番],$B143,tbl_ledger[イベント種類],"充当",tbl_ledger[ロットID],"=")-SUMIFS(tbl_ledger[数量],tbl_ledger[品番],$B143,tbl_ledger[イベント種類],"発送",tbl_ledger[ロットID],"=")-SUMIFS(tbl_ledger[数量],tbl_ledger[品番],$B143,tbl_ledger[イベント種類],"倉庫A戻し",tbl_ledger[ロットID],"=")-SUMIFS(tbl_ledger[数量],tbl_ledger[品番],$B143,tbl_ledger[イベント種類],"不良発生",tbl_ledger[ロットID],"="))</f>
        <v/>
      </c>
      <c r="J143" s="4" t="str">
        <f t="shared" si="6"/>
        <v/>
      </c>
      <c r="K143" s="4" t="str">
        <f t="shared" si="7"/>
        <v/>
      </c>
      <c r="L143" s="4" t="str">
        <f t="shared" si="8"/>
        <v/>
      </c>
      <c r="M143" s="4" t="str">
        <f>IF($A143="","",IF(INDEX(tbl_plan[計画状態],ROW()-1)="キャンセル","キャンセル",IF(K143=0,"発送済",IF(L143&gt;0,"要搬出","OK"))))</f>
        <v/>
      </c>
    </row>
    <row r="144" spans="1:13" ht="15" x14ac:dyDescent="0.25">
      <c r="A144" s="4" t="str">
        <f>IFERROR(INDEX(tbl_plan[ロットID],ROW()-1),"")</f>
        <v/>
      </c>
      <c r="B144" s="4" t="str">
        <f>IF($A144="","",INDEX(tbl_plan[品番],ROW()-1))</f>
        <v/>
      </c>
      <c r="C144" s="5" t="str">
        <f>IF($A144="","",INDEX(tbl_plan[出荷週],ROW()-1))</f>
        <v/>
      </c>
      <c r="D144" s="4" t="str">
        <f>IF($A144="","",INDEX(tbl_plan[納期先],ROW()-1)&amp;"")</f>
        <v/>
      </c>
      <c r="E144" s="4" t="str">
        <f>IF($A144="","",INDEX(tbl_plan[必要数],ROW()-1))</f>
        <v/>
      </c>
      <c r="F144" s="4" t="str">
        <f>IF($A144="","",SUMIFS(tbl_plan[必要数],tbl_plan[ロットID],$A144,tbl_plan[計画状態],"有効"))</f>
        <v/>
      </c>
      <c r="G144" s="4" t="str">
        <f>IF($A144="","",SUMIFS(tbl_ledger[数量],tbl_ledger[ロットID],$A144,tbl_ledger[イベント種類],"発送"))</f>
        <v/>
      </c>
      <c r="H144" s="4" t="str">
        <f>IF($A144="","",SUMIFS(tbl_ledger[数量],tbl_ledger[ロットID],$A144,tbl_ledger[イベント種類],"搬入")+SUMIFS(tbl_ledger[数量],tbl_ledger[充当先ロットID],$A144,tbl_ledger[イベント種類],"充当")-SUMIFS(tbl_ledger[数量],tbl_ledger[ロットID],$A144,tbl_ledger[イベント種類],"充当")-SUMIFS(tbl_ledger[数量],tbl_ledger[ロットID],$A144,tbl_ledger[イベント種類],"発送")-SUMIFS(tbl_ledger[数量],tbl_ledger[ロットID],$A144,tbl_ledger[イベント種類],"倉庫A戻し")-SUMIFS(tbl_ledger[数量],tbl_ledger[ロットID],$A144,tbl_ledger[イベント種類],"余剰化")-SUMIFS(tbl_ledger[数量],tbl_ledger[ロットID],$A144,tbl_ledger[イベント種類],"不良発生"))</f>
        <v/>
      </c>
      <c r="I144" s="4" t="str">
        <f>IF($A144="","",SUMIFS(tbl_ledger[数量],tbl_ledger[品番],$B144,tbl_ledger[イベント種類],"余剰化")+SUMIFS(tbl_ledger[数量],tbl_ledger[品番],$B144,tbl_ledger[イベント種類],"搬入",tbl_ledger[ロットID],"=")-SUMIFS(tbl_ledger[数量],tbl_ledger[品番],$B144,tbl_ledger[イベント種類],"充当",tbl_ledger[ロットID],"=")-SUMIFS(tbl_ledger[数量],tbl_ledger[品番],$B144,tbl_ledger[イベント種類],"発送",tbl_ledger[ロットID],"=")-SUMIFS(tbl_ledger[数量],tbl_ledger[品番],$B144,tbl_ledger[イベント種類],"倉庫A戻し",tbl_ledger[ロットID],"=")-SUMIFS(tbl_ledger[数量],tbl_ledger[品番],$B144,tbl_ledger[イベント種類],"不良発生",tbl_ledger[ロットID],"="))</f>
        <v/>
      </c>
      <c r="J144" s="4" t="str">
        <f t="shared" si="6"/>
        <v/>
      </c>
      <c r="K144" s="4" t="str">
        <f t="shared" si="7"/>
        <v/>
      </c>
      <c r="L144" s="4" t="str">
        <f t="shared" si="8"/>
        <v/>
      </c>
      <c r="M144" s="4" t="str">
        <f>IF($A144="","",IF(INDEX(tbl_plan[計画状態],ROW()-1)="キャンセル","キャンセル",IF(K144=0,"発送済",IF(L144&gt;0,"要搬出","OK"))))</f>
        <v/>
      </c>
    </row>
    <row r="145" spans="1:13" ht="15" x14ac:dyDescent="0.25">
      <c r="A145" s="4" t="str">
        <f>IFERROR(INDEX(tbl_plan[ロットID],ROW()-1),"")</f>
        <v/>
      </c>
      <c r="B145" s="4" t="str">
        <f>IF($A145="","",INDEX(tbl_plan[品番],ROW()-1))</f>
        <v/>
      </c>
      <c r="C145" s="5" t="str">
        <f>IF($A145="","",INDEX(tbl_plan[出荷週],ROW()-1))</f>
        <v/>
      </c>
      <c r="D145" s="4" t="str">
        <f>IF($A145="","",INDEX(tbl_plan[納期先],ROW()-1)&amp;"")</f>
        <v/>
      </c>
      <c r="E145" s="4" t="str">
        <f>IF($A145="","",INDEX(tbl_plan[必要数],ROW()-1))</f>
        <v/>
      </c>
      <c r="F145" s="4" t="str">
        <f>IF($A145="","",SUMIFS(tbl_plan[必要数],tbl_plan[ロットID],$A145,tbl_plan[計画状態],"有効"))</f>
        <v/>
      </c>
      <c r="G145" s="4" t="str">
        <f>IF($A145="","",SUMIFS(tbl_ledger[数量],tbl_ledger[ロットID],$A145,tbl_ledger[イベント種類],"発送"))</f>
        <v/>
      </c>
      <c r="H145" s="4" t="str">
        <f>IF($A145="","",SUMIFS(tbl_ledger[数量],tbl_ledger[ロットID],$A145,tbl_ledger[イベント種類],"搬入")+SUMIFS(tbl_ledger[数量],tbl_ledger[充当先ロットID],$A145,tbl_ledger[イベント種類],"充当")-SUMIFS(tbl_ledger[数量],tbl_ledger[ロットID],$A145,tbl_ledger[イベント種類],"充当")-SUMIFS(tbl_ledger[数量],tbl_ledger[ロットID],$A145,tbl_ledger[イベント種類],"発送")-SUMIFS(tbl_ledger[数量],tbl_ledger[ロットID],$A145,tbl_ledger[イベント種類],"倉庫A戻し")-SUMIFS(tbl_ledger[数量],tbl_ledger[ロットID],$A145,tbl_ledger[イベント種類],"余剰化")-SUMIFS(tbl_ledger[数量],tbl_ledger[ロットID],$A145,tbl_ledger[イベント種類],"不良発生"))</f>
        <v/>
      </c>
      <c r="I145" s="4" t="str">
        <f>IF($A145="","",SUMIFS(tbl_ledger[数量],tbl_ledger[品番],$B145,tbl_ledger[イベント種類],"余剰化")+SUMIFS(tbl_ledger[数量],tbl_ledger[品番],$B145,tbl_ledger[イベント種類],"搬入",tbl_ledger[ロットID],"=")-SUMIFS(tbl_ledger[数量],tbl_ledger[品番],$B145,tbl_ledger[イベント種類],"充当",tbl_ledger[ロットID],"=")-SUMIFS(tbl_ledger[数量],tbl_ledger[品番],$B145,tbl_ledger[イベント種類],"発送",tbl_ledger[ロットID],"=")-SUMIFS(tbl_ledger[数量],tbl_ledger[品番],$B145,tbl_ledger[イベント種類],"倉庫A戻し",tbl_ledger[ロットID],"=")-SUMIFS(tbl_ledger[数量],tbl_ledger[品番],$B145,tbl_ledger[イベント種類],"不良発生",tbl_ledger[ロットID],"="))</f>
        <v/>
      </c>
      <c r="J145" s="4" t="str">
        <f t="shared" si="6"/>
        <v/>
      </c>
      <c r="K145" s="4" t="str">
        <f t="shared" si="7"/>
        <v/>
      </c>
      <c r="L145" s="4" t="str">
        <f t="shared" si="8"/>
        <v/>
      </c>
      <c r="M145" s="4" t="str">
        <f>IF($A145="","",IF(INDEX(tbl_plan[計画状態],ROW()-1)="キャンセル","キャンセル",IF(K145=0,"発送済",IF(L145&gt;0,"要搬出","OK"))))</f>
        <v/>
      </c>
    </row>
    <row r="146" spans="1:13" ht="15" x14ac:dyDescent="0.25">
      <c r="A146" s="4" t="str">
        <f>IFERROR(INDEX(tbl_plan[ロットID],ROW()-1),"")</f>
        <v/>
      </c>
      <c r="B146" s="4" t="str">
        <f>IF($A146="","",INDEX(tbl_plan[品番],ROW()-1))</f>
        <v/>
      </c>
      <c r="C146" s="5" t="str">
        <f>IF($A146="","",INDEX(tbl_plan[出荷週],ROW()-1))</f>
        <v/>
      </c>
      <c r="D146" s="4" t="str">
        <f>IF($A146="","",INDEX(tbl_plan[納期先],ROW()-1)&amp;"")</f>
        <v/>
      </c>
      <c r="E146" s="4" t="str">
        <f>IF($A146="","",INDEX(tbl_plan[必要数],ROW()-1))</f>
        <v/>
      </c>
      <c r="F146" s="4" t="str">
        <f>IF($A146="","",SUMIFS(tbl_plan[必要数],tbl_plan[ロットID],$A146,tbl_plan[計画状態],"有効"))</f>
        <v/>
      </c>
      <c r="G146" s="4" t="str">
        <f>IF($A146="","",SUMIFS(tbl_ledger[数量],tbl_ledger[ロットID],$A146,tbl_ledger[イベント種類],"発送"))</f>
        <v/>
      </c>
      <c r="H146" s="4" t="str">
        <f>IF($A146="","",SUMIFS(tbl_ledger[数量],tbl_ledger[ロットID],$A146,tbl_ledger[イベント種類],"搬入")+SUMIFS(tbl_ledger[数量],tbl_ledger[充当先ロットID],$A146,tbl_ledger[イベント種類],"充当")-SUMIFS(tbl_ledger[数量],tbl_ledger[ロットID],$A146,tbl_ledger[イベント種類],"充当")-SUMIFS(tbl_ledger[数量],tbl_ledger[ロットID],$A146,tbl_ledger[イベント種類],"発送")-SUMIFS(tbl_ledger[数量],tbl_ledger[ロットID],$A146,tbl_ledger[イベント種類],"倉庫A戻し")-SUMIFS(tbl_ledger[数量],tbl_ledger[ロットID],$A146,tbl_ledger[イベント種類],"余剰化")-SUMIFS(tbl_ledger[数量],tbl_ledger[ロットID],$A146,tbl_ledger[イベント種類],"不良発生"))</f>
        <v/>
      </c>
      <c r="I146" s="4" t="str">
        <f>IF($A146="","",SUMIFS(tbl_ledger[数量],tbl_ledger[品番],$B146,tbl_ledger[イベント種類],"余剰化")+SUMIFS(tbl_ledger[数量],tbl_ledger[品番],$B146,tbl_ledger[イベント種類],"搬入",tbl_ledger[ロットID],"=")-SUMIFS(tbl_ledger[数量],tbl_ledger[品番],$B146,tbl_ledger[イベント種類],"充当",tbl_ledger[ロットID],"=")-SUMIFS(tbl_ledger[数量],tbl_ledger[品番],$B146,tbl_ledger[イベント種類],"発送",tbl_ledger[ロットID],"=")-SUMIFS(tbl_ledger[数量],tbl_ledger[品番],$B146,tbl_ledger[イベント種類],"倉庫A戻し",tbl_ledger[ロットID],"=")-SUMIFS(tbl_ledger[数量],tbl_ledger[品番],$B146,tbl_ledger[イベント種類],"不良発生",tbl_ledger[ロットID],"="))</f>
        <v/>
      </c>
      <c r="J146" s="4" t="str">
        <f t="shared" si="6"/>
        <v/>
      </c>
      <c r="K146" s="4" t="str">
        <f t="shared" si="7"/>
        <v/>
      </c>
      <c r="L146" s="4" t="str">
        <f t="shared" si="8"/>
        <v/>
      </c>
      <c r="M146" s="4" t="str">
        <f>IF($A146="","",IF(INDEX(tbl_plan[計画状態],ROW()-1)="キャンセル","キャンセル",IF(K146=0,"発送済",IF(L146&gt;0,"要搬出","OK"))))</f>
        <v/>
      </c>
    </row>
    <row r="147" spans="1:13" ht="15" x14ac:dyDescent="0.25">
      <c r="A147" s="4" t="str">
        <f>IFERROR(INDEX(tbl_plan[ロットID],ROW()-1),"")</f>
        <v/>
      </c>
      <c r="B147" s="4" t="str">
        <f>IF($A147="","",INDEX(tbl_plan[品番],ROW()-1))</f>
        <v/>
      </c>
      <c r="C147" s="5" t="str">
        <f>IF($A147="","",INDEX(tbl_plan[出荷週],ROW()-1))</f>
        <v/>
      </c>
      <c r="D147" s="4" t="str">
        <f>IF($A147="","",INDEX(tbl_plan[納期先],ROW()-1)&amp;"")</f>
        <v/>
      </c>
      <c r="E147" s="4" t="str">
        <f>IF($A147="","",INDEX(tbl_plan[必要数],ROW()-1))</f>
        <v/>
      </c>
      <c r="F147" s="4" t="str">
        <f>IF($A147="","",SUMIFS(tbl_plan[必要数],tbl_plan[ロットID],$A147,tbl_plan[計画状態],"有効"))</f>
        <v/>
      </c>
      <c r="G147" s="4" t="str">
        <f>IF($A147="","",SUMIFS(tbl_ledger[数量],tbl_ledger[ロットID],$A147,tbl_ledger[イベント種類],"発送"))</f>
        <v/>
      </c>
      <c r="H147" s="4" t="str">
        <f>IF($A147="","",SUMIFS(tbl_ledger[数量],tbl_ledger[ロットID],$A147,tbl_ledger[イベント種類],"搬入")+SUMIFS(tbl_ledger[数量],tbl_ledger[充当先ロットID],$A147,tbl_ledger[イベント種類],"充当")-SUMIFS(tbl_ledger[数量],tbl_ledger[ロットID],$A147,tbl_ledger[イベント種類],"充当")-SUMIFS(tbl_ledger[数量],tbl_ledger[ロットID],$A147,tbl_ledger[イベント種類],"発送")-SUMIFS(tbl_ledger[数量],tbl_ledger[ロットID],$A147,tbl_ledger[イベント種類],"倉庫A戻し")-SUMIFS(tbl_ledger[数量],tbl_ledger[ロットID],$A147,tbl_ledger[イベント種類],"余剰化")-SUMIFS(tbl_ledger[数量],tbl_ledger[ロットID],$A147,tbl_ledger[イベント種類],"不良発生"))</f>
        <v/>
      </c>
      <c r="I147" s="4" t="str">
        <f>IF($A147="","",SUMIFS(tbl_ledger[数量],tbl_ledger[品番],$B147,tbl_ledger[イベント種類],"余剰化")+SUMIFS(tbl_ledger[数量],tbl_ledger[品番],$B147,tbl_ledger[イベント種類],"搬入",tbl_ledger[ロットID],"=")-SUMIFS(tbl_ledger[数量],tbl_ledger[品番],$B147,tbl_ledger[イベント種類],"充当",tbl_ledger[ロットID],"=")-SUMIFS(tbl_ledger[数量],tbl_ledger[品番],$B147,tbl_ledger[イベント種類],"発送",tbl_ledger[ロットID],"=")-SUMIFS(tbl_ledger[数量],tbl_ledger[品番],$B147,tbl_ledger[イベント種類],"倉庫A戻し",tbl_ledger[ロットID],"=")-SUMIFS(tbl_ledger[数量],tbl_ledger[品番],$B147,tbl_ledger[イベント種類],"不良発生",tbl_ledger[ロットID],"="))</f>
        <v/>
      </c>
      <c r="J147" s="4" t="str">
        <f t="shared" si="6"/>
        <v/>
      </c>
      <c r="K147" s="4" t="str">
        <f t="shared" si="7"/>
        <v/>
      </c>
      <c r="L147" s="4" t="str">
        <f t="shared" si="8"/>
        <v/>
      </c>
      <c r="M147" s="4" t="str">
        <f>IF($A147="","",IF(INDEX(tbl_plan[計画状態],ROW()-1)="キャンセル","キャンセル",IF(K147=0,"発送済",IF(L147&gt;0,"要搬出","OK"))))</f>
        <v/>
      </c>
    </row>
    <row r="148" spans="1:13" ht="15" x14ac:dyDescent="0.25">
      <c r="A148" s="4" t="str">
        <f>IFERROR(INDEX(tbl_plan[ロットID],ROW()-1),"")</f>
        <v/>
      </c>
      <c r="B148" s="4" t="str">
        <f>IF($A148="","",INDEX(tbl_plan[品番],ROW()-1))</f>
        <v/>
      </c>
      <c r="C148" s="5" t="str">
        <f>IF($A148="","",INDEX(tbl_plan[出荷週],ROW()-1))</f>
        <v/>
      </c>
      <c r="D148" s="4" t="str">
        <f>IF($A148="","",INDEX(tbl_plan[納期先],ROW()-1)&amp;"")</f>
        <v/>
      </c>
      <c r="E148" s="4" t="str">
        <f>IF($A148="","",INDEX(tbl_plan[必要数],ROW()-1))</f>
        <v/>
      </c>
      <c r="F148" s="4" t="str">
        <f>IF($A148="","",SUMIFS(tbl_plan[必要数],tbl_plan[ロットID],$A148,tbl_plan[計画状態],"有効"))</f>
        <v/>
      </c>
      <c r="G148" s="4" t="str">
        <f>IF($A148="","",SUMIFS(tbl_ledger[数量],tbl_ledger[ロットID],$A148,tbl_ledger[イベント種類],"発送"))</f>
        <v/>
      </c>
      <c r="H148" s="4" t="str">
        <f>IF($A148="","",SUMIFS(tbl_ledger[数量],tbl_ledger[ロットID],$A148,tbl_ledger[イベント種類],"搬入")+SUMIFS(tbl_ledger[数量],tbl_ledger[充当先ロットID],$A148,tbl_ledger[イベント種類],"充当")-SUMIFS(tbl_ledger[数量],tbl_ledger[ロットID],$A148,tbl_ledger[イベント種類],"充当")-SUMIFS(tbl_ledger[数量],tbl_ledger[ロットID],$A148,tbl_ledger[イベント種類],"発送")-SUMIFS(tbl_ledger[数量],tbl_ledger[ロットID],$A148,tbl_ledger[イベント種類],"倉庫A戻し")-SUMIFS(tbl_ledger[数量],tbl_ledger[ロットID],$A148,tbl_ledger[イベント種類],"余剰化")-SUMIFS(tbl_ledger[数量],tbl_ledger[ロットID],$A148,tbl_ledger[イベント種類],"不良発生"))</f>
        <v/>
      </c>
      <c r="I148" s="4" t="str">
        <f>IF($A148="","",SUMIFS(tbl_ledger[数量],tbl_ledger[品番],$B148,tbl_ledger[イベント種類],"余剰化")+SUMIFS(tbl_ledger[数量],tbl_ledger[品番],$B148,tbl_ledger[イベント種類],"搬入",tbl_ledger[ロットID],"=")-SUMIFS(tbl_ledger[数量],tbl_ledger[品番],$B148,tbl_ledger[イベント種類],"充当",tbl_ledger[ロットID],"=")-SUMIFS(tbl_ledger[数量],tbl_ledger[品番],$B148,tbl_ledger[イベント種類],"発送",tbl_ledger[ロットID],"=")-SUMIFS(tbl_ledger[数量],tbl_ledger[品番],$B148,tbl_ledger[イベント種類],"倉庫A戻し",tbl_ledger[ロットID],"=")-SUMIFS(tbl_ledger[数量],tbl_ledger[品番],$B148,tbl_ledger[イベント種類],"不良発生",tbl_ledger[ロットID],"="))</f>
        <v/>
      </c>
      <c r="J148" s="4" t="str">
        <f t="shared" si="6"/>
        <v/>
      </c>
      <c r="K148" s="4" t="str">
        <f t="shared" si="7"/>
        <v/>
      </c>
      <c r="L148" s="4" t="str">
        <f t="shared" si="8"/>
        <v/>
      </c>
      <c r="M148" s="4" t="str">
        <f>IF($A148="","",IF(INDEX(tbl_plan[計画状態],ROW()-1)="キャンセル","キャンセル",IF(K148=0,"発送済",IF(L148&gt;0,"要搬出","OK"))))</f>
        <v/>
      </c>
    </row>
    <row r="149" spans="1:13" ht="15" x14ac:dyDescent="0.25">
      <c r="A149" s="4" t="str">
        <f>IFERROR(INDEX(tbl_plan[ロットID],ROW()-1),"")</f>
        <v/>
      </c>
      <c r="B149" s="4" t="str">
        <f>IF($A149="","",INDEX(tbl_plan[品番],ROW()-1))</f>
        <v/>
      </c>
      <c r="C149" s="5" t="str">
        <f>IF($A149="","",INDEX(tbl_plan[出荷週],ROW()-1))</f>
        <v/>
      </c>
      <c r="D149" s="4" t="str">
        <f>IF($A149="","",INDEX(tbl_plan[納期先],ROW()-1)&amp;"")</f>
        <v/>
      </c>
      <c r="E149" s="4" t="str">
        <f>IF($A149="","",INDEX(tbl_plan[必要数],ROW()-1))</f>
        <v/>
      </c>
      <c r="F149" s="4" t="str">
        <f>IF($A149="","",SUMIFS(tbl_plan[必要数],tbl_plan[ロットID],$A149,tbl_plan[計画状態],"有効"))</f>
        <v/>
      </c>
      <c r="G149" s="4" t="str">
        <f>IF($A149="","",SUMIFS(tbl_ledger[数量],tbl_ledger[ロットID],$A149,tbl_ledger[イベント種類],"発送"))</f>
        <v/>
      </c>
      <c r="H149" s="4" t="str">
        <f>IF($A149="","",SUMIFS(tbl_ledger[数量],tbl_ledger[ロットID],$A149,tbl_ledger[イベント種類],"搬入")+SUMIFS(tbl_ledger[数量],tbl_ledger[充当先ロットID],$A149,tbl_ledger[イベント種類],"充当")-SUMIFS(tbl_ledger[数量],tbl_ledger[ロットID],$A149,tbl_ledger[イベント種類],"充当")-SUMIFS(tbl_ledger[数量],tbl_ledger[ロットID],$A149,tbl_ledger[イベント種類],"発送")-SUMIFS(tbl_ledger[数量],tbl_ledger[ロットID],$A149,tbl_ledger[イベント種類],"倉庫A戻し")-SUMIFS(tbl_ledger[数量],tbl_ledger[ロットID],$A149,tbl_ledger[イベント種類],"余剰化")-SUMIFS(tbl_ledger[数量],tbl_ledger[ロットID],$A149,tbl_ledger[イベント種類],"不良発生"))</f>
        <v/>
      </c>
      <c r="I149" s="4" t="str">
        <f>IF($A149="","",SUMIFS(tbl_ledger[数量],tbl_ledger[品番],$B149,tbl_ledger[イベント種類],"余剰化")+SUMIFS(tbl_ledger[数量],tbl_ledger[品番],$B149,tbl_ledger[イベント種類],"搬入",tbl_ledger[ロットID],"=")-SUMIFS(tbl_ledger[数量],tbl_ledger[品番],$B149,tbl_ledger[イベント種類],"充当",tbl_ledger[ロットID],"=")-SUMIFS(tbl_ledger[数量],tbl_ledger[品番],$B149,tbl_ledger[イベント種類],"発送",tbl_ledger[ロットID],"=")-SUMIFS(tbl_ledger[数量],tbl_ledger[品番],$B149,tbl_ledger[イベント種類],"倉庫A戻し",tbl_ledger[ロットID],"=")-SUMIFS(tbl_ledger[数量],tbl_ledger[品番],$B149,tbl_ledger[イベント種類],"不良発生",tbl_ledger[ロットID],"="))</f>
        <v/>
      </c>
      <c r="J149" s="4" t="str">
        <f t="shared" si="6"/>
        <v/>
      </c>
      <c r="K149" s="4" t="str">
        <f t="shared" si="7"/>
        <v/>
      </c>
      <c r="L149" s="4" t="str">
        <f t="shared" si="8"/>
        <v/>
      </c>
      <c r="M149" s="4" t="str">
        <f>IF($A149="","",IF(INDEX(tbl_plan[計画状態],ROW()-1)="キャンセル","キャンセル",IF(K149=0,"発送済",IF(L149&gt;0,"要搬出","OK"))))</f>
        <v/>
      </c>
    </row>
    <row r="150" spans="1:13" ht="15" x14ac:dyDescent="0.25">
      <c r="A150" s="4" t="str">
        <f>IFERROR(INDEX(tbl_plan[ロットID],ROW()-1),"")</f>
        <v/>
      </c>
      <c r="B150" s="4" t="str">
        <f>IF($A150="","",INDEX(tbl_plan[品番],ROW()-1))</f>
        <v/>
      </c>
      <c r="C150" s="5" t="str">
        <f>IF($A150="","",INDEX(tbl_plan[出荷週],ROW()-1))</f>
        <v/>
      </c>
      <c r="D150" s="4" t="str">
        <f>IF($A150="","",INDEX(tbl_plan[納期先],ROW()-1)&amp;"")</f>
        <v/>
      </c>
      <c r="E150" s="4" t="str">
        <f>IF($A150="","",INDEX(tbl_plan[必要数],ROW()-1))</f>
        <v/>
      </c>
      <c r="F150" s="4" t="str">
        <f>IF($A150="","",SUMIFS(tbl_plan[必要数],tbl_plan[ロットID],$A150,tbl_plan[計画状態],"有効"))</f>
        <v/>
      </c>
      <c r="G150" s="4" t="str">
        <f>IF($A150="","",SUMIFS(tbl_ledger[数量],tbl_ledger[ロットID],$A150,tbl_ledger[イベント種類],"発送"))</f>
        <v/>
      </c>
      <c r="H150" s="4" t="str">
        <f>IF($A150="","",SUMIFS(tbl_ledger[数量],tbl_ledger[ロットID],$A150,tbl_ledger[イベント種類],"搬入")+SUMIFS(tbl_ledger[数量],tbl_ledger[充当先ロットID],$A150,tbl_ledger[イベント種類],"充当")-SUMIFS(tbl_ledger[数量],tbl_ledger[ロットID],$A150,tbl_ledger[イベント種類],"充当")-SUMIFS(tbl_ledger[数量],tbl_ledger[ロットID],$A150,tbl_ledger[イベント種類],"発送")-SUMIFS(tbl_ledger[数量],tbl_ledger[ロットID],$A150,tbl_ledger[イベント種類],"倉庫A戻し")-SUMIFS(tbl_ledger[数量],tbl_ledger[ロットID],$A150,tbl_ledger[イベント種類],"余剰化")-SUMIFS(tbl_ledger[数量],tbl_ledger[ロットID],$A150,tbl_ledger[イベント種類],"不良発生"))</f>
        <v/>
      </c>
      <c r="I150" s="4" t="str">
        <f>IF($A150="","",SUMIFS(tbl_ledger[数量],tbl_ledger[品番],$B150,tbl_ledger[イベント種類],"余剰化")+SUMIFS(tbl_ledger[数量],tbl_ledger[品番],$B150,tbl_ledger[イベント種類],"搬入",tbl_ledger[ロットID],"=")-SUMIFS(tbl_ledger[数量],tbl_ledger[品番],$B150,tbl_ledger[イベント種類],"充当",tbl_ledger[ロットID],"=")-SUMIFS(tbl_ledger[数量],tbl_ledger[品番],$B150,tbl_ledger[イベント種類],"発送",tbl_ledger[ロットID],"=")-SUMIFS(tbl_ledger[数量],tbl_ledger[品番],$B150,tbl_ledger[イベント種類],"倉庫A戻し",tbl_ledger[ロットID],"=")-SUMIFS(tbl_ledger[数量],tbl_ledger[品番],$B150,tbl_ledger[イベント種類],"不良発生",tbl_ledger[ロットID],"="))</f>
        <v/>
      </c>
      <c r="J150" s="4" t="str">
        <f t="shared" si="6"/>
        <v/>
      </c>
      <c r="K150" s="4" t="str">
        <f t="shared" si="7"/>
        <v/>
      </c>
      <c r="L150" s="4" t="str">
        <f t="shared" si="8"/>
        <v/>
      </c>
      <c r="M150" s="4" t="str">
        <f>IF($A150="","",IF(INDEX(tbl_plan[計画状態],ROW()-1)="キャンセル","キャンセル",IF(K150=0,"発送済",IF(L150&gt;0,"要搬出","OK"))))</f>
        <v/>
      </c>
    </row>
    <row r="151" spans="1:13" ht="15" x14ac:dyDescent="0.25">
      <c r="A151" s="4" t="str">
        <f>IFERROR(INDEX(tbl_plan[ロットID],ROW()-1),"")</f>
        <v/>
      </c>
      <c r="B151" s="4" t="str">
        <f>IF($A151="","",INDEX(tbl_plan[品番],ROW()-1))</f>
        <v/>
      </c>
      <c r="C151" s="5" t="str">
        <f>IF($A151="","",INDEX(tbl_plan[出荷週],ROW()-1))</f>
        <v/>
      </c>
      <c r="D151" s="4" t="str">
        <f>IF($A151="","",INDEX(tbl_plan[納期先],ROW()-1)&amp;"")</f>
        <v/>
      </c>
      <c r="E151" s="4" t="str">
        <f>IF($A151="","",INDEX(tbl_plan[必要数],ROW()-1))</f>
        <v/>
      </c>
      <c r="F151" s="4" t="str">
        <f>IF($A151="","",SUMIFS(tbl_plan[必要数],tbl_plan[ロットID],$A151,tbl_plan[計画状態],"有効"))</f>
        <v/>
      </c>
      <c r="G151" s="4" t="str">
        <f>IF($A151="","",SUMIFS(tbl_ledger[数量],tbl_ledger[ロットID],$A151,tbl_ledger[イベント種類],"発送"))</f>
        <v/>
      </c>
      <c r="H151" s="4" t="str">
        <f>IF($A151="","",SUMIFS(tbl_ledger[数量],tbl_ledger[ロットID],$A151,tbl_ledger[イベント種類],"搬入")+SUMIFS(tbl_ledger[数量],tbl_ledger[充当先ロットID],$A151,tbl_ledger[イベント種類],"充当")-SUMIFS(tbl_ledger[数量],tbl_ledger[ロットID],$A151,tbl_ledger[イベント種類],"充当")-SUMIFS(tbl_ledger[数量],tbl_ledger[ロットID],$A151,tbl_ledger[イベント種類],"発送")-SUMIFS(tbl_ledger[数量],tbl_ledger[ロットID],$A151,tbl_ledger[イベント種類],"倉庫A戻し")-SUMIFS(tbl_ledger[数量],tbl_ledger[ロットID],$A151,tbl_ledger[イベント種類],"余剰化")-SUMIFS(tbl_ledger[数量],tbl_ledger[ロットID],$A151,tbl_ledger[イベント種類],"不良発生"))</f>
        <v/>
      </c>
      <c r="I151" s="4" t="str">
        <f>IF($A151="","",SUMIFS(tbl_ledger[数量],tbl_ledger[品番],$B151,tbl_ledger[イベント種類],"余剰化")+SUMIFS(tbl_ledger[数量],tbl_ledger[品番],$B151,tbl_ledger[イベント種類],"搬入",tbl_ledger[ロットID],"=")-SUMIFS(tbl_ledger[数量],tbl_ledger[品番],$B151,tbl_ledger[イベント種類],"充当",tbl_ledger[ロットID],"=")-SUMIFS(tbl_ledger[数量],tbl_ledger[品番],$B151,tbl_ledger[イベント種類],"発送",tbl_ledger[ロットID],"=")-SUMIFS(tbl_ledger[数量],tbl_ledger[品番],$B151,tbl_ledger[イベント種類],"倉庫A戻し",tbl_ledger[ロットID],"=")-SUMIFS(tbl_ledger[数量],tbl_ledger[品番],$B151,tbl_ledger[イベント種類],"不良発生",tbl_ledger[ロットID],"="))</f>
        <v/>
      </c>
      <c r="J151" s="4" t="str">
        <f t="shared" si="6"/>
        <v/>
      </c>
      <c r="K151" s="4" t="str">
        <f t="shared" si="7"/>
        <v/>
      </c>
      <c r="L151" s="4" t="str">
        <f t="shared" si="8"/>
        <v/>
      </c>
      <c r="M151" s="4" t="str">
        <f>IF($A151="","",IF(INDEX(tbl_plan[計画状態],ROW()-1)="キャンセル","キャンセル",IF(K151=0,"発送済",IF(L151&gt;0,"要搬出","OK"))))</f>
        <v/>
      </c>
    </row>
    <row r="152" spans="1:13" ht="15" x14ac:dyDescent="0.25">
      <c r="A152" s="4" t="str">
        <f>IFERROR(INDEX(tbl_plan[ロットID],ROW()-1),"")</f>
        <v/>
      </c>
      <c r="B152" s="4" t="str">
        <f>IF($A152="","",INDEX(tbl_plan[品番],ROW()-1))</f>
        <v/>
      </c>
      <c r="C152" s="5" t="str">
        <f>IF($A152="","",INDEX(tbl_plan[出荷週],ROW()-1))</f>
        <v/>
      </c>
      <c r="D152" s="4" t="str">
        <f>IF($A152="","",INDEX(tbl_plan[納期先],ROW()-1)&amp;"")</f>
        <v/>
      </c>
      <c r="E152" s="4" t="str">
        <f>IF($A152="","",INDEX(tbl_plan[必要数],ROW()-1))</f>
        <v/>
      </c>
      <c r="F152" s="4" t="str">
        <f>IF($A152="","",SUMIFS(tbl_plan[必要数],tbl_plan[ロットID],$A152,tbl_plan[計画状態],"有効"))</f>
        <v/>
      </c>
      <c r="G152" s="4" t="str">
        <f>IF($A152="","",SUMIFS(tbl_ledger[数量],tbl_ledger[ロットID],$A152,tbl_ledger[イベント種類],"発送"))</f>
        <v/>
      </c>
      <c r="H152" s="4" t="str">
        <f>IF($A152="","",SUMIFS(tbl_ledger[数量],tbl_ledger[ロットID],$A152,tbl_ledger[イベント種類],"搬入")+SUMIFS(tbl_ledger[数量],tbl_ledger[充当先ロットID],$A152,tbl_ledger[イベント種類],"充当")-SUMIFS(tbl_ledger[数量],tbl_ledger[ロットID],$A152,tbl_ledger[イベント種類],"充当")-SUMIFS(tbl_ledger[数量],tbl_ledger[ロットID],$A152,tbl_ledger[イベント種類],"発送")-SUMIFS(tbl_ledger[数量],tbl_ledger[ロットID],$A152,tbl_ledger[イベント種類],"倉庫A戻し")-SUMIFS(tbl_ledger[数量],tbl_ledger[ロットID],$A152,tbl_ledger[イベント種類],"余剰化")-SUMIFS(tbl_ledger[数量],tbl_ledger[ロットID],$A152,tbl_ledger[イベント種類],"不良発生"))</f>
        <v/>
      </c>
      <c r="I152" s="4" t="str">
        <f>IF($A152="","",SUMIFS(tbl_ledger[数量],tbl_ledger[品番],$B152,tbl_ledger[イベント種類],"余剰化")+SUMIFS(tbl_ledger[数量],tbl_ledger[品番],$B152,tbl_ledger[イベント種類],"搬入",tbl_ledger[ロットID],"=")-SUMIFS(tbl_ledger[数量],tbl_ledger[品番],$B152,tbl_ledger[イベント種類],"充当",tbl_ledger[ロットID],"=")-SUMIFS(tbl_ledger[数量],tbl_ledger[品番],$B152,tbl_ledger[イベント種類],"発送",tbl_ledger[ロットID],"=")-SUMIFS(tbl_ledger[数量],tbl_ledger[品番],$B152,tbl_ledger[イベント種類],"倉庫A戻し",tbl_ledger[ロットID],"=")-SUMIFS(tbl_ledger[数量],tbl_ledger[品番],$B152,tbl_ledger[イベント種類],"不良発生",tbl_ledger[ロットID],"="))</f>
        <v/>
      </c>
      <c r="J152" s="4" t="str">
        <f t="shared" si="6"/>
        <v/>
      </c>
      <c r="K152" s="4" t="str">
        <f t="shared" si="7"/>
        <v/>
      </c>
      <c r="L152" s="4" t="str">
        <f t="shared" si="8"/>
        <v/>
      </c>
      <c r="M152" s="4" t="str">
        <f>IF($A152="","",IF(INDEX(tbl_plan[計画状態],ROW()-1)="キャンセル","キャンセル",IF(K152=0,"発送済",IF(L152&gt;0,"要搬出","OK"))))</f>
        <v/>
      </c>
    </row>
    <row r="153" spans="1:13" ht="15" x14ac:dyDescent="0.25">
      <c r="A153" s="4" t="str">
        <f>IFERROR(INDEX(tbl_plan[ロットID],ROW()-1),"")</f>
        <v/>
      </c>
      <c r="B153" s="4" t="str">
        <f>IF($A153="","",INDEX(tbl_plan[品番],ROW()-1))</f>
        <v/>
      </c>
      <c r="C153" s="5" t="str">
        <f>IF($A153="","",INDEX(tbl_plan[出荷週],ROW()-1))</f>
        <v/>
      </c>
      <c r="D153" s="4" t="str">
        <f>IF($A153="","",INDEX(tbl_plan[納期先],ROW()-1)&amp;"")</f>
        <v/>
      </c>
      <c r="E153" s="4" t="str">
        <f>IF($A153="","",INDEX(tbl_plan[必要数],ROW()-1))</f>
        <v/>
      </c>
      <c r="F153" s="4" t="str">
        <f>IF($A153="","",SUMIFS(tbl_plan[必要数],tbl_plan[ロットID],$A153,tbl_plan[計画状態],"有効"))</f>
        <v/>
      </c>
      <c r="G153" s="4" t="str">
        <f>IF($A153="","",SUMIFS(tbl_ledger[数量],tbl_ledger[ロットID],$A153,tbl_ledger[イベント種類],"発送"))</f>
        <v/>
      </c>
      <c r="H153" s="4" t="str">
        <f>IF($A153="","",SUMIFS(tbl_ledger[数量],tbl_ledger[ロットID],$A153,tbl_ledger[イベント種類],"搬入")+SUMIFS(tbl_ledger[数量],tbl_ledger[充当先ロットID],$A153,tbl_ledger[イベント種類],"充当")-SUMIFS(tbl_ledger[数量],tbl_ledger[ロットID],$A153,tbl_ledger[イベント種類],"充当")-SUMIFS(tbl_ledger[数量],tbl_ledger[ロットID],$A153,tbl_ledger[イベント種類],"発送")-SUMIFS(tbl_ledger[数量],tbl_ledger[ロットID],$A153,tbl_ledger[イベント種類],"倉庫A戻し")-SUMIFS(tbl_ledger[数量],tbl_ledger[ロットID],$A153,tbl_ledger[イベント種類],"余剰化")-SUMIFS(tbl_ledger[数量],tbl_ledger[ロットID],$A153,tbl_ledger[イベント種類],"不良発生"))</f>
        <v/>
      </c>
      <c r="I153" s="4" t="str">
        <f>IF($A153="","",SUMIFS(tbl_ledger[数量],tbl_ledger[品番],$B153,tbl_ledger[イベント種類],"余剰化")+SUMIFS(tbl_ledger[数量],tbl_ledger[品番],$B153,tbl_ledger[イベント種類],"搬入",tbl_ledger[ロットID],"=")-SUMIFS(tbl_ledger[数量],tbl_ledger[品番],$B153,tbl_ledger[イベント種類],"充当",tbl_ledger[ロットID],"=")-SUMIFS(tbl_ledger[数量],tbl_ledger[品番],$B153,tbl_ledger[イベント種類],"発送",tbl_ledger[ロットID],"=")-SUMIFS(tbl_ledger[数量],tbl_ledger[品番],$B153,tbl_ledger[イベント種類],"倉庫A戻し",tbl_ledger[ロットID],"=")-SUMIFS(tbl_ledger[数量],tbl_ledger[品番],$B153,tbl_ledger[イベント種類],"不良発生",tbl_ledger[ロットID],"="))</f>
        <v/>
      </c>
      <c r="J153" s="4" t="str">
        <f t="shared" si="6"/>
        <v/>
      </c>
      <c r="K153" s="4" t="str">
        <f t="shared" si="7"/>
        <v/>
      </c>
      <c r="L153" s="4" t="str">
        <f t="shared" si="8"/>
        <v/>
      </c>
      <c r="M153" s="4" t="str">
        <f>IF($A153="","",IF(INDEX(tbl_plan[計画状態],ROW()-1)="キャンセル","キャンセル",IF(K153=0,"発送済",IF(L153&gt;0,"要搬出","OK"))))</f>
        <v/>
      </c>
    </row>
    <row r="154" spans="1:13" ht="15" x14ac:dyDescent="0.25">
      <c r="A154" s="4" t="str">
        <f>IFERROR(INDEX(tbl_plan[ロットID],ROW()-1),"")</f>
        <v/>
      </c>
      <c r="B154" s="4" t="str">
        <f>IF($A154="","",INDEX(tbl_plan[品番],ROW()-1))</f>
        <v/>
      </c>
      <c r="C154" s="5" t="str">
        <f>IF($A154="","",INDEX(tbl_plan[出荷週],ROW()-1))</f>
        <v/>
      </c>
      <c r="D154" s="4" t="str">
        <f>IF($A154="","",INDEX(tbl_plan[納期先],ROW()-1)&amp;"")</f>
        <v/>
      </c>
      <c r="E154" s="4" t="str">
        <f>IF($A154="","",INDEX(tbl_plan[必要数],ROW()-1))</f>
        <v/>
      </c>
      <c r="F154" s="4" t="str">
        <f>IF($A154="","",SUMIFS(tbl_plan[必要数],tbl_plan[ロットID],$A154,tbl_plan[計画状態],"有効"))</f>
        <v/>
      </c>
      <c r="G154" s="4" t="str">
        <f>IF($A154="","",SUMIFS(tbl_ledger[数量],tbl_ledger[ロットID],$A154,tbl_ledger[イベント種類],"発送"))</f>
        <v/>
      </c>
      <c r="H154" s="4" t="str">
        <f>IF($A154="","",SUMIFS(tbl_ledger[数量],tbl_ledger[ロットID],$A154,tbl_ledger[イベント種類],"搬入")+SUMIFS(tbl_ledger[数量],tbl_ledger[充当先ロットID],$A154,tbl_ledger[イベント種類],"充当")-SUMIFS(tbl_ledger[数量],tbl_ledger[ロットID],$A154,tbl_ledger[イベント種類],"充当")-SUMIFS(tbl_ledger[数量],tbl_ledger[ロットID],$A154,tbl_ledger[イベント種類],"発送")-SUMIFS(tbl_ledger[数量],tbl_ledger[ロットID],$A154,tbl_ledger[イベント種類],"倉庫A戻し")-SUMIFS(tbl_ledger[数量],tbl_ledger[ロットID],$A154,tbl_ledger[イベント種類],"余剰化")-SUMIFS(tbl_ledger[数量],tbl_ledger[ロットID],$A154,tbl_ledger[イベント種類],"不良発生"))</f>
        <v/>
      </c>
      <c r="I154" s="4" t="str">
        <f>IF($A154="","",SUMIFS(tbl_ledger[数量],tbl_ledger[品番],$B154,tbl_ledger[イベント種類],"余剰化")+SUMIFS(tbl_ledger[数量],tbl_ledger[品番],$B154,tbl_ledger[イベント種類],"搬入",tbl_ledger[ロットID],"=")-SUMIFS(tbl_ledger[数量],tbl_ledger[品番],$B154,tbl_ledger[イベント種類],"充当",tbl_ledger[ロットID],"=")-SUMIFS(tbl_ledger[数量],tbl_ledger[品番],$B154,tbl_ledger[イベント種類],"発送",tbl_ledger[ロットID],"=")-SUMIFS(tbl_ledger[数量],tbl_ledger[品番],$B154,tbl_ledger[イベント種類],"倉庫A戻し",tbl_ledger[ロットID],"=")-SUMIFS(tbl_ledger[数量],tbl_ledger[品番],$B154,tbl_ledger[イベント種類],"不良発生",tbl_ledger[ロットID],"="))</f>
        <v/>
      </c>
      <c r="J154" s="4" t="str">
        <f t="shared" si="6"/>
        <v/>
      </c>
      <c r="K154" s="4" t="str">
        <f t="shared" si="7"/>
        <v/>
      </c>
      <c r="L154" s="4" t="str">
        <f t="shared" si="8"/>
        <v/>
      </c>
      <c r="M154" s="4" t="str">
        <f>IF($A154="","",IF(INDEX(tbl_plan[計画状態],ROW()-1)="キャンセル","キャンセル",IF(K154=0,"発送済",IF(L154&gt;0,"要搬出","OK"))))</f>
        <v/>
      </c>
    </row>
    <row r="155" spans="1:13" ht="15" x14ac:dyDescent="0.25">
      <c r="A155" s="4" t="str">
        <f>IFERROR(INDEX(tbl_plan[ロットID],ROW()-1),"")</f>
        <v/>
      </c>
      <c r="B155" s="4" t="str">
        <f>IF($A155="","",INDEX(tbl_plan[品番],ROW()-1))</f>
        <v/>
      </c>
      <c r="C155" s="5" t="str">
        <f>IF($A155="","",INDEX(tbl_plan[出荷週],ROW()-1))</f>
        <v/>
      </c>
      <c r="D155" s="4" t="str">
        <f>IF($A155="","",INDEX(tbl_plan[納期先],ROW()-1)&amp;"")</f>
        <v/>
      </c>
      <c r="E155" s="4" t="str">
        <f>IF($A155="","",INDEX(tbl_plan[必要数],ROW()-1))</f>
        <v/>
      </c>
      <c r="F155" s="4" t="str">
        <f>IF($A155="","",SUMIFS(tbl_plan[必要数],tbl_plan[ロットID],$A155,tbl_plan[計画状態],"有効"))</f>
        <v/>
      </c>
      <c r="G155" s="4" t="str">
        <f>IF($A155="","",SUMIFS(tbl_ledger[数量],tbl_ledger[ロットID],$A155,tbl_ledger[イベント種類],"発送"))</f>
        <v/>
      </c>
      <c r="H155" s="4" t="str">
        <f>IF($A155="","",SUMIFS(tbl_ledger[数量],tbl_ledger[ロットID],$A155,tbl_ledger[イベント種類],"搬入")+SUMIFS(tbl_ledger[数量],tbl_ledger[充当先ロットID],$A155,tbl_ledger[イベント種類],"充当")-SUMIFS(tbl_ledger[数量],tbl_ledger[ロットID],$A155,tbl_ledger[イベント種類],"充当")-SUMIFS(tbl_ledger[数量],tbl_ledger[ロットID],$A155,tbl_ledger[イベント種類],"発送")-SUMIFS(tbl_ledger[数量],tbl_ledger[ロットID],$A155,tbl_ledger[イベント種類],"倉庫A戻し")-SUMIFS(tbl_ledger[数量],tbl_ledger[ロットID],$A155,tbl_ledger[イベント種類],"余剰化")-SUMIFS(tbl_ledger[数量],tbl_ledger[ロットID],$A155,tbl_ledger[イベント種類],"不良発生"))</f>
        <v/>
      </c>
      <c r="I155" s="4" t="str">
        <f>IF($A155="","",SUMIFS(tbl_ledger[数量],tbl_ledger[品番],$B155,tbl_ledger[イベント種類],"余剰化")+SUMIFS(tbl_ledger[数量],tbl_ledger[品番],$B155,tbl_ledger[イベント種類],"搬入",tbl_ledger[ロットID],"=")-SUMIFS(tbl_ledger[数量],tbl_ledger[品番],$B155,tbl_ledger[イベント種類],"充当",tbl_ledger[ロットID],"=")-SUMIFS(tbl_ledger[数量],tbl_ledger[品番],$B155,tbl_ledger[イベント種類],"発送",tbl_ledger[ロットID],"=")-SUMIFS(tbl_ledger[数量],tbl_ledger[品番],$B155,tbl_ledger[イベント種類],"倉庫A戻し",tbl_ledger[ロットID],"=")-SUMIFS(tbl_ledger[数量],tbl_ledger[品番],$B155,tbl_ledger[イベント種類],"不良発生",tbl_ledger[ロットID],"="))</f>
        <v/>
      </c>
      <c r="J155" s="4" t="str">
        <f t="shared" si="6"/>
        <v/>
      </c>
      <c r="K155" s="4" t="str">
        <f t="shared" si="7"/>
        <v/>
      </c>
      <c r="L155" s="4" t="str">
        <f t="shared" si="8"/>
        <v/>
      </c>
      <c r="M155" s="4" t="str">
        <f>IF($A155="","",IF(INDEX(tbl_plan[計画状態],ROW()-1)="キャンセル","キャンセル",IF(K155=0,"発送済",IF(L155&gt;0,"要搬出","OK"))))</f>
        <v/>
      </c>
    </row>
    <row r="156" spans="1:13" ht="15" x14ac:dyDescent="0.25">
      <c r="A156" s="4" t="str">
        <f>IFERROR(INDEX(tbl_plan[ロットID],ROW()-1),"")</f>
        <v/>
      </c>
      <c r="B156" s="4" t="str">
        <f>IF($A156="","",INDEX(tbl_plan[品番],ROW()-1))</f>
        <v/>
      </c>
      <c r="C156" s="5" t="str">
        <f>IF($A156="","",INDEX(tbl_plan[出荷週],ROW()-1))</f>
        <v/>
      </c>
      <c r="D156" s="4" t="str">
        <f>IF($A156="","",INDEX(tbl_plan[納期先],ROW()-1)&amp;"")</f>
        <v/>
      </c>
      <c r="E156" s="4" t="str">
        <f>IF($A156="","",INDEX(tbl_plan[必要数],ROW()-1))</f>
        <v/>
      </c>
      <c r="F156" s="4" t="str">
        <f>IF($A156="","",SUMIFS(tbl_plan[必要数],tbl_plan[ロットID],$A156,tbl_plan[計画状態],"有効"))</f>
        <v/>
      </c>
      <c r="G156" s="4" t="str">
        <f>IF($A156="","",SUMIFS(tbl_ledger[数量],tbl_ledger[ロットID],$A156,tbl_ledger[イベント種類],"発送"))</f>
        <v/>
      </c>
      <c r="H156" s="4" t="str">
        <f>IF($A156="","",SUMIFS(tbl_ledger[数量],tbl_ledger[ロットID],$A156,tbl_ledger[イベント種類],"搬入")+SUMIFS(tbl_ledger[数量],tbl_ledger[充当先ロットID],$A156,tbl_ledger[イベント種類],"充当")-SUMIFS(tbl_ledger[数量],tbl_ledger[ロットID],$A156,tbl_ledger[イベント種類],"充当")-SUMIFS(tbl_ledger[数量],tbl_ledger[ロットID],$A156,tbl_ledger[イベント種類],"発送")-SUMIFS(tbl_ledger[数量],tbl_ledger[ロットID],$A156,tbl_ledger[イベント種類],"倉庫A戻し")-SUMIFS(tbl_ledger[数量],tbl_ledger[ロットID],$A156,tbl_ledger[イベント種類],"余剰化")-SUMIFS(tbl_ledger[数量],tbl_ledger[ロットID],$A156,tbl_ledger[イベント種類],"不良発生"))</f>
        <v/>
      </c>
      <c r="I156" s="4" t="str">
        <f>IF($A156="","",SUMIFS(tbl_ledger[数量],tbl_ledger[品番],$B156,tbl_ledger[イベント種類],"余剰化")+SUMIFS(tbl_ledger[数量],tbl_ledger[品番],$B156,tbl_ledger[イベント種類],"搬入",tbl_ledger[ロットID],"=")-SUMIFS(tbl_ledger[数量],tbl_ledger[品番],$B156,tbl_ledger[イベント種類],"充当",tbl_ledger[ロットID],"=")-SUMIFS(tbl_ledger[数量],tbl_ledger[品番],$B156,tbl_ledger[イベント種類],"発送",tbl_ledger[ロットID],"=")-SUMIFS(tbl_ledger[数量],tbl_ledger[品番],$B156,tbl_ledger[イベント種類],"倉庫A戻し",tbl_ledger[ロットID],"=")-SUMIFS(tbl_ledger[数量],tbl_ledger[品番],$B156,tbl_ledger[イベント種類],"不良発生",tbl_ledger[ロットID],"="))</f>
        <v/>
      </c>
      <c r="J156" s="4" t="str">
        <f t="shared" si="6"/>
        <v/>
      </c>
      <c r="K156" s="4" t="str">
        <f t="shared" si="7"/>
        <v/>
      </c>
      <c r="L156" s="4" t="str">
        <f t="shared" si="8"/>
        <v/>
      </c>
      <c r="M156" s="4" t="str">
        <f>IF($A156="","",IF(INDEX(tbl_plan[計画状態],ROW()-1)="キャンセル","キャンセル",IF(K156=0,"発送済",IF(L156&gt;0,"要搬出","OK"))))</f>
        <v/>
      </c>
    </row>
    <row r="157" spans="1:13" ht="15" x14ac:dyDescent="0.25">
      <c r="A157" s="4" t="str">
        <f>IFERROR(INDEX(tbl_plan[ロットID],ROW()-1),"")</f>
        <v/>
      </c>
      <c r="B157" s="4" t="str">
        <f>IF($A157="","",INDEX(tbl_plan[品番],ROW()-1))</f>
        <v/>
      </c>
      <c r="C157" s="5" t="str">
        <f>IF($A157="","",INDEX(tbl_plan[出荷週],ROW()-1))</f>
        <v/>
      </c>
      <c r="D157" s="4" t="str">
        <f>IF($A157="","",INDEX(tbl_plan[納期先],ROW()-1)&amp;"")</f>
        <v/>
      </c>
      <c r="E157" s="4" t="str">
        <f>IF($A157="","",INDEX(tbl_plan[必要数],ROW()-1))</f>
        <v/>
      </c>
      <c r="F157" s="4" t="str">
        <f>IF($A157="","",SUMIFS(tbl_plan[必要数],tbl_plan[ロットID],$A157,tbl_plan[計画状態],"有効"))</f>
        <v/>
      </c>
      <c r="G157" s="4" t="str">
        <f>IF($A157="","",SUMIFS(tbl_ledger[数量],tbl_ledger[ロットID],$A157,tbl_ledger[イベント種類],"発送"))</f>
        <v/>
      </c>
      <c r="H157" s="4" t="str">
        <f>IF($A157="","",SUMIFS(tbl_ledger[数量],tbl_ledger[ロットID],$A157,tbl_ledger[イベント種類],"搬入")+SUMIFS(tbl_ledger[数量],tbl_ledger[充当先ロットID],$A157,tbl_ledger[イベント種類],"充当")-SUMIFS(tbl_ledger[数量],tbl_ledger[ロットID],$A157,tbl_ledger[イベント種類],"充当")-SUMIFS(tbl_ledger[数量],tbl_ledger[ロットID],$A157,tbl_ledger[イベント種類],"発送")-SUMIFS(tbl_ledger[数量],tbl_ledger[ロットID],$A157,tbl_ledger[イベント種類],"倉庫A戻し")-SUMIFS(tbl_ledger[数量],tbl_ledger[ロットID],$A157,tbl_ledger[イベント種類],"余剰化")-SUMIFS(tbl_ledger[数量],tbl_ledger[ロットID],$A157,tbl_ledger[イベント種類],"不良発生"))</f>
        <v/>
      </c>
      <c r="I157" s="4" t="str">
        <f>IF($A157="","",SUMIFS(tbl_ledger[数量],tbl_ledger[品番],$B157,tbl_ledger[イベント種類],"余剰化")+SUMIFS(tbl_ledger[数量],tbl_ledger[品番],$B157,tbl_ledger[イベント種類],"搬入",tbl_ledger[ロットID],"=")-SUMIFS(tbl_ledger[数量],tbl_ledger[品番],$B157,tbl_ledger[イベント種類],"充当",tbl_ledger[ロットID],"=")-SUMIFS(tbl_ledger[数量],tbl_ledger[品番],$B157,tbl_ledger[イベント種類],"発送",tbl_ledger[ロットID],"=")-SUMIFS(tbl_ledger[数量],tbl_ledger[品番],$B157,tbl_ledger[イベント種類],"倉庫A戻し",tbl_ledger[ロットID],"=")-SUMIFS(tbl_ledger[数量],tbl_ledger[品番],$B157,tbl_ledger[イベント種類],"不良発生",tbl_ledger[ロットID],"="))</f>
        <v/>
      </c>
      <c r="J157" s="4" t="str">
        <f t="shared" si="6"/>
        <v/>
      </c>
      <c r="K157" s="4" t="str">
        <f t="shared" si="7"/>
        <v/>
      </c>
      <c r="L157" s="4" t="str">
        <f t="shared" si="8"/>
        <v/>
      </c>
      <c r="M157" s="4" t="str">
        <f>IF($A157="","",IF(INDEX(tbl_plan[計画状態],ROW()-1)="キャンセル","キャンセル",IF(K157=0,"発送済",IF(L157&gt;0,"要搬出","OK"))))</f>
        <v/>
      </c>
    </row>
    <row r="158" spans="1:13" ht="15" x14ac:dyDescent="0.25">
      <c r="A158" s="4" t="str">
        <f>IFERROR(INDEX(tbl_plan[ロットID],ROW()-1),"")</f>
        <v/>
      </c>
      <c r="B158" s="4" t="str">
        <f>IF($A158="","",INDEX(tbl_plan[品番],ROW()-1))</f>
        <v/>
      </c>
      <c r="C158" s="5" t="str">
        <f>IF($A158="","",INDEX(tbl_plan[出荷週],ROW()-1))</f>
        <v/>
      </c>
      <c r="D158" s="4" t="str">
        <f>IF($A158="","",INDEX(tbl_plan[納期先],ROW()-1)&amp;"")</f>
        <v/>
      </c>
      <c r="E158" s="4" t="str">
        <f>IF($A158="","",INDEX(tbl_plan[必要数],ROW()-1))</f>
        <v/>
      </c>
      <c r="F158" s="4" t="str">
        <f>IF($A158="","",SUMIFS(tbl_plan[必要数],tbl_plan[ロットID],$A158,tbl_plan[計画状態],"有効"))</f>
        <v/>
      </c>
      <c r="G158" s="4" t="str">
        <f>IF($A158="","",SUMIFS(tbl_ledger[数量],tbl_ledger[ロットID],$A158,tbl_ledger[イベント種類],"発送"))</f>
        <v/>
      </c>
      <c r="H158" s="4" t="str">
        <f>IF($A158="","",SUMIFS(tbl_ledger[数量],tbl_ledger[ロットID],$A158,tbl_ledger[イベント種類],"搬入")+SUMIFS(tbl_ledger[数量],tbl_ledger[充当先ロットID],$A158,tbl_ledger[イベント種類],"充当")-SUMIFS(tbl_ledger[数量],tbl_ledger[ロットID],$A158,tbl_ledger[イベント種類],"充当")-SUMIFS(tbl_ledger[数量],tbl_ledger[ロットID],$A158,tbl_ledger[イベント種類],"発送")-SUMIFS(tbl_ledger[数量],tbl_ledger[ロットID],$A158,tbl_ledger[イベント種類],"倉庫A戻し")-SUMIFS(tbl_ledger[数量],tbl_ledger[ロットID],$A158,tbl_ledger[イベント種類],"余剰化")-SUMIFS(tbl_ledger[数量],tbl_ledger[ロットID],$A158,tbl_ledger[イベント種類],"不良発生"))</f>
        <v/>
      </c>
      <c r="I158" s="4" t="str">
        <f>IF($A158="","",SUMIFS(tbl_ledger[数量],tbl_ledger[品番],$B158,tbl_ledger[イベント種類],"余剰化")+SUMIFS(tbl_ledger[数量],tbl_ledger[品番],$B158,tbl_ledger[イベント種類],"搬入",tbl_ledger[ロットID],"=")-SUMIFS(tbl_ledger[数量],tbl_ledger[品番],$B158,tbl_ledger[イベント種類],"充当",tbl_ledger[ロットID],"=")-SUMIFS(tbl_ledger[数量],tbl_ledger[品番],$B158,tbl_ledger[イベント種類],"発送",tbl_ledger[ロットID],"=")-SUMIFS(tbl_ledger[数量],tbl_ledger[品番],$B158,tbl_ledger[イベント種類],"倉庫A戻し",tbl_ledger[ロットID],"=")-SUMIFS(tbl_ledger[数量],tbl_ledger[品番],$B158,tbl_ledger[イベント種類],"不良発生",tbl_ledger[ロットID],"="))</f>
        <v/>
      </c>
      <c r="J158" s="4" t="str">
        <f t="shared" si="6"/>
        <v/>
      </c>
      <c r="K158" s="4" t="str">
        <f t="shared" si="7"/>
        <v/>
      </c>
      <c r="L158" s="4" t="str">
        <f t="shared" si="8"/>
        <v/>
      </c>
      <c r="M158" s="4" t="str">
        <f>IF($A158="","",IF(INDEX(tbl_plan[計画状態],ROW()-1)="キャンセル","キャンセル",IF(K158=0,"発送済",IF(L158&gt;0,"要搬出","OK"))))</f>
        <v/>
      </c>
    </row>
    <row r="159" spans="1:13" ht="15" x14ac:dyDescent="0.25">
      <c r="A159" s="4" t="str">
        <f>IFERROR(INDEX(tbl_plan[ロットID],ROW()-1),"")</f>
        <v/>
      </c>
      <c r="B159" s="4" t="str">
        <f>IF($A159="","",INDEX(tbl_plan[品番],ROW()-1))</f>
        <v/>
      </c>
      <c r="C159" s="5" t="str">
        <f>IF($A159="","",INDEX(tbl_plan[出荷週],ROW()-1))</f>
        <v/>
      </c>
      <c r="D159" s="4" t="str">
        <f>IF($A159="","",INDEX(tbl_plan[納期先],ROW()-1)&amp;"")</f>
        <v/>
      </c>
      <c r="E159" s="4" t="str">
        <f>IF($A159="","",INDEX(tbl_plan[必要数],ROW()-1))</f>
        <v/>
      </c>
      <c r="F159" s="4" t="str">
        <f>IF($A159="","",SUMIFS(tbl_plan[必要数],tbl_plan[ロットID],$A159,tbl_plan[計画状態],"有効"))</f>
        <v/>
      </c>
      <c r="G159" s="4" t="str">
        <f>IF($A159="","",SUMIFS(tbl_ledger[数量],tbl_ledger[ロットID],$A159,tbl_ledger[イベント種類],"発送"))</f>
        <v/>
      </c>
      <c r="H159" s="4" t="str">
        <f>IF($A159="","",SUMIFS(tbl_ledger[数量],tbl_ledger[ロットID],$A159,tbl_ledger[イベント種類],"搬入")+SUMIFS(tbl_ledger[数量],tbl_ledger[充当先ロットID],$A159,tbl_ledger[イベント種類],"充当")-SUMIFS(tbl_ledger[数量],tbl_ledger[ロットID],$A159,tbl_ledger[イベント種類],"充当")-SUMIFS(tbl_ledger[数量],tbl_ledger[ロットID],$A159,tbl_ledger[イベント種類],"発送")-SUMIFS(tbl_ledger[数量],tbl_ledger[ロットID],$A159,tbl_ledger[イベント種類],"倉庫A戻し")-SUMIFS(tbl_ledger[数量],tbl_ledger[ロットID],$A159,tbl_ledger[イベント種類],"余剰化")-SUMIFS(tbl_ledger[数量],tbl_ledger[ロットID],$A159,tbl_ledger[イベント種類],"不良発生"))</f>
        <v/>
      </c>
      <c r="I159" s="4" t="str">
        <f>IF($A159="","",SUMIFS(tbl_ledger[数量],tbl_ledger[品番],$B159,tbl_ledger[イベント種類],"余剰化")+SUMIFS(tbl_ledger[数量],tbl_ledger[品番],$B159,tbl_ledger[イベント種類],"搬入",tbl_ledger[ロットID],"=")-SUMIFS(tbl_ledger[数量],tbl_ledger[品番],$B159,tbl_ledger[イベント種類],"充当",tbl_ledger[ロットID],"=")-SUMIFS(tbl_ledger[数量],tbl_ledger[品番],$B159,tbl_ledger[イベント種類],"発送",tbl_ledger[ロットID],"=")-SUMIFS(tbl_ledger[数量],tbl_ledger[品番],$B159,tbl_ledger[イベント種類],"倉庫A戻し",tbl_ledger[ロットID],"=")-SUMIFS(tbl_ledger[数量],tbl_ledger[品番],$B159,tbl_ledger[イベント種類],"不良発生",tbl_ledger[ロットID],"="))</f>
        <v/>
      </c>
      <c r="J159" s="4" t="str">
        <f t="shared" si="6"/>
        <v/>
      </c>
      <c r="K159" s="4" t="str">
        <f t="shared" si="7"/>
        <v/>
      </c>
      <c r="L159" s="4" t="str">
        <f t="shared" si="8"/>
        <v/>
      </c>
      <c r="M159" s="4" t="str">
        <f>IF($A159="","",IF(INDEX(tbl_plan[計画状態],ROW()-1)="キャンセル","キャンセル",IF(K159=0,"発送済",IF(L159&gt;0,"要搬出","OK"))))</f>
        <v/>
      </c>
    </row>
    <row r="160" spans="1:13" ht="15" x14ac:dyDescent="0.25">
      <c r="A160" s="4" t="str">
        <f>IFERROR(INDEX(tbl_plan[ロットID],ROW()-1),"")</f>
        <v/>
      </c>
      <c r="B160" s="4" t="str">
        <f>IF($A160="","",INDEX(tbl_plan[品番],ROW()-1))</f>
        <v/>
      </c>
      <c r="C160" s="5" t="str">
        <f>IF($A160="","",INDEX(tbl_plan[出荷週],ROW()-1))</f>
        <v/>
      </c>
      <c r="D160" s="4" t="str">
        <f>IF($A160="","",INDEX(tbl_plan[納期先],ROW()-1)&amp;"")</f>
        <v/>
      </c>
      <c r="E160" s="4" t="str">
        <f>IF($A160="","",INDEX(tbl_plan[必要数],ROW()-1))</f>
        <v/>
      </c>
      <c r="F160" s="4" t="str">
        <f>IF($A160="","",SUMIFS(tbl_plan[必要数],tbl_plan[ロットID],$A160,tbl_plan[計画状態],"有効"))</f>
        <v/>
      </c>
      <c r="G160" s="4" t="str">
        <f>IF($A160="","",SUMIFS(tbl_ledger[数量],tbl_ledger[ロットID],$A160,tbl_ledger[イベント種類],"発送"))</f>
        <v/>
      </c>
      <c r="H160" s="4" t="str">
        <f>IF($A160="","",SUMIFS(tbl_ledger[数量],tbl_ledger[ロットID],$A160,tbl_ledger[イベント種類],"搬入")+SUMIFS(tbl_ledger[数量],tbl_ledger[充当先ロットID],$A160,tbl_ledger[イベント種類],"充当")-SUMIFS(tbl_ledger[数量],tbl_ledger[ロットID],$A160,tbl_ledger[イベント種類],"充当")-SUMIFS(tbl_ledger[数量],tbl_ledger[ロットID],$A160,tbl_ledger[イベント種類],"発送")-SUMIFS(tbl_ledger[数量],tbl_ledger[ロットID],$A160,tbl_ledger[イベント種類],"倉庫A戻し")-SUMIFS(tbl_ledger[数量],tbl_ledger[ロットID],$A160,tbl_ledger[イベント種類],"余剰化")-SUMIFS(tbl_ledger[数量],tbl_ledger[ロットID],$A160,tbl_ledger[イベント種類],"不良発生"))</f>
        <v/>
      </c>
      <c r="I160" s="4" t="str">
        <f>IF($A160="","",SUMIFS(tbl_ledger[数量],tbl_ledger[品番],$B160,tbl_ledger[イベント種類],"余剰化")+SUMIFS(tbl_ledger[数量],tbl_ledger[品番],$B160,tbl_ledger[イベント種類],"搬入",tbl_ledger[ロットID],"=")-SUMIFS(tbl_ledger[数量],tbl_ledger[品番],$B160,tbl_ledger[イベント種類],"充当",tbl_ledger[ロットID],"=")-SUMIFS(tbl_ledger[数量],tbl_ledger[品番],$B160,tbl_ledger[イベント種類],"発送",tbl_ledger[ロットID],"=")-SUMIFS(tbl_ledger[数量],tbl_ledger[品番],$B160,tbl_ledger[イベント種類],"倉庫A戻し",tbl_ledger[ロットID],"=")-SUMIFS(tbl_ledger[数量],tbl_ledger[品番],$B160,tbl_ledger[イベント種類],"不良発生",tbl_ledger[ロットID],"="))</f>
        <v/>
      </c>
      <c r="J160" s="4" t="str">
        <f t="shared" si="6"/>
        <v/>
      </c>
      <c r="K160" s="4" t="str">
        <f t="shared" si="7"/>
        <v/>
      </c>
      <c r="L160" s="4" t="str">
        <f t="shared" si="8"/>
        <v/>
      </c>
      <c r="M160" s="4" t="str">
        <f>IF($A160="","",IF(INDEX(tbl_plan[計画状態],ROW()-1)="キャンセル","キャンセル",IF(K160=0,"発送済",IF(L160&gt;0,"要搬出","OK"))))</f>
        <v/>
      </c>
    </row>
    <row r="161" spans="1:13" ht="15" x14ac:dyDescent="0.25">
      <c r="A161" s="4" t="str">
        <f>IFERROR(INDEX(tbl_plan[ロットID],ROW()-1),"")</f>
        <v/>
      </c>
      <c r="B161" s="4" t="str">
        <f>IF($A161="","",INDEX(tbl_plan[品番],ROW()-1))</f>
        <v/>
      </c>
      <c r="C161" s="5" t="str">
        <f>IF($A161="","",INDEX(tbl_plan[出荷週],ROW()-1))</f>
        <v/>
      </c>
      <c r="D161" s="4" t="str">
        <f>IF($A161="","",INDEX(tbl_plan[納期先],ROW()-1)&amp;"")</f>
        <v/>
      </c>
      <c r="E161" s="4" t="str">
        <f>IF($A161="","",INDEX(tbl_plan[必要数],ROW()-1))</f>
        <v/>
      </c>
      <c r="F161" s="4" t="str">
        <f>IF($A161="","",SUMIFS(tbl_plan[必要数],tbl_plan[ロットID],$A161,tbl_plan[計画状態],"有効"))</f>
        <v/>
      </c>
      <c r="G161" s="4" t="str">
        <f>IF($A161="","",SUMIFS(tbl_ledger[数量],tbl_ledger[ロットID],$A161,tbl_ledger[イベント種類],"発送"))</f>
        <v/>
      </c>
      <c r="H161" s="4" t="str">
        <f>IF($A161="","",SUMIFS(tbl_ledger[数量],tbl_ledger[ロットID],$A161,tbl_ledger[イベント種類],"搬入")+SUMIFS(tbl_ledger[数量],tbl_ledger[充当先ロットID],$A161,tbl_ledger[イベント種類],"充当")-SUMIFS(tbl_ledger[数量],tbl_ledger[ロットID],$A161,tbl_ledger[イベント種類],"充当")-SUMIFS(tbl_ledger[数量],tbl_ledger[ロットID],$A161,tbl_ledger[イベント種類],"発送")-SUMIFS(tbl_ledger[数量],tbl_ledger[ロットID],$A161,tbl_ledger[イベント種類],"倉庫A戻し")-SUMIFS(tbl_ledger[数量],tbl_ledger[ロットID],$A161,tbl_ledger[イベント種類],"余剰化")-SUMIFS(tbl_ledger[数量],tbl_ledger[ロットID],$A161,tbl_ledger[イベント種類],"不良発生"))</f>
        <v/>
      </c>
      <c r="I161" s="4" t="str">
        <f>IF($A161="","",SUMIFS(tbl_ledger[数量],tbl_ledger[品番],$B161,tbl_ledger[イベント種類],"余剰化")+SUMIFS(tbl_ledger[数量],tbl_ledger[品番],$B161,tbl_ledger[イベント種類],"搬入",tbl_ledger[ロットID],"=")-SUMIFS(tbl_ledger[数量],tbl_ledger[品番],$B161,tbl_ledger[イベント種類],"充当",tbl_ledger[ロットID],"=")-SUMIFS(tbl_ledger[数量],tbl_ledger[品番],$B161,tbl_ledger[イベント種類],"発送",tbl_ledger[ロットID],"=")-SUMIFS(tbl_ledger[数量],tbl_ledger[品番],$B161,tbl_ledger[イベント種類],"倉庫A戻し",tbl_ledger[ロットID],"=")-SUMIFS(tbl_ledger[数量],tbl_ledger[品番],$B161,tbl_ledger[イベント種類],"不良発生",tbl_ledger[ロットID],"="))</f>
        <v/>
      </c>
      <c r="J161" s="4" t="str">
        <f t="shared" si="6"/>
        <v/>
      </c>
      <c r="K161" s="4" t="str">
        <f t="shared" si="7"/>
        <v/>
      </c>
      <c r="L161" s="4" t="str">
        <f t="shared" si="8"/>
        <v/>
      </c>
      <c r="M161" s="4" t="str">
        <f>IF($A161="","",IF(INDEX(tbl_plan[計画状態],ROW()-1)="キャンセル","キャンセル",IF(K161=0,"発送済",IF(L161&gt;0,"要搬出","OK"))))</f>
        <v/>
      </c>
    </row>
    <row r="162" spans="1:13" ht="15" x14ac:dyDescent="0.25">
      <c r="A162" s="4" t="str">
        <f>IFERROR(INDEX(tbl_plan[ロットID],ROW()-1),"")</f>
        <v/>
      </c>
      <c r="B162" s="4" t="str">
        <f>IF($A162="","",INDEX(tbl_plan[品番],ROW()-1))</f>
        <v/>
      </c>
      <c r="C162" s="5" t="str">
        <f>IF($A162="","",INDEX(tbl_plan[出荷週],ROW()-1))</f>
        <v/>
      </c>
      <c r="D162" s="4" t="str">
        <f>IF($A162="","",INDEX(tbl_plan[納期先],ROW()-1)&amp;"")</f>
        <v/>
      </c>
      <c r="E162" s="4" t="str">
        <f>IF($A162="","",INDEX(tbl_plan[必要数],ROW()-1))</f>
        <v/>
      </c>
      <c r="F162" s="4" t="str">
        <f>IF($A162="","",SUMIFS(tbl_plan[必要数],tbl_plan[ロットID],$A162,tbl_plan[計画状態],"有効"))</f>
        <v/>
      </c>
      <c r="G162" s="4" t="str">
        <f>IF($A162="","",SUMIFS(tbl_ledger[数量],tbl_ledger[ロットID],$A162,tbl_ledger[イベント種類],"発送"))</f>
        <v/>
      </c>
      <c r="H162" s="4" t="str">
        <f>IF($A162="","",SUMIFS(tbl_ledger[数量],tbl_ledger[ロットID],$A162,tbl_ledger[イベント種類],"搬入")+SUMIFS(tbl_ledger[数量],tbl_ledger[充当先ロットID],$A162,tbl_ledger[イベント種類],"充当")-SUMIFS(tbl_ledger[数量],tbl_ledger[ロットID],$A162,tbl_ledger[イベント種類],"充当")-SUMIFS(tbl_ledger[数量],tbl_ledger[ロットID],$A162,tbl_ledger[イベント種類],"発送")-SUMIFS(tbl_ledger[数量],tbl_ledger[ロットID],$A162,tbl_ledger[イベント種類],"倉庫A戻し")-SUMIFS(tbl_ledger[数量],tbl_ledger[ロットID],$A162,tbl_ledger[イベント種類],"余剰化")-SUMIFS(tbl_ledger[数量],tbl_ledger[ロットID],$A162,tbl_ledger[イベント種類],"不良発生"))</f>
        <v/>
      </c>
      <c r="I162" s="4" t="str">
        <f>IF($A162="","",SUMIFS(tbl_ledger[数量],tbl_ledger[品番],$B162,tbl_ledger[イベント種類],"余剰化")+SUMIFS(tbl_ledger[数量],tbl_ledger[品番],$B162,tbl_ledger[イベント種類],"搬入",tbl_ledger[ロットID],"=")-SUMIFS(tbl_ledger[数量],tbl_ledger[品番],$B162,tbl_ledger[イベント種類],"充当",tbl_ledger[ロットID],"=")-SUMIFS(tbl_ledger[数量],tbl_ledger[品番],$B162,tbl_ledger[イベント種類],"発送",tbl_ledger[ロットID],"=")-SUMIFS(tbl_ledger[数量],tbl_ledger[品番],$B162,tbl_ledger[イベント種類],"倉庫A戻し",tbl_ledger[ロットID],"=")-SUMIFS(tbl_ledger[数量],tbl_ledger[品番],$B162,tbl_ledger[イベント種類],"不良発生",tbl_ledger[ロットID],"="))</f>
        <v/>
      </c>
      <c r="J162" s="4" t="str">
        <f t="shared" si="6"/>
        <v/>
      </c>
      <c r="K162" s="4" t="str">
        <f t="shared" si="7"/>
        <v/>
      </c>
      <c r="L162" s="4" t="str">
        <f t="shared" si="8"/>
        <v/>
      </c>
      <c r="M162" s="4" t="str">
        <f>IF($A162="","",IF(INDEX(tbl_plan[計画状態],ROW()-1)="キャンセル","キャンセル",IF(K162=0,"発送済",IF(L162&gt;0,"要搬出","OK"))))</f>
        <v/>
      </c>
    </row>
    <row r="163" spans="1:13" ht="15" x14ac:dyDescent="0.25">
      <c r="A163" s="4" t="str">
        <f>IFERROR(INDEX(tbl_plan[ロットID],ROW()-1),"")</f>
        <v/>
      </c>
      <c r="B163" s="4" t="str">
        <f>IF($A163="","",INDEX(tbl_plan[品番],ROW()-1))</f>
        <v/>
      </c>
      <c r="C163" s="5" t="str">
        <f>IF($A163="","",INDEX(tbl_plan[出荷週],ROW()-1))</f>
        <v/>
      </c>
      <c r="D163" s="4" t="str">
        <f>IF($A163="","",INDEX(tbl_plan[納期先],ROW()-1)&amp;"")</f>
        <v/>
      </c>
      <c r="E163" s="4" t="str">
        <f>IF($A163="","",INDEX(tbl_plan[必要数],ROW()-1))</f>
        <v/>
      </c>
      <c r="F163" s="4" t="str">
        <f>IF($A163="","",SUMIFS(tbl_plan[必要数],tbl_plan[ロットID],$A163,tbl_plan[計画状態],"有効"))</f>
        <v/>
      </c>
      <c r="G163" s="4" t="str">
        <f>IF($A163="","",SUMIFS(tbl_ledger[数量],tbl_ledger[ロットID],$A163,tbl_ledger[イベント種類],"発送"))</f>
        <v/>
      </c>
      <c r="H163" s="4" t="str">
        <f>IF($A163="","",SUMIFS(tbl_ledger[数量],tbl_ledger[ロットID],$A163,tbl_ledger[イベント種類],"搬入")+SUMIFS(tbl_ledger[数量],tbl_ledger[充当先ロットID],$A163,tbl_ledger[イベント種類],"充当")-SUMIFS(tbl_ledger[数量],tbl_ledger[ロットID],$A163,tbl_ledger[イベント種類],"充当")-SUMIFS(tbl_ledger[数量],tbl_ledger[ロットID],$A163,tbl_ledger[イベント種類],"発送")-SUMIFS(tbl_ledger[数量],tbl_ledger[ロットID],$A163,tbl_ledger[イベント種類],"倉庫A戻し")-SUMIFS(tbl_ledger[数量],tbl_ledger[ロットID],$A163,tbl_ledger[イベント種類],"余剰化")-SUMIFS(tbl_ledger[数量],tbl_ledger[ロットID],$A163,tbl_ledger[イベント種類],"不良発生"))</f>
        <v/>
      </c>
      <c r="I163" s="4" t="str">
        <f>IF($A163="","",SUMIFS(tbl_ledger[数量],tbl_ledger[品番],$B163,tbl_ledger[イベント種類],"余剰化")+SUMIFS(tbl_ledger[数量],tbl_ledger[品番],$B163,tbl_ledger[イベント種類],"搬入",tbl_ledger[ロットID],"=")-SUMIFS(tbl_ledger[数量],tbl_ledger[品番],$B163,tbl_ledger[イベント種類],"充当",tbl_ledger[ロットID],"=")-SUMIFS(tbl_ledger[数量],tbl_ledger[品番],$B163,tbl_ledger[イベント種類],"発送",tbl_ledger[ロットID],"=")-SUMIFS(tbl_ledger[数量],tbl_ledger[品番],$B163,tbl_ledger[イベント種類],"倉庫A戻し",tbl_ledger[ロットID],"=")-SUMIFS(tbl_ledger[数量],tbl_ledger[品番],$B163,tbl_ledger[イベント種類],"不良発生",tbl_ledger[ロットID],"="))</f>
        <v/>
      </c>
      <c r="J163" s="4" t="str">
        <f t="shared" si="6"/>
        <v/>
      </c>
      <c r="K163" s="4" t="str">
        <f t="shared" si="7"/>
        <v/>
      </c>
      <c r="L163" s="4" t="str">
        <f t="shared" si="8"/>
        <v/>
      </c>
      <c r="M163" s="4" t="str">
        <f>IF($A163="","",IF(INDEX(tbl_plan[計画状態],ROW()-1)="キャンセル","キャンセル",IF(K163=0,"発送済",IF(L163&gt;0,"要搬出","OK"))))</f>
        <v/>
      </c>
    </row>
    <row r="164" spans="1:13" ht="15" x14ac:dyDescent="0.25">
      <c r="A164" s="4" t="str">
        <f>IFERROR(INDEX(tbl_plan[ロットID],ROW()-1),"")</f>
        <v/>
      </c>
      <c r="B164" s="4" t="str">
        <f>IF($A164="","",INDEX(tbl_plan[品番],ROW()-1))</f>
        <v/>
      </c>
      <c r="C164" s="5" t="str">
        <f>IF($A164="","",INDEX(tbl_plan[出荷週],ROW()-1))</f>
        <v/>
      </c>
      <c r="D164" s="4" t="str">
        <f>IF($A164="","",INDEX(tbl_plan[納期先],ROW()-1)&amp;"")</f>
        <v/>
      </c>
      <c r="E164" s="4" t="str">
        <f>IF($A164="","",INDEX(tbl_plan[必要数],ROW()-1))</f>
        <v/>
      </c>
      <c r="F164" s="4" t="str">
        <f>IF($A164="","",SUMIFS(tbl_plan[必要数],tbl_plan[ロットID],$A164,tbl_plan[計画状態],"有効"))</f>
        <v/>
      </c>
      <c r="G164" s="4" t="str">
        <f>IF($A164="","",SUMIFS(tbl_ledger[数量],tbl_ledger[ロットID],$A164,tbl_ledger[イベント種類],"発送"))</f>
        <v/>
      </c>
      <c r="H164" s="4" t="str">
        <f>IF($A164="","",SUMIFS(tbl_ledger[数量],tbl_ledger[ロットID],$A164,tbl_ledger[イベント種類],"搬入")+SUMIFS(tbl_ledger[数量],tbl_ledger[充当先ロットID],$A164,tbl_ledger[イベント種類],"充当")-SUMIFS(tbl_ledger[数量],tbl_ledger[ロットID],$A164,tbl_ledger[イベント種類],"充当")-SUMIFS(tbl_ledger[数量],tbl_ledger[ロットID],$A164,tbl_ledger[イベント種類],"発送")-SUMIFS(tbl_ledger[数量],tbl_ledger[ロットID],$A164,tbl_ledger[イベント種類],"倉庫A戻し")-SUMIFS(tbl_ledger[数量],tbl_ledger[ロットID],$A164,tbl_ledger[イベント種類],"余剰化")-SUMIFS(tbl_ledger[数量],tbl_ledger[ロットID],$A164,tbl_ledger[イベント種類],"不良発生"))</f>
        <v/>
      </c>
      <c r="I164" s="4" t="str">
        <f>IF($A164="","",SUMIFS(tbl_ledger[数量],tbl_ledger[品番],$B164,tbl_ledger[イベント種類],"余剰化")+SUMIFS(tbl_ledger[数量],tbl_ledger[品番],$B164,tbl_ledger[イベント種類],"搬入",tbl_ledger[ロットID],"=")-SUMIFS(tbl_ledger[数量],tbl_ledger[品番],$B164,tbl_ledger[イベント種類],"充当",tbl_ledger[ロットID],"=")-SUMIFS(tbl_ledger[数量],tbl_ledger[品番],$B164,tbl_ledger[イベント種類],"発送",tbl_ledger[ロットID],"=")-SUMIFS(tbl_ledger[数量],tbl_ledger[品番],$B164,tbl_ledger[イベント種類],"倉庫A戻し",tbl_ledger[ロットID],"=")-SUMIFS(tbl_ledger[数量],tbl_ledger[品番],$B164,tbl_ledger[イベント種類],"不良発生",tbl_ledger[ロットID],"="))</f>
        <v/>
      </c>
      <c r="J164" s="4" t="str">
        <f t="shared" si="6"/>
        <v/>
      </c>
      <c r="K164" s="4" t="str">
        <f t="shared" si="7"/>
        <v/>
      </c>
      <c r="L164" s="4" t="str">
        <f t="shared" si="8"/>
        <v/>
      </c>
      <c r="M164" s="4" t="str">
        <f>IF($A164="","",IF(INDEX(tbl_plan[計画状態],ROW()-1)="キャンセル","キャンセル",IF(K164=0,"発送済",IF(L164&gt;0,"要搬出","OK"))))</f>
        <v/>
      </c>
    </row>
    <row r="165" spans="1:13" ht="15" x14ac:dyDescent="0.25">
      <c r="A165" s="4" t="str">
        <f>IFERROR(INDEX(tbl_plan[ロットID],ROW()-1),"")</f>
        <v/>
      </c>
      <c r="B165" s="4" t="str">
        <f>IF($A165="","",INDEX(tbl_plan[品番],ROW()-1))</f>
        <v/>
      </c>
      <c r="C165" s="5" t="str">
        <f>IF($A165="","",INDEX(tbl_plan[出荷週],ROW()-1))</f>
        <v/>
      </c>
      <c r="D165" s="4" t="str">
        <f>IF($A165="","",INDEX(tbl_plan[納期先],ROW()-1)&amp;"")</f>
        <v/>
      </c>
      <c r="E165" s="4" t="str">
        <f>IF($A165="","",INDEX(tbl_plan[必要数],ROW()-1))</f>
        <v/>
      </c>
      <c r="F165" s="4" t="str">
        <f>IF($A165="","",SUMIFS(tbl_plan[必要数],tbl_plan[ロットID],$A165,tbl_plan[計画状態],"有効"))</f>
        <v/>
      </c>
      <c r="G165" s="4" t="str">
        <f>IF($A165="","",SUMIFS(tbl_ledger[数量],tbl_ledger[ロットID],$A165,tbl_ledger[イベント種類],"発送"))</f>
        <v/>
      </c>
      <c r="H165" s="4" t="str">
        <f>IF($A165="","",SUMIFS(tbl_ledger[数量],tbl_ledger[ロットID],$A165,tbl_ledger[イベント種類],"搬入")+SUMIFS(tbl_ledger[数量],tbl_ledger[充当先ロットID],$A165,tbl_ledger[イベント種類],"充当")-SUMIFS(tbl_ledger[数量],tbl_ledger[ロットID],$A165,tbl_ledger[イベント種類],"充当")-SUMIFS(tbl_ledger[数量],tbl_ledger[ロットID],$A165,tbl_ledger[イベント種類],"発送")-SUMIFS(tbl_ledger[数量],tbl_ledger[ロットID],$A165,tbl_ledger[イベント種類],"倉庫A戻し")-SUMIFS(tbl_ledger[数量],tbl_ledger[ロットID],$A165,tbl_ledger[イベント種類],"余剰化")-SUMIFS(tbl_ledger[数量],tbl_ledger[ロットID],$A165,tbl_ledger[イベント種類],"不良発生"))</f>
        <v/>
      </c>
      <c r="I165" s="4" t="str">
        <f>IF($A165="","",SUMIFS(tbl_ledger[数量],tbl_ledger[品番],$B165,tbl_ledger[イベント種類],"余剰化")+SUMIFS(tbl_ledger[数量],tbl_ledger[品番],$B165,tbl_ledger[イベント種類],"搬入",tbl_ledger[ロットID],"=")-SUMIFS(tbl_ledger[数量],tbl_ledger[品番],$B165,tbl_ledger[イベント種類],"充当",tbl_ledger[ロットID],"=")-SUMIFS(tbl_ledger[数量],tbl_ledger[品番],$B165,tbl_ledger[イベント種類],"発送",tbl_ledger[ロットID],"=")-SUMIFS(tbl_ledger[数量],tbl_ledger[品番],$B165,tbl_ledger[イベント種類],"倉庫A戻し",tbl_ledger[ロットID],"=")-SUMIFS(tbl_ledger[数量],tbl_ledger[品番],$B165,tbl_ledger[イベント種類],"不良発生",tbl_ledger[ロットID],"="))</f>
        <v/>
      </c>
      <c r="J165" s="4" t="str">
        <f t="shared" si="6"/>
        <v/>
      </c>
      <c r="K165" s="4" t="str">
        <f t="shared" si="7"/>
        <v/>
      </c>
      <c r="L165" s="4" t="str">
        <f t="shared" si="8"/>
        <v/>
      </c>
      <c r="M165" s="4" t="str">
        <f>IF($A165="","",IF(INDEX(tbl_plan[計画状態],ROW()-1)="キャンセル","キャンセル",IF(K165=0,"発送済",IF(L165&gt;0,"要搬出","OK"))))</f>
        <v/>
      </c>
    </row>
    <row r="166" spans="1:13" ht="15" x14ac:dyDescent="0.25">
      <c r="A166" s="4" t="str">
        <f>IFERROR(INDEX(tbl_plan[ロットID],ROW()-1),"")</f>
        <v/>
      </c>
      <c r="B166" s="4" t="str">
        <f>IF($A166="","",INDEX(tbl_plan[品番],ROW()-1))</f>
        <v/>
      </c>
      <c r="C166" s="5" t="str">
        <f>IF($A166="","",INDEX(tbl_plan[出荷週],ROW()-1))</f>
        <v/>
      </c>
      <c r="D166" s="4" t="str">
        <f>IF($A166="","",INDEX(tbl_plan[納期先],ROW()-1)&amp;"")</f>
        <v/>
      </c>
      <c r="E166" s="4" t="str">
        <f>IF($A166="","",INDEX(tbl_plan[必要数],ROW()-1))</f>
        <v/>
      </c>
      <c r="F166" s="4" t="str">
        <f>IF($A166="","",SUMIFS(tbl_plan[必要数],tbl_plan[ロットID],$A166,tbl_plan[計画状態],"有効"))</f>
        <v/>
      </c>
      <c r="G166" s="4" t="str">
        <f>IF($A166="","",SUMIFS(tbl_ledger[数量],tbl_ledger[ロットID],$A166,tbl_ledger[イベント種類],"発送"))</f>
        <v/>
      </c>
      <c r="H166" s="4" t="str">
        <f>IF($A166="","",SUMIFS(tbl_ledger[数量],tbl_ledger[ロットID],$A166,tbl_ledger[イベント種類],"搬入")+SUMIFS(tbl_ledger[数量],tbl_ledger[充当先ロットID],$A166,tbl_ledger[イベント種類],"充当")-SUMIFS(tbl_ledger[数量],tbl_ledger[ロットID],$A166,tbl_ledger[イベント種類],"充当")-SUMIFS(tbl_ledger[数量],tbl_ledger[ロットID],$A166,tbl_ledger[イベント種類],"発送")-SUMIFS(tbl_ledger[数量],tbl_ledger[ロットID],$A166,tbl_ledger[イベント種類],"倉庫A戻し")-SUMIFS(tbl_ledger[数量],tbl_ledger[ロットID],$A166,tbl_ledger[イベント種類],"余剰化")-SUMIFS(tbl_ledger[数量],tbl_ledger[ロットID],$A166,tbl_ledger[イベント種類],"不良発生"))</f>
        <v/>
      </c>
      <c r="I166" s="4" t="str">
        <f>IF($A166="","",SUMIFS(tbl_ledger[数量],tbl_ledger[品番],$B166,tbl_ledger[イベント種類],"余剰化")+SUMIFS(tbl_ledger[数量],tbl_ledger[品番],$B166,tbl_ledger[イベント種類],"搬入",tbl_ledger[ロットID],"=")-SUMIFS(tbl_ledger[数量],tbl_ledger[品番],$B166,tbl_ledger[イベント種類],"充当",tbl_ledger[ロットID],"=")-SUMIFS(tbl_ledger[数量],tbl_ledger[品番],$B166,tbl_ledger[イベント種類],"発送",tbl_ledger[ロットID],"=")-SUMIFS(tbl_ledger[数量],tbl_ledger[品番],$B166,tbl_ledger[イベント種類],"倉庫A戻し",tbl_ledger[ロットID],"=")-SUMIFS(tbl_ledger[数量],tbl_ledger[品番],$B166,tbl_ledger[イベント種類],"不良発生",tbl_ledger[ロットID],"="))</f>
        <v/>
      </c>
      <c r="J166" s="4" t="str">
        <f t="shared" si="6"/>
        <v/>
      </c>
      <c r="K166" s="4" t="str">
        <f t="shared" si="7"/>
        <v/>
      </c>
      <c r="L166" s="4" t="str">
        <f t="shared" si="8"/>
        <v/>
      </c>
      <c r="M166" s="4" t="str">
        <f>IF($A166="","",IF(INDEX(tbl_plan[計画状態],ROW()-1)="キャンセル","キャンセル",IF(K166=0,"発送済",IF(L166&gt;0,"要搬出","OK"))))</f>
        <v/>
      </c>
    </row>
    <row r="167" spans="1:13" ht="15" x14ac:dyDescent="0.25">
      <c r="A167" s="4" t="str">
        <f>IFERROR(INDEX(tbl_plan[ロットID],ROW()-1),"")</f>
        <v/>
      </c>
      <c r="B167" s="4" t="str">
        <f>IF($A167="","",INDEX(tbl_plan[品番],ROW()-1))</f>
        <v/>
      </c>
      <c r="C167" s="5" t="str">
        <f>IF($A167="","",INDEX(tbl_plan[出荷週],ROW()-1))</f>
        <v/>
      </c>
      <c r="D167" s="4" t="str">
        <f>IF($A167="","",INDEX(tbl_plan[納期先],ROW()-1)&amp;"")</f>
        <v/>
      </c>
      <c r="E167" s="4" t="str">
        <f>IF($A167="","",INDEX(tbl_plan[必要数],ROW()-1))</f>
        <v/>
      </c>
      <c r="F167" s="4" t="str">
        <f>IF($A167="","",SUMIFS(tbl_plan[必要数],tbl_plan[ロットID],$A167,tbl_plan[計画状態],"有効"))</f>
        <v/>
      </c>
      <c r="G167" s="4" t="str">
        <f>IF($A167="","",SUMIFS(tbl_ledger[数量],tbl_ledger[ロットID],$A167,tbl_ledger[イベント種類],"発送"))</f>
        <v/>
      </c>
      <c r="H167" s="4" t="str">
        <f>IF($A167="","",SUMIFS(tbl_ledger[数量],tbl_ledger[ロットID],$A167,tbl_ledger[イベント種類],"搬入")+SUMIFS(tbl_ledger[数量],tbl_ledger[充当先ロットID],$A167,tbl_ledger[イベント種類],"充当")-SUMIFS(tbl_ledger[数量],tbl_ledger[ロットID],$A167,tbl_ledger[イベント種類],"充当")-SUMIFS(tbl_ledger[数量],tbl_ledger[ロットID],$A167,tbl_ledger[イベント種類],"発送")-SUMIFS(tbl_ledger[数量],tbl_ledger[ロットID],$A167,tbl_ledger[イベント種類],"倉庫A戻し")-SUMIFS(tbl_ledger[数量],tbl_ledger[ロットID],$A167,tbl_ledger[イベント種類],"余剰化")-SUMIFS(tbl_ledger[数量],tbl_ledger[ロットID],$A167,tbl_ledger[イベント種類],"不良発生"))</f>
        <v/>
      </c>
      <c r="I167" s="4" t="str">
        <f>IF($A167="","",SUMIFS(tbl_ledger[数量],tbl_ledger[品番],$B167,tbl_ledger[イベント種類],"余剰化")+SUMIFS(tbl_ledger[数量],tbl_ledger[品番],$B167,tbl_ledger[イベント種類],"搬入",tbl_ledger[ロットID],"=")-SUMIFS(tbl_ledger[数量],tbl_ledger[品番],$B167,tbl_ledger[イベント種類],"充当",tbl_ledger[ロットID],"=")-SUMIFS(tbl_ledger[数量],tbl_ledger[品番],$B167,tbl_ledger[イベント種類],"発送",tbl_ledger[ロットID],"=")-SUMIFS(tbl_ledger[数量],tbl_ledger[品番],$B167,tbl_ledger[イベント種類],"倉庫A戻し",tbl_ledger[ロットID],"=")-SUMIFS(tbl_ledger[数量],tbl_ledger[品番],$B167,tbl_ledger[イベント種類],"不良発生",tbl_ledger[ロットID],"="))</f>
        <v/>
      </c>
      <c r="J167" s="4" t="str">
        <f t="shared" si="6"/>
        <v/>
      </c>
      <c r="K167" s="4" t="str">
        <f t="shared" si="7"/>
        <v/>
      </c>
      <c r="L167" s="4" t="str">
        <f t="shared" si="8"/>
        <v/>
      </c>
      <c r="M167" s="4" t="str">
        <f>IF($A167="","",IF(INDEX(tbl_plan[計画状態],ROW()-1)="キャンセル","キャンセル",IF(K167=0,"発送済",IF(L167&gt;0,"要搬出","OK"))))</f>
        <v/>
      </c>
    </row>
    <row r="168" spans="1:13" ht="15" x14ac:dyDescent="0.25">
      <c r="A168" s="4" t="str">
        <f>IFERROR(INDEX(tbl_plan[ロットID],ROW()-1),"")</f>
        <v/>
      </c>
      <c r="B168" s="4" t="str">
        <f>IF($A168="","",INDEX(tbl_plan[品番],ROW()-1))</f>
        <v/>
      </c>
      <c r="C168" s="5" t="str">
        <f>IF($A168="","",INDEX(tbl_plan[出荷週],ROW()-1))</f>
        <v/>
      </c>
      <c r="D168" s="4" t="str">
        <f>IF($A168="","",INDEX(tbl_plan[納期先],ROW()-1)&amp;"")</f>
        <v/>
      </c>
      <c r="E168" s="4" t="str">
        <f>IF($A168="","",INDEX(tbl_plan[必要数],ROW()-1))</f>
        <v/>
      </c>
      <c r="F168" s="4" t="str">
        <f>IF($A168="","",SUMIFS(tbl_plan[必要数],tbl_plan[ロットID],$A168,tbl_plan[計画状態],"有効"))</f>
        <v/>
      </c>
      <c r="G168" s="4" t="str">
        <f>IF($A168="","",SUMIFS(tbl_ledger[数量],tbl_ledger[ロットID],$A168,tbl_ledger[イベント種類],"発送"))</f>
        <v/>
      </c>
      <c r="H168" s="4" t="str">
        <f>IF($A168="","",SUMIFS(tbl_ledger[数量],tbl_ledger[ロットID],$A168,tbl_ledger[イベント種類],"搬入")+SUMIFS(tbl_ledger[数量],tbl_ledger[充当先ロットID],$A168,tbl_ledger[イベント種類],"充当")-SUMIFS(tbl_ledger[数量],tbl_ledger[ロットID],$A168,tbl_ledger[イベント種類],"充当")-SUMIFS(tbl_ledger[数量],tbl_ledger[ロットID],$A168,tbl_ledger[イベント種類],"発送")-SUMIFS(tbl_ledger[数量],tbl_ledger[ロットID],$A168,tbl_ledger[イベント種類],"倉庫A戻し")-SUMIFS(tbl_ledger[数量],tbl_ledger[ロットID],$A168,tbl_ledger[イベント種類],"余剰化")-SUMIFS(tbl_ledger[数量],tbl_ledger[ロットID],$A168,tbl_ledger[イベント種類],"不良発生"))</f>
        <v/>
      </c>
      <c r="I168" s="4" t="str">
        <f>IF($A168="","",SUMIFS(tbl_ledger[数量],tbl_ledger[品番],$B168,tbl_ledger[イベント種類],"余剰化")+SUMIFS(tbl_ledger[数量],tbl_ledger[品番],$B168,tbl_ledger[イベント種類],"搬入",tbl_ledger[ロットID],"=")-SUMIFS(tbl_ledger[数量],tbl_ledger[品番],$B168,tbl_ledger[イベント種類],"充当",tbl_ledger[ロットID],"=")-SUMIFS(tbl_ledger[数量],tbl_ledger[品番],$B168,tbl_ledger[イベント種類],"発送",tbl_ledger[ロットID],"=")-SUMIFS(tbl_ledger[数量],tbl_ledger[品番],$B168,tbl_ledger[イベント種類],"倉庫A戻し",tbl_ledger[ロットID],"=")-SUMIFS(tbl_ledger[数量],tbl_ledger[品番],$B168,tbl_ledger[イベント種類],"不良発生",tbl_ledger[ロットID],"="))</f>
        <v/>
      </c>
      <c r="J168" s="4" t="str">
        <f t="shared" si="6"/>
        <v/>
      </c>
      <c r="K168" s="4" t="str">
        <f t="shared" si="7"/>
        <v/>
      </c>
      <c r="L168" s="4" t="str">
        <f t="shared" si="8"/>
        <v/>
      </c>
      <c r="M168" s="4" t="str">
        <f>IF($A168="","",IF(INDEX(tbl_plan[計画状態],ROW()-1)="キャンセル","キャンセル",IF(K168=0,"発送済",IF(L168&gt;0,"要搬出","OK"))))</f>
        <v/>
      </c>
    </row>
    <row r="169" spans="1:13" ht="15" x14ac:dyDescent="0.25">
      <c r="A169" s="4" t="str">
        <f>IFERROR(INDEX(tbl_plan[ロットID],ROW()-1),"")</f>
        <v/>
      </c>
      <c r="B169" s="4" t="str">
        <f>IF($A169="","",INDEX(tbl_plan[品番],ROW()-1))</f>
        <v/>
      </c>
      <c r="C169" s="5" t="str">
        <f>IF($A169="","",INDEX(tbl_plan[出荷週],ROW()-1))</f>
        <v/>
      </c>
      <c r="D169" s="4" t="str">
        <f>IF($A169="","",INDEX(tbl_plan[納期先],ROW()-1)&amp;"")</f>
        <v/>
      </c>
      <c r="E169" s="4" t="str">
        <f>IF($A169="","",INDEX(tbl_plan[必要数],ROW()-1))</f>
        <v/>
      </c>
      <c r="F169" s="4" t="str">
        <f>IF($A169="","",SUMIFS(tbl_plan[必要数],tbl_plan[ロットID],$A169,tbl_plan[計画状態],"有効"))</f>
        <v/>
      </c>
      <c r="G169" s="4" t="str">
        <f>IF($A169="","",SUMIFS(tbl_ledger[数量],tbl_ledger[ロットID],$A169,tbl_ledger[イベント種類],"発送"))</f>
        <v/>
      </c>
      <c r="H169" s="4" t="str">
        <f>IF($A169="","",SUMIFS(tbl_ledger[数量],tbl_ledger[ロットID],$A169,tbl_ledger[イベント種類],"搬入")+SUMIFS(tbl_ledger[数量],tbl_ledger[充当先ロットID],$A169,tbl_ledger[イベント種類],"充当")-SUMIFS(tbl_ledger[数量],tbl_ledger[ロットID],$A169,tbl_ledger[イベント種類],"充当")-SUMIFS(tbl_ledger[数量],tbl_ledger[ロットID],$A169,tbl_ledger[イベント種類],"発送")-SUMIFS(tbl_ledger[数量],tbl_ledger[ロットID],$A169,tbl_ledger[イベント種類],"倉庫A戻し")-SUMIFS(tbl_ledger[数量],tbl_ledger[ロットID],$A169,tbl_ledger[イベント種類],"余剰化")-SUMIFS(tbl_ledger[数量],tbl_ledger[ロットID],$A169,tbl_ledger[イベント種類],"不良発生"))</f>
        <v/>
      </c>
      <c r="I169" s="4" t="str">
        <f>IF($A169="","",SUMIFS(tbl_ledger[数量],tbl_ledger[品番],$B169,tbl_ledger[イベント種類],"余剰化")+SUMIFS(tbl_ledger[数量],tbl_ledger[品番],$B169,tbl_ledger[イベント種類],"搬入",tbl_ledger[ロットID],"=")-SUMIFS(tbl_ledger[数量],tbl_ledger[品番],$B169,tbl_ledger[イベント種類],"充当",tbl_ledger[ロットID],"=")-SUMIFS(tbl_ledger[数量],tbl_ledger[品番],$B169,tbl_ledger[イベント種類],"発送",tbl_ledger[ロットID],"=")-SUMIFS(tbl_ledger[数量],tbl_ledger[品番],$B169,tbl_ledger[イベント種類],"倉庫A戻し",tbl_ledger[ロットID],"=")-SUMIFS(tbl_ledger[数量],tbl_ledger[品番],$B169,tbl_ledger[イベント種類],"不良発生",tbl_ledger[ロットID],"="))</f>
        <v/>
      </c>
      <c r="J169" s="4" t="str">
        <f t="shared" si="6"/>
        <v/>
      </c>
      <c r="K169" s="4" t="str">
        <f t="shared" si="7"/>
        <v/>
      </c>
      <c r="L169" s="4" t="str">
        <f t="shared" si="8"/>
        <v/>
      </c>
      <c r="M169" s="4" t="str">
        <f>IF($A169="","",IF(INDEX(tbl_plan[計画状態],ROW()-1)="キャンセル","キャンセル",IF(K169=0,"発送済",IF(L169&gt;0,"要搬出","OK"))))</f>
        <v/>
      </c>
    </row>
    <row r="170" spans="1:13" ht="15" x14ac:dyDescent="0.25">
      <c r="A170" s="4" t="str">
        <f>IFERROR(INDEX(tbl_plan[ロットID],ROW()-1),"")</f>
        <v/>
      </c>
      <c r="B170" s="4" t="str">
        <f>IF($A170="","",INDEX(tbl_plan[品番],ROW()-1))</f>
        <v/>
      </c>
      <c r="C170" s="5" t="str">
        <f>IF($A170="","",INDEX(tbl_plan[出荷週],ROW()-1))</f>
        <v/>
      </c>
      <c r="D170" s="4" t="str">
        <f>IF($A170="","",INDEX(tbl_plan[納期先],ROW()-1)&amp;"")</f>
        <v/>
      </c>
      <c r="E170" s="4" t="str">
        <f>IF($A170="","",INDEX(tbl_plan[必要数],ROW()-1))</f>
        <v/>
      </c>
      <c r="F170" s="4" t="str">
        <f>IF($A170="","",SUMIFS(tbl_plan[必要数],tbl_plan[ロットID],$A170,tbl_plan[計画状態],"有効"))</f>
        <v/>
      </c>
      <c r="G170" s="4" t="str">
        <f>IF($A170="","",SUMIFS(tbl_ledger[数量],tbl_ledger[ロットID],$A170,tbl_ledger[イベント種類],"発送"))</f>
        <v/>
      </c>
      <c r="H170" s="4" t="str">
        <f>IF($A170="","",SUMIFS(tbl_ledger[数量],tbl_ledger[ロットID],$A170,tbl_ledger[イベント種類],"搬入")+SUMIFS(tbl_ledger[数量],tbl_ledger[充当先ロットID],$A170,tbl_ledger[イベント種類],"充当")-SUMIFS(tbl_ledger[数量],tbl_ledger[ロットID],$A170,tbl_ledger[イベント種類],"充当")-SUMIFS(tbl_ledger[数量],tbl_ledger[ロットID],$A170,tbl_ledger[イベント種類],"発送")-SUMIFS(tbl_ledger[数量],tbl_ledger[ロットID],$A170,tbl_ledger[イベント種類],"倉庫A戻し")-SUMIFS(tbl_ledger[数量],tbl_ledger[ロットID],$A170,tbl_ledger[イベント種類],"余剰化")-SUMIFS(tbl_ledger[数量],tbl_ledger[ロットID],$A170,tbl_ledger[イベント種類],"不良発生"))</f>
        <v/>
      </c>
      <c r="I170" s="4" t="str">
        <f>IF($A170="","",SUMIFS(tbl_ledger[数量],tbl_ledger[品番],$B170,tbl_ledger[イベント種類],"余剰化")+SUMIFS(tbl_ledger[数量],tbl_ledger[品番],$B170,tbl_ledger[イベント種類],"搬入",tbl_ledger[ロットID],"=")-SUMIFS(tbl_ledger[数量],tbl_ledger[品番],$B170,tbl_ledger[イベント種類],"充当",tbl_ledger[ロットID],"=")-SUMIFS(tbl_ledger[数量],tbl_ledger[品番],$B170,tbl_ledger[イベント種類],"発送",tbl_ledger[ロットID],"=")-SUMIFS(tbl_ledger[数量],tbl_ledger[品番],$B170,tbl_ledger[イベント種類],"倉庫A戻し",tbl_ledger[ロットID],"=")-SUMIFS(tbl_ledger[数量],tbl_ledger[品番],$B170,tbl_ledger[イベント種類],"不良発生",tbl_ledger[ロットID],"="))</f>
        <v/>
      </c>
      <c r="J170" s="4" t="str">
        <f t="shared" si="6"/>
        <v/>
      </c>
      <c r="K170" s="4" t="str">
        <f t="shared" si="7"/>
        <v/>
      </c>
      <c r="L170" s="4" t="str">
        <f t="shared" si="8"/>
        <v/>
      </c>
      <c r="M170" s="4" t="str">
        <f>IF($A170="","",IF(INDEX(tbl_plan[計画状態],ROW()-1)="キャンセル","キャンセル",IF(K170=0,"発送済",IF(L170&gt;0,"要搬出","OK"))))</f>
        <v/>
      </c>
    </row>
    <row r="171" spans="1:13" ht="15" x14ac:dyDescent="0.25">
      <c r="A171" s="4" t="str">
        <f>IFERROR(INDEX(tbl_plan[ロットID],ROW()-1),"")</f>
        <v/>
      </c>
      <c r="B171" s="4" t="str">
        <f>IF($A171="","",INDEX(tbl_plan[品番],ROW()-1))</f>
        <v/>
      </c>
      <c r="C171" s="5" t="str">
        <f>IF($A171="","",INDEX(tbl_plan[出荷週],ROW()-1))</f>
        <v/>
      </c>
      <c r="D171" s="4" t="str">
        <f>IF($A171="","",INDEX(tbl_plan[納期先],ROW()-1)&amp;"")</f>
        <v/>
      </c>
      <c r="E171" s="4" t="str">
        <f>IF($A171="","",INDEX(tbl_plan[必要数],ROW()-1))</f>
        <v/>
      </c>
      <c r="F171" s="4" t="str">
        <f>IF($A171="","",SUMIFS(tbl_plan[必要数],tbl_plan[ロットID],$A171,tbl_plan[計画状態],"有効"))</f>
        <v/>
      </c>
      <c r="G171" s="4" t="str">
        <f>IF($A171="","",SUMIFS(tbl_ledger[数量],tbl_ledger[ロットID],$A171,tbl_ledger[イベント種類],"発送"))</f>
        <v/>
      </c>
      <c r="H171" s="4" t="str">
        <f>IF($A171="","",SUMIFS(tbl_ledger[数量],tbl_ledger[ロットID],$A171,tbl_ledger[イベント種類],"搬入")+SUMIFS(tbl_ledger[数量],tbl_ledger[充当先ロットID],$A171,tbl_ledger[イベント種類],"充当")-SUMIFS(tbl_ledger[数量],tbl_ledger[ロットID],$A171,tbl_ledger[イベント種類],"充当")-SUMIFS(tbl_ledger[数量],tbl_ledger[ロットID],$A171,tbl_ledger[イベント種類],"発送")-SUMIFS(tbl_ledger[数量],tbl_ledger[ロットID],$A171,tbl_ledger[イベント種類],"倉庫A戻し")-SUMIFS(tbl_ledger[数量],tbl_ledger[ロットID],$A171,tbl_ledger[イベント種類],"余剰化")-SUMIFS(tbl_ledger[数量],tbl_ledger[ロットID],$A171,tbl_ledger[イベント種類],"不良発生"))</f>
        <v/>
      </c>
      <c r="I171" s="4" t="str">
        <f>IF($A171="","",SUMIFS(tbl_ledger[数量],tbl_ledger[品番],$B171,tbl_ledger[イベント種類],"余剰化")+SUMIFS(tbl_ledger[数量],tbl_ledger[品番],$B171,tbl_ledger[イベント種類],"搬入",tbl_ledger[ロットID],"=")-SUMIFS(tbl_ledger[数量],tbl_ledger[品番],$B171,tbl_ledger[イベント種類],"充当",tbl_ledger[ロットID],"=")-SUMIFS(tbl_ledger[数量],tbl_ledger[品番],$B171,tbl_ledger[イベント種類],"発送",tbl_ledger[ロットID],"=")-SUMIFS(tbl_ledger[数量],tbl_ledger[品番],$B171,tbl_ledger[イベント種類],"倉庫A戻し",tbl_ledger[ロットID],"=")-SUMIFS(tbl_ledger[数量],tbl_ledger[品番],$B171,tbl_ledger[イベント種類],"不良発生",tbl_ledger[ロットID],"="))</f>
        <v/>
      </c>
      <c r="J171" s="4" t="str">
        <f t="shared" si="6"/>
        <v/>
      </c>
      <c r="K171" s="4" t="str">
        <f t="shared" si="7"/>
        <v/>
      </c>
      <c r="L171" s="4" t="str">
        <f t="shared" si="8"/>
        <v/>
      </c>
      <c r="M171" s="4" t="str">
        <f>IF($A171="","",IF(INDEX(tbl_plan[計画状態],ROW()-1)="キャンセル","キャンセル",IF(K171=0,"発送済",IF(L171&gt;0,"要搬出","OK"))))</f>
        <v/>
      </c>
    </row>
    <row r="172" spans="1:13" ht="15" x14ac:dyDescent="0.25">
      <c r="A172" s="4" t="str">
        <f>IFERROR(INDEX(tbl_plan[ロットID],ROW()-1),"")</f>
        <v/>
      </c>
      <c r="B172" s="4" t="str">
        <f>IF($A172="","",INDEX(tbl_plan[品番],ROW()-1))</f>
        <v/>
      </c>
      <c r="C172" s="5" t="str">
        <f>IF($A172="","",INDEX(tbl_plan[出荷週],ROW()-1))</f>
        <v/>
      </c>
      <c r="D172" s="4" t="str">
        <f>IF($A172="","",INDEX(tbl_plan[納期先],ROW()-1)&amp;"")</f>
        <v/>
      </c>
      <c r="E172" s="4" t="str">
        <f>IF($A172="","",INDEX(tbl_plan[必要数],ROW()-1))</f>
        <v/>
      </c>
      <c r="F172" s="4" t="str">
        <f>IF($A172="","",SUMIFS(tbl_plan[必要数],tbl_plan[ロットID],$A172,tbl_plan[計画状態],"有効"))</f>
        <v/>
      </c>
      <c r="G172" s="4" t="str">
        <f>IF($A172="","",SUMIFS(tbl_ledger[数量],tbl_ledger[ロットID],$A172,tbl_ledger[イベント種類],"発送"))</f>
        <v/>
      </c>
      <c r="H172" s="4" t="str">
        <f>IF($A172="","",SUMIFS(tbl_ledger[数量],tbl_ledger[ロットID],$A172,tbl_ledger[イベント種類],"搬入")+SUMIFS(tbl_ledger[数量],tbl_ledger[充当先ロットID],$A172,tbl_ledger[イベント種類],"充当")-SUMIFS(tbl_ledger[数量],tbl_ledger[ロットID],$A172,tbl_ledger[イベント種類],"充当")-SUMIFS(tbl_ledger[数量],tbl_ledger[ロットID],$A172,tbl_ledger[イベント種類],"発送")-SUMIFS(tbl_ledger[数量],tbl_ledger[ロットID],$A172,tbl_ledger[イベント種類],"倉庫A戻し")-SUMIFS(tbl_ledger[数量],tbl_ledger[ロットID],$A172,tbl_ledger[イベント種類],"余剰化")-SUMIFS(tbl_ledger[数量],tbl_ledger[ロットID],$A172,tbl_ledger[イベント種類],"不良発生"))</f>
        <v/>
      </c>
      <c r="I172" s="4" t="str">
        <f>IF($A172="","",SUMIFS(tbl_ledger[数量],tbl_ledger[品番],$B172,tbl_ledger[イベント種類],"余剰化")+SUMIFS(tbl_ledger[数量],tbl_ledger[品番],$B172,tbl_ledger[イベント種類],"搬入",tbl_ledger[ロットID],"=")-SUMIFS(tbl_ledger[数量],tbl_ledger[品番],$B172,tbl_ledger[イベント種類],"充当",tbl_ledger[ロットID],"=")-SUMIFS(tbl_ledger[数量],tbl_ledger[品番],$B172,tbl_ledger[イベント種類],"発送",tbl_ledger[ロットID],"=")-SUMIFS(tbl_ledger[数量],tbl_ledger[品番],$B172,tbl_ledger[イベント種類],"倉庫A戻し",tbl_ledger[ロットID],"=")-SUMIFS(tbl_ledger[数量],tbl_ledger[品番],$B172,tbl_ledger[イベント種類],"不良発生",tbl_ledger[ロットID],"="))</f>
        <v/>
      </c>
      <c r="J172" s="4" t="str">
        <f t="shared" si="6"/>
        <v/>
      </c>
      <c r="K172" s="4" t="str">
        <f t="shared" si="7"/>
        <v/>
      </c>
      <c r="L172" s="4" t="str">
        <f t="shared" si="8"/>
        <v/>
      </c>
      <c r="M172" s="4" t="str">
        <f>IF($A172="","",IF(INDEX(tbl_plan[計画状態],ROW()-1)="キャンセル","キャンセル",IF(K172=0,"発送済",IF(L172&gt;0,"要搬出","OK"))))</f>
        <v/>
      </c>
    </row>
    <row r="173" spans="1:13" ht="15" x14ac:dyDescent="0.25">
      <c r="A173" s="4" t="str">
        <f>IFERROR(INDEX(tbl_plan[ロットID],ROW()-1),"")</f>
        <v/>
      </c>
      <c r="B173" s="4" t="str">
        <f>IF($A173="","",INDEX(tbl_plan[品番],ROW()-1))</f>
        <v/>
      </c>
      <c r="C173" s="5" t="str">
        <f>IF($A173="","",INDEX(tbl_plan[出荷週],ROW()-1))</f>
        <v/>
      </c>
      <c r="D173" s="4" t="str">
        <f>IF($A173="","",INDEX(tbl_plan[納期先],ROW()-1)&amp;"")</f>
        <v/>
      </c>
      <c r="E173" s="4" t="str">
        <f>IF($A173="","",INDEX(tbl_plan[必要数],ROW()-1))</f>
        <v/>
      </c>
      <c r="F173" s="4" t="str">
        <f>IF($A173="","",SUMIFS(tbl_plan[必要数],tbl_plan[ロットID],$A173,tbl_plan[計画状態],"有効"))</f>
        <v/>
      </c>
      <c r="G173" s="4" t="str">
        <f>IF($A173="","",SUMIFS(tbl_ledger[数量],tbl_ledger[ロットID],$A173,tbl_ledger[イベント種類],"発送"))</f>
        <v/>
      </c>
      <c r="H173" s="4" t="str">
        <f>IF($A173="","",SUMIFS(tbl_ledger[数量],tbl_ledger[ロットID],$A173,tbl_ledger[イベント種類],"搬入")+SUMIFS(tbl_ledger[数量],tbl_ledger[充当先ロットID],$A173,tbl_ledger[イベント種類],"充当")-SUMIFS(tbl_ledger[数量],tbl_ledger[ロットID],$A173,tbl_ledger[イベント種類],"充当")-SUMIFS(tbl_ledger[数量],tbl_ledger[ロットID],$A173,tbl_ledger[イベント種類],"発送")-SUMIFS(tbl_ledger[数量],tbl_ledger[ロットID],$A173,tbl_ledger[イベント種類],"倉庫A戻し")-SUMIFS(tbl_ledger[数量],tbl_ledger[ロットID],$A173,tbl_ledger[イベント種類],"余剰化")-SUMIFS(tbl_ledger[数量],tbl_ledger[ロットID],$A173,tbl_ledger[イベント種類],"不良発生"))</f>
        <v/>
      </c>
      <c r="I173" s="4" t="str">
        <f>IF($A173="","",SUMIFS(tbl_ledger[数量],tbl_ledger[品番],$B173,tbl_ledger[イベント種類],"余剰化")+SUMIFS(tbl_ledger[数量],tbl_ledger[品番],$B173,tbl_ledger[イベント種類],"搬入",tbl_ledger[ロットID],"=")-SUMIFS(tbl_ledger[数量],tbl_ledger[品番],$B173,tbl_ledger[イベント種類],"充当",tbl_ledger[ロットID],"=")-SUMIFS(tbl_ledger[数量],tbl_ledger[品番],$B173,tbl_ledger[イベント種類],"発送",tbl_ledger[ロットID],"=")-SUMIFS(tbl_ledger[数量],tbl_ledger[品番],$B173,tbl_ledger[イベント種類],"倉庫A戻し",tbl_ledger[ロットID],"=")-SUMIFS(tbl_ledger[数量],tbl_ledger[品番],$B173,tbl_ledger[イベント種類],"不良発生",tbl_ledger[ロットID],"="))</f>
        <v/>
      </c>
      <c r="J173" s="4" t="str">
        <f t="shared" si="6"/>
        <v/>
      </c>
      <c r="K173" s="4" t="str">
        <f t="shared" si="7"/>
        <v/>
      </c>
      <c r="L173" s="4" t="str">
        <f t="shared" si="8"/>
        <v/>
      </c>
      <c r="M173" s="4" t="str">
        <f>IF($A173="","",IF(INDEX(tbl_plan[計画状態],ROW()-1)="キャンセル","キャンセル",IF(K173=0,"発送済",IF(L173&gt;0,"要搬出","OK"))))</f>
        <v/>
      </c>
    </row>
    <row r="174" spans="1:13" ht="15" x14ac:dyDescent="0.25">
      <c r="A174" s="4" t="str">
        <f>IFERROR(INDEX(tbl_plan[ロットID],ROW()-1),"")</f>
        <v/>
      </c>
      <c r="B174" s="4" t="str">
        <f>IF($A174="","",INDEX(tbl_plan[品番],ROW()-1))</f>
        <v/>
      </c>
      <c r="C174" s="5" t="str">
        <f>IF($A174="","",INDEX(tbl_plan[出荷週],ROW()-1))</f>
        <v/>
      </c>
      <c r="D174" s="4" t="str">
        <f>IF($A174="","",INDEX(tbl_plan[納期先],ROW()-1)&amp;"")</f>
        <v/>
      </c>
      <c r="E174" s="4" t="str">
        <f>IF($A174="","",INDEX(tbl_plan[必要数],ROW()-1))</f>
        <v/>
      </c>
      <c r="F174" s="4" t="str">
        <f>IF($A174="","",SUMIFS(tbl_plan[必要数],tbl_plan[ロットID],$A174,tbl_plan[計画状態],"有効"))</f>
        <v/>
      </c>
      <c r="G174" s="4" t="str">
        <f>IF($A174="","",SUMIFS(tbl_ledger[数量],tbl_ledger[ロットID],$A174,tbl_ledger[イベント種類],"発送"))</f>
        <v/>
      </c>
      <c r="H174" s="4" t="str">
        <f>IF($A174="","",SUMIFS(tbl_ledger[数量],tbl_ledger[ロットID],$A174,tbl_ledger[イベント種類],"搬入")+SUMIFS(tbl_ledger[数量],tbl_ledger[充当先ロットID],$A174,tbl_ledger[イベント種類],"充当")-SUMIFS(tbl_ledger[数量],tbl_ledger[ロットID],$A174,tbl_ledger[イベント種類],"充当")-SUMIFS(tbl_ledger[数量],tbl_ledger[ロットID],$A174,tbl_ledger[イベント種類],"発送")-SUMIFS(tbl_ledger[数量],tbl_ledger[ロットID],$A174,tbl_ledger[イベント種類],"倉庫A戻し")-SUMIFS(tbl_ledger[数量],tbl_ledger[ロットID],$A174,tbl_ledger[イベント種類],"余剰化")-SUMIFS(tbl_ledger[数量],tbl_ledger[ロットID],$A174,tbl_ledger[イベント種類],"不良発生"))</f>
        <v/>
      </c>
      <c r="I174" s="4" t="str">
        <f>IF($A174="","",SUMIFS(tbl_ledger[数量],tbl_ledger[品番],$B174,tbl_ledger[イベント種類],"余剰化")+SUMIFS(tbl_ledger[数量],tbl_ledger[品番],$B174,tbl_ledger[イベント種類],"搬入",tbl_ledger[ロットID],"=")-SUMIFS(tbl_ledger[数量],tbl_ledger[品番],$B174,tbl_ledger[イベント種類],"充当",tbl_ledger[ロットID],"=")-SUMIFS(tbl_ledger[数量],tbl_ledger[品番],$B174,tbl_ledger[イベント種類],"発送",tbl_ledger[ロットID],"=")-SUMIFS(tbl_ledger[数量],tbl_ledger[品番],$B174,tbl_ledger[イベント種類],"倉庫A戻し",tbl_ledger[ロットID],"=")-SUMIFS(tbl_ledger[数量],tbl_ledger[品番],$B174,tbl_ledger[イベント種類],"不良発生",tbl_ledger[ロットID],"="))</f>
        <v/>
      </c>
      <c r="J174" s="4" t="str">
        <f t="shared" si="6"/>
        <v/>
      </c>
      <c r="K174" s="4" t="str">
        <f t="shared" si="7"/>
        <v/>
      </c>
      <c r="L174" s="4" t="str">
        <f t="shared" si="8"/>
        <v/>
      </c>
      <c r="M174" s="4" t="str">
        <f>IF($A174="","",IF(INDEX(tbl_plan[計画状態],ROW()-1)="キャンセル","キャンセル",IF(K174=0,"発送済",IF(L174&gt;0,"要搬出","OK"))))</f>
        <v/>
      </c>
    </row>
    <row r="175" spans="1:13" ht="15" x14ac:dyDescent="0.25">
      <c r="A175" s="4" t="str">
        <f>IFERROR(INDEX(tbl_plan[ロットID],ROW()-1),"")</f>
        <v/>
      </c>
      <c r="B175" s="4" t="str">
        <f>IF($A175="","",INDEX(tbl_plan[品番],ROW()-1))</f>
        <v/>
      </c>
      <c r="C175" s="5" t="str">
        <f>IF($A175="","",INDEX(tbl_plan[出荷週],ROW()-1))</f>
        <v/>
      </c>
      <c r="D175" s="4" t="str">
        <f>IF($A175="","",INDEX(tbl_plan[納期先],ROW()-1)&amp;"")</f>
        <v/>
      </c>
      <c r="E175" s="4" t="str">
        <f>IF($A175="","",INDEX(tbl_plan[必要数],ROW()-1))</f>
        <v/>
      </c>
      <c r="F175" s="4" t="str">
        <f>IF($A175="","",SUMIFS(tbl_plan[必要数],tbl_plan[ロットID],$A175,tbl_plan[計画状態],"有効"))</f>
        <v/>
      </c>
      <c r="G175" s="4" t="str">
        <f>IF($A175="","",SUMIFS(tbl_ledger[数量],tbl_ledger[ロットID],$A175,tbl_ledger[イベント種類],"発送"))</f>
        <v/>
      </c>
      <c r="H175" s="4" t="str">
        <f>IF($A175="","",SUMIFS(tbl_ledger[数量],tbl_ledger[ロットID],$A175,tbl_ledger[イベント種類],"搬入")+SUMIFS(tbl_ledger[数量],tbl_ledger[充当先ロットID],$A175,tbl_ledger[イベント種類],"充当")-SUMIFS(tbl_ledger[数量],tbl_ledger[ロットID],$A175,tbl_ledger[イベント種類],"充当")-SUMIFS(tbl_ledger[数量],tbl_ledger[ロットID],$A175,tbl_ledger[イベント種類],"発送")-SUMIFS(tbl_ledger[数量],tbl_ledger[ロットID],$A175,tbl_ledger[イベント種類],"倉庫A戻し")-SUMIFS(tbl_ledger[数量],tbl_ledger[ロットID],$A175,tbl_ledger[イベント種類],"余剰化")-SUMIFS(tbl_ledger[数量],tbl_ledger[ロットID],$A175,tbl_ledger[イベント種類],"不良発生"))</f>
        <v/>
      </c>
      <c r="I175" s="4" t="str">
        <f>IF($A175="","",SUMIFS(tbl_ledger[数量],tbl_ledger[品番],$B175,tbl_ledger[イベント種類],"余剰化")+SUMIFS(tbl_ledger[数量],tbl_ledger[品番],$B175,tbl_ledger[イベント種類],"搬入",tbl_ledger[ロットID],"=")-SUMIFS(tbl_ledger[数量],tbl_ledger[品番],$B175,tbl_ledger[イベント種類],"充当",tbl_ledger[ロットID],"=")-SUMIFS(tbl_ledger[数量],tbl_ledger[品番],$B175,tbl_ledger[イベント種類],"発送",tbl_ledger[ロットID],"=")-SUMIFS(tbl_ledger[数量],tbl_ledger[品番],$B175,tbl_ledger[イベント種類],"倉庫A戻し",tbl_ledger[ロットID],"=")-SUMIFS(tbl_ledger[数量],tbl_ledger[品番],$B175,tbl_ledger[イベント種類],"不良発生",tbl_ledger[ロットID],"="))</f>
        <v/>
      </c>
      <c r="J175" s="4" t="str">
        <f t="shared" si="6"/>
        <v/>
      </c>
      <c r="K175" s="4" t="str">
        <f t="shared" si="7"/>
        <v/>
      </c>
      <c r="L175" s="4" t="str">
        <f t="shared" si="8"/>
        <v/>
      </c>
      <c r="M175" s="4" t="str">
        <f>IF($A175="","",IF(INDEX(tbl_plan[計画状態],ROW()-1)="キャンセル","キャンセル",IF(K175=0,"発送済",IF(L175&gt;0,"要搬出","OK"))))</f>
        <v/>
      </c>
    </row>
    <row r="176" spans="1:13" ht="15" x14ac:dyDescent="0.25">
      <c r="A176" s="4" t="str">
        <f>IFERROR(INDEX(tbl_plan[ロットID],ROW()-1),"")</f>
        <v/>
      </c>
      <c r="B176" s="4" t="str">
        <f>IF($A176="","",INDEX(tbl_plan[品番],ROW()-1))</f>
        <v/>
      </c>
      <c r="C176" s="5" t="str">
        <f>IF($A176="","",INDEX(tbl_plan[出荷週],ROW()-1))</f>
        <v/>
      </c>
      <c r="D176" s="4" t="str">
        <f>IF($A176="","",INDEX(tbl_plan[納期先],ROW()-1)&amp;"")</f>
        <v/>
      </c>
      <c r="E176" s="4" t="str">
        <f>IF($A176="","",INDEX(tbl_plan[必要数],ROW()-1))</f>
        <v/>
      </c>
      <c r="F176" s="4" t="str">
        <f>IF($A176="","",SUMIFS(tbl_plan[必要数],tbl_plan[ロットID],$A176,tbl_plan[計画状態],"有効"))</f>
        <v/>
      </c>
      <c r="G176" s="4" t="str">
        <f>IF($A176="","",SUMIFS(tbl_ledger[数量],tbl_ledger[ロットID],$A176,tbl_ledger[イベント種類],"発送"))</f>
        <v/>
      </c>
      <c r="H176" s="4" t="str">
        <f>IF($A176="","",SUMIFS(tbl_ledger[数量],tbl_ledger[ロットID],$A176,tbl_ledger[イベント種類],"搬入")+SUMIFS(tbl_ledger[数量],tbl_ledger[充当先ロットID],$A176,tbl_ledger[イベント種類],"充当")-SUMIFS(tbl_ledger[数量],tbl_ledger[ロットID],$A176,tbl_ledger[イベント種類],"充当")-SUMIFS(tbl_ledger[数量],tbl_ledger[ロットID],$A176,tbl_ledger[イベント種類],"発送")-SUMIFS(tbl_ledger[数量],tbl_ledger[ロットID],$A176,tbl_ledger[イベント種類],"倉庫A戻し")-SUMIFS(tbl_ledger[数量],tbl_ledger[ロットID],$A176,tbl_ledger[イベント種類],"余剰化")-SUMIFS(tbl_ledger[数量],tbl_ledger[ロットID],$A176,tbl_ledger[イベント種類],"不良発生"))</f>
        <v/>
      </c>
      <c r="I176" s="4" t="str">
        <f>IF($A176="","",SUMIFS(tbl_ledger[数量],tbl_ledger[品番],$B176,tbl_ledger[イベント種類],"余剰化")+SUMIFS(tbl_ledger[数量],tbl_ledger[品番],$B176,tbl_ledger[イベント種類],"搬入",tbl_ledger[ロットID],"=")-SUMIFS(tbl_ledger[数量],tbl_ledger[品番],$B176,tbl_ledger[イベント種類],"充当",tbl_ledger[ロットID],"=")-SUMIFS(tbl_ledger[数量],tbl_ledger[品番],$B176,tbl_ledger[イベント種類],"発送",tbl_ledger[ロットID],"=")-SUMIFS(tbl_ledger[数量],tbl_ledger[品番],$B176,tbl_ledger[イベント種類],"倉庫A戻し",tbl_ledger[ロットID],"=")-SUMIFS(tbl_ledger[数量],tbl_ledger[品番],$B176,tbl_ledger[イベント種類],"不良発生",tbl_ledger[ロットID],"="))</f>
        <v/>
      </c>
      <c r="J176" s="4" t="str">
        <f t="shared" si="6"/>
        <v/>
      </c>
      <c r="K176" s="4" t="str">
        <f t="shared" si="7"/>
        <v/>
      </c>
      <c r="L176" s="4" t="str">
        <f t="shared" si="8"/>
        <v/>
      </c>
      <c r="M176" s="4" t="str">
        <f>IF($A176="","",IF(INDEX(tbl_plan[計画状態],ROW()-1)="キャンセル","キャンセル",IF(K176=0,"発送済",IF(L176&gt;0,"要搬出","OK"))))</f>
        <v/>
      </c>
    </row>
    <row r="177" spans="1:13" ht="15" x14ac:dyDescent="0.25">
      <c r="A177" s="4" t="str">
        <f>IFERROR(INDEX(tbl_plan[ロットID],ROW()-1),"")</f>
        <v/>
      </c>
      <c r="B177" s="4" t="str">
        <f>IF($A177="","",INDEX(tbl_plan[品番],ROW()-1))</f>
        <v/>
      </c>
      <c r="C177" s="5" t="str">
        <f>IF($A177="","",INDEX(tbl_plan[出荷週],ROW()-1))</f>
        <v/>
      </c>
      <c r="D177" s="4" t="str">
        <f>IF($A177="","",INDEX(tbl_plan[納期先],ROW()-1)&amp;"")</f>
        <v/>
      </c>
      <c r="E177" s="4" t="str">
        <f>IF($A177="","",INDEX(tbl_plan[必要数],ROW()-1))</f>
        <v/>
      </c>
      <c r="F177" s="4" t="str">
        <f>IF($A177="","",SUMIFS(tbl_plan[必要数],tbl_plan[ロットID],$A177,tbl_plan[計画状態],"有効"))</f>
        <v/>
      </c>
      <c r="G177" s="4" t="str">
        <f>IF($A177="","",SUMIFS(tbl_ledger[数量],tbl_ledger[ロットID],$A177,tbl_ledger[イベント種類],"発送"))</f>
        <v/>
      </c>
      <c r="H177" s="4" t="str">
        <f>IF($A177="","",SUMIFS(tbl_ledger[数量],tbl_ledger[ロットID],$A177,tbl_ledger[イベント種類],"搬入")+SUMIFS(tbl_ledger[数量],tbl_ledger[充当先ロットID],$A177,tbl_ledger[イベント種類],"充当")-SUMIFS(tbl_ledger[数量],tbl_ledger[ロットID],$A177,tbl_ledger[イベント種類],"充当")-SUMIFS(tbl_ledger[数量],tbl_ledger[ロットID],$A177,tbl_ledger[イベント種類],"発送")-SUMIFS(tbl_ledger[数量],tbl_ledger[ロットID],$A177,tbl_ledger[イベント種類],"倉庫A戻し")-SUMIFS(tbl_ledger[数量],tbl_ledger[ロットID],$A177,tbl_ledger[イベント種類],"余剰化")-SUMIFS(tbl_ledger[数量],tbl_ledger[ロットID],$A177,tbl_ledger[イベント種類],"不良発生"))</f>
        <v/>
      </c>
      <c r="I177" s="4" t="str">
        <f>IF($A177="","",SUMIFS(tbl_ledger[数量],tbl_ledger[品番],$B177,tbl_ledger[イベント種類],"余剰化")+SUMIFS(tbl_ledger[数量],tbl_ledger[品番],$B177,tbl_ledger[イベント種類],"搬入",tbl_ledger[ロットID],"=")-SUMIFS(tbl_ledger[数量],tbl_ledger[品番],$B177,tbl_ledger[イベント種類],"充当",tbl_ledger[ロットID],"=")-SUMIFS(tbl_ledger[数量],tbl_ledger[品番],$B177,tbl_ledger[イベント種類],"発送",tbl_ledger[ロットID],"=")-SUMIFS(tbl_ledger[数量],tbl_ledger[品番],$B177,tbl_ledger[イベント種類],"倉庫A戻し",tbl_ledger[ロットID],"=")-SUMIFS(tbl_ledger[数量],tbl_ledger[品番],$B177,tbl_ledger[イベント種類],"不良発生",tbl_ledger[ロットID],"="))</f>
        <v/>
      </c>
      <c r="J177" s="4" t="str">
        <f t="shared" si="6"/>
        <v/>
      </c>
      <c r="K177" s="4" t="str">
        <f t="shared" si="7"/>
        <v/>
      </c>
      <c r="L177" s="4" t="str">
        <f t="shared" si="8"/>
        <v/>
      </c>
      <c r="M177" s="4" t="str">
        <f>IF($A177="","",IF(INDEX(tbl_plan[計画状態],ROW()-1)="キャンセル","キャンセル",IF(K177=0,"発送済",IF(L177&gt;0,"要搬出","OK"))))</f>
        <v/>
      </c>
    </row>
    <row r="178" spans="1:13" ht="15" x14ac:dyDescent="0.25">
      <c r="A178" s="4" t="str">
        <f>IFERROR(INDEX(tbl_plan[ロットID],ROW()-1),"")</f>
        <v/>
      </c>
      <c r="B178" s="4" t="str">
        <f>IF($A178="","",INDEX(tbl_plan[品番],ROW()-1))</f>
        <v/>
      </c>
      <c r="C178" s="5" t="str">
        <f>IF($A178="","",INDEX(tbl_plan[出荷週],ROW()-1))</f>
        <v/>
      </c>
      <c r="D178" s="4" t="str">
        <f>IF($A178="","",INDEX(tbl_plan[納期先],ROW()-1)&amp;"")</f>
        <v/>
      </c>
      <c r="E178" s="4" t="str">
        <f>IF($A178="","",INDEX(tbl_plan[必要数],ROW()-1))</f>
        <v/>
      </c>
      <c r="F178" s="4" t="str">
        <f>IF($A178="","",SUMIFS(tbl_plan[必要数],tbl_plan[ロットID],$A178,tbl_plan[計画状態],"有効"))</f>
        <v/>
      </c>
      <c r="G178" s="4" t="str">
        <f>IF($A178="","",SUMIFS(tbl_ledger[数量],tbl_ledger[ロットID],$A178,tbl_ledger[イベント種類],"発送"))</f>
        <v/>
      </c>
      <c r="H178" s="4" t="str">
        <f>IF($A178="","",SUMIFS(tbl_ledger[数量],tbl_ledger[ロットID],$A178,tbl_ledger[イベント種類],"搬入")+SUMIFS(tbl_ledger[数量],tbl_ledger[充当先ロットID],$A178,tbl_ledger[イベント種類],"充当")-SUMIFS(tbl_ledger[数量],tbl_ledger[ロットID],$A178,tbl_ledger[イベント種類],"充当")-SUMIFS(tbl_ledger[数量],tbl_ledger[ロットID],$A178,tbl_ledger[イベント種類],"発送")-SUMIFS(tbl_ledger[数量],tbl_ledger[ロットID],$A178,tbl_ledger[イベント種類],"倉庫A戻し")-SUMIFS(tbl_ledger[数量],tbl_ledger[ロットID],$A178,tbl_ledger[イベント種類],"余剰化")-SUMIFS(tbl_ledger[数量],tbl_ledger[ロットID],$A178,tbl_ledger[イベント種類],"不良発生"))</f>
        <v/>
      </c>
      <c r="I178" s="4" t="str">
        <f>IF($A178="","",SUMIFS(tbl_ledger[数量],tbl_ledger[品番],$B178,tbl_ledger[イベント種類],"余剰化")+SUMIFS(tbl_ledger[数量],tbl_ledger[品番],$B178,tbl_ledger[イベント種類],"搬入",tbl_ledger[ロットID],"=")-SUMIFS(tbl_ledger[数量],tbl_ledger[品番],$B178,tbl_ledger[イベント種類],"充当",tbl_ledger[ロットID],"=")-SUMIFS(tbl_ledger[数量],tbl_ledger[品番],$B178,tbl_ledger[イベント種類],"発送",tbl_ledger[ロットID],"=")-SUMIFS(tbl_ledger[数量],tbl_ledger[品番],$B178,tbl_ledger[イベント種類],"倉庫A戻し",tbl_ledger[ロットID],"=")-SUMIFS(tbl_ledger[数量],tbl_ledger[品番],$B178,tbl_ledger[イベント種類],"不良発生",tbl_ledger[ロットID],"="))</f>
        <v/>
      </c>
      <c r="J178" s="4" t="str">
        <f t="shared" si="6"/>
        <v/>
      </c>
      <c r="K178" s="4" t="str">
        <f t="shared" si="7"/>
        <v/>
      </c>
      <c r="L178" s="4" t="str">
        <f t="shared" si="8"/>
        <v/>
      </c>
      <c r="M178" s="4" t="str">
        <f>IF($A178="","",IF(INDEX(tbl_plan[計画状態],ROW()-1)="キャンセル","キャンセル",IF(K178=0,"発送済",IF(L178&gt;0,"要搬出","OK"))))</f>
        <v/>
      </c>
    </row>
    <row r="179" spans="1:13" ht="15" x14ac:dyDescent="0.25">
      <c r="A179" s="4" t="str">
        <f>IFERROR(INDEX(tbl_plan[ロットID],ROW()-1),"")</f>
        <v/>
      </c>
      <c r="B179" s="4" t="str">
        <f>IF($A179="","",INDEX(tbl_plan[品番],ROW()-1))</f>
        <v/>
      </c>
      <c r="C179" s="5" t="str">
        <f>IF($A179="","",INDEX(tbl_plan[出荷週],ROW()-1))</f>
        <v/>
      </c>
      <c r="D179" s="4" t="str">
        <f>IF($A179="","",INDEX(tbl_plan[納期先],ROW()-1)&amp;"")</f>
        <v/>
      </c>
      <c r="E179" s="4" t="str">
        <f>IF($A179="","",INDEX(tbl_plan[必要数],ROW()-1))</f>
        <v/>
      </c>
      <c r="F179" s="4" t="str">
        <f>IF($A179="","",SUMIFS(tbl_plan[必要数],tbl_plan[ロットID],$A179,tbl_plan[計画状態],"有効"))</f>
        <v/>
      </c>
      <c r="G179" s="4" t="str">
        <f>IF($A179="","",SUMIFS(tbl_ledger[数量],tbl_ledger[ロットID],$A179,tbl_ledger[イベント種類],"発送"))</f>
        <v/>
      </c>
      <c r="H179" s="4" t="str">
        <f>IF($A179="","",SUMIFS(tbl_ledger[数量],tbl_ledger[ロットID],$A179,tbl_ledger[イベント種類],"搬入")+SUMIFS(tbl_ledger[数量],tbl_ledger[充当先ロットID],$A179,tbl_ledger[イベント種類],"充当")-SUMIFS(tbl_ledger[数量],tbl_ledger[ロットID],$A179,tbl_ledger[イベント種類],"充当")-SUMIFS(tbl_ledger[数量],tbl_ledger[ロットID],$A179,tbl_ledger[イベント種類],"発送")-SUMIFS(tbl_ledger[数量],tbl_ledger[ロットID],$A179,tbl_ledger[イベント種類],"倉庫A戻し")-SUMIFS(tbl_ledger[数量],tbl_ledger[ロットID],$A179,tbl_ledger[イベント種類],"余剰化")-SUMIFS(tbl_ledger[数量],tbl_ledger[ロットID],$A179,tbl_ledger[イベント種類],"不良発生"))</f>
        <v/>
      </c>
      <c r="I179" s="4" t="str">
        <f>IF($A179="","",SUMIFS(tbl_ledger[数量],tbl_ledger[品番],$B179,tbl_ledger[イベント種類],"余剰化")+SUMIFS(tbl_ledger[数量],tbl_ledger[品番],$B179,tbl_ledger[イベント種類],"搬入",tbl_ledger[ロットID],"=")-SUMIFS(tbl_ledger[数量],tbl_ledger[品番],$B179,tbl_ledger[イベント種類],"充当",tbl_ledger[ロットID],"=")-SUMIFS(tbl_ledger[数量],tbl_ledger[品番],$B179,tbl_ledger[イベント種類],"発送",tbl_ledger[ロットID],"=")-SUMIFS(tbl_ledger[数量],tbl_ledger[品番],$B179,tbl_ledger[イベント種類],"倉庫A戻し",tbl_ledger[ロットID],"=")-SUMIFS(tbl_ledger[数量],tbl_ledger[品番],$B179,tbl_ledger[イベント種類],"不良発生",tbl_ledger[ロットID],"="))</f>
        <v/>
      </c>
      <c r="J179" s="4" t="str">
        <f t="shared" si="6"/>
        <v/>
      </c>
      <c r="K179" s="4" t="str">
        <f t="shared" si="7"/>
        <v/>
      </c>
      <c r="L179" s="4" t="str">
        <f t="shared" si="8"/>
        <v/>
      </c>
      <c r="M179" s="4" t="str">
        <f>IF($A179="","",IF(INDEX(tbl_plan[計画状態],ROW()-1)="キャンセル","キャンセル",IF(K179=0,"発送済",IF(L179&gt;0,"要搬出","OK"))))</f>
        <v/>
      </c>
    </row>
    <row r="180" spans="1:13" ht="15" x14ac:dyDescent="0.25">
      <c r="A180" s="4" t="str">
        <f>IFERROR(INDEX(tbl_plan[ロットID],ROW()-1),"")</f>
        <v/>
      </c>
      <c r="B180" s="4" t="str">
        <f>IF($A180="","",INDEX(tbl_plan[品番],ROW()-1))</f>
        <v/>
      </c>
      <c r="C180" s="5" t="str">
        <f>IF($A180="","",INDEX(tbl_plan[出荷週],ROW()-1))</f>
        <v/>
      </c>
      <c r="D180" s="4" t="str">
        <f>IF($A180="","",INDEX(tbl_plan[納期先],ROW()-1)&amp;"")</f>
        <v/>
      </c>
      <c r="E180" s="4" t="str">
        <f>IF($A180="","",INDEX(tbl_plan[必要数],ROW()-1))</f>
        <v/>
      </c>
      <c r="F180" s="4" t="str">
        <f>IF($A180="","",SUMIFS(tbl_plan[必要数],tbl_plan[ロットID],$A180,tbl_plan[計画状態],"有効"))</f>
        <v/>
      </c>
      <c r="G180" s="4" t="str">
        <f>IF($A180="","",SUMIFS(tbl_ledger[数量],tbl_ledger[ロットID],$A180,tbl_ledger[イベント種類],"発送"))</f>
        <v/>
      </c>
      <c r="H180" s="4" t="str">
        <f>IF($A180="","",SUMIFS(tbl_ledger[数量],tbl_ledger[ロットID],$A180,tbl_ledger[イベント種類],"搬入")+SUMIFS(tbl_ledger[数量],tbl_ledger[充当先ロットID],$A180,tbl_ledger[イベント種類],"充当")-SUMIFS(tbl_ledger[数量],tbl_ledger[ロットID],$A180,tbl_ledger[イベント種類],"充当")-SUMIFS(tbl_ledger[数量],tbl_ledger[ロットID],$A180,tbl_ledger[イベント種類],"発送")-SUMIFS(tbl_ledger[数量],tbl_ledger[ロットID],$A180,tbl_ledger[イベント種類],"倉庫A戻し")-SUMIFS(tbl_ledger[数量],tbl_ledger[ロットID],$A180,tbl_ledger[イベント種類],"余剰化")-SUMIFS(tbl_ledger[数量],tbl_ledger[ロットID],$A180,tbl_ledger[イベント種類],"不良発生"))</f>
        <v/>
      </c>
      <c r="I180" s="4" t="str">
        <f>IF($A180="","",SUMIFS(tbl_ledger[数量],tbl_ledger[品番],$B180,tbl_ledger[イベント種類],"余剰化")+SUMIFS(tbl_ledger[数量],tbl_ledger[品番],$B180,tbl_ledger[イベント種類],"搬入",tbl_ledger[ロットID],"=")-SUMIFS(tbl_ledger[数量],tbl_ledger[品番],$B180,tbl_ledger[イベント種類],"充当",tbl_ledger[ロットID],"=")-SUMIFS(tbl_ledger[数量],tbl_ledger[品番],$B180,tbl_ledger[イベント種類],"発送",tbl_ledger[ロットID],"=")-SUMIFS(tbl_ledger[数量],tbl_ledger[品番],$B180,tbl_ledger[イベント種類],"倉庫A戻し",tbl_ledger[ロットID],"=")-SUMIFS(tbl_ledger[数量],tbl_ledger[品番],$B180,tbl_ledger[イベント種類],"不良発生",tbl_ledger[ロットID],"="))</f>
        <v/>
      </c>
      <c r="J180" s="4" t="str">
        <f t="shared" si="6"/>
        <v/>
      </c>
      <c r="K180" s="4" t="str">
        <f t="shared" si="7"/>
        <v/>
      </c>
      <c r="L180" s="4" t="str">
        <f t="shared" si="8"/>
        <v/>
      </c>
      <c r="M180" s="4" t="str">
        <f>IF($A180="","",IF(INDEX(tbl_plan[計画状態],ROW()-1)="キャンセル","キャンセル",IF(K180=0,"発送済",IF(L180&gt;0,"要搬出","OK"))))</f>
        <v/>
      </c>
    </row>
    <row r="181" spans="1:13" ht="15" x14ac:dyDescent="0.25">
      <c r="A181" s="4" t="str">
        <f>IFERROR(INDEX(tbl_plan[ロットID],ROW()-1),"")</f>
        <v/>
      </c>
      <c r="B181" s="4" t="str">
        <f>IF($A181="","",INDEX(tbl_plan[品番],ROW()-1))</f>
        <v/>
      </c>
      <c r="C181" s="5" t="str">
        <f>IF($A181="","",INDEX(tbl_plan[出荷週],ROW()-1))</f>
        <v/>
      </c>
      <c r="D181" s="4" t="str">
        <f>IF($A181="","",INDEX(tbl_plan[納期先],ROW()-1)&amp;"")</f>
        <v/>
      </c>
      <c r="E181" s="4" t="str">
        <f>IF($A181="","",INDEX(tbl_plan[必要数],ROW()-1))</f>
        <v/>
      </c>
      <c r="F181" s="4" t="str">
        <f>IF($A181="","",SUMIFS(tbl_plan[必要数],tbl_plan[ロットID],$A181,tbl_plan[計画状態],"有効"))</f>
        <v/>
      </c>
      <c r="G181" s="4" t="str">
        <f>IF($A181="","",SUMIFS(tbl_ledger[数量],tbl_ledger[ロットID],$A181,tbl_ledger[イベント種類],"発送"))</f>
        <v/>
      </c>
      <c r="H181" s="4" t="str">
        <f>IF($A181="","",SUMIFS(tbl_ledger[数量],tbl_ledger[ロットID],$A181,tbl_ledger[イベント種類],"搬入")+SUMIFS(tbl_ledger[数量],tbl_ledger[充当先ロットID],$A181,tbl_ledger[イベント種類],"充当")-SUMIFS(tbl_ledger[数量],tbl_ledger[ロットID],$A181,tbl_ledger[イベント種類],"充当")-SUMIFS(tbl_ledger[数量],tbl_ledger[ロットID],$A181,tbl_ledger[イベント種類],"発送")-SUMIFS(tbl_ledger[数量],tbl_ledger[ロットID],$A181,tbl_ledger[イベント種類],"倉庫A戻し")-SUMIFS(tbl_ledger[数量],tbl_ledger[ロットID],$A181,tbl_ledger[イベント種類],"余剰化")-SUMIFS(tbl_ledger[数量],tbl_ledger[ロットID],$A181,tbl_ledger[イベント種類],"不良発生"))</f>
        <v/>
      </c>
      <c r="I181" s="4" t="str">
        <f>IF($A181="","",SUMIFS(tbl_ledger[数量],tbl_ledger[品番],$B181,tbl_ledger[イベント種類],"余剰化")+SUMIFS(tbl_ledger[数量],tbl_ledger[品番],$B181,tbl_ledger[イベント種類],"搬入",tbl_ledger[ロットID],"=")-SUMIFS(tbl_ledger[数量],tbl_ledger[品番],$B181,tbl_ledger[イベント種類],"充当",tbl_ledger[ロットID],"=")-SUMIFS(tbl_ledger[数量],tbl_ledger[品番],$B181,tbl_ledger[イベント種類],"発送",tbl_ledger[ロットID],"=")-SUMIFS(tbl_ledger[数量],tbl_ledger[品番],$B181,tbl_ledger[イベント種類],"倉庫A戻し",tbl_ledger[ロットID],"=")-SUMIFS(tbl_ledger[数量],tbl_ledger[品番],$B181,tbl_ledger[イベント種類],"不良発生",tbl_ledger[ロットID],"="))</f>
        <v/>
      </c>
      <c r="J181" s="4" t="str">
        <f t="shared" si="6"/>
        <v/>
      </c>
      <c r="K181" s="4" t="str">
        <f t="shared" si="7"/>
        <v/>
      </c>
      <c r="L181" s="4" t="str">
        <f t="shared" si="8"/>
        <v/>
      </c>
      <c r="M181" s="4" t="str">
        <f>IF($A181="","",IF(INDEX(tbl_plan[計画状態],ROW()-1)="キャンセル","キャンセル",IF(K181=0,"発送済",IF(L181&gt;0,"要搬出","OK"))))</f>
        <v/>
      </c>
    </row>
    <row r="182" spans="1:13" ht="15" x14ac:dyDescent="0.25">
      <c r="A182" s="4" t="str">
        <f>IFERROR(INDEX(tbl_plan[ロットID],ROW()-1),"")</f>
        <v/>
      </c>
      <c r="B182" s="4" t="str">
        <f>IF($A182="","",INDEX(tbl_plan[品番],ROW()-1))</f>
        <v/>
      </c>
      <c r="C182" s="5" t="str">
        <f>IF($A182="","",INDEX(tbl_plan[出荷週],ROW()-1))</f>
        <v/>
      </c>
      <c r="D182" s="4" t="str">
        <f>IF($A182="","",INDEX(tbl_plan[納期先],ROW()-1)&amp;"")</f>
        <v/>
      </c>
      <c r="E182" s="4" t="str">
        <f>IF($A182="","",INDEX(tbl_plan[必要数],ROW()-1))</f>
        <v/>
      </c>
      <c r="F182" s="4" t="str">
        <f>IF($A182="","",SUMIFS(tbl_plan[必要数],tbl_plan[ロットID],$A182,tbl_plan[計画状態],"有効"))</f>
        <v/>
      </c>
      <c r="G182" s="4" t="str">
        <f>IF($A182="","",SUMIFS(tbl_ledger[数量],tbl_ledger[ロットID],$A182,tbl_ledger[イベント種類],"発送"))</f>
        <v/>
      </c>
      <c r="H182" s="4" t="str">
        <f>IF($A182="","",SUMIFS(tbl_ledger[数量],tbl_ledger[ロットID],$A182,tbl_ledger[イベント種類],"搬入")+SUMIFS(tbl_ledger[数量],tbl_ledger[充当先ロットID],$A182,tbl_ledger[イベント種類],"充当")-SUMIFS(tbl_ledger[数量],tbl_ledger[ロットID],$A182,tbl_ledger[イベント種類],"充当")-SUMIFS(tbl_ledger[数量],tbl_ledger[ロットID],$A182,tbl_ledger[イベント種類],"発送")-SUMIFS(tbl_ledger[数量],tbl_ledger[ロットID],$A182,tbl_ledger[イベント種類],"倉庫A戻し")-SUMIFS(tbl_ledger[数量],tbl_ledger[ロットID],$A182,tbl_ledger[イベント種類],"余剰化")-SUMIFS(tbl_ledger[数量],tbl_ledger[ロットID],$A182,tbl_ledger[イベント種類],"不良発生"))</f>
        <v/>
      </c>
      <c r="I182" s="4" t="str">
        <f>IF($A182="","",SUMIFS(tbl_ledger[数量],tbl_ledger[品番],$B182,tbl_ledger[イベント種類],"余剰化")+SUMIFS(tbl_ledger[数量],tbl_ledger[品番],$B182,tbl_ledger[イベント種類],"搬入",tbl_ledger[ロットID],"=")-SUMIFS(tbl_ledger[数量],tbl_ledger[品番],$B182,tbl_ledger[イベント種類],"充当",tbl_ledger[ロットID],"=")-SUMIFS(tbl_ledger[数量],tbl_ledger[品番],$B182,tbl_ledger[イベント種類],"発送",tbl_ledger[ロットID],"=")-SUMIFS(tbl_ledger[数量],tbl_ledger[品番],$B182,tbl_ledger[イベント種類],"倉庫A戻し",tbl_ledger[ロットID],"=")-SUMIFS(tbl_ledger[数量],tbl_ledger[品番],$B182,tbl_ledger[イベント種類],"不良発生",tbl_ledger[ロットID],"="))</f>
        <v/>
      </c>
      <c r="J182" s="4" t="str">
        <f t="shared" si="6"/>
        <v/>
      </c>
      <c r="K182" s="4" t="str">
        <f t="shared" si="7"/>
        <v/>
      </c>
      <c r="L182" s="4" t="str">
        <f t="shared" si="8"/>
        <v/>
      </c>
      <c r="M182" s="4" t="str">
        <f>IF($A182="","",IF(INDEX(tbl_plan[計画状態],ROW()-1)="キャンセル","キャンセル",IF(K182=0,"発送済",IF(L182&gt;0,"要搬出","OK"))))</f>
        <v/>
      </c>
    </row>
    <row r="183" spans="1:13" ht="15" x14ac:dyDescent="0.25">
      <c r="A183" s="4" t="str">
        <f>IFERROR(INDEX(tbl_plan[ロットID],ROW()-1),"")</f>
        <v/>
      </c>
      <c r="B183" s="4" t="str">
        <f>IF($A183="","",INDEX(tbl_plan[品番],ROW()-1))</f>
        <v/>
      </c>
      <c r="C183" s="5" t="str">
        <f>IF($A183="","",INDEX(tbl_plan[出荷週],ROW()-1))</f>
        <v/>
      </c>
      <c r="D183" s="4" t="str">
        <f>IF($A183="","",INDEX(tbl_plan[納期先],ROW()-1)&amp;"")</f>
        <v/>
      </c>
      <c r="E183" s="4" t="str">
        <f>IF($A183="","",INDEX(tbl_plan[必要数],ROW()-1))</f>
        <v/>
      </c>
      <c r="F183" s="4" t="str">
        <f>IF($A183="","",SUMIFS(tbl_plan[必要数],tbl_plan[ロットID],$A183,tbl_plan[計画状態],"有効"))</f>
        <v/>
      </c>
      <c r="G183" s="4" t="str">
        <f>IF($A183="","",SUMIFS(tbl_ledger[数量],tbl_ledger[ロットID],$A183,tbl_ledger[イベント種類],"発送"))</f>
        <v/>
      </c>
      <c r="H183" s="4" t="str">
        <f>IF($A183="","",SUMIFS(tbl_ledger[数量],tbl_ledger[ロットID],$A183,tbl_ledger[イベント種類],"搬入")+SUMIFS(tbl_ledger[数量],tbl_ledger[充当先ロットID],$A183,tbl_ledger[イベント種類],"充当")-SUMIFS(tbl_ledger[数量],tbl_ledger[ロットID],$A183,tbl_ledger[イベント種類],"充当")-SUMIFS(tbl_ledger[数量],tbl_ledger[ロットID],$A183,tbl_ledger[イベント種類],"発送")-SUMIFS(tbl_ledger[数量],tbl_ledger[ロットID],$A183,tbl_ledger[イベント種類],"倉庫A戻し")-SUMIFS(tbl_ledger[数量],tbl_ledger[ロットID],$A183,tbl_ledger[イベント種類],"余剰化")-SUMIFS(tbl_ledger[数量],tbl_ledger[ロットID],$A183,tbl_ledger[イベント種類],"不良発生"))</f>
        <v/>
      </c>
      <c r="I183" s="4" t="str">
        <f>IF($A183="","",SUMIFS(tbl_ledger[数量],tbl_ledger[品番],$B183,tbl_ledger[イベント種類],"余剰化")+SUMIFS(tbl_ledger[数量],tbl_ledger[品番],$B183,tbl_ledger[イベント種類],"搬入",tbl_ledger[ロットID],"=")-SUMIFS(tbl_ledger[数量],tbl_ledger[品番],$B183,tbl_ledger[イベント種類],"充当",tbl_ledger[ロットID],"=")-SUMIFS(tbl_ledger[数量],tbl_ledger[品番],$B183,tbl_ledger[イベント種類],"発送",tbl_ledger[ロットID],"=")-SUMIFS(tbl_ledger[数量],tbl_ledger[品番],$B183,tbl_ledger[イベント種類],"倉庫A戻し",tbl_ledger[ロットID],"=")-SUMIFS(tbl_ledger[数量],tbl_ledger[品番],$B183,tbl_ledger[イベント種類],"不良発生",tbl_ledger[ロットID],"="))</f>
        <v/>
      </c>
      <c r="J183" s="4" t="str">
        <f t="shared" si="6"/>
        <v/>
      </c>
      <c r="K183" s="4" t="str">
        <f t="shared" si="7"/>
        <v/>
      </c>
      <c r="L183" s="4" t="str">
        <f t="shared" si="8"/>
        <v/>
      </c>
      <c r="M183" s="4" t="str">
        <f>IF($A183="","",IF(INDEX(tbl_plan[計画状態],ROW()-1)="キャンセル","キャンセル",IF(K183=0,"発送済",IF(L183&gt;0,"要搬出","OK"))))</f>
        <v/>
      </c>
    </row>
    <row r="184" spans="1:13" ht="15" x14ac:dyDescent="0.25">
      <c r="A184" s="4" t="str">
        <f>IFERROR(INDEX(tbl_plan[ロットID],ROW()-1),"")</f>
        <v/>
      </c>
      <c r="B184" s="4" t="str">
        <f>IF($A184="","",INDEX(tbl_plan[品番],ROW()-1))</f>
        <v/>
      </c>
      <c r="C184" s="5" t="str">
        <f>IF($A184="","",INDEX(tbl_plan[出荷週],ROW()-1))</f>
        <v/>
      </c>
      <c r="D184" s="4" t="str">
        <f>IF($A184="","",INDEX(tbl_plan[納期先],ROW()-1)&amp;"")</f>
        <v/>
      </c>
      <c r="E184" s="4" t="str">
        <f>IF($A184="","",INDEX(tbl_plan[必要数],ROW()-1))</f>
        <v/>
      </c>
      <c r="F184" s="4" t="str">
        <f>IF($A184="","",SUMIFS(tbl_plan[必要数],tbl_plan[ロットID],$A184,tbl_plan[計画状態],"有効"))</f>
        <v/>
      </c>
      <c r="G184" s="4" t="str">
        <f>IF($A184="","",SUMIFS(tbl_ledger[数量],tbl_ledger[ロットID],$A184,tbl_ledger[イベント種類],"発送"))</f>
        <v/>
      </c>
      <c r="H184" s="4" t="str">
        <f>IF($A184="","",SUMIFS(tbl_ledger[数量],tbl_ledger[ロットID],$A184,tbl_ledger[イベント種類],"搬入")+SUMIFS(tbl_ledger[数量],tbl_ledger[充当先ロットID],$A184,tbl_ledger[イベント種類],"充当")-SUMIFS(tbl_ledger[数量],tbl_ledger[ロットID],$A184,tbl_ledger[イベント種類],"充当")-SUMIFS(tbl_ledger[数量],tbl_ledger[ロットID],$A184,tbl_ledger[イベント種類],"発送")-SUMIFS(tbl_ledger[数量],tbl_ledger[ロットID],$A184,tbl_ledger[イベント種類],"倉庫A戻し")-SUMIFS(tbl_ledger[数量],tbl_ledger[ロットID],$A184,tbl_ledger[イベント種類],"余剰化")-SUMIFS(tbl_ledger[数量],tbl_ledger[ロットID],$A184,tbl_ledger[イベント種類],"不良発生"))</f>
        <v/>
      </c>
      <c r="I184" s="4" t="str">
        <f>IF($A184="","",SUMIFS(tbl_ledger[数量],tbl_ledger[品番],$B184,tbl_ledger[イベント種類],"余剰化")+SUMIFS(tbl_ledger[数量],tbl_ledger[品番],$B184,tbl_ledger[イベント種類],"搬入",tbl_ledger[ロットID],"=")-SUMIFS(tbl_ledger[数量],tbl_ledger[品番],$B184,tbl_ledger[イベント種類],"充当",tbl_ledger[ロットID],"=")-SUMIFS(tbl_ledger[数量],tbl_ledger[品番],$B184,tbl_ledger[イベント種類],"発送",tbl_ledger[ロットID],"=")-SUMIFS(tbl_ledger[数量],tbl_ledger[品番],$B184,tbl_ledger[イベント種類],"倉庫A戻し",tbl_ledger[ロットID],"=")-SUMIFS(tbl_ledger[数量],tbl_ledger[品番],$B184,tbl_ledger[イベント種類],"不良発生",tbl_ledger[ロットID],"="))</f>
        <v/>
      </c>
      <c r="J184" s="4" t="str">
        <f t="shared" si="6"/>
        <v/>
      </c>
      <c r="K184" s="4" t="str">
        <f t="shared" si="7"/>
        <v/>
      </c>
      <c r="L184" s="4" t="str">
        <f t="shared" si="8"/>
        <v/>
      </c>
      <c r="M184" s="4" t="str">
        <f>IF($A184="","",IF(INDEX(tbl_plan[計画状態],ROW()-1)="キャンセル","キャンセル",IF(K184=0,"発送済",IF(L184&gt;0,"要搬出","OK"))))</f>
        <v/>
      </c>
    </row>
    <row r="185" spans="1:13" ht="15" x14ac:dyDescent="0.25">
      <c r="A185" s="4" t="str">
        <f>IFERROR(INDEX(tbl_plan[ロットID],ROW()-1),"")</f>
        <v/>
      </c>
      <c r="B185" s="4" t="str">
        <f>IF($A185="","",INDEX(tbl_plan[品番],ROW()-1))</f>
        <v/>
      </c>
      <c r="C185" s="5" t="str">
        <f>IF($A185="","",INDEX(tbl_plan[出荷週],ROW()-1))</f>
        <v/>
      </c>
      <c r="D185" s="4" t="str">
        <f>IF($A185="","",INDEX(tbl_plan[納期先],ROW()-1)&amp;"")</f>
        <v/>
      </c>
      <c r="E185" s="4" t="str">
        <f>IF($A185="","",INDEX(tbl_plan[必要数],ROW()-1))</f>
        <v/>
      </c>
      <c r="F185" s="4" t="str">
        <f>IF($A185="","",SUMIFS(tbl_plan[必要数],tbl_plan[ロットID],$A185,tbl_plan[計画状態],"有効"))</f>
        <v/>
      </c>
      <c r="G185" s="4" t="str">
        <f>IF($A185="","",SUMIFS(tbl_ledger[数量],tbl_ledger[ロットID],$A185,tbl_ledger[イベント種類],"発送"))</f>
        <v/>
      </c>
      <c r="H185" s="4" t="str">
        <f>IF($A185="","",SUMIFS(tbl_ledger[数量],tbl_ledger[ロットID],$A185,tbl_ledger[イベント種類],"搬入")+SUMIFS(tbl_ledger[数量],tbl_ledger[充当先ロットID],$A185,tbl_ledger[イベント種類],"充当")-SUMIFS(tbl_ledger[数量],tbl_ledger[ロットID],$A185,tbl_ledger[イベント種類],"充当")-SUMIFS(tbl_ledger[数量],tbl_ledger[ロットID],$A185,tbl_ledger[イベント種類],"発送")-SUMIFS(tbl_ledger[数量],tbl_ledger[ロットID],$A185,tbl_ledger[イベント種類],"倉庫A戻し")-SUMIFS(tbl_ledger[数量],tbl_ledger[ロットID],$A185,tbl_ledger[イベント種類],"余剰化")-SUMIFS(tbl_ledger[数量],tbl_ledger[ロットID],$A185,tbl_ledger[イベント種類],"不良発生"))</f>
        <v/>
      </c>
      <c r="I185" s="4" t="str">
        <f>IF($A185="","",SUMIFS(tbl_ledger[数量],tbl_ledger[品番],$B185,tbl_ledger[イベント種類],"余剰化")+SUMIFS(tbl_ledger[数量],tbl_ledger[品番],$B185,tbl_ledger[イベント種類],"搬入",tbl_ledger[ロットID],"=")-SUMIFS(tbl_ledger[数量],tbl_ledger[品番],$B185,tbl_ledger[イベント種類],"充当",tbl_ledger[ロットID],"=")-SUMIFS(tbl_ledger[数量],tbl_ledger[品番],$B185,tbl_ledger[イベント種類],"発送",tbl_ledger[ロットID],"=")-SUMIFS(tbl_ledger[数量],tbl_ledger[品番],$B185,tbl_ledger[イベント種類],"倉庫A戻し",tbl_ledger[ロットID],"=")-SUMIFS(tbl_ledger[数量],tbl_ledger[品番],$B185,tbl_ledger[イベント種類],"不良発生",tbl_ledger[ロットID],"="))</f>
        <v/>
      </c>
      <c r="J185" s="4" t="str">
        <f t="shared" si="6"/>
        <v/>
      </c>
      <c r="K185" s="4" t="str">
        <f t="shared" si="7"/>
        <v/>
      </c>
      <c r="L185" s="4" t="str">
        <f t="shared" si="8"/>
        <v/>
      </c>
      <c r="M185" s="4" t="str">
        <f>IF($A185="","",IF(INDEX(tbl_plan[計画状態],ROW()-1)="キャンセル","キャンセル",IF(K185=0,"発送済",IF(L185&gt;0,"要搬出","OK"))))</f>
        <v/>
      </c>
    </row>
    <row r="186" spans="1:13" ht="15" x14ac:dyDescent="0.25">
      <c r="A186" s="4" t="str">
        <f>IFERROR(INDEX(tbl_plan[ロットID],ROW()-1),"")</f>
        <v/>
      </c>
      <c r="B186" s="4" t="str">
        <f>IF($A186="","",INDEX(tbl_plan[品番],ROW()-1))</f>
        <v/>
      </c>
      <c r="C186" s="5" t="str">
        <f>IF($A186="","",INDEX(tbl_plan[出荷週],ROW()-1))</f>
        <v/>
      </c>
      <c r="D186" s="4" t="str">
        <f>IF($A186="","",INDEX(tbl_plan[納期先],ROW()-1)&amp;"")</f>
        <v/>
      </c>
      <c r="E186" s="4" t="str">
        <f>IF($A186="","",INDEX(tbl_plan[必要数],ROW()-1))</f>
        <v/>
      </c>
      <c r="F186" s="4" t="str">
        <f>IF($A186="","",SUMIFS(tbl_plan[必要数],tbl_plan[ロットID],$A186,tbl_plan[計画状態],"有効"))</f>
        <v/>
      </c>
      <c r="G186" s="4" t="str">
        <f>IF($A186="","",SUMIFS(tbl_ledger[数量],tbl_ledger[ロットID],$A186,tbl_ledger[イベント種類],"発送"))</f>
        <v/>
      </c>
      <c r="H186" s="4" t="str">
        <f>IF($A186="","",SUMIFS(tbl_ledger[数量],tbl_ledger[ロットID],$A186,tbl_ledger[イベント種類],"搬入")+SUMIFS(tbl_ledger[数量],tbl_ledger[充当先ロットID],$A186,tbl_ledger[イベント種類],"充当")-SUMIFS(tbl_ledger[数量],tbl_ledger[ロットID],$A186,tbl_ledger[イベント種類],"充当")-SUMIFS(tbl_ledger[数量],tbl_ledger[ロットID],$A186,tbl_ledger[イベント種類],"発送")-SUMIFS(tbl_ledger[数量],tbl_ledger[ロットID],$A186,tbl_ledger[イベント種類],"倉庫A戻し")-SUMIFS(tbl_ledger[数量],tbl_ledger[ロットID],$A186,tbl_ledger[イベント種類],"余剰化")-SUMIFS(tbl_ledger[数量],tbl_ledger[ロットID],$A186,tbl_ledger[イベント種類],"不良発生"))</f>
        <v/>
      </c>
      <c r="I186" s="4" t="str">
        <f>IF($A186="","",SUMIFS(tbl_ledger[数量],tbl_ledger[品番],$B186,tbl_ledger[イベント種類],"余剰化")+SUMIFS(tbl_ledger[数量],tbl_ledger[品番],$B186,tbl_ledger[イベント種類],"搬入",tbl_ledger[ロットID],"=")-SUMIFS(tbl_ledger[数量],tbl_ledger[品番],$B186,tbl_ledger[イベント種類],"充当",tbl_ledger[ロットID],"=")-SUMIFS(tbl_ledger[数量],tbl_ledger[品番],$B186,tbl_ledger[イベント種類],"発送",tbl_ledger[ロットID],"=")-SUMIFS(tbl_ledger[数量],tbl_ledger[品番],$B186,tbl_ledger[イベント種類],"倉庫A戻し",tbl_ledger[ロットID],"=")-SUMIFS(tbl_ledger[数量],tbl_ledger[品番],$B186,tbl_ledger[イベント種類],"不良発生",tbl_ledger[ロットID],"="))</f>
        <v/>
      </c>
      <c r="J186" s="4" t="str">
        <f t="shared" si="6"/>
        <v/>
      </c>
      <c r="K186" s="4" t="str">
        <f t="shared" si="7"/>
        <v/>
      </c>
      <c r="L186" s="4" t="str">
        <f t="shared" si="8"/>
        <v/>
      </c>
      <c r="M186" s="4" t="str">
        <f>IF($A186="","",IF(INDEX(tbl_plan[計画状態],ROW()-1)="キャンセル","キャンセル",IF(K186=0,"発送済",IF(L186&gt;0,"要搬出","OK"))))</f>
        <v/>
      </c>
    </row>
    <row r="187" spans="1:13" ht="15" x14ac:dyDescent="0.25">
      <c r="A187" s="4" t="str">
        <f>IFERROR(INDEX(tbl_plan[ロットID],ROW()-1),"")</f>
        <v/>
      </c>
      <c r="B187" s="4" t="str">
        <f>IF($A187="","",INDEX(tbl_plan[品番],ROW()-1))</f>
        <v/>
      </c>
      <c r="C187" s="5" t="str">
        <f>IF($A187="","",INDEX(tbl_plan[出荷週],ROW()-1))</f>
        <v/>
      </c>
      <c r="D187" s="4" t="str">
        <f>IF($A187="","",INDEX(tbl_plan[納期先],ROW()-1)&amp;"")</f>
        <v/>
      </c>
      <c r="E187" s="4" t="str">
        <f>IF($A187="","",INDEX(tbl_plan[必要数],ROW()-1))</f>
        <v/>
      </c>
      <c r="F187" s="4" t="str">
        <f>IF($A187="","",SUMIFS(tbl_plan[必要数],tbl_plan[ロットID],$A187,tbl_plan[計画状態],"有効"))</f>
        <v/>
      </c>
      <c r="G187" s="4" t="str">
        <f>IF($A187="","",SUMIFS(tbl_ledger[数量],tbl_ledger[ロットID],$A187,tbl_ledger[イベント種類],"発送"))</f>
        <v/>
      </c>
      <c r="H187" s="4" t="str">
        <f>IF($A187="","",SUMIFS(tbl_ledger[数量],tbl_ledger[ロットID],$A187,tbl_ledger[イベント種類],"搬入")+SUMIFS(tbl_ledger[数量],tbl_ledger[充当先ロットID],$A187,tbl_ledger[イベント種類],"充当")-SUMIFS(tbl_ledger[数量],tbl_ledger[ロットID],$A187,tbl_ledger[イベント種類],"充当")-SUMIFS(tbl_ledger[数量],tbl_ledger[ロットID],$A187,tbl_ledger[イベント種類],"発送")-SUMIFS(tbl_ledger[数量],tbl_ledger[ロットID],$A187,tbl_ledger[イベント種類],"倉庫A戻し")-SUMIFS(tbl_ledger[数量],tbl_ledger[ロットID],$A187,tbl_ledger[イベント種類],"余剰化")-SUMIFS(tbl_ledger[数量],tbl_ledger[ロットID],$A187,tbl_ledger[イベント種類],"不良発生"))</f>
        <v/>
      </c>
      <c r="I187" s="4" t="str">
        <f>IF($A187="","",SUMIFS(tbl_ledger[数量],tbl_ledger[品番],$B187,tbl_ledger[イベント種類],"余剰化")+SUMIFS(tbl_ledger[数量],tbl_ledger[品番],$B187,tbl_ledger[イベント種類],"搬入",tbl_ledger[ロットID],"=")-SUMIFS(tbl_ledger[数量],tbl_ledger[品番],$B187,tbl_ledger[イベント種類],"充当",tbl_ledger[ロットID],"=")-SUMIFS(tbl_ledger[数量],tbl_ledger[品番],$B187,tbl_ledger[イベント種類],"発送",tbl_ledger[ロットID],"=")-SUMIFS(tbl_ledger[数量],tbl_ledger[品番],$B187,tbl_ledger[イベント種類],"倉庫A戻し",tbl_ledger[ロットID],"=")-SUMIFS(tbl_ledger[数量],tbl_ledger[品番],$B187,tbl_ledger[イベント種類],"不良発生",tbl_ledger[ロットID],"="))</f>
        <v/>
      </c>
      <c r="J187" s="4" t="str">
        <f t="shared" si="6"/>
        <v/>
      </c>
      <c r="K187" s="4" t="str">
        <f t="shared" si="7"/>
        <v/>
      </c>
      <c r="L187" s="4" t="str">
        <f t="shared" si="8"/>
        <v/>
      </c>
      <c r="M187" s="4" t="str">
        <f>IF($A187="","",IF(INDEX(tbl_plan[計画状態],ROW()-1)="キャンセル","キャンセル",IF(K187=0,"発送済",IF(L187&gt;0,"要搬出","OK"))))</f>
        <v/>
      </c>
    </row>
    <row r="188" spans="1:13" ht="15" x14ac:dyDescent="0.25">
      <c r="A188" s="4" t="str">
        <f>IFERROR(INDEX(tbl_plan[ロットID],ROW()-1),"")</f>
        <v/>
      </c>
      <c r="B188" s="4" t="str">
        <f>IF($A188="","",INDEX(tbl_plan[品番],ROW()-1))</f>
        <v/>
      </c>
      <c r="C188" s="5" t="str">
        <f>IF($A188="","",INDEX(tbl_plan[出荷週],ROW()-1))</f>
        <v/>
      </c>
      <c r="D188" s="4" t="str">
        <f>IF($A188="","",INDEX(tbl_plan[納期先],ROW()-1)&amp;"")</f>
        <v/>
      </c>
      <c r="E188" s="4" t="str">
        <f>IF($A188="","",INDEX(tbl_plan[必要数],ROW()-1))</f>
        <v/>
      </c>
      <c r="F188" s="4" t="str">
        <f>IF($A188="","",SUMIFS(tbl_plan[必要数],tbl_plan[ロットID],$A188,tbl_plan[計画状態],"有効"))</f>
        <v/>
      </c>
      <c r="G188" s="4" t="str">
        <f>IF($A188="","",SUMIFS(tbl_ledger[数量],tbl_ledger[ロットID],$A188,tbl_ledger[イベント種類],"発送"))</f>
        <v/>
      </c>
      <c r="H188" s="4" t="str">
        <f>IF($A188="","",SUMIFS(tbl_ledger[数量],tbl_ledger[ロットID],$A188,tbl_ledger[イベント種類],"搬入")+SUMIFS(tbl_ledger[数量],tbl_ledger[充当先ロットID],$A188,tbl_ledger[イベント種類],"充当")-SUMIFS(tbl_ledger[数量],tbl_ledger[ロットID],$A188,tbl_ledger[イベント種類],"充当")-SUMIFS(tbl_ledger[数量],tbl_ledger[ロットID],$A188,tbl_ledger[イベント種類],"発送")-SUMIFS(tbl_ledger[数量],tbl_ledger[ロットID],$A188,tbl_ledger[イベント種類],"倉庫A戻し")-SUMIFS(tbl_ledger[数量],tbl_ledger[ロットID],$A188,tbl_ledger[イベント種類],"余剰化")-SUMIFS(tbl_ledger[数量],tbl_ledger[ロットID],$A188,tbl_ledger[イベント種類],"不良発生"))</f>
        <v/>
      </c>
      <c r="I188" s="4" t="str">
        <f>IF($A188="","",SUMIFS(tbl_ledger[数量],tbl_ledger[品番],$B188,tbl_ledger[イベント種類],"余剰化")+SUMIFS(tbl_ledger[数量],tbl_ledger[品番],$B188,tbl_ledger[イベント種類],"搬入",tbl_ledger[ロットID],"=")-SUMIFS(tbl_ledger[数量],tbl_ledger[品番],$B188,tbl_ledger[イベント種類],"充当",tbl_ledger[ロットID],"=")-SUMIFS(tbl_ledger[数量],tbl_ledger[品番],$B188,tbl_ledger[イベント種類],"発送",tbl_ledger[ロットID],"=")-SUMIFS(tbl_ledger[数量],tbl_ledger[品番],$B188,tbl_ledger[イベント種類],"倉庫A戻し",tbl_ledger[ロットID],"=")-SUMIFS(tbl_ledger[数量],tbl_ledger[品番],$B188,tbl_ledger[イベント種類],"不良発生",tbl_ledger[ロットID],"="))</f>
        <v/>
      </c>
      <c r="J188" s="4" t="str">
        <f t="shared" si="6"/>
        <v/>
      </c>
      <c r="K188" s="4" t="str">
        <f t="shared" si="7"/>
        <v/>
      </c>
      <c r="L188" s="4" t="str">
        <f t="shared" si="8"/>
        <v/>
      </c>
      <c r="M188" s="4" t="str">
        <f>IF($A188="","",IF(INDEX(tbl_plan[計画状態],ROW()-1)="キャンセル","キャンセル",IF(K188=0,"発送済",IF(L188&gt;0,"要搬出","OK"))))</f>
        <v/>
      </c>
    </row>
    <row r="189" spans="1:13" ht="15" x14ac:dyDescent="0.25">
      <c r="A189" s="4" t="str">
        <f>IFERROR(INDEX(tbl_plan[ロットID],ROW()-1),"")</f>
        <v/>
      </c>
      <c r="B189" s="4" t="str">
        <f>IF($A189="","",INDEX(tbl_plan[品番],ROW()-1))</f>
        <v/>
      </c>
      <c r="C189" s="5" t="str">
        <f>IF($A189="","",INDEX(tbl_plan[出荷週],ROW()-1))</f>
        <v/>
      </c>
      <c r="D189" s="4" t="str">
        <f>IF($A189="","",INDEX(tbl_plan[納期先],ROW()-1)&amp;"")</f>
        <v/>
      </c>
      <c r="E189" s="4" t="str">
        <f>IF($A189="","",INDEX(tbl_plan[必要数],ROW()-1))</f>
        <v/>
      </c>
      <c r="F189" s="4" t="str">
        <f>IF($A189="","",SUMIFS(tbl_plan[必要数],tbl_plan[ロットID],$A189,tbl_plan[計画状態],"有効"))</f>
        <v/>
      </c>
      <c r="G189" s="4" t="str">
        <f>IF($A189="","",SUMIFS(tbl_ledger[数量],tbl_ledger[ロットID],$A189,tbl_ledger[イベント種類],"発送"))</f>
        <v/>
      </c>
      <c r="H189" s="4" t="str">
        <f>IF($A189="","",SUMIFS(tbl_ledger[数量],tbl_ledger[ロットID],$A189,tbl_ledger[イベント種類],"搬入")+SUMIFS(tbl_ledger[数量],tbl_ledger[充当先ロットID],$A189,tbl_ledger[イベント種類],"充当")-SUMIFS(tbl_ledger[数量],tbl_ledger[ロットID],$A189,tbl_ledger[イベント種類],"充当")-SUMIFS(tbl_ledger[数量],tbl_ledger[ロットID],$A189,tbl_ledger[イベント種類],"発送")-SUMIFS(tbl_ledger[数量],tbl_ledger[ロットID],$A189,tbl_ledger[イベント種類],"倉庫A戻し")-SUMIFS(tbl_ledger[数量],tbl_ledger[ロットID],$A189,tbl_ledger[イベント種類],"余剰化")-SUMIFS(tbl_ledger[数量],tbl_ledger[ロットID],$A189,tbl_ledger[イベント種類],"不良発生"))</f>
        <v/>
      </c>
      <c r="I189" s="4" t="str">
        <f>IF($A189="","",SUMIFS(tbl_ledger[数量],tbl_ledger[品番],$B189,tbl_ledger[イベント種類],"余剰化")+SUMIFS(tbl_ledger[数量],tbl_ledger[品番],$B189,tbl_ledger[イベント種類],"搬入",tbl_ledger[ロットID],"=")-SUMIFS(tbl_ledger[数量],tbl_ledger[品番],$B189,tbl_ledger[イベント種類],"充当",tbl_ledger[ロットID],"=")-SUMIFS(tbl_ledger[数量],tbl_ledger[品番],$B189,tbl_ledger[イベント種類],"発送",tbl_ledger[ロットID],"=")-SUMIFS(tbl_ledger[数量],tbl_ledger[品番],$B189,tbl_ledger[イベント種類],"倉庫A戻し",tbl_ledger[ロットID],"=")-SUMIFS(tbl_ledger[数量],tbl_ledger[品番],$B189,tbl_ledger[イベント種類],"不良発生",tbl_ledger[ロットID],"="))</f>
        <v/>
      </c>
      <c r="J189" s="4" t="str">
        <f t="shared" si="6"/>
        <v/>
      </c>
      <c r="K189" s="4" t="str">
        <f t="shared" si="7"/>
        <v/>
      </c>
      <c r="L189" s="4" t="str">
        <f t="shared" si="8"/>
        <v/>
      </c>
      <c r="M189" s="4" t="str">
        <f>IF($A189="","",IF(INDEX(tbl_plan[計画状態],ROW()-1)="キャンセル","キャンセル",IF(K189=0,"発送済",IF(L189&gt;0,"要搬出","OK"))))</f>
        <v/>
      </c>
    </row>
    <row r="190" spans="1:13" ht="15" x14ac:dyDescent="0.25">
      <c r="A190" s="4" t="str">
        <f>IFERROR(INDEX(tbl_plan[ロットID],ROW()-1),"")</f>
        <v/>
      </c>
      <c r="B190" s="4" t="str">
        <f>IF($A190="","",INDEX(tbl_plan[品番],ROW()-1))</f>
        <v/>
      </c>
      <c r="C190" s="5" t="str">
        <f>IF($A190="","",INDEX(tbl_plan[出荷週],ROW()-1))</f>
        <v/>
      </c>
      <c r="D190" s="4" t="str">
        <f>IF($A190="","",INDEX(tbl_plan[納期先],ROW()-1)&amp;"")</f>
        <v/>
      </c>
      <c r="E190" s="4" t="str">
        <f>IF($A190="","",INDEX(tbl_plan[必要数],ROW()-1))</f>
        <v/>
      </c>
      <c r="F190" s="4" t="str">
        <f>IF($A190="","",SUMIFS(tbl_plan[必要数],tbl_plan[ロットID],$A190,tbl_plan[計画状態],"有効"))</f>
        <v/>
      </c>
      <c r="G190" s="4" t="str">
        <f>IF($A190="","",SUMIFS(tbl_ledger[数量],tbl_ledger[ロットID],$A190,tbl_ledger[イベント種類],"発送"))</f>
        <v/>
      </c>
      <c r="H190" s="4" t="str">
        <f>IF($A190="","",SUMIFS(tbl_ledger[数量],tbl_ledger[ロットID],$A190,tbl_ledger[イベント種類],"搬入")+SUMIFS(tbl_ledger[数量],tbl_ledger[充当先ロットID],$A190,tbl_ledger[イベント種類],"充当")-SUMIFS(tbl_ledger[数量],tbl_ledger[ロットID],$A190,tbl_ledger[イベント種類],"充当")-SUMIFS(tbl_ledger[数量],tbl_ledger[ロットID],$A190,tbl_ledger[イベント種類],"発送")-SUMIFS(tbl_ledger[数量],tbl_ledger[ロットID],$A190,tbl_ledger[イベント種類],"倉庫A戻し")-SUMIFS(tbl_ledger[数量],tbl_ledger[ロットID],$A190,tbl_ledger[イベント種類],"余剰化")-SUMIFS(tbl_ledger[数量],tbl_ledger[ロットID],$A190,tbl_ledger[イベント種類],"不良発生"))</f>
        <v/>
      </c>
      <c r="I190" s="4" t="str">
        <f>IF($A190="","",SUMIFS(tbl_ledger[数量],tbl_ledger[品番],$B190,tbl_ledger[イベント種類],"余剰化")+SUMIFS(tbl_ledger[数量],tbl_ledger[品番],$B190,tbl_ledger[イベント種類],"搬入",tbl_ledger[ロットID],"=")-SUMIFS(tbl_ledger[数量],tbl_ledger[品番],$B190,tbl_ledger[イベント種類],"充当",tbl_ledger[ロットID],"=")-SUMIFS(tbl_ledger[数量],tbl_ledger[品番],$B190,tbl_ledger[イベント種類],"発送",tbl_ledger[ロットID],"=")-SUMIFS(tbl_ledger[数量],tbl_ledger[品番],$B190,tbl_ledger[イベント種類],"倉庫A戻し",tbl_ledger[ロットID],"=")-SUMIFS(tbl_ledger[数量],tbl_ledger[品番],$B190,tbl_ledger[イベント種類],"不良発生",tbl_ledger[ロットID],"="))</f>
        <v/>
      </c>
      <c r="J190" s="4" t="str">
        <f t="shared" si="6"/>
        <v/>
      </c>
      <c r="K190" s="4" t="str">
        <f t="shared" si="7"/>
        <v/>
      </c>
      <c r="L190" s="4" t="str">
        <f t="shared" si="8"/>
        <v/>
      </c>
      <c r="M190" s="4" t="str">
        <f>IF($A190="","",IF(INDEX(tbl_plan[計画状態],ROW()-1)="キャンセル","キャンセル",IF(K190=0,"発送済",IF(L190&gt;0,"要搬出","OK"))))</f>
        <v/>
      </c>
    </row>
    <row r="191" spans="1:13" ht="15" x14ac:dyDescent="0.25">
      <c r="A191" s="4" t="str">
        <f>IFERROR(INDEX(tbl_plan[ロットID],ROW()-1),"")</f>
        <v/>
      </c>
      <c r="B191" s="4" t="str">
        <f>IF($A191="","",INDEX(tbl_plan[品番],ROW()-1))</f>
        <v/>
      </c>
      <c r="C191" s="5" t="str">
        <f>IF($A191="","",INDEX(tbl_plan[出荷週],ROW()-1))</f>
        <v/>
      </c>
      <c r="D191" s="4" t="str">
        <f>IF($A191="","",INDEX(tbl_plan[納期先],ROW()-1)&amp;"")</f>
        <v/>
      </c>
      <c r="E191" s="4" t="str">
        <f>IF($A191="","",INDEX(tbl_plan[必要数],ROW()-1))</f>
        <v/>
      </c>
      <c r="F191" s="4" t="str">
        <f>IF($A191="","",SUMIFS(tbl_plan[必要数],tbl_plan[ロットID],$A191,tbl_plan[計画状態],"有効"))</f>
        <v/>
      </c>
      <c r="G191" s="4" t="str">
        <f>IF($A191="","",SUMIFS(tbl_ledger[数量],tbl_ledger[ロットID],$A191,tbl_ledger[イベント種類],"発送"))</f>
        <v/>
      </c>
      <c r="H191" s="4" t="str">
        <f>IF($A191="","",SUMIFS(tbl_ledger[数量],tbl_ledger[ロットID],$A191,tbl_ledger[イベント種類],"搬入")+SUMIFS(tbl_ledger[数量],tbl_ledger[充当先ロットID],$A191,tbl_ledger[イベント種類],"充当")-SUMIFS(tbl_ledger[数量],tbl_ledger[ロットID],$A191,tbl_ledger[イベント種類],"充当")-SUMIFS(tbl_ledger[数量],tbl_ledger[ロットID],$A191,tbl_ledger[イベント種類],"発送")-SUMIFS(tbl_ledger[数量],tbl_ledger[ロットID],$A191,tbl_ledger[イベント種類],"倉庫A戻し")-SUMIFS(tbl_ledger[数量],tbl_ledger[ロットID],$A191,tbl_ledger[イベント種類],"余剰化")-SUMIFS(tbl_ledger[数量],tbl_ledger[ロットID],$A191,tbl_ledger[イベント種類],"不良発生"))</f>
        <v/>
      </c>
      <c r="I191" s="4" t="str">
        <f>IF($A191="","",SUMIFS(tbl_ledger[数量],tbl_ledger[品番],$B191,tbl_ledger[イベント種類],"余剰化")+SUMIFS(tbl_ledger[数量],tbl_ledger[品番],$B191,tbl_ledger[イベント種類],"搬入",tbl_ledger[ロットID],"=")-SUMIFS(tbl_ledger[数量],tbl_ledger[品番],$B191,tbl_ledger[イベント種類],"充当",tbl_ledger[ロットID],"=")-SUMIFS(tbl_ledger[数量],tbl_ledger[品番],$B191,tbl_ledger[イベント種類],"発送",tbl_ledger[ロットID],"=")-SUMIFS(tbl_ledger[数量],tbl_ledger[品番],$B191,tbl_ledger[イベント種類],"倉庫A戻し",tbl_ledger[ロットID],"=")-SUMIFS(tbl_ledger[数量],tbl_ledger[品番],$B191,tbl_ledger[イベント種類],"不良発生",tbl_ledger[ロットID],"="))</f>
        <v/>
      </c>
      <c r="J191" s="4" t="str">
        <f t="shared" si="6"/>
        <v/>
      </c>
      <c r="K191" s="4" t="str">
        <f t="shared" si="7"/>
        <v/>
      </c>
      <c r="L191" s="4" t="str">
        <f t="shared" si="8"/>
        <v/>
      </c>
      <c r="M191" s="4" t="str">
        <f>IF($A191="","",IF(INDEX(tbl_plan[計画状態],ROW()-1)="キャンセル","キャンセル",IF(K191=0,"発送済",IF(L191&gt;0,"要搬出","OK"))))</f>
        <v/>
      </c>
    </row>
    <row r="192" spans="1:13" ht="15" x14ac:dyDescent="0.25">
      <c r="A192" s="4" t="str">
        <f>IFERROR(INDEX(tbl_plan[ロットID],ROW()-1),"")</f>
        <v/>
      </c>
      <c r="B192" s="4" t="str">
        <f>IF($A192="","",INDEX(tbl_plan[品番],ROW()-1))</f>
        <v/>
      </c>
      <c r="C192" s="5" t="str">
        <f>IF($A192="","",INDEX(tbl_plan[出荷週],ROW()-1))</f>
        <v/>
      </c>
      <c r="D192" s="4" t="str">
        <f>IF($A192="","",INDEX(tbl_plan[納期先],ROW()-1)&amp;"")</f>
        <v/>
      </c>
      <c r="E192" s="4" t="str">
        <f>IF($A192="","",INDEX(tbl_plan[必要数],ROW()-1))</f>
        <v/>
      </c>
      <c r="F192" s="4" t="str">
        <f>IF($A192="","",SUMIFS(tbl_plan[必要数],tbl_plan[ロットID],$A192,tbl_plan[計画状態],"有効"))</f>
        <v/>
      </c>
      <c r="G192" s="4" t="str">
        <f>IF($A192="","",SUMIFS(tbl_ledger[数量],tbl_ledger[ロットID],$A192,tbl_ledger[イベント種類],"発送"))</f>
        <v/>
      </c>
      <c r="H192" s="4" t="str">
        <f>IF($A192="","",SUMIFS(tbl_ledger[数量],tbl_ledger[ロットID],$A192,tbl_ledger[イベント種類],"搬入")+SUMIFS(tbl_ledger[数量],tbl_ledger[充当先ロットID],$A192,tbl_ledger[イベント種類],"充当")-SUMIFS(tbl_ledger[数量],tbl_ledger[ロットID],$A192,tbl_ledger[イベント種類],"充当")-SUMIFS(tbl_ledger[数量],tbl_ledger[ロットID],$A192,tbl_ledger[イベント種類],"発送")-SUMIFS(tbl_ledger[数量],tbl_ledger[ロットID],$A192,tbl_ledger[イベント種類],"倉庫A戻し")-SUMIFS(tbl_ledger[数量],tbl_ledger[ロットID],$A192,tbl_ledger[イベント種類],"余剰化")-SUMIFS(tbl_ledger[数量],tbl_ledger[ロットID],$A192,tbl_ledger[イベント種類],"不良発生"))</f>
        <v/>
      </c>
      <c r="I192" s="4" t="str">
        <f>IF($A192="","",SUMIFS(tbl_ledger[数量],tbl_ledger[品番],$B192,tbl_ledger[イベント種類],"余剰化")+SUMIFS(tbl_ledger[数量],tbl_ledger[品番],$B192,tbl_ledger[イベント種類],"搬入",tbl_ledger[ロットID],"=")-SUMIFS(tbl_ledger[数量],tbl_ledger[品番],$B192,tbl_ledger[イベント種類],"充当",tbl_ledger[ロットID],"=")-SUMIFS(tbl_ledger[数量],tbl_ledger[品番],$B192,tbl_ledger[イベント種類],"発送",tbl_ledger[ロットID],"=")-SUMIFS(tbl_ledger[数量],tbl_ledger[品番],$B192,tbl_ledger[イベント種類],"倉庫A戻し",tbl_ledger[ロットID],"=")-SUMIFS(tbl_ledger[数量],tbl_ledger[品番],$B192,tbl_ledger[イベント種類],"不良発生",tbl_ledger[ロットID],"="))</f>
        <v/>
      </c>
      <c r="J192" s="4" t="str">
        <f t="shared" si="6"/>
        <v/>
      </c>
      <c r="K192" s="4" t="str">
        <f t="shared" si="7"/>
        <v/>
      </c>
      <c r="L192" s="4" t="str">
        <f t="shared" si="8"/>
        <v/>
      </c>
      <c r="M192" s="4" t="str">
        <f>IF($A192="","",IF(INDEX(tbl_plan[計画状態],ROW()-1)="キャンセル","キャンセル",IF(K192=0,"発送済",IF(L192&gt;0,"要搬出","OK"))))</f>
        <v/>
      </c>
    </row>
    <row r="193" spans="1:13" ht="15" x14ac:dyDescent="0.25">
      <c r="A193" s="4" t="str">
        <f>IFERROR(INDEX(tbl_plan[ロットID],ROW()-1),"")</f>
        <v/>
      </c>
      <c r="B193" s="4" t="str">
        <f>IF($A193="","",INDEX(tbl_plan[品番],ROW()-1))</f>
        <v/>
      </c>
      <c r="C193" s="5" t="str">
        <f>IF($A193="","",INDEX(tbl_plan[出荷週],ROW()-1))</f>
        <v/>
      </c>
      <c r="D193" s="4" t="str">
        <f>IF($A193="","",INDEX(tbl_plan[納期先],ROW()-1)&amp;"")</f>
        <v/>
      </c>
      <c r="E193" s="4" t="str">
        <f>IF($A193="","",INDEX(tbl_plan[必要数],ROW()-1))</f>
        <v/>
      </c>
      <c r="F193" s="4" t="str">
        <f>IF($A193="","",SUMIFS(tbl_plan[必要数],tbl_plan[ロットID],$A193,tbl_plan[計画状態],"有効"))</f>
        <v/>
      </c>
      <c r="G193" s="4" t="str">
        <f>IF($A193="","",SUMIFS(tbl_ledger[数量],tbl_ledger[ロットID],$A193,tbl_ledger[イベント種類],"発送"))</f>
        <v/>
      </c>
      <c r="H193" s="4" t="str">
        <f>IF($A193="","",SUMIFS(tbl_ledger[数量],tbl_ledger[ロットID],$A193,tbl_ledger[イベント種類],"搬入")+SUMIFS(tbl_ledger[数量],tbl_ledger[充当先ロットID],$A193,tbl_ledger[イベント種類],"充当")-SUMIFS(tbl_ledger[数量],tbl_ledger[ロットID],$A193,tbl_ledger[イベント種類],"充当")-SUMIFS(tbl_ledger[数量],tbl_ledger[ロットID],$A193,tbl_ledger[イベント種類],"発送")-SUMIFS(tbl_ledger[数量],tbl_ledger[ロットID],$A193,tbl_ledger[イベント種類],"倉庫A戻し")-SUMIFS(tbl_ledger[数量],tbl_ledger[ロットID],$A193,tbl_ledger[イベント種類],"余剰化")-SUMIFS(tbl_ledger[数量],tbl_ledger[ロットID],$A193,tbl_ledger[イベント種類],"不良発生"))</f>
        <v/>
      </c>
      <c r="I193" s="4" t="str">
        <f>IF($A193="","",SUMIFS(tbl_ledger[数量],tbl_ledger[品番],$B193,tbl_ledger[イベント種類],"余剰化")+SUMIFS(tbl_ledger[数量],tbl_ledger[品番],$B193,tbl_ledger[イベント種類],"搬入",tbl_ledger[ロットID],"=")-SUMIFS(tbl_ledger[数量],tbl_ledger[品番],$B193,tbl_ledger[イベント種類],"充当",tbl_ledger[ロットID],"=")-SUMIFS(tbl_ledger[数量],tbl_ledger[品番],$B193,tbl_ledger[イベント種類],"発送",tbl_ledger[ロットID],"=")-SUMIFS(tbl_ledger[数量],tbl_ledger[品番],$B193,tbl_ledger[イベント種類],"倉庫A戻し",tbl_ledger[ロットID],"=")-SUMIFS(tbl_ledger[数量],tbl_ledger[品番],$B193,tbl_ledger[イベント種類],"不良発生",tbl_ledger[ロットID],"="))</f>
        <v/>
      </c>
      <c r="J193" s="4" t="str">
        <f t="shared" si="6"/>
        <v/>
      </c>
      <c r="K193" s="4" t="str">
        <f t="shared" si="7"/>
        <v/>
      </c>
      <c r="L193" s="4" t="str">
        <f t="shared" si="8"/>
        <v/>
      </c>
      <c r="M193" s="4" t="str">
        <f>IF($A193="","",IF(INDEX(tbl_plan[計画状態],ROW()-1)="キャンセル","キャンセル",IF(K193=0,"発送済",IF(L193&gt;0,"要搬出","OK"))))</f>
        <v/>
      </c>
    </row>
    <row r="194" spans="1:13" ht="15" x14ac:dyDescent="0.25">
      <c r="A194" s="4" t="str">
        <f>IFERROR(INDEX(tbl_plan[ロットID],ROW()-1),"")</f>
        <v/>
      </c>
      <c r="B194" s="4" t="str">
        <f>IF($A194="","",INDEX(tbl_plan[品番],ROW()-1))</f>
        <v/>
      </c>
      <c r="C194" s="5" t="str">
        <f>IF($A194="","",INDEX(tbl_plan[出荷週],ROW()-1))</f>
        <v/>
      </c>
      <c r="D194" s="4" t="str">
        <f>IF($A194="","",INDEX(tbl_plan[納期先],ROW()-1)&amp;"")</f>
        <v/>
      </c>
      <c r="E194" s="4" t="str">
        <f>IF($A194="","",INDEX(tbl_plan[必要数],ROW()-1))</f>
        <v/>
      </c>
      <c r="F194" s="4" t="str">
        <f>IF($A194="","",SUMIFS(tbl_plan[必要数],tbl_plan[ロットID],$A194,tbl_plan[計画状態],"有効"))</f>
        <v/>
      </c>
      <c r="G194" s="4" t="str">
        <f>IF($A194="","",SUMIFS(tbl_ledger[数量],tbl_ledger[ロットID],$A194,tbl_ledger[イベント種類],"発送"))</f>
        <v/>
      </c>
      <c r="H194" s="4" t="str">
        <f>IF($A194="","",SUMIFS(tbl_ledger[数量],tbl_ledger[ロットID],$A194,tbl_ledger[イベント種類],"搬入")+SUMIFS(tbl_ledger[数量],tbl_ledger[充当先ロットID],$A194,tbl_ledger[イベント種類],"充当")-SUMIFS(tbl_ledger[数量],tbl_ledger[ロットID],$A194,tbl_ledger[イベント種類],"充当")-SUMIFS(tbl_ledger[数量],tbl_ledger[ロットID],$A194,tbl_ledger[イベント種類],"発送")-SUMIFS(tbl_ledger[数量],tbl_ledger[ロットID],$A194,tbl_ledger[イベント種類],"倉庫A戻し")-SUMIFS(tbl_ledger[数量],tbl_ledger[ロットID],$A194,tbl_ledger[イベント種類],"余剰化")-SUMIFS(tbl_ledger[数量],tbl_ledger[ロットID],$A194,tbl_ledger[イベント種類],"不良発生"))</f>
        <v/>
      </c>
      <c r="I194" s="4" t="str">
        <f>IF($A194="","",SUMIFS(tbl_ledger[数量],tbl_ledger[品番],$B194,tbl_ledger[イベント種類],"余剰化")+SUMIFS(tbl_ledger[数量],tbl_ledger[品番],$B194,tbl_ledger[イベント種類],"搬入",tbl_ledger[ロットID],"=")-SUMIFS(tbl_ledger[数量],tbl_ledger[品番],$B194,tbl_ledger[イベント種類],"充当",tbl_ledger[ロットID],"=")-SUMIFS(tbl_ledger[数量],tbl_ledger[品番],$B194,tbl_ledger[イベント種類],"発送",tbl_ledger[ロットID],"=")-SUMIFS(tbl_ledger[数量],tbl_ledger[品番],$B194,tbl_ledger[イベント種類],"倉庫A戻し",tbl_ledger[ロットID],"=")-SUMIFS(tbl_ledger[数量],tbl_ledger[品番],$B194,tbl_ledger[イベント種類],"不良発生",tbl_ledger[ロットID],"="))</f>
        <v/>
      </c>
      <c r="J194" s="4" t="str">
        <f t="shared" ref="J194:J257" si="9">IF($A194="","",H194+I194)</f>
        <v/>
      </c>
      <c r="K194" s="4" t="str">
        <f t="shared" ref="K194:K257" si="10">IF($A194="","",MAX(0,F194-G194))</f>
        <v/>
      </c>
      <c r="L194" s="4" t="str">
        <f t="shared" ref="L194:L257" si="11">IF($A194="","",MAX(0,K194-J194))</f>
        <v/>
      </c>
      <c r="M194" s="4" t="str">
        <f>IF($A194="","",IF(INDEX(tbl_plan[計画状態],ROW()-1)="キャンセル","キャンセル",IF(K194=0,"発送済",IF(L194&gt;0,"要搬出","OK"))))</f>
        <v/>
      </c>
    </row>
    <row r="195" spans="1:13" ht="15" x14ac:dyDescent="0.25">
      <c r="A195" s="4" t="str">
        <f>IFERROR(INDEX(tbl_plan[ロットID],ROW()-1),"")</f>
        <v/>
      </c>
      <c r="B195" s="4" t="str">
        <f>IF($A195="","",INDEX(tbl_plan[品番],ROW()-1))</f>
        <v/>
      </c>
      <c r="C195" s="5" t="str">
        <f>IF($A195="","",INDEX(tbl_plan[出荷週],ROW()-1))</f>
        <v/>
      </c>
      <c r="D195" s="4" t="str">
        <f>IF($A195="","",INDEX(tbl_plan[納期先],ROW()-1)&amp;"")</f>
        <v/>
      </c>
      <c r="E195" s="4" t="str">
        <f>IF($A195="","",INDEX(tbl_plan[必要数],ROW()-1))</f>
        <v/>
      </c>
      <c r="F195" s="4" t="str">
        <f>IF($A195="","",SUMIFS(tbl_plan[必要数],tbl_plan[ロットID],$A195,tbl_plan[計画状態],"有効"))</f>
        <v/>
      </c>
      <c r="G195" s="4" t="str">
        <f>IF($A195="","",SUMIFS(tbl_ledger[数量],tbl_ledger[ロットID],$A195,tbl_ledger[イベント種類],"発送"))</f>
        <v/>
      </c>
      <c r="H195" s="4" t="str">
        <f>IF($A195="","",SUMIFS(tbl_ledger[数量],tbl_ledger[ロットID],$A195,tbl_ledger[イベント種類],"搬入")+SUMIFS(tbl_ledger[数量],tbl_ledger[充当先ロットID],$A195,tbl_ledger[イベント種類],"充当")-SUMIFS(tbl_ledger[数量],tbl_ledger[ロットID],$A195,tbl_ledger[イベント種類],"充当")-SUMIFS(tbl_ledger[数量],tbl_ledger[ロットID],$A195,tbl_ledger[イベント種類],"発送")-SUMIFS(tbl_ledger[数量],tbl_ledger[ロットID],$A195,tbl_ledger[イベント種類],"倉庫A戻し")-SUMIFS(tbl_ledger[数量],tbl_ledger[ロットID],$A195,tbl_ledger[イベント種類],"余剰化")-SUMIFS(tbl_ledger[数量],tbl_ledger[ロットID],$A195,tbl_ledger[イベント種類],"不良発生"))</f>
        <v/>
      </c>
      <c r="I195" s="4" t="str">
        <f>IF($A195="","",SUMIFS(tbl_ledger[数量],tbl_ledger[品番],$B195,tbl_ledger[イベント種類],"余剰化")+SUMIFS(tbl_ledger[数量],tbl_ledger[品番],$B195,tbl_ledger[イベント種類],"搬入",tbl_ledger[ロットID],"=")-SUMIFS(tbl_ledger[数量],tbl_ledger[品番],$B195,tbl_ledger[イベント種類],"充当",tbl_ledger[ロットID],"=")-SUMIFS(tbl_ledger[数量],tbl_ledger[品番],$B195,tbl_ledger[イベント種類],"発送",tbl_ledger[ロットID],"=")-SUMIFS(tbl_ledger[数量],tbl_ledger[品番],$B195,tbl_ledger[イベント種類],"倉庫A戻し",tbl_ledger[ロットID],"=")-SUMIFS(tbl_ledger[数量],tbl_ledger[品番],$B195,tbl_ledger[イベント種類],"不良発生",tbl_ledger[ロットID],"="))</f>
        <v/>
      </c>
      <c r="J195" s="4" t="str">
        <f t="shared" si="9"/>
        <v/>
      </c>
      <c r="K195" s="4" t="str">
        <f t="shared" si="10"/>
        <v/>
      </c>
      <c r="L195" s="4" t="str">
        <f t="shared" si="11"/>
        <v/>
      </c>
      <c r="M195" s="4" t="str">
        <f>IF($A195="","",IF(INDEX(tbl_plan[計画状態],ROW()-1)="キャンセル","キャンセル",IF(K195=0,"発送済",IF(L195&gt;0,"要搬出","OK"))))</f>
        <v/>
      </c>
    </row>
    <row r="196" spans="1:13" ht="15" x14ac:dyDescent="0.25">
      <c r="A196" s="4" t="str">
        <f>IFERROR(INDEX(tbl_plan[ロットID],ROW()-1),"")</f>
        <v/>
      </c>
      <c r="B196" s="4" t="str">
        <f>IF($A196="","",INDEX(tbl_plan[品番],ROW()-1))</f>
        <v/>
      </c>
      <c r="C196" s="5" t="str">
        <f>IF($A196="","",INDEX(tbl_plan[出荷週],ROW()-1))</f>
        <v/>
      </c>
      <c r="D196" s="4" t="str">
        <f>IF($A196="","",INDEX(tbl_plan[納期先],ROW()-1)&amp;"")</f>
        <v/>
      </c>
      <c r="E196" s="4" t="str">
        <f>IF($A196="","",INDEX(tbl_plan[必要数],ROW()-1))</f>
        <v/>
      </c>
      <c r="F196" s="4" t="str">
        <f>IF($A196="","",SUMIFS(tbl_plan[必要数],tbl_plan[ロットID],$A196,tbl_plan[計画状態],"有効"))</f>
        <v/>
      </c>
      <c r="G196" s="4" t="str">
        <f>IF($A196="","",SUMIFS(tbl_ledger[数量],tbl_ledger[ロットID],$A196,tbl_ledger[イベント種類],"発送"))</f>
        <v/>
      </c>
      <c r="H196" s="4" t="str">
        <f>IF($A196="","",SUMIFS(tbl_ledger[数量],tbl_ledger[ロットID],$A196,tbl_ledger[イベント種類],"搬入")+SUMIFS(tbl_ledger[数量],tbl_ledger[充当先ロットID],$A196,tbl_ledger[イベント種類],"充当")-SUMIFS(tbl_ledger[数量],tbl_ledger[ロットID],$A196,tbl_ledger[イベント種類],"充当")-SUMIFS(tbl_ledger[数量],tbl_ledger[ロットID],$A196,tbl_ledger[イベント種類],"発送")-SUMIFS(tbl_ledger[数量],tbl_ledger[ロットID],$A196,tbl_ledger[イベント種類],"倉庫A戻し")-SUMIFS(tbl_ledger[数量],tbl_ledger[ロットID],$A196,tbl_ledger[イベント種類],"余剰化")-SUMIFS(tbl_ledger[数量],tbl_ledger[ロットID],$A196,tbl_ledger[イベント種類],"不良発生"))</f>
        <v/>
      </c>
      <c r="I196" s="4" t="str">
        <f>IF($A196="","",SUMIFS(tbl_ledger[数量],tbl_ledger[品番],$B196,tbl_ledger[イベント種類],"余剰化")+SUMIFS(tbl_ledger[数量],tbl_ledger[品番],$B196,tbl_ledger[イベント種類],"搬入",tbl_ledger[ロットID],"=")-SUMIFS(tbl_ledger[数量],tbl_ledger[品番],$B196,tbl_ledger[イベント種類],"充当",tbl_ledger[ロットID],"=")-SUMIFS(tbl_ledger[数量],tbl_ledger[品番],$B196,tbl_ledger[イベント種類],"発送",tbl_ledger[ロットID],"=")-SUMIFS(tbl_ledger[数量],tbl_ledger[品番],$B196,tbl_ledger[イベント種類],"倉庫A戻し",tbl_ledger[ロットID],"=")-SUMIFS(tbl_ledger[数量],tbl_ledger[品番],$B196,tbl_ledger[イベント種類],"不良発生",tbl_ledger[ロットID],"="))</f>
        <v/>
      </c>
      <c r="J196" s="4" t="str">
        <f t="shared" si="9"/>
        <v/>
      </c>
      <c r="K196" s="4" t="str">
        <f t="shared" si="10"/>
        <v/>
      </c>
      <c r="L196" s="4" t="str">
        <f t="shared" si="11"/>
        <v/>
      </c>
      <c r="M196" s="4" t="str">
        <f>IF($A196="","",IF(INDEX(tbl_plan[計画状態],ROW()-1)="キャンセル","キャンセル",IF(K196=0,"発送済",IF(L196&gt;0,"要搬出","OK"))))</f>
        <v/>
      </c>
    </row>
    <row r="197" spans="1:13" ht="15" x14ac:dyDescent="0.25">
      <c r="A197" s="4" t="str">
        <f>IFERROR(INDEX(tbl_plan[ロットID],ROW()-1),"")</f>
        <v/>
      </c>
      <c r="B197" s="4" t="str">
        <f>IF($A197="","",INDEX(tbl_plan[品番],ROW()-1))</f>
        <v/>
      </c>
      <c r="C197" s="5" t="str">
        <f>IF($A197="","",INDEX(tbl_plan[出荷週],ROW()-1))</f>
        <v/>
      </c>
      <c r="D197" s="4" t="str">
        <f>IF($A197="","",INDEX(tbl_plan[納期先],ROW()-1)&amp;"")</f>
        <v/>
      </c>
      <c r="E197" s="4" t="str">
        <f>IF($A197="","",INDEX(tbl_plan[必要数],ROW()-1))</f>
        <v/>
      </c>
      <c r="F197" s="4" t="str">
        <f>IF($A197="","",SUMIFS(tbl_plan[必要数],tbl_plan[ロットID],$A197,tbl_plan[計画状態],"有効"))</f>
        <v/>
      </c>
      <c r="G197" s="4" t="str">
        <f>IF($A197="","",SUMIFS(tbl_ledger[数量],tbl_ledger[ロットID],$A197,tbl_ledger[イベント種類],"発送"))</f>
        <v/>
      </c>
      <c r="H197" s="4" t="str">
        <f>IF($A197="","",SUMIFS(tbl_ledger[数量],tbl_ledger[ロットID],$A197,tbl_ledger[イベント種類],"搬入")+SUMIFS(tbl_ledger[数量],tbl_ledger[充当先ロットID],$A197,tbl_ledger[イベント種類],"充当")-SUMIFS(tbl_ledger[数量],tbl_ledger[ロットID],$A197,tbl_ledger[イベント種類],"充当")-SUMIFS(tbl_ledger[数量],tbl_ledger[ロットID],$A197,tbl_ledger[イベント種類],"発送")-SUMIFS(tbl_ledger[数量],tbl_ledger[ロットID],$A197,tbl_ledger[イベント種類],"倉庫A戻し")-SUMIFS(tbl_ledger[数量],tbl_ledger[ロットID],$A197,tbl_ledger[イベント種類],"余剰化")-SUMIFS(tbl_ledger[数量],tbl_ledger[ロットID],$A197,tbl_ledger[イベント種類],"不良発生"))</f>
        <v/>
      </c>
      <c r="I197" s="4" t="str">
        <f>IF($A197="","",SUMIFS(tbl_ledger[数量],tbl_ledger[品番],$B197,tbl_ledger[イベント種類],"余剰化")+SUMIFS(tbl_ledger[数量],tbl_ledger[品番],$B197,tbl_ledger[イベント種類],"搬入",tbl_ledger[ロットID],"=")-SUMIFS(tbl_ledger[数量],tbl_ledger[品番],$B197,tbl_ledger[イベント種類],"充当",tbl_ledger[ロットID],"=")-SUMIFS(tbl_ledger[数量],tbl_ledger[品番],$B197,tbl_ledger[イベント種類],"発送",tbl_ledger[ロットID],"=")-SUMIFS(tbl_ledger[数量],tbl_ledger[品番],$B197,tbl_ledger[イベント種類],"倉庫A戻し",tbl_ledger[ロットID],"=")-SUMIFS(tbl_ledger[数量],tbl_ledger[品番],$B197,tbl_ledger[イベント種類],"不良発生",tbl_ledger[ロットID],"="))</f>
        <v/>
      </c>
      <c r="J197" s="4" t="str">
        <f t="shared" si="9"/>
        <v/>
      </c>
      <c r="K197" s="4" t="str">
        <f t="shared" si="10"/>
        <v/>
      </c>
      <c r="L197" s="4" t="str">
        <f t="shared" si="11"/>
        <v/>
      </c>
      <c r="M197" s="4" t="str">
        <f>IF($A197="","",IF(INDEX(tbl_plan[計画状態],ROW()-1)="キャンセル","キャンセル",IF(K197=0,"発送済",IF(L197&gt;0,"要搬出","OK"))))</f>
        <v/>
      </c>
    </row>
    <row r="198" spans="1:13" ht="15" x14ac:dyDescent="0.25">
      <c r="A198" s="4" t="str">
        <f>IFERROR(INDEX(tbl_plan[ロットID],ROW()-1),"")</f>
        <v/>
      </c>
      <c r="B198" s="4" t="str">
        <f>IF($A198="","",INDEX(tbl_plan[品番],ROW()-1))</f>
        <v/>
      </c>
      <c r="C198" s="5" t="str">
        <f>IF($A198="","",INDEX(tbl_plan[出荷週],ROW()-1))</f>
        <v/>
      </c>
      <c r="D198" s="4" t="str">
        <f>IF($A198="","",INDEX(tbl_plan[納期先],ROW()-1)&amp;"")</f>
        <v/>
      </c>
      <c r="E198" s="4" t="str">
        <f>IF($A198="","",INDEX(tbl_plan[必要数],ROW()-1))</f>
        <v/>
      </c>
      <c r="F198" s="4" t="str">
        <f>IF($A198="","",SUMIFS(tbl_plan[必要数],tbl_plan[ロットID],$A198,tbl_plan[計画状態],"有効"))</f>
        <v/>
      </c>
      <c r="G198" s="4" t="str">
        <f>IF($A198="","",SUMIFS(tbl_ledger[数量],tbl_ledger[ロットID],$A198,tbl_ledger[イベント種類],"発送"))</f>
        <v/>
      </c>
      <c r="H198" s="4" t="str">
        <f>IF($A198="","",SUMIFS(tbl_ledger[数量],tbl_ledger[ロットID],$A198,tbl_ledger[イベント種類],"搬入")+SUMIFS(tbl_ledger[数量],tbl_ledger[充当先ロットID],$A198,tbl_ledger[イベント種類],"充当")-SUMIFS(tbl_ledger[数量],tbl_ledger[ロットID],$A198,tbl_ledger[イベント種類],"充当")-SUMIFS(tbl_ledger[数量],tbl_ledger[ロットID],$A198,tbl_ledger[イベント種類],"発送")-SUMIFS(tbl_ledger[数量],tbl_ledger[ロットID],$A198,tbl_ledger[イベント種類],"倉庫A戻し")-SUMIFS(tbl_ledger[数量],tbl_ledger[ロットID],$A198,tbl_ledger[イベント種類],"余剰化")-SUMIFS(tbl_ledger[数量],tbl_ledger[ロットID],$A198,tbl_ledger[イベント種類],"不良発生"))</f>
        <v/>
      </c>
      <c r="I198" s="4" t="str">
        <f>IF($A198="","",SUMIFS(tbl_ledger[数量],tbl_ledger[品番],$B198,tbl_ledger[イベント種類],"余剰化")+SUMIFS(tbl_ledger[数量],tbl_ledger[品番],$B198,tbl_ledger[イベント種類],"搬入",tbl_ledger[ロットID],"=")-SUMIFS(tbl_ledger[数量],tbl_ledger[品番],$B198,tbl_ledger[イベント種類],"充当",tbl_ledger[ロットID],"=")-SUMIFS(tbl_ledger[数量],tbl_ledger[品番],$B198,tbl_ledger[イベント種類],"発送",tbl_ledger[ロットID],"=")-SUMIFS(tbl_ledger[数量],tbl_ledger[品番],$B198,tbl_ledger[イベント種類],"倉庫A戻し",tbl_ledger[ロットID],"=")-SUMIFS(tbl_ledger[数量],tbl_ledger[品番],$B198,tbl_ledger[イベント種類],"不良発生",tbl_ledger[ロットID],"="))</f>
        <v/>
      </c>
      <c r="J198" s="4" t="str">
        <f t="shared" si="9"/>
        <v/>
      </c>
      <c r="K198" s="4" t="str">
        <f t="shared" si="10"/>
        <v/>
      </c>
      <c r="L198" s="4" t="str">
        <f t="shared" si="11"/>
        <v/>
      </c>
      <c r="M198" s="4" t="str">
        <f>IF($A198="","",IF(INDEX(tbl_plan[計画状態],ROW()-1)="キャンセル","キャンセル",IF(K198=0,"発送済",IF(L198&gt;0,"要搬出","OK"))))</f>
        <v/>
      </c>
    </row>
    <row r="199" spans="1:13" ht="15" x14ac:dyDescent="0.25">
      <c r="A199" s="4" t="str">
        <f>IFERROR(INDEX(tbl_plan[ロットID],ROW()-1),"")</f>
        <v/>
      </c>
      <c r="B199" s="4" t="str">
        <f>IF($A199="","",INDEX(tbl_plan[品番],ROW()-1))</f>
        <v/>
      </c>
      <c r="C199" s="5" t="str">
        <f>IF($A199="","",INDEX(tbl_plan[出荷週],ROW()-1))</f>
        <v/>
      </c>
      <c r="D199" s="4" t="str">
        <f>IF($A199="","",INDEX(tbl_plan[納期先],ROW()-1)&amp;"")</f>
        <v/>
      </c>
      <c r="E199" s="4" t="str">
        <f>IF($A199="","",INDEX(tbl_plan[必要数],ROW()-1))</f>
        <v/>
      </c>
      <c r="F199" s="4" t="str">
        <f>IF($A199="","",SUMIFS(tbl_plan[必要数],tbl_plan[ロットID],$A199,tbl_plan[計画状態],"有効"))</f>
        <v/>
      </c>
      <c r="G199" s="4" t="str">
        <f>IF($A199="","",SUMIFS(tbl_ledger[数量],tbl_ledger[ロットID],$A199,tbl_ledger[イベント種類],"発送"))</f>
        <v/>
      </c>
      <c r="H199" s="4" t="str">
        <f>IF($A199="","",SUMIFS(tbl_ledger[数量],tbl_ledger[ロットID],$A199,tbl_ledger[イベント種類],"搬入")+SUMIFS(tbl_ledger[数量],tbl_ledger[充当先ロットID],$A199,tbl_ledger[イベント種類],"充当")-SUMIFS(tbl_ledger[数量],tbl_ledger[ロットID],$A199,tbl_ledger[イベント種類],"充当")-SUMIFS(tbl_ledger[数量],tbl_ledger[ロットID],$A199,tbl_ledger[イベント種類],"発送")-SUMIFS(tbl_ledger[数量],tbl_ledger[ロットID],$A199,tbl_ledger[イベント種類],"倉庫A戻し")-SUMIFS(tbl_ledger[数量],tbl_ledger[ロットID],$A199,tbl_ledger[イベント種類],"余剰化")-SUMIFS(tbl_ledger[数量],tbl_ledger[ロットID],$A199,tbl_ledger[イベント種類],"不良発生"))</f>
        <v/>
      </c>
      <c r="I199" s="4" t="str">
        <f>IF($A199="","",SUMIFS(tbl_ledger[数量],tbl_ledger[品番],$B199,tbl_ledger[イベント種類],"余剰化")+SUMIFS(tbl_ledger[数量],tbl_ledger[品番],$B199,tbl_ledger[イベント種類],"搬入",tbl_ledger[ロットID],"=")-SUMIFS(tbl_ledger[数量],tbl_ledger[品番],$B199,tbl_ledger[イベント種類],"充当",tbl_ledger[ロットID],"=")-SUMIFS(tbl_ledger[数量],tbl_ledger[品番],$B199,tbl_ledger[イベント種類],"発送",tbl_ledger[ロットID],"=")-SUMIFS(tbl_ledger[数量],tbl_ledger[品番],$B199,tbl_ledger[イベント種類],"倉庫A戻し",tbl_ledger[ロットID],"=")-SUMIFS(tbl_ledger[数量],tbl_ledger[品番],$B199,tbl_ledger[イベント種類],"不良発生",tbl_ledger[ロットID],"="))</f>
        <v/>
      </c>
      <c r="J199" s="4" t="str">
        <f t="shared" si="9"/>
        <v/>
      </c>
      <c r="K199" s="4" t="str">
        <f t="shared" si="10"/>
        <v/>
      </c>
      <c r="L199" s="4" t="str">
        <f t="shared" si="11"/>
        <v/>
      </c>
      <c r="M199" s="4" t="str">
        <f>IF($A199="","",IF(INDEX(tbl_plan[計画状態],ROW()-1)="キャンセル","キャンセル",IF(K199=0,"発送済",IF(L199&gt;0,"要搬出","OK"))))</f>
        <v/>
      </c>
    </row>
    <row r="200" spans="1:13" ht="15" x14ac:dyDescent="0.25">
      <c r="A200" s="4" t="str">
        <f>IFERROR(INDEX(tbl_plan[ロットID],ROW()-1),"")</f>
        <v/>
      </c>
      <c r="B200" s="4" t="str">
        <f>IF($A200="","",INDEX(tbl_plan[品番],ROW()-1))</f>
        <v/>
      </c>
      <c r="C200" s="5" t="str">
        <f>IF($A200="","",INDEX(tbl_plan[出荷週],ROW()-1))</f>
        <v/>
      </c>
      <c r="D200" s="4" t="str">
        <f>IF($A200="","",INDEX(tbl_plan[納期先],ROW()-1)&amp;"")</f>
        <v/>
      </c>
      <c r="E200" s="4" t="str">
        <f>IF($A200="","",INDEX(tbl_plan[必要数],ROW()-1))</f>
        <v/>
      </c>
      <c r="F200" s="4" t="str">
        <f>IF($A200="","",SUMIFS(tbl_plan[必要数],tbl_plan[ロットID],$A200,tbl_plan[計画状態],"有効"))</f>
        <v/>
      </c>
      <c r="G200" s="4" t="str">
        <f>IF($A200="","",SUMIFS(tbl_ledger[数量],tbl_ledger[ロットID],$A200,tbl_ledger[イベント種類],"発送"))</f>
        <v/>
      </c>
      <c r="H200" s="4" t="str">
        <f>IF($A200="","",SUMIFS(tbl_ledger[数量],tbl_ledger[ロットID],$A200,tbl_ledger[イベント種類],"搬入")+SUMIFS(tbl_ledger[数量],tbl_ledger[充当先ロットID],$A200,tbl_ledger[イベント種類],"充当")-SUMIFS(tbl_ledger[数量],tbl_ledger[ロットID],$A200,tbl_ledger[イベント種類],"充当")-SUMIFS(tbl_ledger[数量],tbl_ledger[ロットID],$A200,tbl_ledger[イベント種類],"発送")-SUMIFS(tbl_ledger[数量],tbl_ledger[ロットID],$A200,tbl_ledger[イベント種類],"倉庫A戻し")-SUMIFS(tbl_ledger[数量],tbl_ledger[ロットID],$A200,tbl_ledger[イベント種類],"余剰化")-SUMIFS(tbl_ledger[数量],tbl_ledger[ロットID],$A200,tbl_ledger[イベント種類],"不良発生"))</f>
        <v/>
      </c>
      <c r="I200" s="4" t="str">
        <f>IF($A200="","",SUMIFS(tbl_ledger[数量],tbl_ledger[品番],$B200,tbl_ledger[イベント種類],"余剰化")+SUMIFS(tbl_ledger[数量],tbl_ledger[品番],$B200,tbl_ledger[イベント種類],"搬入",tbl_ledger[ロットID],"=")-SUMIFS(tbl_ledger[数量],tbl_ledger[品番],$B200,tbl_ledger[イベント種類],"充当",tbl_ledger[ロットID],"=")-SUMIFS(tbl_ledger[数量],tbl_ledger[品番],$B200,tbl_ledger[イベント種類],"発送",tbl_ledger[ロットID],"=")-SUMIFS(tbl_ledger[数量],tbl_ledger[品番],$B200,tbl_ledger[イベント種類],"倉庫A戻し",tbl_ledger[ロットID],"=")-SUMIFS(tbl_ledger[数量],tbl_ledger[品番],$B200,tbl_ledger[イベント種類],"不良発生",tbl_ledger[ロットID],"="))</f>
        <v/>
      </c>
      <c r="J200" s="4" t="str">
        <f t="shared" si="9"/>
        <v/>
      </c>
      <c r="K200" s="4" t="str">
        <f t="shared" si="10"/>
        <v/>
      </c>
      <c r="L200" s="4" t="str">
        <f t="shared" si="11"/>
        <v/>
      </c>
      <c r="M200" s="4" t="str">
        <f>IF($A200="","",IF(INDEX(tbl_plan[計画状態],ROW()-1)="キャンセル","キャンセル",IF(K200=0,"発送済",IF(L200&gt;0,"要搬出","OK"))))</f>
        <v/>
      </c>
    </row>
    <row r="201" spans="1:13" ht="15" x14ac:dyDescent="0.25">
      <c r="A201" s="4" t="str">
        <f>IFERROR(INDEX(tbl_plan[ロットID],ROW()-1),"")</f>
        <v/>
      </c>
      <c r="B201" s="4" t="str">
        <f>IF($A201="","",INDEX(tbl_plan[品番],ROW()-1))</f>
        <v/>
      </c>
      <c r="C201" s="5" t="str">
        <f>IF($A201="","",INDEX(tbl_plan[出荷週],ROW()-1))</f>
        <v/>
      </c>
      <c r="D201" s="4" t="str">
        <f>IF($A201="","",INDEX(tbl_plan[納期先],ROW()-1)&amp;"")</f>
        <v/>
      </c>
      <c r="E201" s="4" t="str">
        <f>IF($A201="","",INDEX(tbl_plan[必要数],ROW()-1))</f>
        <v/>
      </c>
      <c r="F201" s="4" t="str">
        <f>IF($A201="","",SUMIFS(tbl_plan[必要数],tbl_plan[ロットID],$A201,tbl_plan[計画状態],"有効"))</f>
        <v/>
      </c>
      <c r="G201" s="4" t="str">
        <f>IF($A201="","",SUMIFS(tbl_ledger[数量],tbl_ledger[ロットID],$A201,tbl_ledger[イベント種類],"発送"))</f>
        <v/>
      </c>
      <c r="H201" s="4" t="str">
        <f>IF($A201="","",SUMIFS(tbl_ledger[数量],tbl_ledger[ロットID],$A201,tbl_ledger[イベント種類],"搬入")+SUMIFS(tbl_ledger[数量],tbl_ledger[充当先ロットID],$A201,tbl_ledger[イベント種類],"充当")-SUMIFS(tbl_ledger[数量],tbl_ledger[ロットID],$A201,tbl_ledger[イベント種類],"充当")-SUMIFS(tbl_ledger[数量],tbl_ledger[ロットID],$A201,tbl_ledger[イベント種類],"発送")-SUMIFS(tbl_ledger[数量],tbl_ledger[ロットID],$A201,tbl_ledger[イベント種類],"倉庫A戻し")-SUMIFS(tbl_ledger[数量],tbl_ledger[ロットID],$A201,tbl_ledger[イベント種類],"余剰化")-SUMIFS(tbl_ledger[数量],tbl_ledger[ロットID],$A201,tbl_ledger[イベント種類],"不良発生"))</f>
        <v/>
      </c>
      <c r="I201" s="4" t="str">
        <f>IF($A201="","",SUMIFS(tbl_ledger[数量],tbl_ledger[品番],$B201,tbl_ledger[イベント種類],"余剰化")+SUMIFS(tbl_ledger[数量],tbl_ledger[品番],$B201,tbl_ledger[イベント種類],"搬入",tbl_ledger[ロットID],"=")-SUMIFS(tbl_ledger[数量],tbl_ledger[品番],$B201,tbl_ledger[イベント種類],"充当",tbl_ledger[ロットID],"=")-SUMIFS(tbl_ledger[数量],tbl_ledger[品番],$B201,tbl_ledger[イベント種類],"発送",tbl_ledger[ロットID],"=")-SUMIFS(tbl_ledger[数量],tbl_ledger[品番],$B201,tbl_ledger[イベント種類],"倉庫A戻し",tbl_ledger[ロットID],"=")-SUMIFS(tbl_ledger[数量],tbl_ledger[品番],$B201,tbl_ledger[イベント種類],"不良発生",tbl_ledger[ロットID],"="))</f>
        <v/>
      </c>
      <c r="J201" s="4" t="str">
        <f t="shared" si="9"/>
        <v/>
      </c>
      <c r="K201" s="4" t="str">
        <f t="shared" si="10"/>
        <v/>
      </c>
      <c r="L201" s="4" t="str">
        <f t="shared" si="11"/>
        <v/>
      </c>
      <c r="M201" s="4" t="str">
        <f>IF($A201="","",IF(INDEX(tbl_plan[計画状態],ROW()-1)="キャンセル","キャンセル",IF(K201=0,"発送済",IF(L201&gt;0,"要搬出","OK"))))</f>
        <v/>
      </c>
    </row>
    <row r="202" spans="1:13" ht="15" x14ac:dyDescent="0.25">
      <c r="A202" s="4" t="str">
        <f>IFERROR(INDEX(tbl_plan[ロットID],ROW()-1),"")</f>
        <v/>
      </c>
      <c r="B202" s="4" t="str">
        <f>IF($A202="","",INDEX(tbl_plan[品番],ROW()-1))</f>
        <v/>
      </c>
      <c r="C202" s="5" t="str">
        <f>IF($A202="","",INDEX(tbl_plan[出荷週],ROW()-1))</f>
        <v/>
      </c>
      <c r="D202" s="4" t="str">
        <f>IF($A202="","",INDEX(tbl_plan[納期先],ROW()-1)&amp;"")</f>
        <v/>
      </c>
      <c r="E202" s="4" t="str">
        <f>IF($A202="","",INDEX(tbl_plan[必要数],ROW()-1))</f>
        <v/>
      </c>
      <c r="F202" s="4" t="str">
        <f>IF($A202="","",SUMIFS(tbl_plan[必要数],tbl_plan[ロットID],$A202,tbl_plan[計画状態],"有効"))</f>
        <v/>
      </c>
      <c r="G202" s="4" t="str">
        <f>IF($A202="","",SUMIFS(tbl_ledger[数量],tbl_ledger[ロットID],$A202,tbl_ledger[イベント種類],"発送"))</f>
        <v/>
      </c>
      <c r="H202" s="4" t="str">
        <f>IF($A202="","",SUMIFS(tbl_ledger[数量],tbl_ledger[ロットID],$A202,tbl_ledger[イベント種類],"搬入")+SUMIFS(tbl_ledger[数量],tbl_ledger[充当先ロットID],$A202,tbl_ledger[イベント種類],"充当")-SUMIFS(tbl_ledger[数量],tbl_ledger[ロットID],$A202,tbl_ledger[イベント種類],"充当")-SUMIFS(tbl_ledger[数量],tbl_ledger[ロットID],$A202,tbl_ledger[イベント種類],"発送")-SUMIFS(tbl_ledger[数量],tbl_ledger[ロットID],$A202,tbl_ledger[イベント種類],"倉庫A戻し")-SUMIFS(tbl_ledger[数量],tbl_ledger[ロットID],$A202,tbl_ledger[イベント種類],"余剰化")-SUMIFS(tbl_ledger[数量],tbl_ledger[ロットID],$A202,tbl_ledger[イベント種類],"不良発生"))</f>
        <v/>
      </c>
      <c r="I202" s="4" t="str">
        <f>IF($A202="","",SUMIFS(tbl_ledger[数量],tbl_ledger[品番],$B202,tbl_ledger[イベント種類],"余剰化")+SUMIFS(tbl_ledger[数量],tbl_ledger[品番],$B202,tbl_ledger[イベント種類],"搬入",tbl_ledger[ロットID],"=")-SUMIFS(tbl_ledger[数量],tbl_ledger[品番],$B202,tbl_ledger[イベント種類],"充当",tbl_ledger[ロットID],"=")-SUMIFS(tbl_ledger[数量],tbl_ledger[品番],$B202,tbl_ledger[イベント種類],"発送",tbl_ledger[ロットID],"=")-SUMIFS(tbl_ledger[数量],tbl_ledger[品番],$B202,tbl_ledger[イベント種類],"倉庫A戻し",tbl_ledger[ロットID],"=")-SUMIFS(tbl_ledger[数量],tbl_ledger[品番],$B202,tbl_ledger[イベント種類],"不良発生",tbl_ledger[ロットID],"="))</f>
        <v/>
      </c>
      <c r="J202" s="4" t="str">
        <f t="shared" si="9"/>
        <v/>
      </c>
      <c r="K202" s="4" t="str">
        <f t="shared" si="10"/>
        <v/>
      </c>
      <c r="L202" s="4" t="str">
        <f t="shared" si="11"/>
        <v/>
      </c>
      <c r="M202" s="4" t="str">
        <f>IF($A202="","",IF(INDEX(tbl_plan[計画状態],ROW()-1)="キャンセル","キャンセル",IF(K202=0,"発送済",IF(L202&gt;0,"要搬出","OK"))))</f>
        <v/>
      </c>
    </row>
    <row r="203" spans="1:13" ht="15" x14ac:dyDescent="0.25">
      <c r="A203" s="4" t="str">
        <f>IFERROR(INDEX(tbl_plan[ロットID],ROW()-1),"")</f>
        <v/>
      </c>
      <c r="B203" s="4" t="str">
        <f>IF($A203="","",INDEX(tbl_plan[品番],ROW()-1))</f>
        <v/>
      </c>
      <c r="C203" s="5" t="str">
        <f>IF($A203="","",INDEX(tbl_plan[出荷週],ROW()-1))</f>
        <v/>
      </c>
      <c r="D203" s="4" t="str">
        <f>IF($A203="","",INDEX(tbl_plan[納期先],ROW()-1)&amp;"")</f>
        <v/>
      </c>
      <c r="E203" s="4" t="str">
        <f>IF($A203="","",INDEX(tbl_plan[必要数],ROW()-1))</f>
        <v/>
      </c>
      <c r="F203" s="4" t="str">
        <f>IF($A203="","",SUMIFS(tbl_plan[必要数],tbl_plan[ロットID],$A203,tbl_plan[計画状態],"有効"))</f>
        <v/>
      </c>
      <c r="G203" s="4" t="str">
        <f>IF($A203="","",SUMIFS(tbl_ledger[数量],tbl_ledger[ロットID],$A203,tbl_ledger[イベント種類],"発送"))</f>
        <v/>
      </c>
      <c r="H203" s="4" t="str">
        <f>IF($A203="","",SUMIFS(tbl_ledger[数量],tbl_ledger[ロットID],$A203,tbl_ledger[イベント種類],"搬入")+SUMIFS(tbl_ledger[数量],tbl_ledger[充当先ロットID],$A203,tbl_ledger[イベント種類],"充当")-SUMIFS(tbl_ledger[数量],tbl_ledger[ロットID],$A203,tbl_ledger[イベント種類],"充当")-SUMIFS(tbl_ledger[数量],tbl_ledger[ロットID],$A203,tbl_ledger[イベント種類],"発送")-SUMIFS(tbl_ledger[数量],tbl_ledger[ロットID],$A203,tbl_ledger[イベント種類],"倉庫A戻し")-SUMIFS(tbl_ledger[数量],tbl_ledger[ロットID],$A203,tbl_ledger[イベント種類],"余剰化")-SUMIFS(tbl_ledger[数量],tbl_ledger[ロットID],$A203,tbl_ledger[イベント種類],"不良発生"))</f>
        <v/>
      </c>
      <c r="I203" s="4" t="str">
        <f>IF($A203="","",SUMIFS(tbl_ledger[数量],tbl_ledger[品番],$B203,tbl_ledger[イベント種類],"余剰化")+SUMIFS(tbl_ledger[数量],tbl_ledger[品番],$B203,tbl_ledger[イベント種類],"搬入",tbl_ledger[ロットID],"=")-SUMIFS(tbl_ledger[数量],tbl_ledger[品番],$B203,tbl_ledger[イベント種類],"充当",tbl_ledger[ロットID],"=")-SUMIFS(tbl_ledger[数量],tbl_ledger[品番],$B203,tbl_ledger[イベント種類],"発送",tbl_ledger[ロットID],"=")-SUMIFS(tbl_ledger[数量],tbl_ledger[品番],$B203,tbl_ledger[イベント種類],"倉庫A戻し",tbl_ledger[ロットID],"=")-SUMIFS(tbl_ledger[数量],tbl_ledger[品番],$B203,tbl_ledger[イベント種類],"不良発生",tbl_ledger[ロットID],"="))</f>
        <v/>
      </c>
      <c r="J203" s="4" t="str">
        <f t="shared" si="9"/>
        <v/>
      </c>
      <c r="K203" s="4" t="str">
        <f t="shared" si="10"/>
        <v/>
      </c>
      <c r="L203" s="4" t="str">
        <f t="shared" si="11"/>
        <v/>
      </c>
      <c r="M203" s="4" t="str">
        <f>IF($A203="","",IF(INDEX(tbl_plan[計画状態],ROW()-1)="キャンセル","キャンセル",IF(K203=0,"発送済",IF(L203&gt;0,"要搬出","OK"))))</f>
        <v/>
      </c>
    </row>
    <row r="204" spans="1:13" ht="15" x14ac:dyDescent="0.25">
      <c r="A204" s="4" t="str">
        <f>IFERROR(INDEX(tbl_plan[ロットID],ROW()-1),"")</f>
        <v/>
      </c>
      <c r="B204" s="4" t="str">
        <f>IF($A204="","",INDEX(tbl_plan[品番],ROW()-1))</f>
        <v/>
      </c>
      <c r="C204" s="5" t="str">
        <f>IF($A204="","",INDEX(tbl_plan[出荷週],ROW()-1))</f>
        <v/>
      </c>
      <c r="D204" s="4" t="str">
        <f>IF($A204="","",INDEX(tbl_plan[納期先],ROW()-1)&amp;"")</f>
        <v/>
      </c>
      <c r="E204" s="4" t="str">
        <f>IF($A204="","",INDEX(tbl_plan[必要数],ROW()-1))</f>
        <v/>
      </c>
      <c r="F204" s="4" t="str">
        <f>IF($A204="","",SUMIFS(tbl_plan[必要数],tbl_plan[ロットID],$A204,tbl_plan[計画状態],"有効"))</f>
        <v/>
      </c>
      <c r="G204" s="4" t="str">
        <f>IF($A204="","",SUMIFS(tbl_ledger[数量],tbl_ledger[ロットID],$A204,tbl_ledger[イベント種類],"発送"))</f>
        <v/>
      </c>
      <c r="H204" s="4" t="str">
        <f>IF($A204="","",SUMIFS(tbl_ledger[数量],tbl_ledger[ロットID],$A204,tbl_ledger[イベント種類],"搬入")+SUMIFS(tbl_ledger[数量],tbl_ledger[充当先ロットID],$A204,tbl_ledger[イベント種類],"充当")-SUMIFS(tbl_ledger[数量],tbl_ledger[ロットID],$A204,tbl_ledger[イベント種類],"充当")-SUMIFS(tbl_ledger[数量],tbl_ledger[ロットID],$A204,tbl_ledger[イベント種類],"発送")-SUMIFS(tbl_ledger[数量],tbl_ledger[ロットID],$A204,tbl_ledger[イベント種類],"倉庫A戻し")-SUMIFS(tbl_ledger[数量],tbl_ledger[ロットID],$A204,tbl_ledger[イベント種類],"余剰化")-SUMIFS(tbl_ledger[数量],tbl_ledger[ロットID],$A204,tbl_ledger[イベント種類],"不良発生"))</f>
        <v/>
      </c>
      <c r="I204" s="4" t="str">
        <f>IF($A204="","",SUMIFS(tbl_ledger[数量],tbl_ledger[品番],$B204,tbl_ledger[イベント種類],"余剰化")+SUMIFS(tbl_ledger[数量],tbl_ledger[品番],$B204,tbl_ledger[イベント種類],"搬入",tbl_ledger[ロットID],"=")-SUMIFS(tbl_ledger[数量],tbl_ledger[品番],$B204,tbl_ledger[イベント種類],"充当",tbl_ledger[ロットID],"=")-SUMIFS(tbl_ledger[数量],tbl_ledger[品番],$B204,tbl_ledger[イベント種類],"発送",tbl_ledger[ロットID],"=")-SUMIFS(tbl_ledger[数量],tbl_ledger[品番],$B204,tbl_ledger[イベント種類],"倉庫A戻し",tbl_ledger[ロットID],"=")-SUMIFS(tbl_ledger[数量],tbl_ledger[品番],$B204,tbl_ledger[イベント種類],"不良発生",tbl_ledger[ロットID],"="))</f>
        <v/>
      </c>
      <c r="J204" s="4" t="str">
        <f t="shared" si="9"/>
        <v/>
      </c>
      <c r="K204" s="4" t="str">
        <f t="shared" si="10"/>
        <v/>
      </c>
      <c r="L204" s="4" t="str">
        <f t="shared" si="11"/>
        <v/>
      </c>
      <c r="M204" s="4" t="str">
        <f>IF($A204="","",IF(INDEX(tbl_plan[計画状態],ROW()-1)="キャンセル","キャンセル",IF(K204=0,"発送済",IF(L204&gt;0,"要搬出","OK"))))</f>
        <v/>
      </c>
    </row>
    <row r="205" spans="1:13" ht="15" x14ac:dyDescent="0.25">
      <c r="A205" s="4" t="str">
        <f>IFERROR(INDEX(tbl_plan[ロットID],ROW()-1),"")</f>
        <v/>
      </c>
      <c r="B205" s="4" t="str">
        <f>IF($A205="","",INDEX(tbl_plan[品番],ROW()-1))</f>
        <v/>
      </c>
      <c r="C205" s="5" t="str">
        <f>IF($A205="","",INDEX(tbl_plan[出荷週],ROW()-1))</f>
        <v/>
      </c>
      <c r="D205" s="4" t="str">
        <f>IF($A205="","",INDEX(tbl_plan[納期先],ROW()-1)&amp;"")</f>
        <v/>
      </c>
      <c r="E205" s="4" t="str">
        <f>IF($A205="","",INDEX(tbl_plan[必要数],ROW()-1))</f>
        <v/>
      </c>
      <c r="F205" s="4" t="str">
        <f>IF($A205="","",SUMIFS(tbl_plan[必要数],tbl_plan[ロットID],$A205,tbl_plan[計画状態],"有効"))</f>
        <v/>
      </c>
      <c r="G205" s="4" t="str">
        <f>IF($A205="","",SUMIFS(tbl_ledger[数量],tbl_ledger[ロットID],$A205,tbl_ledger[イベント種類],"発送"))</f>
        <v/>
      </c>
      <c r="H205" s="4" t="str">
        <f>IF($A205="","",SUMIFS(tbl_ledger[数量],tbl_ledger[ロットID],$A205,tbl_ledger[イベント種類],"搬入")+SUMIFS(tbl_ledger[数量],tbl_ledger[充当先ロットID],$A205,tbl_ledger[イベント種類],"充当")-SUMIFS(tbl_ledger[数量],tbl_ledger[ロットID],$A205,tbl_ledger[イベント種類],"充当")-SUMIFS(tbl_ledger[数量],tbl_ledger[ロットID],$A205,tbl_ledger[イベント種類],"発送")-SUMIFS(tbl_ledger[数量],tbl_ledger[ロットID],$A205,tbl_ledger[イベント種類],"倉庫A戻し")-SUMIFS(tbl_ledger[数量],tbl_ledger[ロットID],$A205,tbl_ledger[イベント種類],"余剰化")-SUMIFS(tbl_ledger[数量],tbl_ledger[ロットID],$A205,tbl_ledger[イベント種類],"不良発生"))</f>
        <v/>
      </c>
      <c r="I205" s="4" t="str">
        <f>IF($A205="","",SUMIFS(tbl_ledger[数量],tbl_ledger[品番],$B205,tbl_ledger[イベント種類],"余剰化")+SUMIFS(tbl_ledger[数量],tbl_ledger[品番],$B205,tbl_ledger[イベント種類],"搬入",tbl_ledger[ロットID],"=")-SUMIFS(tbl_ledger[数量],tbl_ledger[品番],$B205,tbl_ledger[イベント種類],"充当",tbl_ledger[ロットID],"=")-SUMIFS(tbl_ledger[数量],tbl_ledger[品番],$B205,tbl_ledger[イベント種類],"発送",tbl_ledger[ロットID],"=")-SUMIFS(tbl_ledger[数量],tbl_ledger[品番],$B205,tbl_ledger[イベント種類],"倉庫A戻し",tbl_ledger[ロットID],"=")-SUMIFS(tbl_ledger[数量],tbl_ledger[品番],$B205,tbl_ledger[イベント種類],"不良発生",tbl_ledger[ロットID],"="))</f>
        <v/>
      </c>
      <c r="J205" s="4" t="str">
        <f t="shared" si="9"/>
        <v/>
      </c>
      <c r="K205" s="4" t="str">
        <f t="shared" si="10"/>
        <v/>
      </c>
      <c r="L205" s="4" t="str">
        <f t="shared" si="11"/>
        <v/>
      </c>
      <c r="M205" s="4" t="str">
        <f>IF($A205="","",IF(INDEX(tbl_plan[計画状態],ROW()-1)="キャンセル","キャンセル",IF(K205=0,"発送済",IF(L205&gt;0,"要搬出","OK"))))</f>
        <v/>
      </c>
    </row>
    <row r="206" spans="1:13" ht="15" x14ac:dyDescent="0.25">
      <c r="A206" s="4" t="str">
        <f>IFERROR(INDEX(tbl_plan[ロットID],ROW()-1),"")</f>
        <v/>
      </c>
      <c r="B206" s="4" t="str">
        <f>IF($A206="","",INDEX(tbl_plan[品番],ROW()-1))</f>
        <v/>
      </c>
      <c r="C206" s="5" t="str">
        <f>IF($A206="","",INDEX(tbl_plan[出荷週],ROW()-1))</f>
        <v/>
      </c>
      <c r="D206" s="4" t="str">
        <f>IF($A206="","",INDEX(tbl_plan[納期先],ROW()-1)&amp;"")</f>
        <v/>
      </c>
      <c r="E206" s="4" t="str">
        <f>IF($A206="","",INDEX(tbl_plan[必要数],ROW()-1))</f>
        <v/>
      </c>
      <c r="F206" s="4" t="str">
        <f>IF($A206="","",SUMIFS(tbl_plan[必要数],tbl_plan[ロットID],$A206,tbl_plan[計画状態],"有効"))</f>
        <v/>
      </c>
      <c r="G206" s="4" t="str">
        <f>IF($A206="","",SUMIFS(tbl_ledger[数量],tbl_ledger[ロットID],$A206,tbl_ledger[イベント種類],"発送"))</f>
        <v/>
      </c>
      <c r="H206" s="4" t="str">
        <f>IF($A206="","",SUMIFS(tbl_ledger[数量],tbl_ledger[ロットID],$A206,tbl_ledger[イベント種類],"搬入")+SUMIFS(tbl_ledger[数量],tbl_ledger[充当先ロットID],$A206,tbl_ledger[イベント種類],"充当")-SUMIFS(tbl_ledger[数量],tbl_ledger[ロットID],$A206,tbl_ledger[イベント種類],"充当")-SUMIFS(tbl_ledger[数量],tbl_ledger[ロットID],$A206,tbl_ledger[イベント種類],"発送")-SUMIFS(tbl_ledger[数量],tbl_ledger[ロットID],$A206,tbl_ledger[イベント種類],"倉庫A戻し")-SUMIFS(tbl_ledger[数量],tbl_ledger[ロットID],$A206,tbl_ledger[イベント種類],"余剰化")-SUMIFS(tbl_ledger[数量],tbl_ledger[ロットID],$A206,tbl_ledger[イベント種類],"不良発生"))</f>
        <v/>
      </c>
      <c r="I206" s="4" t="str">
        <f>IF($A206="","",SUMIFS(tbl_ledger[数量],tbl_ledger[品番],$B206,tbl_ledger[イベント種類],"余剰化")+SUMIFS(tbl_ledger[数量],tbl_ledger[品番],$B206,tbl_ledger[イベント種類],"搬入",tbl_ledger[ロットID],"=")-SUMIFS(tbl_ledger[数量],tbl_ledger[品番],$B206,tbl_ledger[イベント種類],"充当",tbl_ledger[ロットID],"=")-SUMIFS(tbl_ledger[数量],tbl_ledger[品番],$B206,tbl_ledger[イベント種類],"発送",tbl_ledger[ロットID],"=")-SUMIFS(tbl_ledger[数量],tbl_ledger[品番],$B206,tbl_ledger[イベント種類],"倉庫A戻し",tbl_ledger[ロットID],"=")-SUMIFS(tbl_ledger[数量],tbl_ledger[品番],$B206,tbl_ledger[イベント種類],"不良発生",tbl_ledger[ロットID],"="))</f>
        <v/>
      </c>
      <c r="J206" s="4" t="str">
        <f t="shared" si="9"/>
        <v/>
      </c>
      <c r="K206" s="4" t="str">
        <f t="shared" si="10"/>
        <v/>
      </c>
      <c r="L206" s="4" t="str">
        <f t="shared" si="11"/>
        <v/>
      </c>
      <c r="M206" s="4" t="str">
        <f>IF($A206="","",IF(INDEX(tbl_plan[計画状態],ROW()-1)="キャンセル","キャンセル",IF(K206=0,"発送済",IF(L206&gt;0,"要搬出","OK"))))</f>
        <v/>
      </c>
    </row>
    <row r="207" spans="1:13" ht="15" x14ac:dyDescent="0.25">
      <c r="A207" s="4" t="str">
        <f>IFERROR(INDEX(tbl_plan[ロットID],ROW()-1),"")</f>
        <v/>
      </c>
      <c r="B207" s="4" t="str">
        <f>IF($A207="","",INDEX(tbl_plan[品番],ROW()-1))</f>
        <v/>
      </c>
      <c r="C207" s="5" t="str">
        <f>IF($A207="","",INDEX(tbl_plan[出荷週],ROW()-1))</f>
        <v/>
      </c>
      <c r="D207" s="4" t="str">
        <f>IF($A207="","",INDEX(tbl_plan[納期先],ROW()-1)&amp;"")</f>
        <v/>
      </c>
      <c r="E207" s="4" t="str">
        <f>IF($A207="","",INDEX(tbl_plan[必要数],ROW()-1))</f>
        <v/>
      </c>
      <c r="F207" s="4" t="str">
        <f>IF($A207="","",SUMIFS(tbl_plan[必要数],tbl_plan[ロットID],$A207,tbl_plan[計画状態],"有効"))</f>
        <v/>
      </c>
      <c r="G207" s="4" t="str">
        <f>IF($A207="","",SUMIFS(tbl_ledger[数量],tbl_ledger[ロットID],$A207,tbl_ledger[イベント種類],"発送"))</f>
        <v/>
      </c>
      <c r="H207" s="4" t="str">
        <f>IF($A207="","",SUMIFS(tbl_ledger[数量],tbl_ledger[ロットID],$A207,tbl_ledger[イベント種類],"搬入")+SUMIFS(tbl_ledger[数量],tbl_ledger[充当先ロットID],$A207,tbl_ledger[イベント種類],"充当")-SUMIFS(tbl_ledger[数量],tbl_ledger[ロットID],$A207,tbl_ledger[イベント種類],"充当")-SUMIFS(tbl_ledger[数量],tbl_ledger[ロットID],$A207,tbl_ledger[イベント種類],"発送")-SUMIFS(tbl_ledger[数量],tbl_ledger[ロットID],$A207,tbl_ledger[イベント種類],"倉庫A戻し")-SUMIFS(tbl_ledger[数量],tbl_ledger[ロットID],$A207,tbl_ledger[イベント種類],"余剰化")-SUMIFS(tbl_ledger[数量],tbl_ledger[ロットID],$A207,tbl_ledger[イベント種類],"不良発生"))</f>
        <v/>
      </c>
      <c r="I207" s="4" t="str">
        <f>IF($A207="","",SUMIFS(tbl_ledger[数量],tbl_ledger[品番],$B207,tbl_ledger[イベント種類],"余剰化")+SUMIFS(tbl_ledger[数量],tbl_ledger[品番],$B207,tbl_ledger[イベント種類],"搬入",tbl_ledger[ロットID],"=")-SUMIFS(tbl_ledger[数量],tbl_ledger[品番],$B207,tbl_ledger[イベント種類],"充当",tbl_ledger[ロットID],"=")-SUMIFS(tbl_ledger[数量],tbl_ledger[品番],$B207,tbl_ledger[イベント種類],"発送",tbl_ledger[ロットID],"=")-SUMIFS(tbl_ledger[数量],tbl_ledger[品番],$B207,tbl_ledger[イベント種類],"倉庫A戻し",tbl_ledger[ロットID],"=")-SUMIFS(tbl_ledger[数量],tbl_ledger[品番],$B207,tbl_ledger[イベント種類],"不良発生",tbl_ledger[ロットID],"="))</f>
        <v/>
      </c>
      <c r="J207" s="4" t="str">
        <f t="shared" si="9"/>
        <v/>
      </c>
      <c r="K207" s="4" t="str">
        <f t="shared" si="10"/>
        <v/>
      </c>
      <c r="L207" s="4" t="str">
        <f t="shared" si="11"/>
        <v/>
      </c>
      <c r="M207" s="4" t="str">
        <f>IF($A207="","",IF(INDEX(tbl_plan[計画状態],ROW()-1)="キャンセル","キャンセル",IF(K207=0,"発送済",IF(L207&gt;0,"要搬出","OK"))))</f>
        <v/>
      </c>
    </row>
    <row r="208" spans="1:13" ht="15" x14ac:dyDescent="0.25">
      <c r="A208" s="4" t="str">
        <f>IFERROR(INDEX(tbl_plan[ロットID],ROW()-1),"")</f>
        <v/>
      </c>
      <c r="B208" s="4" t="str">
        <f>IF($A208="","",INDEX(tbl_plan[品番],ROW()-1))</f>
        <v/>
      </c>
      <c r="C208" s="5" t="str">
        <f>IF($A208="","",INDEX(tbl_plan[出荷週],ROW()-1))</f>
        <v/>
      </c>
      <c r="D208" s="4" t="str">
        <f>IF($A208="","",INDEX(tbl_plan[納期先],ROW()-1)&amp;"")</f>
        <v/>
      </c>
      <c r="E208" s="4" t="str">
        <f>IF($A208="","",INDEX(tbl_plan[必要数],ROW()-1))</f>
        <v/>
      </c>
      <c r="F208" s="4" t="str">
        <f>IF($A208="","",SUMIFS(tbl_plan[必要数],tbl_plan[ロットID],$A208,tbl_plan[計画状態],"有効"))</f>
        <v/>
      </c>
      <c r="G208" s="4" t="str">
        <f>IF($A208="","",SUMIFS(tbl_ledger[数量],tbl_ledger[ロットID],$A208,tbl_ledger[イベント種類],"発送"))</f>
        <v/>
      </c>
      <c r="H208" s="4" t="str">
        <f>IF($A208="","",SUMIFS(tbl_ledger[数量],tbl_ledger[ロットID],$A208,tbl_ledger[イベント種類],"搬入")+SUMIFS(tbl_ledger[数量],tbl_ledger[充当先ロットID],$A208,tbl_ledger[イベント種類],"充当")-SUMIFS(tbl_ledger[数量],tbl_ledger[ロットID],$A208,tbl_ledger[イベント種類],"充当")-SUMIFS(tbl_ledger[数量],tbl_ledger[ロットID],$A208,tbl_ledger[イベント種類],"発送")-SUMIFS(tbl_ledger[数量],tbl_ledger[ロットID],$A208,tbl_ledger[イベント種類],"倉庫A戻し")-SUMIFS(tbl_ledger[数量],tbl_ledger[ロットID],$A208,tbl_ledger[イベント種類],"余剰化")-SUMIFS(tbl_ledger[数量],tbl_ledger[ロットID],$A208,tbl_ledger[イベント種類],"不良発生"))</f>
        <v/>
      </c>
      <c r="I208" s="4" t="str">
        <f>IF($A208="","",SUMIFS(tbl_ledger[数量],tbl_ledger[品番],$B208,tbl_ledger[イベント種類],"余剰化")+SUMIFS(tbl_ledger[数量],tbl_ledger[品番],$B208,tbl_ledger[イベント種類],"搬入",tbl_ledger[ロットID],"=")-SUMIFS(tbl_ledger[数量],tbl_ledger[品番],$B208,tbl_ledger[イベント種類],"充当",tbl_ledger[ロットID],"=")-SUMIFS(tbl_ledger[数量],tbl_ledger[品番],$B208,tbl_ledger[イベント種類],"発送",tbl_ledger[ロットID],"=")-SUMIFS(tbl_ledger[数量],tbl_ledger[品番],$B208,tbl_ledger[イベント種類],"倉庫A戻し",tbl_ledger[ロットID],"=")-SUMIFS(tbl_ledger[数量],tbl_ledger[品番],$B208,tbl_ledger[イベント種類],"不良発生",tbl_ledger[ロットID],"="))</f>
        <v/>
      </c>
      <c r="J208" s="4" t="str">
        <f t="shared" si="9"/>
        <v/>
      </c>
      <c r="K208" s="4" t="str">
        <f t="shared" si="10"/>
        <v/>
      </c>
      <c r="L208" s="4" t="str">
        <f t="shared" si="11"/>
        <v/>
      </c>
      <c r="M208" s="4" t="str">
        <f>IF($A208="","",IF(INDEX(tbl_plan[計画状態],ROW()-1)="キャンセル","キャンセル",IF(K208=0,"発送済",IF(L208&gt;0,"要搬出","OK"))))</f>
        <v/>
      </c>
    </row>
    <row r="209" spans="1:13" ht="15" x14ac:dyDescent="0.25">
      <c r="A209" s="4" t="str">
        <f>IFERROR(INDEX(tbl_plan[ロットID],ROW()-1),"")</f>
        <v/>
      </c>
      <c r="B209" s="4" t="str">
        <f>IF($A209="","",INDEX(tbl_plan[品番],ROW()-1))</f>
        <v/>
      </c>
      <c r="C209" s="5" t="str">
        <f>IF($A209="","",INDEX(tbl_plan[出荷週],ROW()-1))</f>
        <v/>
      </c>
      <c r="D209" s="4" t="str">
        <f>IF($A209="","",INDEX(tbl_plan[納期先],ROW()-1)&amp;"")</f>
        <v/>
      </c>
      <c r="E209" s="4" t="str">
        <f>IF($A209="","",INDEX(tbl_plan[必要数],ROW()-1))</f>
        <v/>
      </c>
      <c r="F209" s="4" t="str">
        <f>IF($A209="","",SUMIFS(tbl_plan[必要数],tbl_plan[ロットID],$A209,tbl_plan[計画状態],"有効"))</f>
        <v/>
      </c>
      <c r="G209" s="4" t="str">
        <f>IF($A209="","",SUMIFS(tbl_ledger[数量],tbl_ledger[ロットID],$A209,tbl_ledger[イベント種類],"発送"))</f>
        <v/>
      </c>
      <c r="H209" s="4" t="str">
        <f>IF($A209="","",SUMIFS(tbl_ledger[数量],tbl_ledger[ロットID],$A209,tbl_ledger[イベント種類],"搬入")+SUMIFS(tbl_ledger[数量],tbl_ledger[充当先ロットID],$A209,tbl_ledger[イベント種類],"充当")-SUMIFS(tbl_ledger[数量],tbl_ledger[ロットID],$A209,tbl_ledger[イベント種類],"充当")-SUMIFS(tbl_ledger[数量],tbl_ledger[ロットID],$A209,tbl_ledger[イベント種類],"発送")-SUMIFS(tbl_ledger[数量],tbl_ledger[ロットID],$A209,tbl_ledger[イベント種類],"倉庫A戻し")-SUMIFS(tbl_ledger[数量],tbl_ledger[ロットID],$A209,tbl_ledger[イベント種類],"余剰化")-SUMIFS(tbl_ledger[数量],tbl_ledger[ロットID],$A209,tbl_ledger[イベント種類],"不良発生"))</f>
        <v/>
      </c>
      <c r="I209" s="4" t="str">
        <f>IF($A209="","",SUMIFS(tbl_ledger[数量],tbl_ledger[品番],$B209,tbl_ledger[イベント種類],"余剰化")+SUMIFS(tbl_ledger[数量],tbl_ledger[品番],$B209,tbl_ledger[イベント種類],"搬入",tbl_ledger[ロットID],"=")-SUMIFS(tbl_ledger[数量],tbl_ledger[品番],$B209,tbl_ledger[イベント種類],"充当",tbl_ledger[ロットID],"=")-SUMIFS(tbl_ledger[数量],tbl_ledger[品番],$B209,tbl_ledger[イベント種類],"発送",tbl_ledger[ロットID],"=")-SUMIFS(tbl_ledger[数量],tbl_ledger[品番],$B209,tbl_ledger[イベント種類],"倉庫A戻し",tbl_ledger[ロットID],"=")-SUMIFS(tbl_ledger[数量],tbl_ledger[品番],$B209,tbl_ledger[イベント種類],"不良発生",tbl_ledger[ロットID],"="))</f>
        <v/>
      </c>
      <c r="J209" s="4" t="str">
        <f t="shared" si="9"/>
        <v/>
      </c>
      <c r="K209" s="4" t="str">
        <f t="shared" si="10"/>
        <v/>
      </c>
      <c r="L209" s="4" t="str">
        <f t="shared" si="11"/>
        <v/>
      </c>
      <c r="M209" s="4" t="str">
        <f>IF($A209="","",IF(INDEX(tbl_plan[計画状態],ROW()-1)="キャンセル","キャンセル",IF(K209=0,"発送済",IF(L209&gt;0,"要搬出","OK"))))</f>
        <v/>
      </c>
    </row>
    <row r="210" spans="1:13" ht="15" x14ac:dyDescent="0.25">
      <c r="A210" s="4" t="str">
        <f>IFERROR(INDEX(tbl_plan[ロットID],ROW()-1),"")</f>
        <v/>
      </c>
      <c r="B210" s="4" t="str">
        <f>IF($A210="","",INDEX(tbl_plan[品番],ROW()-1))</f>
        <v/>
      </c>
      <c r="C210" s="5" t="str">
        <f>IF($A210="","",INDEX(tbl_plan[出荷週],ROW()-1))</f>
        <v/>
      </c>
      <c r="D210" s="4" t="str">
        <f>IF($A210="","",INDEX(tbl_plan[納期先],ROW()-1)&amp;"")</f>
        <v/>
      </c>
      <c r="E210" s="4" t="str">
        <f>IF($A210="","",INDEX(tbl_plan[必要数],ROW()-1))</f>
        <v/>
      </c>
      <c r="F210" s="4" t="str">
        <f>IF($A210="","",SUMIFS(tbl_plan[必要数],tbl_plan[ロットID],$A210,tbl_plan[計画状態],"有効"))</f>
        <v/>
      </c>
      <c r="G210" s="4" t="str">
        <f>IF($A210="","",SUMIFS(tbl_ledger[数量],tbl_ledger[ロットID],$A210,tbl_ledger[イベント種類],"発送"))</f>
        <v/>
      </c>
      <c r="H210" s="4" t="str">
        <f>IF($A210="","",SUMIFS(tbl_ledger[数量],tbl_ledger[ロットID],$A210,tbl_ledger[イベント種類],"搬入")+SUMIFS(tbl_ledger[数量],tbl_ledger[充当先ロットID],$A210,tbl_ledger[イベント種類],"充当")-SUMIFS(tbl_ledger[数量],tbl_ledger[ロットID],$A210,tbl_ledger[イベント種類],"充当")-SUMIFS(tbl_ledger[数量],tbl_ledger[ロットID],$A210,tbl_ledger[イベント種類],"発送")-SUMIFS(tbl_ledger[数量],tbl_ledger[ロットID],$A210,tbl_ledger[イベント種類],"倉庫A戻し")-SUMIFS(tbl_ledger[数量],tbl_ledger[ロットID],$A210,tbl_ledger[イベント種類],"余剰化")-SUMIFS(tbl_ledger[数量],tbl_ledger[ロットID],$A210,tbl_ledger[イベント種類],"不良発生"))</f>
        <v/>
      </c>
      <c r="I210" s="4" t="str">
        <f>IF($A210="","",SUMIFS(tbl_ledger[数量],tbl_ledger[品番],$B210,tbl_ledger[イベント種類],"余剰化")+SUMIFS(tbl_ledger[数量],tbl_ledger[品番],$B210,tbl_ledger[イベント種類],"搬入",tbl_ledger[ロットID],"=")-SUMIFS(tbl_ledger[数量],tbl_ledger[品番],$B210,tbl_ledger[イベント種類],"充当",tbl_ledger[ロットID],"=")-SUMIFS(tbl_ledger[数量],tbl_ledger[品番],$B210,tbl_ledger[イベント種類],"発送",tbl_ledger[ロットID],"=")-SUMIFS(tbl_ledger[数量],tbl_ledger[品番],$B210,tbl_ledger[イベント種類],"倉庫A戻し",tbl_ledger[ロットID],"=")-SUMIFS(tbl_ledger[数量],tbl_ledger[品番],$B210,tbl_ledger[イベント種類],"不良発生",tbl_ledger[ロットID],"="))</f>
        <v/>
      </c>
      <c r="J210" s="4" t="str">
        <f t="shared" si="9"/>
        <v/>
      </c>
      <c r="K210" s="4" t="str">
        <f t="shared" si="10"/>
        <v/>
      </c>
      <c r="L210" s="4" t="str">
        <f t="shared" si="11"/>
        <v/>
      </c>
      <c r="M210" s="4" t="str">
        <f>IF($A210="","",IF(INDEX(tbl_plan[計画状態],ROW()-1)="キャンセル","キャンセル",IF(K210=0,"発送済",IF(L210&gt;0,"要搬出","OK"))))</f>
        <v/>
      </c>
    </row>
    <row r="211" spans="1:13" ht="15" x14ac:dyDescent="0.25">
      <c r="A211" s="4" t="str">
        <f>IFERROR(INDEX(tbl_plan[ロットID],ROW()-1),"")</f>
        <v/>
      </c>
      <c r="B211" s="4" t="str">
        <f>IF($A211="","",INDEX(tbl_plan[品番],ROW()-1))</f>
        <v/>
      </c>
      <c r="C211" s="5" t="str">
        <f>IF($A211="","",INDEX(tbl_plan[出荷週],ROW()-1))</f>
        <v/>
      </c>
      <c r="D211" s="4" t="str">
        <f>IF($A211="","",INDEX(tbl_plan[納期先],ROW()-1)&amp;"")</f>
        <v/>
      </c>
      <c r="E211" s="4" t="str">
        <f>IF($A211="","",INDEX(tbl_plan[必要数],ROW()-1))</f>
        <v/>
      </c>
      <c r="F211" s="4" t="str">
        <f>IF($A211="","",SUMIFS(tbl_plan[必要数],tbl_plan[ロットID],$A211,tbl_plan[計画状態],"有効"))</f>
        <v/>
      </c>
      <c r="G211" s="4" t="str">
        <f>IF($A211="","",SUMIFS(tbl_ledger[数量],tbl_ledger[ロットID],$A211,tbl_ledger[イベント種類],"発送"))</f>
        <v/>
      </c>
      <c r="H211" s="4" t="str">
        <f>IF($A211="","",SUMIFS(tbl_ledger[数量],tbl_ledger[ロットID],$A211,tbl_ledger[イベント種類],"搬入")+SUMIFS(tbl_ledger[数量],tbl_ledger[充当先ロットID],$A211,tbl_ledger[イベント種類],"充当")-SUMIFS(tbl_ledger[数量],tbl_ledger[ロットID],$A211,tbl_ledger[イベント種類],"充当")-SUMIFS(tbl_ledger[数量],tbl_ledger[ロットID],$A211,tbl_ledger[イベント種類],"発送")-SUMIFS(tbl_ledger[数量],tbl_ledger[ロットID],$A211,tbl_ledger[イベント種類],"倉庫A戻し")-SUMIFS(tbl_ledger[数量],tbl_ledger[ロットID],$A211,tbl_ledger[イベント種類],"余剰化")-SUMIFS(tbl_ledger[数量],tbl_ledger[ロットID],$A211,tbl_ledger[イベント種類],"不良発生"))</f>
        <v/>
      </c>
      <c r="I211" s="4" t="str">
        <f>IF($A211="","",SUMIFS(tbl_ledger[数量],tbl_ledger[品番],$B211,tbl_ledger[イベント種類],"余剰化")+SUMIFS(tbl_ledger[数量],tbl_ledger[品番],$B211,tbl_ledger[イベント種類],"搬入",tbl_ledger[ロットID],"=")-SUMIFS(tbl_ledger[数量],tbl_ledger[品番],$B211,tbl_ledger[イベント種類],"充当",tbl_ledger[ロットID],"=")-SUMIFS(tbl_ledger[数量],tbl_ledger[品番],$B211,tbl_ledger[イベント種類],"発送",tbl_ledger[ロットID],"=")-SUMIFS(tbl_ledger[数量],tbl_ledger[品番],$B211,tbl_ledger[イベント種類],"倉庫A戻し",tbl_ledger[ロットID],"=")-SUMIFS(tbl_ledger[数量],tbl_ledger[品番],$B211,tbl_ledger[イベント種類],"不良発生",tbl_ledger[ロットID],"="))</f>
        <v/>
      </c>
      <c r="J211" s="4" t="str">
        <f t="shared" si="9"/>
        <v/>
      </c>
      <c r="K211" s="4" t="str">
        <f t="shared" si="10"/>
        <v/>
      </c>
      <c r="L211" s="4" t="str">
        <f t="shared" si="11"/>
        <v/>
      </c>
      <c r="M211" s="4" t="str">
        <f>IF($A211="","",IF(INDEX(tbl_plan[計画状態],ROW()-1)="キャンセル","キャンセル",IF(K211=0,"発送済",IF(L211&gt;0,"要搬出","OK"))))</f>
        <v/>
      </c>
    </row>
    <row r="212" spans="1:13" ht="15" x14ac:dyDescent="0.25">
      <c r="A212" s="4" t="str">
        <f>IFERROR(INDEX(tbl_plan[ロットID],ROW()-1),"")</f>
        <v/>
      </c>
      <c r="B212" s="4" t="str">
        <f>IF($A212="","",INDEX(tbl_plan[品番],ROW()-1))</f>
        <v/>
      </c>
      <c r="C212" s="5" t="str">
        <f>IF($A212="","",INDEX(tbl_plan[出荷週],ROW()-1))</f>
        <v/>
      </c>
      <c r="D212" s="4" t="str">
        <f>IF($A212="","",INDEX(tbl_plan[納期先],ROW()-1)&amp;"")</f>
        <v/>
      </c>
      <c r="E212" s="4" t="str">
        <f>IF($A212="","",INDEX(tbl_plan[必要数],ROW()-1))</f>
        <v/>
      </c>
      <c r="F212" s="4" t="str">
        <f>IF($A212="","",SUMIFS(tbl_plan[必要数],tbl_plan[ロットID],$A212,tbl_plan[計画状態],"有効"))</f>
        <v/>
      </c>
      <c r="G212" s="4" t="str">
        <f>IF($A212="","",SUMIFS(tbl_ledger[数量],tbl_ledger[ロットID],$A212,tbl_ledger[イベント種類],"発送"))</f>
        <v/>
      </c>
      <c r="H212" s="4" t="str">
        <f>IF($A212="","",SUMIFS(tbl_ledger[数量],tbl_ledger[ロットID],$A212,tbl_ledger[イベント種類],"搬入")+SUMIFS(tbl_ledger[数量],tbl_ledger[充当先ロットID],$A212,tbl_ledger[イベント種類],"充当")-SUMIFS(tbl_ledger[数量],tbl_ledger[ロットID],$A212,tbl_ledger[イベント種類],"充当")-SUMIFS(tbl_ledger[数量],tbl_ledger[ロットID],$A212,tbl_ledger[イベント種類],"発送")-SUMIFS(tbl_ledger[数量],tbl_ledger[ロットID],$A212,tbl_ledger[イベント種類],"倉庫A戻し")-SUMIFS(tbl_ledger[数量],tbl_ledger[ロットID],$A212,tbl_ledger[イベント種類],"余剰化")-SUMIFS(tbl_ledger[数量],tbl_ledger[ロットID],$A212,tbl_ledger[イベント種類],"不良発生"))</f>
        <v/>
      </c>
      <c r="I212" s="4" t="str">
        <f>IF($A212="","",SUMIFS(tbl_ledger[数量],tbl_ledger[品番],$B212,tbl_ledger[イベント種類],"余剰化")+SUMIFS(tbl_ledger[数量],tbl_ledger[品番],$B212,tbl_ledger[イベント種類],"搬入",tbl_ledger[ロットID],"=")-SUMIFS(tbl_ledger[数量],tbl_ledger[品番],$B212,tbl_ledger[イベント種類],"充当",tbl_ledger[ロットID],"=")-SUMIFS(tbl_ledger[数量],tbl_ledger[品番],$B212,tbl_ledger[イベント種類],"発送",tbl_ledger[ロットID],"=")-SUMIFS(tbl_ledger[数量],tbl_ledger[品番],$B212,tbl_ledger[イベント種類],"倉庫A戻し",tbl_ledger[ロットID],"=")-SUMIFS(tbl_ledger[数量],tbl_ledger[品番],$B212,tbl_ledger[イベント種類],"不良発生",tbl_ledger[ロットID],"="))</f>
        <v/>
      </c>
      <c r="J212" s="4" t="str">
        <f t="shared" si="9"/>
        <v/>
      </c>
      <c r="K212" s="4" t="str">
        <f t="shared" si="10"/>
        <v/>
      </c>
      <c r="L212" s="4" t="str">
        <f t="shared" si="11"/>
        <v/>
      </c>
      <c r="M212" s="4" t="str">
        <f>IF($A212="","",IF(INDEX(tbl_plan[計画状態],ROW()-1)="キャンセル","キャンセル",IF(K212=0,"発送済",IF(L212&gt;0,"要搬出","OK"))))</f>
        <v/>
      </c>
    </row>
    <row r="213" spans="1:13" ht="15" x14ac:dyDescent="0.25">
      <c r="A213" s="4" t="str">
        <f>IFERROR(INDEX(tbl_plan[ロットID],ROW()-1),"")</f>
        <v/>
      </c>
      <c r="B213" s="4" t="str">
        <f>IF($A213="","",INDEX(tbl_plan[品番],ROW()-1))</f>
        <v/>
      </c>
      <c r="C213" s="5" t="str">
        <f>IF($A213="","",INDEX(tbl_plan[出荷週],ROW()-1))</f>
        <v/>
      </c>
      <c r="D213" s="4" t="str">
        <f>IF($A213="","",INDEX(tbl_plan[納期先],ROW()-1)&amp;"")</f>
        <v/>
      </c>
      <c r="E213" s="4" t="str">
        <f>IF($A213="","",INDEX(tbl_plan[必要数],ROW()-1))</f>
        <v/>
      </c>
      <c r="F213" s="4" t="str">
        <f>IF($A213="","",SUMIFS(tbl_plan[必要数],tbl_plan[ロットID],$A213,tbl_plan[計画状態],"有効"))</f>
        <v/>
      </c>
      <c r="G213" s="4" t="str">
        <f>IF($A213="","",SUMIFS(tbl_ledger[数量],tbl_ledger[ロットID],$A213,tbl_ledger[イベント種類],"発送"))</f>
        <v/>
      </c>
      <c r="H213" s="4" t="str">
        <f>IF($A213="","",SUMIFS(tbl_ledger[数量],tbl_ledger[ロットID],$A213,tbl_ledger[イベント種類],"搬入")+SUMIFS(tbl_ledger[数量],tbl_ledger[充当先ロットID],$A213,tbl_ledger[イベント種類],"充当")-SUMIFS(tbl_ledger[数量],tbl_ledger[ロットID],$A213,tbl_ledger[イベント種類],"充当")-SUMIFS(tbl_ledger[数量],tbl_ledger[ロットID],$A213,tbl_ledger[イベント種類],"発送")-SUMIFS(tbl_ledger[数量],tbl_ledger[ロットID],$A213,tbl_ledger[イベント種類],"倉庫A戻し")-SUMIFS(tbl_ledger[数量],tbl_ledger[ロットID],$A213,tbl_ledger[イベント種類],"余剰化")-SUMIFS(tbl_ledger[数量],tbl_ledger[ロットID],$A213,tbl_ledger[イベント種類],"不良発生"))</f>
        <v/>
      </c>
      <c r="I213" s="4" t="str">
        <f>IF($A213="","",SUMIFS(tbl_ledger[数量],tbl_ledger[品番],$B213,tbl_ledger[イベント種類],"余剰化")+SUMIFS(tbl_ledger[数量],tbl_ledger[品番],$B213,tbl_ledger[イベント種類],"搬入",tbl_ledger[ロットID],"=")-SUMIFS(tbl_ledger[数量],tbl_ledger[品番],$B213,tbl_ledger[イベント種類],"充当",tbl_ledger[ロットID],"=")-SUMIFS(tbl_ledger[数量],tbl_ledger[品番],$B213,tbl_ledger[イベント種類],"発送",tbl_ledger[ロットID],"=")-SUMIFS(tbl_ledger[数量],tbl_ledger[品番],$B213,tbl_ledger[イベント種類],"倉庫A戻し",tbl_ledger[ロットID],"=")-SUMIFS(tbl_ledger[数量],tbl_ledger[品番],$B213,tbl_ledger[イベント種類],"不良発生",tbl_ledger[ロットID],"="))</f>
        <v/>
      </c>
      <c r="J213" s="4" t="str">
        <f t="shared" si="9"/>
        <v/>
      </c>
      <c r="K213" s="4" t="str">
        <f t="shared" si="10"/>
        <v/>
      </c>
      <c r="L213" s="4" t="str">
        <f t="shared" si="11"/>
        <v/>
      </c>
      <c r="M213" s="4" t="str">
        <f>IF($A213="","",IF(INDEX(tbl_plan[計画状態],ROW()-1)="キャンセル","キャンセル",IF(K213=0,"発送済",IF(L213&gt;0,"要搬出","OK"))))</f>
        <v/>
      </c>
    </row>
    <row r="214" spans="1:13" ht="15" x14ac:dyDescent="0.25">
      <c r="A214" s="4" t="str">
        <f>IFERROR(INDEX(tbl_plan[ロットID],ROW()-1),"")</f>
        <v/>
      </c>
      <c r="B214" s="4" t="str">
        <f>IF($A214="","",INDEX(tbl_plan[品番],ROW()-1))</f>
        <v/>
      </c>
      <c r="C214" s="5" t="str">
        <f>IF($A214="","",INDEX(tbl_plan[出荷週],ROW()-1))</f>
        <v/>
      </c>
      <c r="D214" s="4" t="str">
        <f>IF($A214="","",INDEX(tbl_plan[納期先],ROW()-1)&amp;"")</f>
        <v/>
      </c>
      <c r="E214" s="4" t="str">
        <f>IF($A214="","",INDEX(tbl_plan[必要数],ROW()-1))</f>
        <v/>
      </c>
      <c r="F214" s="4" t="str">
        <f>IF($A214="","",SUMIFS(tbl_plan[必要数],tbl_plan[ロットID],$A214,tbl_plan[計画状態],"有効"))</f>
        <v/>
      </c>
      <c r="G214" s="4" t="str">
        <f>IF($A214="","",SUMIFS(tbl_ledger[数量],tbl_ledger[ロットID],$A214,tbl_ledger[イベント種類],"発送"))</f>
        <v/>
      </c>
      <c r="H214" s="4" t="str">
        <f>IF($A214="","",SUMIFS(tbl_ledger[数量],tbl_ledger[ロットID],$A214,tbl_ledger[イベント種類],"搬入")+SUMIFS(tbl_ledger[数量],tbl_ledger[充当先ロットID],$A214,tbl_ledger[イベント種類],"充当")-SUMIFS(tbl_ledger[数量],tbl_ledger[ロットID],$A214,tbl_ledger[イベント種類],"充当")-SUMIFS(tbl_ledger[数量],tbl_ledger[ロットID],$A214,tbl_ledger[イベント種類],"発送")-SUMIFS(tbl_ledger[数量],tbl_ledger[ロットID],$A214,tbl_ledger[イベント種類],"倉庫A戻し")-SUMIFS(tbl_ledger[数量],tbl_ledger[ロットID],$A214,tbl_ledger[イベント種類],"余剰化")-SUMIFS(tbl_ledger[数量],tbl_ledger[ロットID],$A214,tbl_ledger[イベント種類],"不良発生"))</f>
        <v/>
      </c>
      <c r="I214" s="4" t="str">
        <f>IF($A214="","",SUMIFS(tbl_ledger[数量],tbl_ledger[品番],$B214,tbl_ledger[イベント種類],"余剰化")+SUMIFS(tbl_ledger[数量],tbl_ledger[品番],$B214,tbl_ledger[イベント種類],"搬入",tbl_ledger[ロットID],"=")-SUMIFS(tbl_ledger[数量],tbl_ledger[品番],$B214,tbl_ledger[イベント種類],"充当",tbl_ledger[ロットID],"=")-SUMIFS(tbl_ledger[数量],tbl_ledger[品番],$B214,tbl_ledger[イベント種類],"発送",tbl_ledger[ロットID],"=")-SUMIFS(tbl_ledger[数量],tbl_ledger[品番],$B214,tbl_ledger[イベント種類],"倉庫A戻し",tbl_ledger[ロットID],"=")-SUMIFS(tbl_ledger[数量],tbl_ledger[品番],$B214,tbl_ledger[イベント種類],"不良発生",tbl_ledger[ロットID],"="))</f>
        <v/>
      </c>
      <c r="J214" s="4" t="str">
        <f t="shared" si="9"/>
        <v/>
      </c>
      <c r="K214" s="4" t="str">
        <f t="shared" si="10"/>
        <v/>
      </c>
      <c r="L214" s="4" t="str">
        <f t="shared" si="11"/>
        <v/>
      </c>
      <c r="M214" s="4" t="str">
        <f>IF($A214="","",IF(INDEX(tbl_plan[計画状態],ROW()-1)="キャンセル","キャンセル",IF(K214=0,"発送済",IF(L214&gt;0,"要搬出","OK"))))</f>
        <v/>
      </c>
    </row>
    <row r="215" spans="1:13" ht="15" x14ac:dyDescent="0.25">
      <c r="A215" s="4" t="str">
        <f>IFERROR(INDEX(tbl_plan[ロットID],ROW()-1),"")</f>
        <v/>
      </c>
      <c r="B215" s="4" t="str">
        <f>IF($A215="","",INDEX(tbl_plan[品番],ROW()-1))</f>
        <v/>
      </c>
      <c r="C215" s="5" t="str">
        <f>IF($A215="","",INDEX(tbl_plan[出荷週],ROW()-1))</f>
        <v/>
      </c>
      <c r="D215" s="4" t="str">
        <f>IF($A215="","",INDEX(tbl_plan[納期先],ROW()-1)&amp;"")</f>
        <v/>
      </c>
      <c r="E215" s="4" t="str">
        <f>IF($A215="","",INDEX(tbl_plan[必要数],ROW()-1))</f>
        <v/>
      </c>
      <c r="F215" s="4" t="str">
        <f>IF($A215="","",SUMIFS(tbl_plan[必要数],tbl_plan[ロットID],$A215,tbl_plan[計画状態],"有効"))</f>
        <v/>
      </c>
      <c r="G215" s="4" t="str">
        <f>IF($A215="","",SUMIFS(tbl_ledger[数量],tbl_ledger[ロットID],$A215,tbl_ledger[イベント種類],"発送"))</f>
        <v/>
      </c>
      <c r="H215" s="4" t="str">
        <f>IF($A215="","",SUMIFS(tbl_ledger[数量],tbl_ledger[ロットID],$A215,tbl_ledger[イベント種類],"搬入")+SUMIFS(tbl_ledger[数量],tbl_ledger[充当先ロットID],$A215,tbl_ledger[イベント種類],"充当")-SUMIFS(tbl_ledger[数量],tbl_ledger[ロットID],$A215,tbl_ledger[イベント種類],"充当")-SUMIFS(tbl_ledger[数量],tbl_ledger[ロットID],$A215,tbl_ledger[イベント種類],"発送")-SUMIFS(tbl_ledger[数量],tbl_ledger[ロットID],$A215,tbl_ledger[イベント種類],"倉庫A戻し")-SUMIFS(tbl_ledger[数量],tbl_ledger[ロットID],$A215,tbl_ledger[イベント種類],"余剰化")-SUMIFS(tbl_ledger[数量],tbl_ledger[ロットID],$A215,tbl_ledger[イベント種類],"不良発生"))</f>
        <v/>
      </c>
      <c r="I215" s="4" t="str">
        <f>IF($A215="","",SUMIFS(tbl_ledger[数量],tbl_ledger[品番],$B215,tbl_ledger[イベント種類],"余剰化")+SUMIFS(tbl_ledger[数量],tbl_ledger[品番],$B215,tbl_ledger[イベント種類],"搬入",tbl_ledger[ロットID],"=")-SUMIFS(tbl_ledger[数量],tbl_ledger[品番],$B215,tbl_ledger[イベント種類],"充当",tbl_ledger[ロットID],"=")-SUMIFS(tbl_ledger[数量],tbl_ledger[品番],$B215,tbl_ledger[イベント種類],"発送",tbl_ledger[ロットID],"=")-SUMIFS(tbl_ledger[数量],tbl_ledger[品番],$B215,tbl_ledger[イベント種類],"倉庫A戻し",tbl_ledger[ロットID],"=")-SUMIFS(tbl_ledger[数量],tbl_ledger[品番],$B215,tbl_ledger[イベント種類],"不良発生",tbl_ledger[ロットID],"="))</f>
        <v/>
      </c>
      <c r="J215" s="4" t="str">
        <f t="shared" si="9"/>
        <v/>
      </c>
      <c r="K215" s="4" t="str">
        <f t="shared" si="10"/>
        <v/>
      </c>
      <c r="L215" s="4" t="str">
        <f t="shared" si="11"/>
        <v/>
      </c>
      <c r="M215" s="4" t="str">
        <f>IF($A215="","",IF(INDEX(tbl_plan[計画状態],ROW()-1)="キャンセル","キャンセル",IF(K215=0,"発送済",IF(L215&gt;0,"要搬出","OK"))))</f>
        <v/>
      </c>
    </row>
    <row r="216" spans="1:13" ht="15" x14ac:dyDescent="0.25">
      <c r="A216" s="4" t="str">
        <f>IFERROR(INDEX(tbl_plan[ロットID],ROW()-1),"")</f>
        <v/>
      </c>
      <c r="B216" s="4" t="str">
        <f>IF($A216="","",INDEX(tbl_plan[品番],ROW()-1))</f>
        <v/>
      </c>
      <c r="C216" s="5" t="str">
        <f>IF($A216="","",INDEX(tbl_plan[出荷週],ROW()-1))</f>
        <v/>
      </c>
      <c r="D216" s="4" t="str">
        <f>IF($A216="","",INDEX(tbl_plan[納期先],ROW()-1)&amp;"")</f>
        <v/>
      </c>
      <c r="E216" s="4" t="str">
        <f>IF($A216="","",INDEX(tbl_plan[必要数],ROW()-1))</f>
        <v/>
      </c>
      <c r="F216" s="4" t="str">
        <f>IF($A216="","",SUMIFS(tbl_plan[必要数],tbl_plan[ロットID],$A216,tbl_plan[計画状態],"有効"))</f>
        <v/>
      </c>
      <c r="G216" s="4" t="str">
        <f>IF($A216="","",SUMIFS(tbl_ledger[数量],tbl_ledger[ロットID],$A216,tbl_ledger[イベント種類],"発送"))</f>
        <v/>
      </c>
      <c r="H216" s="4" t="str">
        <f>IF($A216="","",SUMIFS(tbl_ledger[数量],tbl_ledger[ロットID],$A216,tbl_ledger[イベント種類],"搬入")+SUMIFS(tbl_ledger[数量],tbl_ledger[充当先ロットID],$A216,tbl_ledger[イベント種類],"充当")-SUMIFS(tbl_ledger[数量],tbl_ledger[ロットID],$A216,tbl_ledger[イベント種類],"充当")-SUMIFS(tbl_ledger[数量],tbl_ledger[ロットID],$A216,tbl_ledger[イベント種類],"発送")-SUMIFS(tbl_ledger[数量],tbl_ledger[ロットID],$A216,tbl_ledger[イベント種類],"倉庫A戻し")-SUMIFS(tbl_ledger[数量],tbl_ledger[ロットID],$A216,tbl_ledger[イベント種類],"余剰化")-SUMIFS(tbl_ledger[数量],tbl_ledger[ロットID],$A216,tbl_ledger[イベント種類],"不良発生"))</f>
        <v/>
      </c>
      <c r="I216" s="4" t="str">
        <f>IF($A216="","",SUMIFS(tbl_ledger[数量],tbl_ledger[品番],$B216,tbl_ledger[イベント種類],"余剰化")+SUMIFS(tbl_ledger[数量],tbl_ledger[品番],$B216,tbl_ledger[イベント種類],"搬入",tbl_ledger[ロットID],"=")-SUMIFS(tbl_ledger[数量],tbl_ledger[品番],$B216,tbl_ledger[イベント種類],"充当",tbl_ledger[ロットID],"=")-SUMIFS(tbl_ledger[数量],tbl_ledger[品番],$B216,tbl_ledger[イベント種類],"発送",tbl_ledger[ロットID],"=")-SUMIFS(tbl_ledger[数量],tbl_ledger[品番],$B216,tbl_ledger[イベント種類],"倉庫A戻し",tbl_ledger[ロットID],"=")-SUMIFS(tbl_ledger[数量],tbl_ledger[品番],$B216,tbl_ledger[イベント種類],"不良発生",tbl_ledger[ロットID],"="))</f>
        <v/>
      </c>
      <c r="J216" s="4" t="str">
        <f t="shared" si="9"/>
        <v/>
      </c>
      <c r="K216" s="4" t="str">
        <f t="shared" si="10"/>
        <v/>
      </c>
      <c r="L216" s="4" t="str">
        <f t="shared" si="11"/>
        <v/>
      </c>
      <c r="M216" s="4" t="str">
        <f>IF($A216="","",IF(INDEX(tbl_plan[計画状態],ROW()-1)="キャンセル","キャンセル",IF(K216=0,"発送済",IF(L216&gt;0,"要搬出","OK"))))</f>
        <v/>
      </c>
    </row>
    <row r="217" spans="1:13" ht="15" x14ac:dyDescent="0.25">
      <c r="A217" s="4" t="str">
        <f>IFERROR(INDEX(tbl_plan[ロットID],ROW()-1),"")</f>
        <v/>
      </c>
      <c r="B217" s="4" t="str">
        <f>IF($A217="","",INDEX(tbl_plan[品番],ROW()-1))</f>
        <v/>
      </c>
      <c r="C217" s="5" t="str">
        <f>IF($A217="","",INDEX(tbl_plan[出荷週],ROW()-1))</f>
        <v/>
      </c>
      <c r="D217" s="4" t="str">
        <f>IF($A217="","",INDEX(tbl_plan[納期先],ROW()-1)&amp;"")</f>
        <v/>
      </c>
      <c r="E217" s="4" t="str">
        <f>IF($A217="","",INDEX(tbl_plan[必要数],ROW()-1))</f>
        <v/>
      </c>
      <c r="F217" s="4" t="str">
        <f>IF($A217="","",SUMIFS(tbl_plan[必要数],tbl_plan[ロットID],$A217,tbl_plan[計画状態],"有効"))</f>
        <v/>
      </c>
      <c r="G217" s="4" t="str">
        <f>IF($A217="","",SUMIFS(tbl_ledger[数量],tbl_ledger[ロットID],$A217,tbl_ledger[イベント種類],"発送"))</f>
        <v/>
      </c>
      <c r="H217" s="4" t="str">
        <f>IF($A217="","",SUMIFS(tbl_ledger[数量],tbl_ledger[ロットID],$A217,tbl_ledger[イベント種類],"搬入")+SUMIFS(tbl_ledger[数量],tbl_ledger[充当先ロットID],$A217,tbl_ledger[イベント種類],"充当")-SUMIFS(tbl_ledger[数量],tbl_ledger[ロットID],$A217,tbl_ledger[イベント種類],"充当")-SUMIFS(tbl_ledger[数量],tbl_ledger[ロットID],$A217,tbl_ledger[イベント種類],"発送")-SUMIFS(tbl_ledger[数量],tbl_ledger[ロットID],$A217,tbl_ledger[イベント種類],"倉庫A戻し")-SUMIFS(tbl_ledger[数量],tbl_ledger[ロットID],$A217,tbl_ledger[イベント種類],"余剰化")-SUMIFS(tbl_ledger[数量],tbl_ledger[ロットID],$A217,tbl_ledger[イベント種類],"不良発生"))</f>
        <v/>
      </c>
      <c r="I217" s="4" t="str">
        <f>IF($A217="","",SUMIFS(tbl_ledger[数量],tbl_ledger[品番],$B217,tbl_ledger[イベント種類],"余剰化")+SUMIFS(tbl_ledger[数量],tbl_ledger[品番],$B217,tbl_ledger[イベント種類],"搬入",tbl_ledger[ロットID],"=")-SUMIFS(tbl_ledger[数量],tbl_ledger[品番],$B217,tbl_ledger[イベント種類],"充当",tbl_ledger[ロットID],"=")-SUMIFS(tbl_ledger[数量],tbl_ledger[品番],$B217,tbl_ledger[イベント種類],"発送",tbl_ledger[ロットID],"=")-SUMIFS(tbl_ledger[数量],tbl_ledger[品番],$B217,tbl_ledger[イベント種類],"倉庫A戻し",tbl_ledger[ロットID],"=")-SUMIFS(tbl_ledger[数量],tbl_ledger[品番],$B217,tbl_ledger[イベント種類],"不良発生",tbl_ledger[ロットID],"="))</f>
        <v/>
      </c>
      <c r="J217" s="4" t="str">
        <f t="shared" si="9"/>
        <v/>
      </c>
      <c r="K217" s="4" t="str">
        <f t="shared" si="10"/>
        <v/>
      </c>
      <c r="L217" s="4" t="str">
        <f t="shared" si="11"/>
        <v/>
      </c>
      <c r="M217" s="4" t="str">
        <f>IF($A217="","",IF(INDEX(tbl_plan[計画状態],ROW()-1)="キャンセル","キャンセル",IF(K217=0,"発送済",IF(L217&gt;0,"要搬出","OK"))))</f>
        <v/>
      </c>
    </row>
    <row r="218" spans="1:13" ht="15" x14ac:dyDescent="0.25">
      <c r="A218" s="4" t="str">
        <f>IFERROR(INDEX(tbl_plan[ロットID],ROW()-1),"")</f>
        <v/>
      </c>
      <c r="B218" s="4" t="str">
        <f>IF($A218="","",INDEX(tbl_plan[品番],ROW()-1))</f>
        <v/>
      </c>
      <c r="C218" s="5" t="str">
        <f>IF($A218="","",INDEX(tbl_plan[出荷週],ROW()-1))</f>
        <v/>
      </c>
      <c r="D218" s="4" t="str">
        <f>IF($A218="","",INDEX(tbl_plan[納期先],ROW()-1)&amp;"")</f>
        <v/>
      </c>
      <c r="E218" s="4" t="str">
        <f>IF($A218="","",INDEX(tbl_plan[必要数],ROW()-1))</f>
        <v/>
      </c>
      <c r="F218" s="4" t="str">
        <f>IF($A218="","",SUMIFS(tbl_plan[必要数],tbl_plan[ロットID],$A218,tbl_plan[計画状態],"有効"))</f>
        <v/>
      </c>
      <c r="G218" s="4" t="str">
        <f>IF($A218="","",SUMIFS(tbl_ledger[数量],tbl_ledger[ロットID],$A218,tbl_ledger[イベント種類],"発送"))</f>
        <v/>
      </c>
      <c r="H218" s="4" t="str">
        <f>IF($A218="","",SUMIFS(tbl_ledger[数量],tbl_ledger[ロットID],$A218,tbl_ledger[イベント種類],"搬入")+SUMIFS(tbl_ledger[数量],tbl_ledger[充当先ロットID],$A218,tbl_ledger[イベント種類],"充当")-SUMIFS(tbl_ledger[数量],tbl_ledger[ロットID],$A218,tbl_ledger[イベント種類],"充当")-SUMIFS(tbl_ledger[数量],tbl_ledger[ロットID],$A218,tbl_ledger[イベント種類],"発送")-SUMIFS(tbl_ledger[数量],tbl_ledger[ロットID],$A218,tbl_ledger[イベント種類],"倉庫A戻し")-SUMIFS(tbl_ledger[数量],tbl_ledger[ロットID],$A218,tbl_ledger[イベント種類],"余剰化")-SUMIFS(tbl_ledger[数量],tbl_ledger[ロットID],$A218,tbl_ledger[イベント種類],"不良発生"))</f>
        <v/>
      </c>
      <c r="I218" s="4" t="str">
        <f>IF($A218="","",SUMIFS(tbl_ledger[数量],tbl_ledger[品番],$B218,tbl_ledger[イベント種類],"余剰化")+SUMIFS(tbl_ledger[数量],tbl_ledger[品番],$B218,tbl_ledger[イベント種類],"搬入",tbl_ledger[ロットID],"=")-SUMIFS(tbl_ledger[数量],tbl_ledger[品番],$B218,tbl_ledger[イベント種類],"充当",tbl_ledger[ロットID],"=")-SUMIFS(tbl_ledger[数量],tbl_ledger[品番],$B218,tbl_ledger[イベント種類],"発送",tbl_ledger[ロットID],"=")-SUMIFS(tbl_ledger[数量],tbl_ledger[品番],$B218,tbl_ledger[イベント種類],"倉庫A戻し",tbl_ledger[ロットID],"=")-SUMIFS(tbl_ledger[数量],tbl_ledger[品番],$B218,tbl_ledger[イベント種類],"不良発生",tbl_ledger[ロットID],"="))</f>
        <v/>
      </c>
      <c r="J218" s="4" t="str">
        <f t="shared" si="9"/>
        <v/>
      </c>
      <c r="K218" s="4" t="str">
        <f t="shared" si="10"/>
        <v/>
      </c>
      <c r="L218" s="4" t="str">
        <f t="shared" si="11"/>
        <v/>
      </c>
      <c r="M218" s="4" t="str">
        <f>IF($A218="","",IF(INDEX(tbl_plan[計画状態],ROW()-1)="キャンセル","キャンセル",IF(K218=0,"発送済",IF(L218&gt;0,"要搬出","OK"))))</f>
        <v/>
      </c>
    </row>
    <row r="219" spans="1:13" ht="15" x14ac:dyDescent="0.25">
      <c r="A219" s="4" t="str">
        <f>IFERROR(INDEX(tbl_plan[ロットID],ROW()-1),"")</f>
        <v/>
      </c>
      <c r="B219" s="4" t="str">
        <f>IF($A219="","",INDEX(tbl_plan[品番],ROW()-1))</f>
        <v/>
      </c>
      <c r="C219" s="5" t="str">
        <f>IF($A219="","",INDEX(tbl_plan[出荷週],ROW()-1))</f>
        <v/>
      </c>
      <c r="D219" s="4" t="str">
        <f>IF($A219="","",INDEX(tbl_plan[納期先],ROW()-1)&amp;"")</f>
        <v/>
      </c>
      <c r="E219" s="4" t="str">
        <f>IF($A219="","",INDEX(tbl_plan[必要数],ROW()-1))</f>
        <v/>
      </c>
      <c r="F219" s="4" t="str">
        <f>IF($A219="","",SUMIFS(tbl_plan[必要数],tbl_plan[ロットID],$A219,tbl_plan[計画状態],"有効"))</f>
        <v/>
      </c>
      <c r="G219" s="4" t="str">
        <f>IF($A219="","",SUMIFS(tbl_ledger[数量],tbl_ledger[ロットID],$A219,tbl_ledger[イベント種類],"発送"))</f>
        <v/>
      </c>
      <c r="H219" s="4" t="str">
        <f>IF($A219="","",SUMIFS(tbl_ledger[数量],tbl_ledger[ロットID],$A219,tbl_ledger[イベント種類],"搬入")+SUMIFS(tbl_ledger[数量],tbl_ledger[充当先ロットID],$A219,tbl_ledger[イベント種類],"充当")-SUMIFS(tbl_ledger[数量],tbl_ledger[ロットID],$A219,tbl_ledger[イベント種類],"充当")-SUMIFS(tbl_ledger[数量],tbl_ledger[ロットID],$A219,tbl_ledger[イベント種類],"発送")-SUMIFS(tbl_ledger[数量],tbl_ledger[ロットID],$A219,tbl_ledger[イベント種類],"倉庫A戻し")-SUMIFS(tbl_ledger[数量],tbl_ledger[ロットID],$A219,tbl_ledger[イベント種類],"余剰化")-SUMIFS(tbl_ledger[数量],tbl_ledger[ロットID],$A219,tbl_ledger[イベント種類],"不良発生"))</f>
        <v/>
      </c>
      <c r="I219" s="4" t="str">
        <f>IF($A219="","",SUMIFS(tbl_ledger[数量],tbl_ledger[品番],$B219,tbl_ledger[イベント種類],"余剰化")+SUMIFS(tbl_ledger[数量],tbl_ledger[品番],$B219,tbl_ledger[イベント種類],"搬入",tbl_ledger[ロットID],"=")-SUMIFS(tbl_ledger[数量],tbl_ledger[品番],$B219,tbl_ledger[イベント種類],"充当",tbl_ledger[ロットID],"=")-SUMIFS(tbl_ledger[数量],tbl_ledger[品番],$B219,tbl_ledger[イベント種類],"発送",tbl_ledger[ロットID],"=")-SUMIFS(tbl_ledger[数量],tbl_ledger[品番],$B219,tbl_ledger[イベント種類],"倉庫A戻し",tbl_ledger[ロットID],"=")-SUMIFS(tbl_ledger[数量],tbl_ledger[品番],$B219,tbl_ledger[イベント種類],"不良発生",tbl_ledger[ロットID],"="))</f>
        <v/>
      </c>
      <c r="J219" s="4" t="str">
        <f t="shared" si="9"/>
        <v/>
      </c>
      <c r="K219" s="4" t="str">
        <f t="shared" si="10"/>
        <v/>
      </c>
      <c r="L219" s="4" t="str">
        <f t="shared" si="11"/>
        <v/>
      </c>
      <c r="M219" s="4" t="str">
        <f>IF($A219="","",IF(INDEX(tbl_plan[計画状態],ROW()-1)="キャンセル","キャンセル",IF(K219=0,"発送済",IF(L219&gt;0,"要搬出","OK"))))</f>
        <v/>
      </c>
    </row>
    <row r="220" spans="1:13" ht="15" x14ac:dyDescent="0.25">
      <c r="A220" s="4" t="str">
        <f>IFERROR(INDEX(tbl_plan[ロットID],ROW()-1),"")</f>
        <v/>
      </c>
      <c r="B220" s="4" t="str">
        <f>IF($A220="","",INDEX(tbl_plan[品番],ROW()-1))</f>
        <v/>
      </c>
      <c r="C220" s="5" t="str">
        <f>IF($A220="","",INDEX(tbl_plan[出荷週],ROW()-1))</f>
        <v/>
      </c>
      <c r="D220" s="4" t="str">
        <f>IF($A220="","",INDEX(tbl_plan[納期先],ROW()-1)&amp;"")</f>
        <v/>
      </c>
      <c r="E220" s="4" t="str">
        <f>IF($A220="","",INDEX(tbl_plan[必要数],ROW()-1))</f>
        <v/>
      </c>
      <c r="F220" s="4" t="str">
        <f>IF($A220="","",SUMIFS(tbl_plan[必要数],tbl_plan[ロットID],$A220,tbl_plan[計画状態],"有効"))</f>
        <v/>
      </c>
      <c r="G220" s="4" t="str">
        <f>IF($A220="","",SUMIFS(tbl_ledger[数量],tbl_ledger[ロットID],$A220,tbl_ledger[イベント種類],"発送"))</f>
        <v/>
      </c>
      <c r="H220" s="4" t="str">
        <f>IF($A220="","",SUMIFS(tbl_ledger[数量],tbl_ledger[ロットID],$A220,tbl_ledger[イベント種類],"搬入")+SUMIFS(tbl_ledger[数量],tbl_ledger[充当先ロットID],$A220,tbl_ledger[イベント種類],"充当")-SUMIFS(tbl_ledger[数量],tbl_ledger[ロットID],$A220,tbl_ledger[イベント種類],"充当")-SUMIFS(tbl_ledger[数量],tbl_ledger[ロットID],$A220,tbl_ledger[イベント種類],"発送")-SUMIFS(tbl_ledger[数量],tbl_ledger[ロットID],$A220,tbl_ledger[イベント種類],"倉庫A戻し")-SUMIFS(tbl_ledger[数量],tbl_ledger[ロットID],$A220,tbl_ledger[イベント種類],"余剰化")-SUMIFS(tbl_ledger[数量],tbl_ledger[ロットID],$A220,tbl_ledger[イベント種類],"不良発生"))</f>
        <v/>
      </c>
      <c r="I220" s="4" t="str">
        <f>IF($A220="","",SUMIFS(tbl_ledger[数量],tbl_ledger[品番],$B220,tbl_ledger[イベント種類],"余剰化")+SUMIFS(tbl_ledger[数量],tbl_ledger[品番],$B220,tbl_ledger[イベント種類],"搬入",tbl_ledger[ロットID],"=")-SUMIFS(tbl_ledger[数量],tbl_ledger[品番],$B220,tbl_ledger[イベント種類],"充当",tbl_ledger[ロットID],"=")-SUMIFS(tbl_ledger[数量],tbl_ledger[品番],$B220,tbl_ledger[イベント種類],"発送",tbl_ledger[ロットID],"=")-SUMIFS(tbl_ledger[数量],tbl_ledger[品番],$B220,tbl_ledger[イベント種類],"倉庫A戻し",tbl_ledger[ロットID],"=")-SUMIFS(tbl_ledger[数量],tbl_ledger[品番],$B220,tbl_ledger[イベント種類],"不良発生",tbl_ledger[ロットID],"="))</f>
        <v/>
      </c>
      <c r="J220" s="4" t="str">
        <f t="shared" si="9"/>
        <v/>
      </c>
      <c r="K220" s="4" t="str">
        <f t="shared" si="10"/>
        <v/>
      </c>
      <c r="L220" s="4" t="str">
        <f t="shared" si="11"/>
        <v/>
      </c>
      <c r="M220" s="4" t="str">
        <f>IF($A220="","",IF(INDEX(tbl_plan[計画状態],ROW()-1)="キャンセル","キャンセル",IF(K220=0,"発送済",IF(L220&gt;0,"要搬出","OK"))))</f>
        <v/>
      </c>
    </row>
    <row r="221" spans="1:13" ht="15" x14ac:dyDescent="0.25">
      <c r="A221" s="4" t="str">
        <f>IFERROR(INDEX(tbl_plan[ロットID],ROW()-1),"")</f>
        <v/>
      </c>
      <c r="B221" s="4" t="str">
        <f>IF($A221="","",INDEX(tbl_plan[品番],ROW()-1))</f>
        <v/>
      </c>
      <c r="C221" s="5" t="str">
        <f>IF($A221="","",INDEX(tbl_plan[出荷週],ROW()-1))</f>
        <v/>
      </c>
      <c r="D221" s="4" t="str">
        <f>IF($A221="","",INDEX(tbl_plan[納期先],ROW()-1)&amp;"")</f>
        <v/>
      </c>
      <c r="E221" s="4" t="str">
        <f>IF($A221="","",INDEX(tbl_plan[必要数],ROW()-1))</f>
        <v/>
      </c>
      <c r="F221" s="4" t="str">
        <f>IF($A221="","",SUMIFS(tbl_plan[必要数],tbl_plan[ロットID],$A221,tbl_plan[計画状態],"有効"))</f>
        <v/>
      </c>
      <c r="G221" s="4" t="str">
        <f>IF($A221="","",SUMIFS(tbl_ledger[数量],tbl_ledger[ロットID],$A221,tbl_ledger[イベント種類],"発送"))</f>
        <v/>
      </c>
      <c r="H221" s="4" t="str">
        <f>IF($A221="","",SUMIFS(tbl_ledger[数量],tbl_ledger[ロットID],$A221,tbl_ledger[イベント種類],"搬入")+SUMIFS(tbl_ledger[数量],tbl_ledger[充当先ロットID],$A221,tbl_ledger[イベント種類],"充当")-SUMIFS(tbl_ledger[数量],tbl_ledger[ロットID],$A221,tbl_ledger[イベント種類],"充当")-SUMIFS(tbl_ledger[数量],tbl_ledger[ロットID],$A221,tbl_ledger[イベント種類],"発送")-SUMIFS(tbl_ledger[数量],tbl_ledger[ロットID],$A221,tbl_ledger[イベント種類],"倉庫A戻し")-SUMIFS(tbl_ledger[数量],tbl_ledger[ロットID],$A221,tbl_ledger[イベント種類],"余剰化")-SUMIFS(tbl_ledger[数量],tbl_ledger[ロットID],$A221,tbl_ledger[イベント種類],"不良発生"))</f>
        <v/>
      </c>
      <c r="I221" s="4" t="str">
        <f>IF($A221="","",SUMIFS(tbl_ledger[数量],tbl_ledger[品番],$B221,tbl_ledger[イベント種類],"余剰化")+SUMIFS(tbl_ledger[数量],tbl_ledger[品番],$B221,tbl_ledger[イベント種類],"搬入",tbl_ledger[ロットID],"=")-SUMIFS(tbl_ledger[数量],tbl_ledger[品番],$B221,tbl_ledger[イベント種類],"充当",tbl_ledger[ロットID],"=")-SUMIFS(tbl_ledger[数量],tbl_ledger[品番],$B221,tbl_ledger[イベント種類],"発送",tbl_ledger[ロットID],"=")-SUMIFS(tbl_ledger[数量],tbl_ledger[品番],$B221,tbl_ledger[イベント種類],"倉庫A戻し",tbl_ledger[ロットID],"=")-SUMIFS(tbl_ledger[数量],tbl_ledger[品番],$B221,tbl_ledger[イベント種類],"不良発生",tbl_ledger[ロットID],"="))</f>
        <v/>
      </c>
      <c r="J221" s="4" t="str">
        <f t="shared" si="9"/>
        <v/>
      </c>
      <c r="K221" s="4" t="str">
        <f t="shared" si="10"/>
        <v/>
      </c>
      <c r="L221" s="4" t="str">
        <f t="shared" si="11"/>
        <v/>
      </c>
      <c r="M221" s="4" t="str">
        <f>IF($A221="","",IF(INDEX(tbl_plan[計画状態],ROW()-1)="キャンセル","キャンセル",IF(K221=0,"発送済",IF(L221&gt;0,"要搬出","OK"))))</f>
        <v/>
      </c>
    </row>
    <row r="222" spans="1:13" ht="15" x14ac:dyDescent="0.25">
      <c r="A222" s="4" t="str">
        <f>IFERROR(INDEX(tbl_plan[ロットID],ROW()-1),"")</f>
        <v/>
      </c>
      <c r="B222" s="4" t="str">
        <f>IF($A222="","",INDEX(tbl_plan[品番],ROW()-1))</f>
        <v/>
      </c>
      <c r="C222" s="5" t="str">
        <f>IF($A222="","",INDEX(tbl_plan[出荷週],ROW()-1))</f>
        <v/>
      </c>
      <c r="D222" s="4" t="str">
        <f>IF($A222="","",INDEX(tbl_plan[納期先],ROW()-1)&amp;"")</f>
        <v/>
      </c>
      <c r="E222" s="4" t="str">
        <f>IF($A222="","",INDEX(tbl_plan[必要数],ROW()-1))</f>
        <v/>
      </c>
      <c r="F222" s="4" t="str">
        <f>IF($A222="","",SUMIFS(tbl_plan[必要数],tbl_plan[ロットID],$A222,tbl_plan[計画状態],"有効"))</f>
        <v/>
      </c>
      <c r="G222" s="4" t="str">
        <f>IF($A222="","",SUMIFS(tbl_ledger[数量],tbl_ledger[ロットID],$A222,tbl_ledger[イベント種類],"発送"))</f>
        <v/>
      </c>
      <c r="H222" s="4" t="str">
        <f>IF($A222="","",SUMIFS(tbl_ledger[数量],tbl_ledger[ロットID],$A222,tbl_ledger[イベント種類],"搬入")+SUMIFS(tbl_ledger[数量],tbl_ledger[充当先ロットID],$A222,tbl_ledger[イベント種類],"充当")-SUMIFS(tbl_ledger[数量],tbl_ledger[ロットID],$A222,tbl_ledger[イベント種類],"充当")-SUMIFS(tbl_ledger[数量],tbl_ledger[ロットID],$A222,tbl_ledger[イベント種類],"発送")-SUMIFS(tbl_ledger[数量],tbl_ledger[ロットID],$A222,tbl_ledger[イベント種類],"倉庫A戻し")-SUMIFS(tbl_ledger[数量],tbl_ledger[ロットID],$A222,tbl_ledger[イベント種類],"余剰化")-SUMIFS(tbl_ledger[数量],tbl_ledger[ロットID],$A222,tbl_ledger[イベント種類],"不良発生"))</f>
        <v/>
      </c>
      <c r="I222" s="4" t="str">
        <f>IF($A222="","",SUMIFS(tbl_ledger[数量],tbl_ledger[品番],$B222,tbl_ledger[イベント種類],"余剰化")+SUMIFS(tbl_ledger[数量],tbl_ledger[品番],$B222,tbl_ledger[イベント種類],"搬入",tbl_ledger[ロットID],"=")-SUMIFS(tbl_ledger[数量],tbl_ledger[品番],$B222,tbl_ledger[イベント種類],"充当",tbl_ledger[ロットID],"=")-SUMIFS(tbl_ledger[数量],tbl_ledger[品番],$B222,tbl_ledger[イベント種類],"発送",tbl_ledger[ロットID],"=")-SUMIFS(tbl_ledger[数量],tbl_ledger[品番],$B222,tbl_ledger[イベント種類],"倉庫A戻し",tbl_ledger[ロットID],"=")-SUMIFS(tbl_ledger[数量],tbl_ledger[品番],$B222,tbl_ledger[イベント種類],"不良発生",tbl_ledger[ロットID],"="))</f>
        <v/>
      </c>
      <c r="J222" s="4" t="str">
        <f t="shared" si="9"/>
        <v/>
      </c>
      <c r="K222" s="4" t="str">
        <f t="shared" si="10"/>
        <v/>
      </c>
      <c r="L222" s="4" t="str">
        <f t="shared" si="11"/>
        <v/>
      </c>
      <c r="M222" s="4" t="str">
        <f>IF($A222="","",IF(INDEX(tbl_plan[計画状態],ROW()-1)="キャンセル","キャンセル",IF(K222=0,"発送済",IF(L222&gt;0,"要搬出","OK"))))</f>
        <v/>
      </c>
    </row>
    <row r="223" spans="1:13" ht="15" x14ac:dyDescent="0.25">
      <c r="A223" s="4" t="str">
        <f>IFERROR(INDEX(tbl_plan[ロットID],ROW()-1),"")</f>
        <v/>
      </c>
      <c r="B223" s="4" t="str">
        <f>IF($A223="","",INDEX(tbl_plan[品番],ROW()-1))</f>
        <v/>
      </c>
      <c r="C223" s="5" t="str">
        <f>IF($A223="","",INDEX(tbl_plan[出荷週],ROW()-1))</f>
        <v/>
      </c>
      <c r="D223" s="4" t="str">
        <f>IF($A223="","",INDEX(tbl_plan[納期先],ROW()-1)&amp;"")</f>
        <v/>
      </c>
      <c r="E223" s="4" t="str">
        <f>IF($A223="","",INDEX(tbl_plan[必要数],ROW()-1))</f>
        <v/>
      </c>
      <c r="F223" s="4" t="str">
        <f>IF($A223="","",SUMIFS(tbl_plan[必要数],tbl_plan[ロットID],$A223,tbl_plan[計画状態],"有効"))</f>
        <v/>
      </c>
      <c r="G223" s="4" t="str">
        <f>IF($A223="","",SUMIFS(tbl_ledger[数量],tbl_ledger[ロットID],$A223,tbl_ledger[イベント種類],"発送"))</f>
        <v/>
      </c>
      <c r="H223" s="4" t="str">
        <f>IF($A223="","",SUMIFS(tbl_ledger[数量],tbl_ledger[ロットID],$A223,tbl_ledger[イベント種類],"搬入")+SUMIFS(tbl_ledger[数量],tbl_ledger[充当先ロットID],$A223,tbl_ledger[イベント種類],"充当")-SUMIFS(tbl_ledger[数量],tbl_ledger[ロットID],$A223,tbl_ledger[イベント種類],"充当")-SUMIFS(tbl_ledger[数量],tbl_ledger[ロットID],$A223,tbl_ledger[イベント種類],"発送")-SUMIFS(tbl_ledger[数量],tbl_ledger[ロットID],$A223,tbl_ledger[イベント種類],"倉庫A戻し")-SUMIFS(tbl_ledger[数量],tbl_ledger[ロットID],$A223,tbl_ledger[イベント種類],"余剰化")-SUMIFS(tbl_ledger[数量],tbl_ledger[ロットID],$A223,tbl_ledger[イベント種類],"不良発生"))</f>
        <v/>
      </c>
      <c r="I223" s="4" t="str">
        <f>IF($A223="","",SUMIFS(tbl_ledger[数量],tbl_ledger[品番],$B223,tbl_ledger[イベント種類],"余剰化")+SUMIFS(tbl_ledger[数量],tbl_ledger[品番],$B223,tbl_ledger[イベント種類],"搬入",tbl_ledger[ロットID],"=")-SUMIFS(tbl_ledger[数量],tbl_ledger[品番],$B223,tbl_ledger[イベント種類],"充当",tbl_ledger[ロットID],"=")-SUMIFS(tbl_ledger[数量],tbl_ledger[品番],$B223,tbl_ledger[イベント種類],"発送",tbl_ledger[ロットID],"=")-SUMIFS(tbl_ledger[数量],tbl_ledger[品番],$B223,tbl_ledger[イベント種類],"倉庫A戻し",tbl_ledger[ロットID],"=")-SUMIFS(tbl_ledger[数量],tbl_ledger[品番],$B223,tbl_ledger[イベント種類],"不良発生",tbl_ledger[ロットID],"="))</f>
        <v/>
      </c>
      <c r="J223" s="4" t="str">
        <f t="shared" si="9"/>
        <v/>
      </c>
      <c r="K223" s="4" t="str">
        <f t="shared" si="10"/>
        <v/>
      </c>
      <c r="L223" s="4" t="str">
        <f t="shared" si="11"/>
        <v/>
      </c>
      <c r="M223" s="4" t="str">
        <f>IF($A223="","",IF(INDEX(tbl_plan[計画状態],ROW()-1)="キャンセル","キャンセル",IF(K223=0,"発送済",IF(L223&gt;0,"要搬出","OK"))))</f>
        <v/>
      </c>
    </row>
    <row r="224" spans="1:13" ht="15" x14ac:dyDescent="0.25">
      <c r="A224" s="4" t="str">
        <f>IFERROR(INDEX(tbl_plan[ロットID],ROW()-1),"")</f>
        <v/>
      </c>
      <c r="B224" s="4" t="str">
        <f>IF($A224="","",INDEX(tbl_plan[品番],ROW()-1))</f>
        <v/>
      </c>
      <c r="C224" s="5" t="str">
        <f>IF($A224="","",INDEX(tbl_plan[出荷週],ROW()-1))</f>
        <v/>
      </c>
      <c r="D224" s="4" t="str">
        <f>IF($A224="","",INDEX(tbl_plan[納期先],ROW()-1)&amp;"")</f>
        <v/>
      </c>
      <c r="E224" s="4" t="str">
        <f>IF($A224="","",INDEX(tbl_plan[必要数],ROW()-1))</f>
        <v/>
      </c>
      <c r="F224" s="4" t="str">
        <f>IF($A224="","",SUMIFS(tbl_plan[必要数],tbl_plan[ロットID],$A224,tbl_plan[計画状態],"有効"))</f>
        <v/>
      </c>
      <c r="G224" s="4" t="str">
        <f>IF($A224="","",SUMIFS(tbl_ledger[数量],tbl_ledger[ロットID],$A224,tbl_ledger[イベント種類],"発送"))</f>
        <v/>
      </c>
      <c r="H224" s="4" t="str">
        <f>IF($A224="","",SUMIFS(tbl_ledger[数量],tbl_ledger[ロットID],$A224,tbl_ledger[イベント種類],"搬入")+SUMIFS(tbl_ledger[数量],tbl_ledger[充当先ロットID],$A224,tbl_ledger[イベント種類],"充当")-SUMIFS(tbl_ledger[数量],tbl_ledger[ロットID],$A224,tbl_ledger[イベント種類],"充当")-SUMIFS(tbl_ledger[数量],tbl_ledger[ロットID],$A224,tbl_ledger[イベント種類],"発送")-SUMIFS(tbl_ledger[数量],tbl_ledger[ロットID],$A224,tbl_ledger[イベント種類],"倉庫A戻し")-SUMIFS(tbl_ledger[数量],tbl_ledger[ロットID],$A224,tbl_ledger[イベント種類],"余剰化")-SUMIFS(tbl_ledger[数量],tbl_ledger[ロットID],$A224,tbl_ledger[イベント種類],"不良発生"))</f>
        <v/>
      </c>
      <c r="I224" s="4" t="str">
        <f>IF($A224="","",SUMIFS(tbl_ledger[数量],tbl_ledger[品番],$B224,tbl_ledger[イベント種類],"余剰化")+SUMIFS(tbl_ledger[数量],tbl_ledger[品番],$B224,tbl_ledger[イベント種類],"搬入",tbl_ledger[ロットID],"=")-SUMIFS(tbl_ledger[数量],tbl_ledger[品番],$B224,tbl_ledger[イベント種類],"充当",tbl_ledger[ロットID],"=")-SUMIFS(tbl_ledger[数量],tbl_ledger[品番],$B224,tbl_ledger[イベント種類],"発送",tbl_ledger[ロットID],"=")-SUMIFS(tbl_ledger[数量],tbl_ledger[品番],$B224,tbl_ledger[イベント種類],"倉庫A戻し",tbl_ledger[ロットID],"=")-SUMIFS(tbl_ledger[数量],tbl_ledger[品番],$B224,tbl_ledger[イベント種類],"不良発生",tbl_ledger[ロットID],"="))</f>
        <v/>
      </c>
      <c r="J224" s="4" t="str">
        <f t="shared" si="9"/>
        <v/>
      </c>
      <c r="K224" s="4" t="str">
        <f t="shared" si="10"/>
        <v/>
      </c>
      <c r="L224" s="4" t="str">
        <f t="shared" si="11"/>
        <v/>
      </c>
      <c r="M224" s="4" t="str">
        <f>IF($A224="","",IF(INDEX(tbl_plan[計画状態],ROW()-1)="キャンセル","キャンセル",IF(K224=0,"発送済",IF(L224&gt;0,"要搬出","OK"))))</f>
        <v/>
      </c>
    </row>
    <row r="225" spans="1:13" ht="15" x14ac:dyDescent="0.25">
      <c r="A225" s="4" t="str">
        <f>IFERROR(INDEX(tbl_plan[ロットID],ROW()-1),"")</f>
        <v/>
      </c>
      <c r="B225" s="4" t="str">
        <f>IF($A225="","",INDEX(tbl_plan[品番],ROW()-1))</f>
        <v/>
      </c>
      <c r="C225" s="5" t="str">
        <f>IF($A225="","",INDEX(tbl_plan[出荷週],ROW()-1))</f>
        <v/>
      </c>
      <c r="D225" s="4" t="str">
        <f>IF($A225="","",INDEX(tbl_plan[納期先],ROW()-1)&amp;"")</f>
        <v/>
      </c>
      <c r="E225" s="4" t="str">
        <f>IF($A225="","",INDEX(tbl_plan[必要数],ROW()-1))</f>
        <v/>
      </c>
      <c r="F225" s="4" t="str">
        <f>IF($A225="","",SUMIFS(tbl_plan[必要数],tbl_plan[ロットID],$A225,tbl_plan[計画状態],"有効"))</f>
        <v/>
      </c>
      <c r="G225" s="4" t="str">
        <f>IF($A225="","",SUMIFS(tbl_ledger[数量],tbl_ledger[ロットID],$A225,tbl_ledger[イベント種類],"発送"))</f>
        <v/>
      </c>
      <c r="H225" s="4" t="str">
        <f>IF($A225="","",SUMIFS(tbl_ledger[数量],tbl_ledger[ロットID],$A225,tbl_ledger[イベント種類],"搬入")+SUMIFS(tbl_ledger[数量],tbl_ledger[充当先ロットID],$A225,tbl_ledger[イベント種類],"充当")-SUMIFS(tbl_ledger[数量],tbl_ledger[ロットID],$A225,tbl_ledger[イベント種類],"充当")-SUMIFS(tbl_ledger[数量],tbl_ledger[ロットID],$A225,tbl_ledger[イベント種類],"発送")-SUMIFS(tbl_ledger[数量],tbl_ledger[ロットID],$A225,tbl_ledger[イベント種類],"倉庫A戻し")-SUMIFS(tbl_ledger[数量],tbl_ledger[ロットID],$A225,tbl_ledger[イベント種類],"余剰化")-SUMIFS(tbl_ledger[数量],tbl_ledger[ロットID],$A225,tbl_ledger[イベント種類],"不良発生"))</f>
        <v/>
      </c>
      <c r="I225" s="4" t="str">
        <f>IF($A225="","",SUMIFS(tbl_ledger[数量],tbl_ledger[品番],$B225,tbl_ledger[イベント種類],"余剰化")+SUMIFS(tbl_ledger[数量],tbl_ledger[品番],$B225,tbl_ledger[イベント種類],"搬入",tbl_ledger[ロットID],"=")-SUMIFS(tbl_ledger[数量],tbl_ledger[品番],$B225,tbl_ledger[イベント種類],"充当",tbl_ledger[ロットID],"=")-SUMIFS(tbl_ledger[数量],tbl_ledger[品番],$B225,tbl_ledger[イベント種類],"発送",tbl_ledger[ロットID],"=")-SUMIFS(tbl_ledger[数量],tbl_ledger[品番],$B225,tbl_ledger[イベント種類],"倉庫A戻し",tbl_ledger[ロットID],"=")-SUMIFS(tbl_ledger[数量],tbl_ledger[品番],$B225,tbl_ledger[イベント種類],"不良発生",tbl_ledger[ロットID],"="))</f>
        <v/>
      </c>
      <c r="J225" s="4" t="str">
        <f t="shared" si="9"/>
        <v/>
      </c>
      <c r="K225" s="4" t="str">
        <f t="shared" si="10"/>
        <v/>
      </c>
      <c r="L225" s="4" t="str">
        <f t="shared" si="11"/>
        <v/>
      </c>
      <c r="M225" s="4" t="str">
        <f>IF($A225="","",IF(INDEX(tbl_plan[計画状態],ROW()-1)="キャンセル","キャンセル",IF(K225=0,"発送済",IF(L225&gt;0,"要搬出","OK"))))</f>
        <v/>
      </c>
    </row>
    <row r="226" spans="1:13" ht="15" x14ac:dyDescent="0.25">
      <c r="A226" s="4" t="str">
        <f>IFERROR(INDEX(tbl_plan[ロットID],ROW()-1),"")</f>
        <v/>
      </c>
      <c r="B226" s="4" t="str">
        <f>IF($A226="","",INDEX(tbl_plan[品番],ROW()-1))</f>
        <v/>
      </c>
      <c r="C226" s="5" t="str">
        <f>IF($A226="","",INDEX(tbl_plan[出荷週],ROW()-1))</f>
        <v/>
      </c>
      <c r="D226" s="4" t="str">
        <f>IF($A226="","",INDEX(tbl_plan[納期先],ROW()-1)&amp;"")</f>
        <v/>
      </c>
      <c r="E226" s="4" t="str">
        <f>IF($A226="","",INDEX(tbl_plan[必要数],ROW()-1))</f>
        <v/>
      </c>
      <c r="F226" s="4" t="str">
        <f>IF($A226="","",SUMIFS(tbl_plan[必要数],tbl_plan[ロットID],$A226,tbl_plan[計画状態],"有効"))</f>
        <v/>
      </c>
      <c r="G226" s="4" t="str">
        <f>IF($A226="","",SUMIFS(tbl_ledger[数量],tbl_ledger[ロットID],$A226,tbl_ledger[イベント種類],"発送"))</f>
        <v/>
      </c>
      <c r="H226" s="4" t="str">
        <f>IF($A226="","",SUMIFS(tbl_ledger[数量],tbl_ledger[ロットID],$A226,tbl_ledger[イベント種類],"搬入")+SUMIFS(tbl_ledger[数量],tbl_ledger[充当先ロットID],$A226,tbl_ledger[イベント種類],"充当")-SUMIFS(tbl_ledger[数量],tbl_ledger[ロットID],$A226,tbl_ledger[イベント種類],"充当")-SUMIFS(tbl_ledger[数量],tbl_ledger[ロットID],$A226,tbl_ledger[イベント種類],"発送")-SUMIFS(tbl_ledger[数量],tbl_ledger[ロットID],$A226,tbl_ledger[イベント種類],"倉庫A戻し")-SUMIFS(tbl_ledger[数量],tbl_ledger[ロットID],$A226,tbl_ledger[イベント種類],"余剰化")-SUMIFS(tbl_ledger[数量],tbl_ledger[ロットID],$A226,tbl_ledger[イベント種類],"不良発生"))</f>
        <v/>
      </c>
      <c r="I226" s="4" t="str">
        <f>IF($A226="","",SUMIFS(tbl_ledger[数量],tbl_ledger[品番],$B226,tbl_ledger[イベント種類],"余剰化")+SUMIFS(tbl_ledger[数量],tbl_ledger[品番],$B226,tbl_ledger[イベント種類],"搬入",tbl_ledger[ロットID],"=")-SUMIFS(tbl_ledger[数量],tbl_ledger[品番],$B226,tbl_ledger[イベント種類],"充当",tbl_ledger[ロットID],"=")-SUMIFS(tbl_ledger[数量],tbl_ledger[品番],$B226,tbl_ledger[イベント種類],"発送",tbl_ledger[ロットID],"=")-SUMIFS(tbl_ledger[数量],tbl_ledger[品番],$B226,tbl_ledger[イベント種類],"倉庫A戻し",tbl_ledger[ロットID],"=")-SUMIFS(tbl_ledger[数量],tbl_ledger[品番],$B226,tbl_ledger[イベント種類],"不良発生",tbl_ledger[ロットID],"="))</f>
        <v/>
      </c>
      <c r="J226" s="4" t="str">
        <f t="shared" si="9"/>
        <v/>
      </c>
      <c r="K226" s="4" t="str">
        <f t="shared" si="10"/>
        <v/>
      </c>
      <c r="L226" s="4" t="str">
        <f t="shared" si="11"/>
        <v/>
      </c>
      <c r="M226" s="4" t="str">
        <f>IF($A226="","",IF(INDEX(tbl_plan[計画状態],ROW()-1)="キャンセル","キャンセル",IF(K226=0,"発送済",IF(L226&gt;0,"要搬出","OK"))))</f>
        <v/>
      </c>
    </row>
    <row r="227" spans="1:13" ht="15" x14ac:dyDescent="0.25">
      <c r="A227" s="4" t="str">
        <f>IFERROR(INDEX(tbl_plan[ロットID],ROW()-1),"")</f>
        <v/>
      </c>
      <c r="B227" s="4" t="str">
        <f>IF($A227="","",INDEX(tbl_plan[品番],ROW()-1))</f>
        <v/>
      </c>
      <c r="C227" s="5" t="str">
        <f>IF($A227="","",INDEX(tbl_plan[出荷週],ROW()-1))</f>
        <v/>
      </c>
      <c r="D227" s="4" t="str">
        <f>IF($A227="","",INDEX(tbl_plan[納期先],ROW()-1)&amp;"")</f>
        <v/>
      </c>
      <c r="E227" s="4" t="str">
        <f>IF($A227="","",INDEX(tbl_plan[必要数],ROW()-1))</f>
        <v/>
      </c>
      <c r="F227" s="4" t="str">
        <f>IF($A227="","",SUMIFS(tbl_plan[必要数],tbl_plan[ロットID],$A227,tbl_plan[計画状態],"有効"))</f>
        <v/>
      </c>
      <c r="G227" s="4" t="str">
        <f>IF($A227="","",SUMIFS(tbl_ledger[数量],tbl_ledger[ロットID],$A227,tbl_ledger[イベント種類],"発送"))</f>
        <v/>
      </c>
      <c r="H227" s="4" t="str">
        <f>IF($A227="","",SUMIFS(tbl_ledger[数量],tbl_ledger[ロットID],$A227,tbl_ledger[イベント種類],"搬入")+SUMIFS(tbl_ledger[数量],tbl_ledger[充当先ロットID],$A227,tbl_ledger[イベント種類],"充当")-SUMIFS(tbl_ledger[数量],tbl_ledger[ロットID],$A227,tbl_ledger[イベント種類],"充当")-SUMIFS(tbl_ledger[数量],tbl_ledger[ロットID],$A227,tbl_ledger[イベント種類],"発送")-SUMIFS(tbl_ledger[数量],tbl_ledger[ロットID],$A227,tbl_ledger[イベント種類],"倉庫A戻し")-SUMIFS(tbl_ledger[数量],tbl_ledger[ロットID],$A227,tbl_ledger[イベント種類],"余剰化")-SUMIFS(tbl_ledger[数量],tbl_ledger[ロットID],$A227,tbl_ledger[イベント種類],"不良発生"))</f>
        <v/>
      </c>
      <c r="I227" s="4" t="str">
        <f>IF($A227="","",SUMIFS(tbl_ledger[数量],tbl_ledger[品番],$B227,tbl_ledger[イベント種類],"余剰化")+SUMIFS(tbl_ledger[数量],tbl_ledger[品番],$B227,tbl_ledger[イベント種類],"搬入",tbl_ledger[ロットID],"=")-SUMIFS(tbl_ledger[数量],tbl_ledger[品番],$B227,tbl_ledger[イベント種類],"充当",tbl_ledger[ロットID],"=")-SUMIFS(tbl_ledger[数量],tbl_ledger[品番],$B227,tbl_ledger[イベント種類],"発送",tbl_ledger[ロットID],"=")-SUMIFS(tbl_ledger[数量],tbl_ledger[品番],$B227,tbl_ledger[イベント種類],"倉庫A戻し",tbl_ledger[ロットID],"=")-SUMIFS(tbl_ledger[数量],tbl_ledger[品番],$B227,tbl_ledger[イベント種類],"不良発生",tbl_ledger[ロットID],"="))</f>
        <v/>
      </c>
      <c r="J227" s="4" t="str">
        <f t="shared" si="9"/>
        <v/>
      </c>
      <c r="K227" s="4" t="str">
        <f t="shared" si="10"/>
        <v/>
      </c>
      <c r="L227" s="4" t="str">
        <f t="shared" si="11"/>
        <v/>
      </c>
      <c r="M227" s="4" t="str">
        <f>IF($A227="","",IF(INDEX(tbl_plan[計画状態],ROW()-1)="キャンセル","キャンセル",IF(K227=0,"発送済",IF(L227&gt;0,"要搬出","OK"))))</f>
        <v/>
      </c>
    </row>
    <row r="228" spans="1:13" ht="15" x14ac:dyDescent="0.25">
      <c r="A228" s="4" t="str">
        <f>IFERROR(INDEX(tbl_plan[ロットID],ROW()-1),"")</f>
        <v/>
      </c>
      <c r="B228" s="4" t="str">
        <f>IF($A228="","",INDEX(tbl_plan[品番],ROW()-1))</f>
        <v/>
      </c>
      <c r="C228" s="5" t="str">
        <f>IF($A228="","",INDEX(tbl_plan[出荷週],ROW()-1))</f>
        <v/>
      </c>
      <c r="D228" s="4" t="str">
        <f>IF($A228="","",INDEX(tbl_plan[納期先],ROW()-1)&amp;"")</f>
        <v/>
      </c>
      <c r="E228" s="4" t="str">
        <f>IF($A228="","",INDEX(tbl_plan[必要数],ROW()-1))</f>
        <v/>
      </c>
      <c r="F228" s="4" t="str">
        <f>IF($A228="","",SUMIFS(tbl_plan[必要数],tbl_plan[ロットID],$A228,tbl_plan[計画状態],"有効"))</f>
        <v/>
      </c>
      <c r="G228" s="4" t="str">
        <f>IF($A228="","",SUMIFS(tbl_ledger[数量],tbl_ledger[ロットID],$A228,tbl_ledger[イベント種類],"発送"))</f>
        <v/>
      </c>
      <c r="H228" s="4" t="str">
        <f>IF($A228="","",SUMIFS(tbl_ledger[数量],tbl_ledger[ロットID],$A228,tbl_ledger[イベント種類],"搬入")+SUMIFS(tbl_ledger[数量],tbl_ledger[充当先ロットID],$A228,tbl_ledger[イベント種類],"充当")-SUMIFS(tbl_ledger[数量],tbl_ledger[ロットID],$A228,tbl_ledger[イベント種類],"充当")-SUMIFS(tbl_ledger[数量],tbl_ledger[ロットID],$A228,tbl_ledger[イベント種類],"発送")-SUMIFS(tbl_ledger[数量],tbl_ledger[ロットID],$A228,tbl_ledger[イベント種類],"倉庫A戻し")-SUMIFS(tbl_ledger[数量],tbl_ledger[ロットID],$A228,tbl_ledger[イベント種類],"余剰化")-SUMIFS(tbl_ledger[数量],tbl_ledger[ロットID],$A228,tbl_ledger[イベント種類],"不良発生"))</f>
        <v/>
      </c>
      <c r="I228" s="4" t="str">
        <f>IF($A228="","",SUMIFS(tbl_ledger[数量],tbl_ledger[品番],$B228,tbl_ledger[イベント種類],"余剰化")+SUMIFS(tbl_ledger[数量],tbl_ledger[品番],$B228,tbl_ledger[イベント種類],"搬入",tbl_ledger[ロットID],"=")-SUMIFS(tbl_ledger[数量],tbl_ledger[品番],$B228,tbl_ledger[イベント種類],"充当",tbl_ledger[ロットID],"=")-SUMIFS(tbl_ledger[数量],tbl_ledger[品番],$B228,tbl_ledger[イベント種類],"発送",tbl_ledger[ロットID],"=")-SUMIFS(tbl_ledger[数量],tbl_ledger[品番],$B228,tbl_ledger[イベント種類],"倉庫A戻し",tbl_ledger[ロットID],"=")-SUMIFS(tbl_ledger[数量],tbl_ledger[品番],$B228,tbl_ledger[イベント種類],"不良発生",tbl_ledger[ロットID],"="))</f>
        <v/>
      </c>
      <c r="J228" s="4" t="str">
        <f t="shared" si="9"/>
        <v/>
      </c>
      <c r="K228" s="4" t="str">
        <f t="shared" si="10"/>
        <v/>
      </c>
      <c r="L228" s="4" t="str">
        <f t="shared" si="11"/>
        <v/>
      </c>
      <c r="M228" s="4" t="str">
        <f>IF($A228="","",IF(INDEX(tbl_plan[計画状態],ROW()-1)="キャンセル","キャンセル",IF(K228=0,"発送済",IF(L228&gt;0,"要搬出","OK"))))</f>
        <v/>
      </c>
    </row>
    <row r="229" spans="1:13" ht="15" x14ac:dyDescent="0.25">
      <c r="A229" s="4" t="str">
        <f>IFERROR(INDEX(tbl_plan[ロットID],ROW()-1),"")</f>
        <v/>
      </c>
      <c r="B229" s="4" t="str">
        <f>IF($A229="","",INDEX(tbl_plan[品番],ROW()-1))</f>
        <v/>
      </c>
      <c r="C229" s="5" t="str">
        <f>IF($A229="","",INDEX(tbl_plan[出荷週],ROW()-1))</f>
        <v/>
      </c>
      <c r="D229" s="4" t="str">
        <f>IF($A229="","",INDEX(tbl_plan[納期先],ROW()-1)&amp;"")</f>
        <v/>
      </c>
      <c r="E229" s="4" t="str">
        <f>IF($A229="","",INDEX(tbl_plan[必要数],ROW()-1))</f>
        <v/>
      </c>
      <c r="F229" s="4" t="str">
        <f>IF($A229="","",SUMIFS(tbl_plan[必要数],tbl_plan[ロットID],$A229,tbl_plan[計画状態],"有効"))</f>
        <v/>
      </c>
      <c r="G229" s="4" t="str">
        <f>IF($A229="","",SUMIFS(tbl_ledger[数量],tbl_ledger[ロットID],$A229,tbl_ledger[イベント種類],"発送"))</f>
        <v/>
      </c>
      <c r="H229" s="4" t="str">
        <f>IF($A229="","",SUMIFS(tbl_ledger[数量],tbl_ledger[ロットID],$A229,tbl_ledger[イベント種類],"搬入")+SUMIFS(tbl_ledger[数量],tbl_ledger[充当先ロットID],$A229,tbl_ledger[イベント種類],"充当")-SUMIFS(tbl_ledger[数量],tbl_ledger[ロットID],$A229,tbl_ledger[イベント種類],"充当")-SUMIFS(tbl_ledger[数量],tbl_ledger[ロットID],$A229,tbl_ledger[イベント種類],"発送")-SUMIFS(tbl_ledger[数量],tbl_ledger[ロットID],$A229,tbl_ledger[イベント種類],"倉庫A戻し")-SUMIFS(tbl_ledger[数量],tbl_ledger[ロットID],$A229,tbl_ledger[イベント種類],"余剰化")-SUMIFS(tbl_ledger[数量],tbl_ledger[ロットID],$A229,tbl_ledger[イベント種類],"不良発生"))</f>
        <v/>
      </c>
      <c r="I229" s="4" t="str">
        <f>IF($A229="","",SUMIFS(tbl_ledger[数量],tbl_ledger[品番],$B229,tbl_ledger[イベント種類],"余剰化")+SUMIFS(tbl_ledger[数量],tbl_ledger[品番],$B229,tbl_ledger[イベント種類],"搬入",tbl_ledger[ロットID],"=")-SUMIFS(tbl_ledger[数量],tbl_ledger[品番],$B229,tbl_ledger[イベント種類],"充当",tbl_ledger[ロットID],"=")-SUMIFS(tbl_ledger[数量],tbl_ledger[品番],$B229,tbl_ledger[イベント種類],"発送",tbl_ledger[ロットID],"=")-SUMIFS(tbl_ledger[数量],tbl_ledger[品番],$B229,tbl_ledger[イベント種類],"倉庫A戻し",tbl_ledger[ロットID],"=")-SUMIFS(tbl_ledger[数量],tbl_ledger[品番],$B229,tbl_ledger[イベント種類],"不良発生",tbl_ledger[ロットID],"="))</f>
        <v/>
      </c>
      <c r="J229" s="4" t="str">
        <f t="shared" si="9"/>
        <v/>
      </c>
      <c r="K229" s="4" t="str">
        <f t="shared" si="10"/>
        <v/>
      </c>
      <c r="L229" s="4" t="str">
        <f t="shared" si="11"/>
        <v/>
      </c>
      <c r="M229" s="4" t="str">
        <f>IF($A229="","",IF(INDEX(tbl_plan[計画状態],ROW()-1)="キャンセル","キャンセル",IF(K229=0,"発送済",IF(L229&gt;0,"要搬出","OK"))))</f>
        <v/>
      </c>
    </row>
    <row r="230" spans="1:13" ht="15" x14ac:dyDescent="0.25">
      <c r="A230" s="4" t="str">
        <f>IFERROR(INDEX(tbl_plan[ロットID],ROW()-1),"")</f>
        <v/>
      </c>
      <c r="B230" s="4" t="str">
        <f>IF($A230="","",INDEX(tbl_plan[品番],ROW()-1))</f>
        <v/>
      </c>
      <c r="C230" s="5" t="str">
        <f>IF($A230="","",INDEX(tbl_plan[出荷週],ROW()-1))</f>
        <v/>
      </c>
      <c r="D230" s="4" t="str">
        <f>IF($A230="","",INDEX(tbl_plan[納期先],ROW()-1)&amp;"")</f>
        <v/>
      </c>
      <c r="E230" s="4" t="str">
        <f>IF($A230="","",INDEX(tbl_plan[必要数],ROW()-1))</f>
        <v/>
      </c>
      <c r="F230" s="4" t="str">
        <f>IF($A230="","",SUMIFS(tbl_plan[必要数],tbl_plan[ロットID],$A230,tbl_plan[計画状態],"有効"))</f>
        <v/>
      </c>
      <c r="G230" s="4" t="str">
        <f>IF($A230="","",SUMIFS(tbl_ledger[数量],tbl_ledger[ロットID],$A230,tbl_ledger[イベント種類],"発送"))</f>
        <v/>
      </c>
      <c r="H230" s="4" t="str">
        <f>IF($A230="","",SUMIFS(tbl_ledger[数量],tbl_ledger[ロットID],$A230,tbl_ledger[イベント種類],"搬入")+SUMIFS(tbl_ledger[数量],tbl_ledger[充当先ロットID],$A230,tbl_ledger[イベント種類],"充当")-SUMIFS(tbl_ledger[数量],tbl_ledger[ロットID],$A230,tbl_ledger[イベント種類],"充当")-SUMIFS(tbl_ledger[数量],tbl_ledger[ロットID],$A230,tbl_ledger[イベント種類],"発送")-SUMIFS(tbl_ledger[数量],tbl_ledger[ロットID],$A230,tbl_ledger[イベント種類],"倉庫A戻し")-SUMIFS(tbl_ledger[数量],tbl_ledger[ロットID],$A230,tbl_ledger[イベント種類],"余剰化")-SUMIFS(tbl_ledger[数量],tbl_ledger[ロットID],$A230,tbl_ledger[イベント種類],"不良発生"))</f>
        <v/>
      </c>
      <c r="I230" s="4" t="str">
        <f>IF($A230="","",SUMIFS(tbl_ledger[数量],tbl_ledger[品番],$B230,tbl_ledger[イベント種類],"余剰化")+SUMIFS(tbl_ledger[数量],tbl_ledger[品番],$B230,tbl_ledger[イベント種類],"搬入",tbl_ledger[ロットID],"=")-SUMIFS(tbl_ledger[数量],tbl_ledger[品番],$B230,tbl_ledger[イベント種類],"充当",tbl_ledger[ロットID],"=")-SUMIFS(tbl_ledger[数量],tbl_ledger[品番],$B230,tbl_ledger[イベント種類],"発送",tbl_ledger[ロットID],"=")-SUMIFS(tbl_ledger[数量],tbl_ledger[品番],$B230,tbl_ledger[イベント種類],"倉庫A戻し",tbl_ledger[ロットID],"=")-SUMIFS(tbl_ledger[数量],tbl_ledger[品番],$B230,tbl_ledger[イベント種類],"不良発生",tbl_ledger[ロットID],"="))</f>
        <v/>
      </c>
      <c r="J230" s="4" t="str">
        <f t="shared" si="9"/>
        <v/>
      </c>
      <c r="K230" s="4" t="str">
        <f t="shared" si="10"/>
        <v/>
      </c>
      <c r="L230" s="4" t="str">
        <f t="shared" si="11"/>
        <v/>
      </c>
      <c r="M230" s="4" t="str">
        <f>IF($A230="","",IF(INDEX(tbl_plan[計画状態],ROW()-1)="キャンセル","キャンセル",IF(K230=0,"発送済",IF(L230&gt;0,"要搬出","OK"))))</f>
        <v/>
      </c>
    </row>
    <row r="231" spans="1:13" ht="15" x14ac:dyDescent="0.25">
      <c r="A231" s="4" t="str">
        <f>IFERROR(INDEX(tbl_plan[ロットID],ROW()-1),"")</f>
        <v/>
      </c>
      <c r="B231" s="4" t="str">
        <f>IF($A231="","",INDEX(tbl_plan[品番],ROW()-1))</f>
        <v/>
      </c>
      <c r="C231" s="5" t="str">
        <f>IF($A231="","",INDEX(tbl_plan[出荷週],ROW()-1))</f>
        <v/>
      </c>
      <c r="D231" s="4" t="str">
        <f>IF($A231="","",INDEX(tbl_plan[納期先],ROW()-1)&amp;"")</f>
        <v/>
      </c>
      <c r="E231" s="4" t="str">
        <f>IF($A231="","",INDEX(tbl_plan[必要数],ROW()-1))</f>
        <v/>
      </c>
      <c r="F231" s="4" t="str">
        <f>IF($A231="","",SUMIFS(tbl_plan[必要数],tbl_plan[ロットID],$A231,tbl_plan[計画状態],"有効"))</f>
        <v/>
      </c>
      <c r="G231" s="4" t="str">
        <f>IF($A231="","",SUMIFS(tbl_ledger[数量],tbl_ledger[ロットID],$A231,tbl_ledger[イベント種類],"発送"))</f>
        <v/>
      </c>
      <c r="H231" s="4" t="str">
        <f>IF($A231="","",SUMIFS(tbl_ledger[数量],tbl_ledger[ロットID],$A231,tbl_ledger[イベント種類],"搬入")+SUMIFS(tbl_ledger[数量],tbl_ledger[充当先ロットID],$A231,tbl_ledger[イベント種類],"充当")-SUMIFS(tbl_ledger[数量],tbl_ledger[ロットID],$A231,tbl_ledger[イベント種類],"充当")-SUMIFS(tbl_ledger[数量],tbl_ledger[ロットID],$A231,tbl_ledger[イベント種類],"発送")-SUMIFS(tbl_ledger[数量],tbl_ledger[ロットID],$A231,tbl_ledger[イベント種類],"倉庫A戻し")-SUMIFS(tbl_ledger[数量],tbl_ledger[ロットID],$A231,tbl_ledger[イベント種類],"余剰化")-SUMIFS(tbl_ledger[数量],tbl_ledger[ロットID],$A231,tbl_ledger[イベント種類],"不良発生"))</f>
        <v/>
      </c>
      <c r="I231" s="4" t="str">
        <f>IF($A231="","",SUMIFS(tbl_ledger[数量],tbl_ledger[品番],$B231,tbl_ledger[イベント種類],"余剰化")+SUMIFS(tbl_ledger[数量],tbl_ledger[品番],$B231,tbl_ledger[イベント種類],"搬入",tbl_ledger[ロットID],"=")-SUMIFS(tbl_ledger[数量],tbl_ledger[品番],$B231,tbl_ledger[イベント種類],"充当",tbl_ledger[ロットID],"=")-SUMIFS(tbl_ledger[数量],tbl_ledger[品番],$B231,tbl_ledger[イベント種類],"発送",tbl_ledger[ロットID],"=")-SUMIFS(tbl_ledger[数量],tbl_ledger[品番],$B231,tbl_ledger[イベント種類],"倉庫A戻し",tbl_ledger[ロットID],"=")-SUMIFS(tbl_ledger[数量],tbl_ledger[品番],$B231,tbl_ledger[イベント種類],"不良発生",tbl_ledger[ロットID],"="))</f>
        <v/>
      </c>
      <c r="J231" s="4" t="str">
        <f t="shared" si="9"/>
        <v/>
      </c>
      <c r="K231" s="4" t="str">
        <f t="shared" si="10"/>
        <v/>
      </c>
      <c r="L231" s="4" t="str">
        <f t="shared" si="11"/>
        <v/>
      </c>
      <c r="M231" s="4" t="str">
        <f>IF($A231="","",IF(INDEX(tbl_plan[計画状態],ROW()-1)="キャンセル","キャンセル",IF(K231=0,"発送済",IF(L231&gt;0,"要搬出","OK"))))</f>
        <v/>
      </c>
    </row>
    <row r="232" spans="1:13" ht="15" x14ac:dyDescent="0.25">
      <c r="A232" s="4" t="str">
        <f>IFERROR(INDEX(tbl_plan[ロットID],ROW()-1),"")</f>
        <v/>
      </c>
      <c r="B232" s="4" t="str">
        <f>IF($A232="","",INDEX(tbl_plan[品番],ROW()-1))</f>
        <v/>
      </c>
      <c r="C232" s="5" t="str">
        <f>IF($A232="","",INDEX(tbl_plan[出荷週],ROW()-1))</f>
        <v/>
      </c>
      <c r="D232" s="4" t="str">
        <f>IF($A232="","",INDEX(tbl_plan[納期先],ROW()-1)&amp;"")</f>
        <v/>
      </c>
      <c r="E232" s="4" t="str">
        <f>IF($A232="","",INDEX(tbl_plan[必要数],ROW()-1))</f>
        <v/>
      </c>
      <c r="F232" s="4" t="str">
        <f>IF($A232="","",SUMIFS(tbl_plan[必要数],tbl_plan[ロットID],$A232,tbl_plan[計画状態],"有効"))</f>
        <v/>
      </c>
      <c r="G232" s="4" t="str">
        <f>IF($A232="","",SUMIFS(tbl_ledger[数量],tbl_ledger[ロットID],$A232,tbl_ledger[イベント種類],"発送"))</f>
        <v/>
      </c>
      <c r="H232" s="4" t="str">
        <f>IF($A232="","",SUMIFS(tbl_ledger[数量],tbl_ledger[ロットID],$A232,tbl_ledger[イベント種類],"搬入")+SUMIFS(tbl_ledger[数量],tbl_ledger[充当先ロットID],$A232,tbl_ledger[イベント種類],"充当")-SUMIFS(tbl_ledger[数量],tbl_ledger[ロットID],$A232,tbl_ledger[イベント種類],"充当")-SUMIFS(tbl_ledger[数量],tbl_ledger[ロットID],$A232,tbl_ledger[イベント種類],"発送")-SUMIFS(tbl_ledger[数量],tbl_ledger[ロットID],$A232,tbl_ledger[イベント種類],"倉庫A戻し")-SUMIFS(tbl_ledger[数量],tbl_ledger[ロットID],$A232,tbl_ledger[イベント種類],"余剰化")-SUMIFS(tbl_ledger[数量],tbl_ledger[ロットID],$A232,tbl_ledger[イベント種類],"不良発生"))</f>
        <v/>
      </c>
      <c r="I232" s="4" t="str">
        <f>IF($A232="","",SUMIFS(tbl_ledger[数量],tbl_ledger[品番],$B232,tbl_ledger[イベント種類],"余剰化")+SUMIFS(tbl_ledger[数量],tbl_ledger[品番],$B232,tbl_ledger[イベント種類],"搬入",tbl_ledger[ロットID],"=")-SUMIFS(tbl_ledger[数量],tbl_ledger[品番],$B232,tbl_ledger[イベント種類],"充当",tbl_ledger[ロットID],"=")-SUMIFS(tbl_ledger[数量],tbl_ledger[品番],$B232,tbl_ledger[イベント種類],"発送",tbl_ledger[ロットID],"=")-SUMIFS(tbl_ledger[数量],tbl_ledger[品番],$B232,tbl_ledger[イベント種類],"倉庫A戻し",tbl_ledger[ロットID],"=")-SUMIFS(tbl_ledger[数量],tbl_ledger[品番],$B232,tbl_ledger[イベント種類],"不良発生",tbl_ledger[ロットID],"="))</f>
        <v/>
      </c>
      <c r="J232" s="4" t="str">
        <f t="shared" si="9"/>
        <v/>
      </c>
      <c r="K232" s="4" t="str">
        <f t="shared" si="10"/>
        <v/>
      </c>
      <c r="L232" s="4" t="str">
        <f t="shared" si="11"/>
        <v/>
      </c>
      <c r="M232" s="4" t="str">
        <f>IF($A232="","",IF(INDEX(tbl_plan[計画状態],ROW()-1)="キャンセル","キャンセル",IF(K232=0,"発送済",IF(L232&gt;0,"要搬出","OK"))))</f>
        <v/>
      </c>
    </row>
    <row r="233" spans="1:13" ht="15" x14ac:dyDescent="0.25">
      <c r="A233" s="4" t="str">
        <f>IFERROR(INDEX(tbl_plan[ロットID],ROW()-1),"")</f>
        <v/>
      </c>
      <c r="B233" s="4" t="str">
        <f>IF($A233="","",INDEX(tbl_plan[品番],ROW()-1))</f>
        <v/>
      </c>
      <c r="C233" s="5" t="str">
        <f>IF($A233="","",INDEX(tbl_plan[出荷週],ROW()-1))</f>
        <v/>
      </c>
      <c r="D233" s="4" t="str">
        <f>IF($A233="","",INDEX(tbl_plan[納期先],ROW()-1)&amp;"")</f>
        <v/>
      </c>
      <c r="E233" s="4" t="str">
        <f>IF($A233="","",INDEX(tbl_plan[必要数],ROW()-1))</f>
        <v/>
      </c>
      <c r="F233" s="4" t="str">
        <f>IF($A233="","",SUMIFS(tbl_plan[必要数],tbl_plan[ロットID],$A233,tbl_plan[計画状態],"有効"))</f>
        <v/>
      </c>
      <c r="G233" s="4" t="str">
        <f>IF($A233="","",SUMIFS(tbl_ledger[数量],tbl_ledger[ロットID],$A233,tbl_ledger[イベント種類],"発送"))</f>
        <v/>
      </c>
      <c r="H233" s="4" t="str">
        <f>IF($A233="","",SUMIFS(tbl_ledger[数量],tbl_ledger[ロットID],$A233,tbl_ledger[イベント種類],"搬入")+SUMIFS(tbl_ledger[数量],tbl_ledger[充当先ロットID],$A233,tbl_ledger[イベント種類],"充当")-SUMIFS(tbl_ledger[数量],tbl_ledger[ロットID],$A233,tbl_ledger[イベント種類],"充当")-SUMIFS(tbl_ledger[数量],tbl_ledger[ロットID],$A233,tbl_ledger[イベント種類],"発送")-SUMIFS(tbl_ledger[数量],tbl_ledger[ロットID],$A233,tbl_ledger[イベント種類],"倉庫A戻し")-SUMIFS(tbl_ledger[数量],tbl_ledger[ロットID],$A233,tbl_ledger[イベント種類],"余剰化")-SUMIFS(tbl_ledger[数量],tbl_ledger[ロットID],$A233,tbl_ledger[イベント種類],"不良発生"))</f>
        <v/>
      </c>
      <c r="I233" s="4" t="str">
        <f>IF($A233="","",SUMIFS(tbl_ledger[数量],tbl_ledger[品番],$B233,tbl_ledger[イベント種類],"余剰化")+SUMIFS(tbl_ledger[数量],tbl_ledger[品番],$B233,tbl_ledger[イベント種類],"搬入",tbl_ledger[ロットID],"=")-SUMIFS(tbl_ledger[数量],tbl_ledger[品番],$B233,tbl_ledger[イベント種類],"充当",tbl_ledger[ロットID],"=")-SUMIFS(tbl_ledger[数量],tbl_ledger[品番],$B233,tbl_ledger[イベント種類],"発送",tbl_ledger[ロットID],"=")-SUMIFS(tbl_ledger[数量],tbl_ledger[品番],$B233,tbl_ledger[イベント種類],"倉庫A戻し",tbl_ledger[ロットID],"=")-SUMIFS(tbl_ledger[数量],tbl_ledger[品番],$B233,tbl_ledger[イベント種類],"不良発生",tbl_ledger[ロットID],"="))</f>
        <v/>
      </c>
      <c r="J233" s="4" t="str">
        <f t="shared" si="9"/>
        <v/>
      </c>
      <c r="K233" s="4" t="str">
        <f t="shared" si="10"/>
        <v/>
      </c>
      <c r="L233" s="4" t="str">
        <f t="shared" si="11"/>
        <v/>
      </c>
      <c r="M233" s="4" t="str">
        <f>IF($A233="","",IF(INDEX(tbl_plan[計画状態],ROW()-1)="キャンセル","キャンセル",IF(K233=0,"発送済",IF(L233&gt;0,"要搬出","OK"))))</f>
        <v/>
      </c>
    </row>
    <row r="234" spans="1:13" ht="15" x14ac:dyDescent="0.25">
      <c r="A234" s="4" t="str">
        <f>IFERROR(INDEX(tbl_plan[ロットID],ROW()-1),"")</f>
        <v/>
      </c>
      <c r="B234" s="4" t="str">
        <f>IF($A234="","",INDEX(tbl_plan[品番],ROW()-1))</f>
        <v/>
      </c>
      <c r="C234" s="5" t="str">
        <f>IF($A234="","",INDEX(tbl_plan[出荷週],ROW()-1))</f>
        <v/>
      </c>
      <c r="D234" s="4" t="str">
        <f>IF($A234="","",INDEX(tbl_plan[納期先],ROW()-1)&amp;"")</f>
        <v/>
      </c>
      <c r="E234" s="4" t="str">
        <f>IF($A234="","",INDEX(tbl_plan[必要数],ROW()-1))</f>
        <v/>
      </c>
      <c r="F234" s="4" t="str">
        <f>IF($A234="","",SUMIFS(tbl_plan[必要数],tbl_plan[ロットID],$A234,tbl_plan[計画状態],"有効"))</f>
        <v/>
      </c>
      <c r="G234" s="4" t="str">
        <f>IF($A234="","",SUMIFS(tbl_ledger[数量],tbl_ledger[ロットID],$A234,tbl_ledger[イベント種類],"発送"))</f>
        <v/>
      </c>
      <c r="H234" s="4" t="str">
        <f>IF($A234="","",SUMIFS(tbl_ledger[数量],tbl_ledger[ロットID],$A234,tbl_ledger[イベント種類],"搬入")+SUMIFS(tbl_ledger[数量],tbl_ledger[充当先ロットID],$A234,tbl_ledger[イベント種類],"充当")-SUMIFS(tbl_ledger[数量],tbl_ledger[ロットID],$A234,tbl_ledger[イベント種類],"充当")-SUMIFS(tbl_ledger[数量],tbl_ledger[ロットID],$A234,tbl_ledger[イベント種類],"発送")-SUMIFS(tbl_ledger[数量],tbl_ledger[ロットID],$A234,tbl_ledger[イベント種類],"倉庫A戻し")-SUMIFS(tbl_ledger[数量],tbl_ledger[ロットID],$A234,tbl_ledger[イベント種類],"余剰化")-SUMIFS(tbl_ledger[数量],tbl_ledger[ロットID],$A234,tbl_ledger[イベント種類],"不良発生"))</f>
        <v/>
      </c>
      <c r="I234" s="4" t="str">
        <f>IF($A234="","",SUMIFS(tbl_ledger[数量],tbl_ledger[品番],$B234,tbl_ledger[イベント種類],"余剰化")+SUMIFS(tbl_ledger[数量],tbl_ledger[品番],$B234,tbl_ledger[イベント種類],"搬入",tbl_ledger[ロットID],"=")-SUMIFS(tbl_ledger[数量],tbl_ledger[品番],$B234,tbl_ledger[イベント種類],"充当",tbl_ledger[ロットID],"=")-SUMIFS(tbl_ledger[数量],tbl_ledger[品番],$B234,tbl_ledger[イベント種類],"発送",tbl_ledger[ロットID],"=")-SUMIFS(tbl_ledger[数量],tbl_ledger[品番],$B234,tbl_ledger[イベント種類],"倉庫A戻し",tbl_ledger[ロットID],"=")-SUMIFS(tbl_ledger[数量],tbl_ledger[品番],$B234,tbl_ledger[イベント種類],"不良発生",tbl_ledger[ロットID],"="))</f>
        <v/>
      </c>
      <c r="J234" s="4" t="str">
        <f t="shared" si="9"/>
        <v/>
      </c>
      <c r="K234" s="4" t="str">
        <f t="shared" si="10"/>
        <v/>
      </c>
      <c r="L234" s="4" t="str">
        <f t="shared" si="11"/>
        <v/>
      </c>
      <c r="M234" s="4" t="str">
        <f>IF($A234="","",IF(INDEX(tbl_plan[計画状態],ROW()-1)="キャンセル","キャンセル",IF(K234=0,"発送済",IF(L234&gt;0,"要搬出","OK"))))</f>
        <v/>
      </c>
    </row>
    <row r="235" spans="1:13" ht="15" x14ac:dyDescent="0.25">
      <c r="A235" s="4" t="str">
        <f>IFERROR(INDEX(tbl_plan[ロットID],ROW()-1),"")</f>
        <v/>
      </c>
      <c r="B235" s="4" t="str">
        <f>IF($A235="","",INDEX(tbl_plan[品番],ROW()-1))</f>
        <v/>
      </c>
      <c r="C235" s="5" t="str">
        <f>IF($A235="","",INDEX(tbl_plan[出荷週],ROW()-1))</f>
        <v/>
      </c>
      <c r="D235" s="4" t="str">
        <f>IF($A235="","",INDEX(tbl_plan[納期先],ROW()-1)&amp;"")</f>
        <v/>
      </c>
      <c r="E235" s="4" t="str">
        <f>IF($A235="","",INDEX(tbl_plan[必要数],ROW()-1))</f>
        <v/>
      </c>
      <c r="F235" s="4" t="str">
        <f>IF($A235="","",SUMIFS(tbl_plan[必要数],tbl_plan[ロットID],$A235,tbl_plan[計画状態],"有効"))</f>
        <v/>
      </c>
      <c r="G235" s="4" t="str">
        <f>IF($A235="","",SUMIFS(tbl_ledger[数量],tbl_ledger[ロットID],$A235,tbl_ledger[イベント種類],"発送"))</f>
        <v/>
      </c>
      <c r="H235" s="4" t="str">
        <f>IF($A235="","",SUMIFS(tbl_ledger[数量],tbl_ledger[ロットID],$A235,tbl_ledger[イベント種類],"搬入")+SUMIFS(tbl_ledger[数量],tbl_ledger[充当先ロットID],$A235,tbl_ledger[イベント種類],"充当")-SUMIFS(tbl_ledger[数量],tbl_ledger[ロットID],$A235,tbl_ledger[イベント種類],"充当")-SUMIFS(tbl_ledger[数量],tbl_ledger[ロットID],$A235,tbl_ledger[イベント種類],"発送")-SUMIFS(tbl_ledger[数量],tbl_ledger[ロットID],$A235,tbl_ledger[イベント種類],"倉庫A戻し")-SUMIFS(tbl_ledger[数量],tbl_ledger[ロットID],$A235,tbl_ledger[イベント種類],"余剰化")-SUMIFS(tbl_ledger[数量],tbl_ledger[ロットID],$A235,tbl_ledger[イベント種類],"不良発生"))</f>
        <v/>
      </c>
      <c r="I235" s="4" t="str">
        <f>IF($A235="","",SUMIFS(tbl_ledger[数量],tbl_ledger[品番],$B235,tbl_ledger[イベント種類],"余剰化")+SUMIFS(tbl_ledger[数量],tbl_ledger[品番],$B235,tbl_ledger[イベント種類],"搬入",tbl_ledger[ロットID],"=")-SUMIFS(tbl_ledger[数量],tbl_ledger[品番],$B235,tbl_ledger[イベント種類],"充当",tbl_ledger[ロットID],"=")-SUMIFS(tbl_ledger[数量],tbl_ledger[品番],$B235,tbl_ledger[イベント種類],"発送",tbl_ledger[ロットID],"=")-SUMIFS(tbl_ledger[数量],tbl_ledger[品番],$B235,tbl_ledger[イベント種類],"倉庫A戻し",tbl_ledger[ロットID],"=")-SUMIFS(tbl_ledger[数量],tbl_ledger[品番],$B235,tbl_ledger[イベント種類],"不良発生",tbl_ledger[ロットID],"="))</f>
        <v/>
      </c>
      <c r="J235" s="4" t="str">
        <f t="shared" si="9"/>
        <v/>
      </c>
      <c r="K235" s="4" t="str">
        <f t="shared" si="10"/>
        <v/>
      </c>
      <c r="L235" s="4" t="str">
        <f t="shared" si="11"/>
        <v/>
      </c>
      <c r="M235" s="4" t="str">
        <f>IF($A235="","",IF(INDEX(tbl_plan[計画状態],ROW()-1)="キャンセル","キャンセル",IF(K235=0,"発送済",IF(L235&gt;0,"要搬出","OK"))))</f>
        <v/>
      </c>
    </row>
    <row r="236" spans="1:13" ht="15" x14ac:dyDescent="0.25">
      <c r="A236" s="4" t="str">
        <f>IFERROR(INDEX(tbl_plan[ロットID],ROW()-1),"")</f>
        <v/>
      </c>
      <c r="B236" s="4" t="str">
        <f>IF($A236="","",INDEX(tbl_plan[品番],ROW()-1))</f>
        <v/>
      </c>
      <c r="C236" s="5" t="str">
        <f>IF($A236="","",INDEX(tbl_plan[出荷週],ROW()-1))</f>
        <v/>
      </c>
      <c r="D236" s="4" t="str">
        <f>IF($A236="","",INDEX(tbl_plan[納期先],ROW()-1)&amp;"")</f>
        <v/>
      </c>
      <c r="E236" s="4" t="str">
        <f>IF($A236="","",INDEX(tbl_plan[必要数],ROW()-1))</f>
        <v/>
      </c>
      <c r="F236" s="4" t="str">
        <f>IF($A236="","",SUMIFS(tbl_plan[必要数],tbl_plan[ロットID],$A236,tbl_plan[計画状態],"有効"))</f>
        <v/>
      </c>
      <c r="G236" s="4" t="str">
        <f>IF($A236="","",SUMIFS(tbl_ledger[数量],tbl_ledger[ロットID],$A236,tbl_ledger[イベント種類],"発送"))</f>
        <v/>
      </c>
      <c r="H236" s="4" t="str">
        <f>IF($A236="","",SUMIFS(tbl_ledger[数量],tbl_ledger[ロットID],$A236,tbl_ledger[イベント種類],"搬入")+SUMIFS(tbl_ledger[数量],tbl_ledger[充当先ロットID],$A236,tbl_ledger[イベント種類],"充当")-SUMIFS(tbl_ledger[数量],tbl_ledger[ロットID],$A236,tbl_ledger[イベント種類],"充当")-SUMIFS(tbl_ledger[数量],tbl_ledger[ロットID],$A236,tbl_ledger[イベント種類],"発送")-SUMIFS(tbl_ledger[数量],tbl_ledger[ロットID],$A236,tbl_ledger[イベント種類],"倉庫A戻し")-SUMIFS(tbl_ledger[数量],tbl_ledger[ロットID],$A236,tbl_ledger[イベント種類],"余剰化")-SUMIFS(tbl_ledger[数量],tbl_ledger[ロットID],$A236,tbl_ledger[イベント種類],"不良発生"))</f>
        <v/>
      </c>
      <c r="I236" s="4" t="str">
        <f>IF($A236="","",SUMIFS(tbl_ledger[数量],tbl_ledger[品番],$B236,tbl_ledger[イベント種類],"余剰化")+SUMIFS(tbl_ledger[数量],tbl_ledger[品番],$B236,tbl_ledger[イベント種類],"搬入",tbl_ledger[ロットID],"=")-SUMIFS(tbl_ledger[数量],tbl_ledger[品番],$B236,tbl_ledger[イベント種類],"充当",tbl_ledger[ロットID],"=")-SUMIFS(tbl_ledger[数量],tbl_ledger[品番],$B236,tbl_ledger[イベント種類],"発送",tbl_ledger[ロットID],"=")-SUMIFS(tbl_ledger[数量],tbl_ledger[品番],$B236,tbl_ledger[イベント種類],"倉庫A戻し",tbl_ledger[ロットID],"=")-SUMIFS(tbl_ledger[数量],tbl_ledger[品番],$B236,tbl_ledger[イベント種類],"不良発生",tbl_ledger[ロットID],"="))</f>
        <v/>
      </c>
      <c r="J236" s="4" t="str">
        <f t="shared" si="9"/>
        <v/>
      </c>
      <c r="K236" s="4" t="str">
        <f t="shared" si="10"/>
        <v/>
      </c>
      <c r="L236" s="4" t="str">
        <f t="shared" si="11"/>
        <v/>
      </c>
      <c r="M236" s="4" t="str">
        <f>IF($A236="","",IF(INDEX(tbl_plan[計画状態],ROW()-1)="キャンセル","キャンセル",IF(K236=0,"発送済",IF(L236&gt;0,"要搬出","OK"))))</f>
        <v/>
      </c>
    </row>
    <row r="237" spans="1:13" ht="15" x14ac:dyDescent="0.25">
      <c r="A237" s="4" t="str">
        <f>IFERROR(INDEX(tbl_plan[ロットID],ROW()-1),"")</f>
        <v/>
      </c>
      <c r="B237" s="4" t="str">
        <f>IF($A237="","",INDEX(tbl_plan[品番],ROW()-1))</f>
        <v/>
      </c>
      <c r="C237" s="5" t="str">
        <f>IF($A237="","",INDEX(tbl_plan[出荷週],ROW()-1))</f>
        <v/>
      </c>
      <c r="D237" s="4" t="str">
        <f>IF($A237="","",INDEX(tbl_plan[納期先],ROW()-1)&amp;"")</f>
        <v/>
      </c>
      <c r="E237" s="4" t="str">
        <f>IF($A237="","",INDEX(tbl_plan[必要数],ROW()-1))</f>
        <v/>
      </c>
      <c r="F237" s="4" t="str">
        <f>IF($A237="","",SUMIFS(tbl_plan[必要数],tbl_plan[ロットID],$A237,tbl_plan[計画状態],"有効"))</f>
        <v/>
      </c>
      <c r="G237" s="4" t="str">
        <f>IF($A237="","",SUMIFS(tbl_ledger[数量],tbl_ledger[ロットID],$A237,tbl_ledger[イベント種類],"発送"))</f>
        <v/>
      </c>
      <c r="H237" s="4" t="str">
        <f>IF($A237="","",SUMIFS(tbl_ledger[数量],tbl_ledger[ロットID],$A237,tbl_ledger[イベント種類],"搬入")+SUMIFS(tbl_ledger[数量],tbl_ledger[充当先ロットID],$A237,tbl_ledger[イベント種類],"充当")-SUMIFS(tbl_ledger[数量],tbl_ledger[ロットID],$A237,tbl_ledger[イベント種類],"充当")-SUMIFS(tbl_ledger[数量],tbl_ledger[ロットID],$A237,tbl_ledger[イベント種類],"発送")-SUMIFS(tbl_ledger[数量],tbl_ledger[ロットID],$A237,tbl_ledger[イベント種類],"倉庫A戻し")-SUMIFS(tbl_ledger[数量],tbl_ledger[ロットID],$A237,tbl_ledger[イベント種類],"余剰化")-SUMIFS(tbl_ledger[数量],tbl_ledger[ロットID],$A237,tbl_ledger[イベント種類],"不良発生"))</f>
        <v/>
      </c>
      <c r="I237" s="4" t="str">
        <f>IF($A237="","",SUMIFS(tbl_ledger[数量],tbl_ledger[品番],$B237,tbl_ledger[イベント種類],"余剰化")+SUMIFS(tbl_ledger[数量],tbl_ledger[品番],$B237,tbl_ledger[イベント種類],"搬入",tbl_ledger[ロットID],"=")-SUMIFS(tbl_ledger[数量],tbl_ledger[品番],$B237,tbl_ledger[イベント種類],"充当",tbl_ledger[ロットID],"=")-SUMIFS(tbl_ledger[数量],tbl_ledger[品番],$B237,tbl_ledger[イベント種類],"発送",tbl_ledger[ロットID],"=")-SUMIFS(tbl_ledger[数量],tbl_ledger[品番],$B237,tbl_ledger[イベント種類],"倉庫A戻し",tbl_ledger[ロットID],"=")-SUMIFS(tbl_ledger[数量],tbl_ledger[品番],$B237,tbl_ledger[イベント種類],"不良発生",tbl_ledger[ロットID],"="))</f>
        <v/>
      </c>
      <c r="J237" s="4" t="str">
        <f t="shared" si="9"/>
        <v/>
      </c>
      <c r="K237" s="4" t="str">
        <f t="shared" si="10"/>
        <v/>
      </c>
      <c r="L237" s="4" t="str">
        <f t="shared" si="11"/>
        <v/>
      </c>
      <c r="M237" s="4" t="str">
        <f>IF($A237="","",IF(INDEX(tbl_plan[計画状態],ROW()-1)="キャンセル","キャンセル",IF(K237=0,"発送済",IF(L237&gt;0,"要搬出","OK"))))</f>
        <v/>
      </c>
    </row>
    <row r="238" spans="1:13" ht="15" x14ac:dyDescent="0.25">
      <c r="A238" s="4" t="str">
        <f>IFERROR(INDEX(tbl_plan[ロットID],ROW()-1),"")</f>
        <v/>
      </c>
      <c r="B238" s="4" t="str">
        <f>IF($A238="","",INDEX(tbl_plan[品番],ROW()-1))</f>
        <v/>
      </c>
      <c r="C238" s="5" t="str">
        <f>IF($A238="","",INDEX(tbl_plan[出荷週],ROW()-1))</f>
        <v/>
      </c>
      <c r="D238" s="4" t="str">
        <f>IF($A238="","",INDEX(tbl_plan[納期先],ROW()-1)&amp;"")</f>
        <v/>
      </c>
      <c r="E238" s="4" t="str">
        <f>IF($A238="","",INDEX(tbl_plan[必要数],ROW()-1))</f>
        <v/>
      </c>
      <c r="F238" s="4" t="str">
        <f>IF($A238="","",SUMIFS(tbl_plan[必要数],tbl_plan[ロットID],$A238,tbl_plan[計画状態],"有効"))</f>
        <v/>
      </c>
      <c r="G238" s="4" t="str">
        <f>IF($A238="","",SUMIFS(tbl_ledger[数量],tbl_ledger[ロットID],$A238,tbl_ledger[イベント種類],"発送"))</f>
        <v/>
      </c>
      <c r="H238" s="4" t="str">
        <f>IF($A238="","",SUMIFS(tbl_ledger[数量],tbl_ledger[ロットID],$A238,tbl_ledger[イベント種類],"搬入")+SUMIFS(tbl_ledger[数量],tbl_ledger[充当先ロットID],$A238,tbl_ledger[イベント種類],"充当")-SUMIFS(tbl_ledger[数量],tbl_ledger[ロットID],$A238,tbl_ledger[イベント種類],"充当")-SUMIFS(tbl_ledger[数量],tbl_ledger[ロットID],$A238,tbl_ledger[イベント種類],"発送")-SUMIFS(tbl_ledger[数量],tbl_ledger[ロットID],$A238,tbl_ledger[イベント種類],"倉庫A戻し")-SUMIFS(tbl_ledger[数量],tbl_ledger[ロットID],$A238,tbl_ledger[イベント種類],"余剰化")-SUMIFS(tbl_ledger[数量],tbl_ledger[ロットID],$A238,tbl_ledger[イベント種類],"不良発生"))</f>
        <v/>
      </c>
      <c r="I238" s="4" t="str">
        <f>IF($A238="","",SUMIFS(tbl_ledger[数量],tbl_ledger[品番],$B238,tbl_ledger[イベント種類],"余剰化")+SUMIFS(tbl_ledger[数量],tbl_ledger[品番],$B238,tbl_ledger[イベント種類],"搬入",tbl_ledger[ロットID],"=")-SUMIFS(tbl_ledger[数量],tbl_ledger[品番],$B238,tbl_ledger[イベント種類],"充当",tbl_ledger[ロットID],"=")-SUMIFS(tbl_ledger[数量],tbl_ledger[品番],$B238,tbl_ledger[イベント種類],"発送",tbl_ledger[ロットID],"=")-SUMIFS(tbl_ledger[数量],tbl_ledger[品番],$B238,tbl_ledger[イベント種類],"倉庫A戻し",tbl_ledger[ロットID],"=")-SUMIFS(tbl_ledger[数量],tbl_ledger[品番],$B238,tbl_ledger[イベント種類],"不良発生",tbl_ledger[ロットID],"="))</f>
        <v/>
      </c>
      <c r="J238" s="4" t="str">
        <f t="shared" si="9"/>
        <v/>
      </c>
      <c r="K238" s="4" t="str">
        <f t="shared" si="10"/>
        <v/>
      </c>
      <c r="L238" s="4" t="str">
        <f t="shared" si="11"/>
        <v/>
      </c>
      <c r="M238" s="4" t="str">
        <f>IF($A238="","",IF(INDEX(tbl_plan[計画状態],ROW()-1)="キャンセル","キャンセル",IF(K238=0,"発送済",IF(L238&gt;0,"要搬出","OK"))))</f>
        <v/>
      </c>
    </row>
    <row r="239" spans="1:13" ht="15" x14ac:dyDescent="0.25">
      <c r="A239" s="4" t="str">
        <f>IFERROR(INDEX(tbl_plan[ロットID],ROW()-1),"")</f>
        <v/>
      </c>
      <c r="B239" s="4" t="str">
        <f>IF($A239="","",INDEX(tbl_plan[品番],ROW()-1))</f>
        <v/>
      </c>
      <c r="C239" s="5" t="str">
        <f>IF($A239="","",INDEX(tbl_plan[出荷週],ROW()-1))</f>
        <v/>
      </c>
      <c r="D239" s="4" t="str">
        <f>IF($A239="","",INDEX(tbl_plan[納期先],ROW()-1)&amp;"")</f>
        <v/>
      </c>
      <c r="E239" s="4" t="str">
        <f>IF($A239="","",INDEX(tbl_plan[必要数],ROW()-1))</f>
        <v/>
      </c>
      <c r="F239" s="4" t="str">
        <f>IF($A239="","",SUMIFS(tbl_plan[必要数],tbl_plan[ロットID],$A239,tbl_plan[計画状態],"有効"))</f>
        <v/>
      </c>
      <c r="G239" s="4" t="str">
        <f>IF($A239="","",SUMIFS(tbl_ledger[数量],tbl_ledger[ロットID],$A239,tbl_ledger[イベント種類],"発送"))</f>
        <v/>
      </c>
      <c r="H239" s="4" t="str">
        <f>IF($A239="","",SUMIFS(tbl_ledger[数量],tbl_ledger[ロットID],$A239,tbl_ledger[イベント種類],"搬入")+SUMIFS(tbl_ledger[数量],tbl_ledger[充当先ロットID],$A239,tbl_ledger[イベント種類],"充当")-SUMIFS(tbl_ledger[数量],tbl_ledger[ロットID],$A239,tbl_ledger[イベント種類],"充当")-SUMIFS(tbl_ledger[数量],tbl_ledger[ロットID],$A239,tbl_ledger[イベント種類],"発送")-SUMIFS(tbl_ledger[数量],tbl_ledger[ロットID],$A239,tbl_ledger[イベント種類],"倉庫A戻し")-SUMIFS(tbl_ledger[数量],tbl_ledger[ロットID],$A239,tbl_ledger[イベント種類],"余剰化")-SUMIFS(tbl_ledger[数量],tbl_ledger[ロットID],$A239,tbl_ledger[イベント種類],"不良発生"))</f>
        <v/>
      </c>
      <c r="I239" s="4" t="str">
        <f>IF($A239="","",SUMIFS(tbl_ledger[数量],tbl_ledger[品番],$B239,tbl_ledger[イベント種類],"余剰化")+SUMIFS(tbl_ledger[数量],tbl_ledger[品番],$B239,tbl_ledger[イベント種類],"搬入",tbl_ledger[ロットID],"=")-SUMIFS(tbl_ledger[数量],tbl_ledger[品番],$B239,tbl_ledger[イベント種類],"充当",tbl_ledger[ロットID],"=")-SUMIFS(tbl_ledger[数量],tbl_ledger[品番],$B239,tbl_ledger[イベント種類],"発送",tbl_ledger[ロットID],"=")-SUMIFS(tbl_ledger[数量],tbl_ledger[品番],$B239,tbl_ledger[イベント種類],"倉庫A戻し",tbl_ledger[ロットID],"=")-SUMIFS(tbl_ledger[数量],tbl_ledger[品番],$B239,tbl_ledger[イベント種類],"不良発生",tbl_ledger[ロットID],"="))</f>
        <v/>
      </c>
      <c r="J239" s="4" t="str">
        <f t="shared" si="9"/>
        <v/>
      </c>
      <c r="K239" s="4" t="str">
        <f t="shared" si="10"/>
        <v/>
      </c>
      <c r="L239" s="4" t="str">
        <f t="shared" si="11"/>
        <v/>
      </c>
      <c r="M239" s="4" t="str">
        <f>IF($A239="","",IF(INDEX(tbl_plan[計画状態],ROW()-1)="キャンセル","キャンセル",IF(K239=0,"発送済",IF(L239&gt;0,"要搬出","OK"))))</f>
        <v/>
      </c>
    </row>
    <row r="240" spans="1:13" ht="15" x14ac:dyDescent="0.25">
      <c r="A240" s="4" t="str">
        <f>IFERROR(INDEX(tbl_plan[ロットID],ROW()-1),"")</f>
        <v/>
      </c>
      <c r="B240" s="4" t="str">
        <f>IF($A240="","",INDEX(tbl_plan[品番],ROW()-1))</f>
        <v/>
      </c>
      <c r="C240" s="5" t="str">
        <f>IF($A240="","",INDEX(tbl_plan[出荷週],ROW()-1))</f>
        <v/>
      </c>
      <c r="D240" s="4" t="str">
        <f>IF($A240="","",INDEX(tbl_plan[納期先],ROW()-1)&amp;"")</f>
        <v/>
      </c>
      <c r="E240" s="4" t="str">
        <f>IF($A240="","",INDEX(tbl_plan[必要数],ROW()-1))</f>
        <v/>
      </c>
      <c r="F240" s="4" t="str">
        <f>IF($A240="","",SUMIFS(tbl_plan[必要数],tbl_plan[ロットID],$A240,tbl_plan[計画状態],"有効"))</f>
        <v/>
      </c>
      <c r="G240" s="4" t="str">
        <f>IF($A240="","",SUMIFS(tbl_ledger[数量],tbl_ledger[ロットID],$A240,tbl_ledger[イベント種類],"発送"))</f>
        <v/>
      </c>
      <c r="H240" s="4" t="str">
        <f>IF($A240="","",SUMIFS(tbl_ledger[数量],tbl_ledger[ロットID],$A240,tbl_ledger[イベント種類],"搬入")+SUMIFS(tbl_ledger[数量],tbl_ledger[充当先ロットID],$A240,tbl_ledger[イベント種類],"充当")-SUMIFS(tbl_ledger[数量],tbl_ledger[ロットID],$A240,tbl_ledger[イベント種類],"充当")-SUMIFS(tbl_ledger[数量],tbl_ledger[ロットID],$A240,tbl_ledger[イベント種類],"発送")-SUMIFS(tbl_ledger[数量],tbl_ledger[ロットID],$A240,tbl_ledger[イベント種類],"倉庫A戻し")-SUMIFS(tbl_ledger[数量],tbl_ledger[ロットID],$A240,tbl_ledger[イベント種類],"余剰化")-SUMIFS(tbl_ledger[数量],tbl_ledger[ロットID],$A240,tbl_ledger[イベント種類],"不良発生"))</f>
        <v/>
      </c>
      <c r="I240" s="4" t="str">
        <f>IF($A240="","",SUMIFS(tbl_ledger[数量],tbl_ledger[品番],$B240,tbl_ledger[イベント種類],"余剰化")+SUMIFS(tbl_ledger[数量],tbl_ledger[品番],$B240,tbl_ledger[イベント種類],"搬入",tbl_ledger[ロットID],"=")-SUMIFS(tbl_ledger[数量],tbl_ledger[品番],$B240,tbl_ledger[イベント種類],"充当",tbl_ledger[ロットID],"=")-SUMIFS(tbl_ledger[数量],tbl_ledger[品番],$B240,tbl_ledger[イベント種類],"発送",tbl_ledger[ロットID],"=")-SUMIFS(tbl_ledger[数量],tbl_ledger[品番],$B240,tbl_ledger[イベント種類],"倉庫A戻し",tbl_ledger[ロットID],"=")-SUMIFS(tbl_ledger[数量],tbl_ledger[品番],$B240,tbl_ledger[イベント種類],"不良発生",tbl_ledger[ロットID],"="))</f>
        <v/>
      </c>
      <c r="J240" s="4" t="str">
        <f t="shared" si="9"/>
        <v/>
      </c>
      <c r="K240" s="4" t="str">
        <f t="shared" si="10"/>
        <v/>
      </c>
      <c r="L240" s="4" t="str">
        <f t="shared" si="11"/>
        <v/>
      </c>
      <c r="M240" s="4" t="str">
        <f>IF($A240="","",IF(INDEX(tbl_plan[計画状態],ROW()-1)="キャンセル","キャンセル",IF(K240=0,"発送済",IF(L240&gt;0,"要搬出","OK"))))</f>
        <v/>
      </c>
    </row>
    <row r="241" spans="1:13" ht="15" x14ac:dyDescent="0.25">
      <c r="A241" s="4" t="str">
        <f>IFERROR(INDEX(tbl_plan[ロットID],ROW()-1),"")</f>
        <v/>
      </c>
      <c r="B241" s="4" t="str">
        <f>IF($A241="","",INDEX(tbl_plan[品番],ROW()-1))</f>
        <v/>
      </c>
      <c r="C241" s="5" t="str">
        <f>IF($A241="","",INDEX(tbl_plan[出荷週],ROW()-1))</f>
        <v/>
      </c>
      <c r="D241" s="4" t="str">
        <f>IF($A241="","",INDEX(tbl_plan[納期先],ROW()-1)&amp;"")</f>
        <v/>
      </c>
      <c r="E241" s="4" t="str">
        <f>IF($A241="","",INDEX(tbl_plan[必要数],ROW()-1))</f>
        <v/>
      </c>
      <c r="F241" s="4" t="str">
        <f>IF($A241="","",SUMIFS(tbl_plan[必要数],tbl_plan[ロットID],$A241,tbl_plan[計画状態],"有効"))</f>
        <v/>
      </c>
      <c r="G241" s="4" t="str">
        <f>IF($A241="","",SUMIFS(tbl_ledger[数量],tbl_ledger[ロットID],$A241,tbl_ledger[イベント種類],"発送"))</f>
        <v/>
      </c>
      <c r="H241" s="4" t="str">
        <f>IF($A241="","",SUMIFS(tbl_ledger[数量],tbl_ledger[ロットID],$A241,tbl_ledger[イベント種類],"搬入")+SUMIFS(tbl_ledger[数量],tbl_ledger[充当先ロットID],$A241,tbl_ledger[イベント種類],"充当")-SUMIFS(tbl_ledger[数量],tbl_ledger[ロットID],$A241,tbl_ledger[イベント種類],"充当")-SUMIFS(tbl_ledger[数量],tbl_ledger[ロットID],$A241,tbl_ledger[イベント種類],"発送")-SUMIFS(tbl_ledger[数量],tbl_ledger[ロットID],$A241,tbl_ledger[イベント種類],"倉庫A戻し")-SUMIFS(tbl_ledger[数量],tbl_ledger[ロットID],$A241,tbl_ledger[イベント種類],"余剰化")-SUMIFS(tbl_ledger[数量],tbl_ledger[ロットID],$A241,tbl_ledger[イベント種類],"不良発生"))</f>
        <v/>
      </c>
      <c r="I241" s="4" t="str">
        <f>IF($A241="","",SUMIFS(tbl_ledger[数量],tbl_ledger[品番],$B241,tbl_ledger[イベント種類],"余剰化")+SUMIFS(tbl_ledger[数量],tbl_ledger[品番],$B241,tbl_ledger[イベント種類],"搬入",tbl_ledger[ロットID],"=")-SUMIFS(tbl_ledger[数量],tbl_ledger[品番],$B241,tbl_ledger[イベント種類],"充当",tbl_ledger[ロットID],"=")-SUMIFS(tbl_ledger[数量],tbl_ledger[品番],$B241,tbl_ledger[イベント種類],"発送",tbl_ledger[ロットID],"=")-SUMIFS(tbl_ledger[数量],tbl_ledger[品番],$B241,tbl_ledger[イベント種類],"倉庫A戻し",tbl_ledger[ロットID],"=")-SUMIFS(tbl_ledger[数量],tbl_ledger[品番],$B241,tbl_ledger[イベント種類],"不良発生",tbl_ledger[ロットID],"="))</f>
        <v/>
      </c>
      <c r="J241" s="4" t="str">
        <f t="shared" si="9"/>
        <v/>
      </c>
      <c r="K241" s="4" t="str">
        <f t="shared" si="10"/>
        <v/>
      </c>
      <c r="L241" s="4" t="str">
        <f t="shared" si="11"/>
        <v/>
      </c>
      <c r="M241" s="4" t="str">
        <f>IF($A241="","",IF(INDEX(tbl_plan[計画状態],ROW()-1)="キャンセル","キャンセル",IF(K241=0,"発送済",IF(L241&gt;0,"要搬出","OK"))))</f>
        <v/>
      </c>
    </row>
    <row r="242" spans="1:13" ht="15" x14ac:dyDescent="0.25">
      <c r="A242" s="4" t="str">
        <f>IFERROR(INDEX(tbl_plan[ロットID],ROW()-1),"")</f>
        <v/>
      </c>
      <c r="B242" s="4" t="str">
        <f>IF($A242="","",INDEX(tbl_plan[品番],ROW()-1))</f>
        <v/>
      </c>
      <c r="C242" s="5" t="str">
        <f>IF($A242="","",INDEX(tbl_plan[出荷週],ROW()-1))</f>
        <v/>
      </c>
      <c r="D242" s="4" t="str">
        <f>IF($A242="","",INDEX(tbl_plan[納期先],ROW()-1)&amp;"")</f>
        <v/>
      </c>
      <c r="E242" s="4" t="str">
        <f>IF($A242="","",INDEX(tbl_plan[必要数],ROW()-1))</f>
        <v/>
      </c>
      <c r="F242" s="4" t="str">
        <f>IF($A242="","",SUMIFS(tbl_plan[必要数],tbl_plan[ロットID],$A242,tbl_plan[計画状態],"有効"))</f>
        <v/>
      </c>
      <c r="G242" s="4" t="str">
        <f>IF($A242="","",SUMIFS(tbl_ledger[数量],tbl_ledger[ロットID],$A242,tbl_ledger[イベント種類],"発送"))</f>
        <v/>
      </c>
      <c r="H242" s="4" t="str">
        <f>IF($A242="","",SUMIFS(tbl_ledger[数量],tbl_ledger[ロットID],$A242,tbl_ledger[イベント種類],"搬入")+SUMIFS(tbl_ledger[数量],tbl_ledger[充当先ロットID],$A242,tbl_ledger[イベント種類],"充当")-SUMIFS(tbl_ledger[数量],tbl_ledger[ロットID],$A242,tbl_ledger[イベント種類],"充当")-SUMIFS(tbl_ledger[数量],tbl_ledger[ロットID],$A242,tbl_ledger[イベント種類],"発送")-SUMIFS(tbl_ledger[数量],tbl_ledger[ロットID],$A242,tbl_ledger[イベント種類],"倉庫A戻し")-SUMIFS(tbl_ledger[数量],tbl_ledger[ロットID],$A242,tbl_ledger[イベント種類],"余剰化")-SUMIFS(tbl_ledger[数量],tbl_ledger[ロットID],$A242,tbl_ledger[イベント種類],"不良発生"))</f>
        <v/>
      </c>
      <c r="I242" s="4" t="str">
        <f>IF($A242="","",SUMIFS(tbl_ledger[数量],tbl_ledger[品番],$B242,tbl_ledger[イベント種類],"余剰化")+SUMIFS(tbl_ledger[数量],tbl_ledger[品番],$B242,tbl_ledger[イベント種類],"搬入",tbl_ledger[ロットID],"=")-SUMIFS(tbl_ledger[数量],tbl_ledger[品番],$B242,tbl_ledger[イベント種類],"充当",tbl_ledger[ロットID],"=")-SUMIFS(tbl_ledger[数量],tbl_ledger[品番],$B242,tbl_ledger[イベント種類],"発送",tbl_ledger[ロットID],"=")-SUMIFS(tbl_ledger[数量],tbl_ledger[品番],$B242,tbl_ledger[イベント種類],"倉庫A戻し",tbl_ledger[ロットID],"=")-SUMIFS(tbl_ledger[数量],tbl_ledger[品番],$B242,tbl_ledger[イベント種類],"不良発生",tbl_ledger[ロットID],"="))</f>
        <v/>
      </c>
      <c r="J242" s="4" t="str">
        <f t="shared" si="9"/>
        <v/>
      </c>
      <c r="K242" s="4" t="str">
        <f t="shared" si="10"/>
        <v/>
      </c>
      <c r="L242" s="4" t="str">
        <f t="shared" si="11"/>
        <v/>
      </c>
      <c r="M242" s="4" t="str">
        <f>IF($A242="","",IF(INDEX(tbl_plan[計画状態],ROW()-1)="キャンセル","キャンセル",IF(K242=0,"発送済",IF(L242&gt;0,"要搬出","OK"))))</f>
        <v/>
      </c>
    </row>
    <row r="243" spans="1:13" ht="15" x14ac:dyDescent="0.25">
      <c r="A243" s="4" t="str">
        <f>IFERROR(INDEX(tbl_plan[ロットID],ROW()-1),"")</f>
        <v/>
      </c>
      <c r="B243" s="4" t="str">
        <f>IF($A243="","",INDEX(tbl_plan[品番],ROW()-1))</f>
        <v/>
      </c>
      <c r="C243" s="5" t="str">
        <f>IF($A243="","",INDEX(tbl_plan[出荷週],ROW()-1))</f>
        <v/>
      </c>
      <c r="D243" s="4" t="str">
        <f>IF($A243="","",INDEX(tbl_plan[納期先],ROW()-1)&amp;"")</f>
        <v/>
      </c>
      <c r="E243" s="4" t="str">
        <f>IF($A243="","",INDEX(tbl_plan[必要数],ROW()-1))</f>
        <v/>
      </c>
      <c r="F243" s="4" t="str">
        <f>IF($A243="","",SUMIFS(tbl_plan[必要数],tbl_plan[ロットID],$A243,tbl_plan[計画状態],"有効"))</f>
        <v/>
      </c>
      <c r="G243" s="4" t="str">
        <f>IF($A243="","",SUMIFS(tbl_ledger[数量],tbl_ledger[ロットID],$A243,tbl_ledger[イベント種類],"発送"))</f>
        <v/>
      </c>
      <c r="H243" s="4" t="str">
        <f>IF($A243="","",SUMIFS(tbl_ledger[数量],tbl_ledger[ロットID],$A243,tbl_ledger[イベント種類],"搬入")+SUMIFS(tbl_ledger[数量],tbl_ledger[充当先ロットID],$A243,tbl_ledger[イベント種類],"充当")-SUMIFS(tbl_ledger[数量],tbl_ledger[ロットID],$A243,tbl_ledger[イベント種類],"充当")-SUMIFS(tbl_ledger[数量],tbl_ledger[ロットID],$A243,tbl_ledger[イベント種類],"発送")-SUMIFS(tbl_ledger[数量],tbl_ledger[ロットID],$A243,tbl_ledger[イベント種類],"倉庫A戻し")-SUMIFS(tbl_ledger[数量],tbl_ledger[ロットID],$A243,tbl_ledger[イベント種類],"余剰化")-SUMIFS(tbl_ledger[数量],tbl_ledger[ロットID],$A243,tbl_ledger[イベント種類],"不良発生"))</f>
        <v/>
      </c>
      <c r="I243" s="4" t="str">
        <f>IF($A243="","",SUMIFS(tbl_ledger[数量],tbl_ledger[品番],$B243,tbl_ledger[イベント種類],"余剰化")+SUMIFS(tbl_ledger[数量],tbl_ledger[品番],$B243,tbl_ledger[イベント種類],"搬入",tbl_ledger[ロットID],"=")-SUMIFS(tbl_ledger[数量],tbl_ledger[品番],$B243,tbl_ledger[イベント種類],"充当",tbl_ledger[ロットID],"=")-SUMIFS(tbl_ledger[数量],tbl_ledger[品番],$B243,tbl_ledger[イベント種類],"発送",tbl_ledger[ロットID],"=")-SUMIFS(tbl_ledger[数量],tbl_ledger[品番],$B243,tbl_ledger[イベント種類],"倉庫A戻し",tbl_ledger[ロットID],"=")-SUMIFS(tbl_ledger[数量],tbl_ledger[品番],$B243,tbl_ledger[イベント種類],"不良発生",tbl_ledger[ロットID],"="))</f>
        <v/>
      </c>
      <c r="J243" s="4" t="str">
        <f t="shared" si="9"/>
        <v/>
      </c>
      <c r="K243" s="4" t="str">
        <f t="shared" si="10"/>
        <v/>
      </c>
      <c r="L243" s="4" t="str">
        <f t="shared" si="11"/>
        <v/>
      </c>
      <c r="M243" s="4" t="str">
        <f>IF($A243="","",IF(INDEX(tbl_plan[計画状態],ROW()-1)="キャンセル","キャンセル",IF(K243=0,"発送済",IF(L243&gt;0,"要搬出","OK"))))</f>
        <v/>
      </c>
    </row>
    <row r="244" spans="1:13" ht="15" x14ac:dyDescent="0.25">
      <c r="A244" s="4" t="str">
        <f>IFERROR(INDEX(tbl_plan[ロットID],ROW()-1),"")</f>
        <v/>
      </c>
      <c r="B244" s="4" t="str">
        <f>IF($A244="","",INDEX(tbl_plan[品番],ROW()-1))</f>
        <v/>
      </c>
      <c r="C244" s="5" t="str">
        <f>IF($A244="","",INDEX(tbl_plan[出荷週],ROW()-1))</f>
        <v/>
      </c>
      <c r="D244" s="4" t="str">
        <f>IF($A244="","",INDEX(tbl_plan[納期先],ROW()-1)&amp;"")</f>
        <v/>
      </c>
      <c r="E244" s="4" t="str">
        <f>IF($A244="","",INDEX(tbl_plan[必要数],ROW()-1))</f>
        <v/>
      </c>
      <c r="F244" s="4" t="str">
        <f>IF($A244="","",SUMIFS(tbl_plan[必要数],tbl_plan[ロットID],$A244,tbl_plan[計画状態],"有効"))</f>
        <v/>
      </c>
      <c r="G244" s="4" t="str">
        <f>IF($A244="","",SUMIFS(tbl_ledger[数量],tbl_ledger[ロットID],$A244,tbl_ledger[イベント種類],"発送"))</f>
        <v/>
      </c>
      <c r="H244" s="4" t="str">
        <f>IF($A244="","",SUMIFS(tbl_ledger[数量],tbl_ledger[ロットID],$A244,tbl_ledger[イベント種類],"搬入")+SUMIFS(tbl_ledger[数量],tbl_ledger[充当先ロットID],$A244,tbl_ledger[イベント種類],"充当")-SUMIFS(tbl_ledger[数量],tbl_ledger[ロットID],$A244,tbl_ledger[イベント種類],"充当")-SUMIFS(tbl_ledger[数量],tbl_ledger[ロットID],$A244,tbl_ledger[イベント種類],"発送")-SUMIFS(tbl_ledger[数量],tbl_ledger[ロットID],$A244,tbl_ledger[イベント種類],"倉庫A戻し")-SUMIFS(tbl_ledger[数量],tbl_ledger[ロットID],$A244,tbl_ledger[イベント種類],"余剰化")-SUMIFS(tbl_ledger[数量],tbl_ledger[ロットID],$A244,tbl_ledger[イベント種類],"不良発生"))</f>
        <v/>
      </c>
      <c r="I244" s="4" t="str">
        <f>IF($A244="","",SUMIFS(tbl_ledger[数量],tbl_ledger[品番],$B244,tbl_ledger[イベント種類],"余剰化")+SUMIFS(tbl_ledger[数量],tbl_ledger[品番],$B244,tbl_ledger[イベント種類],"搬入",tbl_ledger[ロットID],"=")-SUMIFS(tbl_ledger[数量],tbl_ledger[品番],$B244,tbl_ledger[イベント種類],"充当",tbl_ledger[ロットID],"=")-SUMIFS(tbl_ledger[数量],tbl_ledger[品番],$B244,tbl_ledger[イベント種類],"発送",tbl_ledger[ロットID],"=")-SUMIFS(tbl_ledger[数量],tbl_ledger[品番],$B244,tbl_ledger[イベント種類],"倉庫A戻し",tbl_ledger[ロットID],"=")-SUMIFS(tbl_ledger[数量],tbl_ledger[品番],$B244,tbl_ledger[イベント種類],"不良発生",tbl_ledger[ロットID],"="))</f>
        <v/>
      </c>
      <c r="J244" s="4" t="str">
        <f t="shared" si="9"/>
        <v/>
      </c>
      <c r="K244" s="4" t="str">
        <f t="shared" si="10"/>
        <v/>
      </c>
      <c r="L244" s="4" t="str">
        <f t="shared" si="11"/>
        <v/>
      </c>
      <c r="M244" s="4" t="str">
        <f>IF($A244="","",IF(INDEX(tbl_plan[計画状態],ROW()-1)="キャンセル","キャンセル",IF(K244=0,"発送済",IF(L244&gt;0,"要搬出","OK"))))</f>
        <v/>
      </c>
    </row>
    <row r="245" spans="1:13" ht="15" x14ac:dyDescent="0.25">
      <c r="A245" s="4" t="str">
        <f>IFERROR(INDEX(tbl_plan[ロットID],ROW()-1),"")</f>
        <v/>
      </c>
      <c r="B245" s="4" t="str">
        <f>IF($A245="","",INDEX(tbl_plan[品番],ROW()-1))</f>
        <v/>
      </c>
      <c r="C245" s="5" t="str">
        <f>IF($A245="","",INDEX(tbl_plan[出荷週],ROW()-1))</f>
        <v/>
      </c>
      <c r="D245" s="4" t="str">
        <f>IF($A245="","",INDEX(tbl_plan[納期先],ROW()-1)&amp;"")</f>
        <v/>
      </c>
      <c r="E245" s="4" t="str">
        <f>IF($A245="","",INDEX(tbl_plan[必要数],ROW()-1))</f>
        <v/>
      </c>
      <c r="F245" s="4" t="str">
        <f>IF($A245="","",SUMIFS(tbl_plan[必要数],tbl_plan[ロットID],$A245,tbl_plan[計画状態],"有効"))</f>
        <v/>
      </c>
      <c r="G245" s="4" t="str">
        <f>IF($A245="","",SUMIFS(tbl_ledger[数量],tbl_ledger[ロットID],$A245,tbl_ledger[イベント種類],"発送"))</f>
        <v/>
      </c>
      <c r="H245" s="4" t="str">
        <f>IF($A245="","",SUMIFS(tbl_ledger[数量],tbl_ledger[ロットID],$A245,tbl_ledger[イベント種類],"搬入")+SUMIFS(tbl_ledger[数量],tbl_ledger[充当先ロットID],$A245,tbl_ledger[イベント種類],"充当")-SUMIFS(tbl_ledger[数量],tbl_ledger[ロットID],$A245,tbl_ledger[イベント種類],"充当")-SUMIFS(tbl_ledger[数量],tbl_ledger[ロットID],$A245,tbl_ledger[イベント種類],"発送")-SUMIFS(tbl_ledger[数量],tbl_ledger[ロットID],$A245,tbl_ledger[イベント種類],"倉庫A戻し")-SUMIFS(tbl_ledger[数量],tbl_ledger[ロットID],$A245,tbl_ledger[イベント種類],"余剰化")-SUMIFS(tbl_ledger[数量],tbl_ledger[ロットID],$A245,tbl_ledger[イベント種類],"不良発生"))</f>
        <v/>
      </c>
      <c r="I245" s="4" t="str">
        <f>IF($A245="","",SUMIFS(tbl_ledger[数量],tbl_ledger[品番],$B245,tbl_ledger[イベント種類],"余剰化")+SUMIFS(tbl_ledger[数量],tbl_ledger[品番],$B245,tbl_ledger[イベント種類],"搬入",tbl_ledger[ロットID],"=")-SUMIFS(tbl_ledger[数量],tbl_ledger[品番],$B245,tbl_ledger[イベント種類],"充当",tbl_ledger[ロットID],"=")-SUMIFS(tbl_ledger[数量],tbl_ledger[品番],$B245,tbl_ledger[イベント種類],"発送",tbl_ledger[ロットID],"=")-SUMIFS(tbl_ledger[数量],tbl_ledger[品番],$B245,tbl_ledger[イベント種類],"倉庫A戻し",tbl_ledger[ロットID],"=")-SUMIFS(tbl_ledger[数量],tbl_ledger[品番],$B245,tbl_ledger[イベント種類],"不良発生",tbl_ledger[ロットID],"="))</f>
        <v/>
      </c>
      <c r="J245" s="4" t="str">
        <f t="shared" si="9"/>
        <v/>
      </c>
      <c r="K245" s="4" t="str">
        <f t="shared" si="10"/>
        <v/>
      </c>
      <c r="L245" s="4" t="str">
        <f t="shared" si="11"/>
        <v/>
      </c>
      <c r="M245" s="4" t="str">
        <f>IF($A245="","",IF(INDEX(tbl_plan[計画状態],ROW()-1)="キャンセル","キャンセル",IF(K245=0,"発送済",IF(L245&gt;0,"要搬出","OK"))))</f>
        <v/>
      </c>
    </row>
    <row r="246" spans="1:13" ht="15" x14ac:dyDescent="0.25">
      <c r="A246" s="4" t="str">
        <f>IFERROR(INDEX(tbl_plan[ロットID],ROW()-1),"")</f>
        <v/>
      </c>
      <c r="B246" s="4" t="str">
        <f>IF($A246="","",INDEX(tbl_plan[品番],ROW()-1))</f>
        <v/>
      </c>
      <c r="C246" s="5" t="str">
        <f>IF($A246="","",INDEX(tbl_plan[出荷週],ROW()-1))</f>
        <v/>
      </c>
      <c r="D246" s="4" t="str">
        <f>IF($A246="","",INDEX(tbl_plan[納期先],ROW()-1)&amp;"")</f>
        <v/>
      </c>
      <c r="E246" s="4" t="str">
        <f>IF($A246="","",INDEX(tbl_plan[必要数],ROW()-1))</f>
        <v/>
      </c>
      <c r="F246" s="4" t="str">
        <f>IF($A246="","",SUMIFS(tbl_plan[必要数],tbl_plan[ロットID],$A246,tbl_plan[計画状態],"有効"))</f>
        <v/>
      </c>
      <c r="G246" s="4" t="str">
        <f>IF($A246="","",SUMIFS(tbl_ledger[数量],tbl_ledger[ロットID],$A246,tbl_ledger[イベント種類],"発送"))</f>
        <v/>
      </c>
      <c r="H246" s="4" t="str">
        <f>IF($A246="","",SUMIFS(tbl_ledger[数量],tbl_ledger[ロットID],$A246,tbl_ledger[イベント種類],"搬入")+SUMIFS(tbl_ledger[数量],tbl_ledger[充当先ロットID],$A246,tbl_ledger[イベント種類],"充当")-SUMIFS(tbl_ledger[数量],tbl_ledger[ロットID],$A246,tbl_ledger[イベント種類],"充当")-SUMIFS(tbl_ledger[数量],tbl_ledger[ロットID],$A246,tbl_ledger[イベント種類],"発送")-SUMIFS(tbl_ledger[数量],tbl_ledger[ロットID],$A246,tbl_ledger[イベント種類],"倉庫A戻し")-SUMIFS(tbl_ledger[数量],tbl_ledger[ロットID],$A246,tbl_ledger[イベント種類],"余剰化")-SUMIFS(tbl_ledger[数量],tbl_ledger[ロットID],$A246,tbl_ledger[イベント種類],"不良発生"))</f>
        <v/>
      </c>
      <c r="I246" s="4" t="str">
        <f>IF($A246="","",SUMIFS(tbl_ledger[数量],tbl_ledger[品番],$B246,tbl_ledger[イベント種類],"余剰化")+SUMIFS(tbl_ledger[数量],tbl_ledger[品番],$B246,tbl_ledger[イベント種類],"搬入",tbl_ledger[ロットID],"=")-SUMIFS(tbl_ledger[数量],tbl_ledger[品番],$B246,tbl_ledger[イベント種類],"充当",tbl_ledger[ロットID],"=")-SUMIFS(tbl_ledger[数量],tbl_ledger[品番],$B246,tbl_ledger[イベント種類],"発送",tbl_ledger[ロットID],"=")-SUMIFS(tbl_ledger[数量],tbl_ledger[品番],$B246,tbl_ledger[イベント種類],"倉庫A戻し",tbl_ledger[ロットID],"=")-SUMIFS(tbl_ledger[数量],tbl_ledger[品番],$B246,tbl_ledger[イベント種類],"不良発生",tbl_ledger[ロットID],"="))</f>
        <v/>
      </c>
      <c r="J246" s="4" t="str">
        <f t="shared" si="9"/>
        <v/>
      </c>
      <c r="K246" s="4" t="str">
        <f t="shared" si="10"/>
        <v/>
      </c>
      <c r="L246" s="4" t="str">
        <f t="shared" si="11"/>
        <v/>
      </c>
      <c r="M246" s="4" t="str">
        <f>IF($A246="","",IF(INDEX(tbl_plan[計画状態],ROW()-1)="キャンセル","キャンセル",IF(K246=0,"発送済",IF(L246&gt;0,"要搬出","OK"))))</f>
        <v/>
      </c>
    </row>
    <row r="247" spans="1:13" ht="15" x14ac:dyDescent="0.25">
      <c r="A247" s="4" t="str">
        <f>IFERROR(INDEX(tbl_plan[ロットID],ROW()-1),"")</f>
        <v/>
      </c>
      <c r="B247" s="4" t="str">
        <f>IF($A247="","",INDEX(tbl_plan[品番],ROW()-1))</f>
        <v/>
      </c>
      <c r="C247" s="5" t="str">
        <f>IF($A247="","",INDEX(tbl_plan[出荷週],ROW()-1))</f>
        <v/>
      </c>
      <c r="D247" s="4" t="str">
        <f>IF($A247="","",INDEX(tbl_plan[納期先],ROW()-1)&amp;"")</f>
        <v/>
      </c>
      <c r="E247" s="4" t="str">
        <f>IF($A247="","",INDEX(tbl_plan[必要数],ROW()-1))</f>
        <v/>
      </c>
      <c r="F247" s="4" t="str">
        <f>IF($A247="","",SUMIFS(tbl_plan[必要数],tbl_plan[ロットID],$A247,tbl_plan[計画状態],"有効"))</f>
        <v/>
      </c>
      <c r="G247" s="4" t="str">
        <f>IF($A247="","",SUMIFS(tbl_ledger[数量],tbl_ledger[ロットID],$A247,tbl_ledger[イベント種類],"発送"))</f>
        <v/>
      </c>
      <c r="H247" s="4" t="str">
        <f>IF($A247="","",SUMIFS(tbl_ledger[数量],tbl_ledger[ロットID],$A247,tbl_ledger[イベント種類],"搬入")+SUMIFS(tbl_ledger[数量],tbl_ledger[充当先ロットID],$A247,tbl_ledger[イベント種類],"充当")-SUMIFS(tbl_ledger[数量],tbl_ledger[ロットID],$A247,tbl_ledger[イベント種類],"充当")-SUMIFS(tbl_ledger[数量],tbl_ledger[ロットID],$A247,tbl_ledger[イベント種類],"発送")-SUMIFS(tbl_ledger[数量],tbl_ledger[ロットID],$A247,tbl_ledger[イベント種類],"倉庫A戻し")-SUMIFS(tbl_ledger[数量],tbl_ledger[ロットID],$A247,tbl_ledger[イベント種類],"余剰化")-SUMIFS(tbl_ledger[数量],tbl_ledger[ロットID],$A247,tbl_ledger[イベント種類],"不良発生"))</f>
        <v/>
      </c>
      <c r="I247" s="4" t="str">
        <f>IF($A247="","",SUMIFS(tbl_ledger[数量],tbl_ledger[品番],$B247,tbl_ledger[イベント種類],"余剰化")+SUMIFS(tbl_ledger[数量],tbl_ledger[品番],$B247,tbl_ledger[イベント種類],"搬入",tbl_ledger[ロットID],"=")-SUMIFS(tbl_ledger[数量],tbl_ledger[品番],$B247,tbl_ledger[イベント種類],"充当",tbl_ledger[ロットID],"=")-SUMIFS(tbl_ledger[数量],tbl_ledger[品番],$B247,tbl_ledger[イベント種類],"発送",tbl_ledger[ロットID],"=")-SUMIFS(tbl_ledger[数量],tbl_ledger[品番],$B247,tbl_ledger[イベント種類],"倉庫A戻し",tbl_ledger[ロットID],"=")-SUMIFS(tbl_ledger[数量],tbl_ledger[品番],$B247,tbl_ledger[イベント種類],"不良発生",tbl_ledger[ロットID],"="))</f>
        <v/>
      </c>
      <c r="J247" s="4" t="str">
        <f t="shared" si="9"/>
        <v/>
      </c>
      <c r="K247" s="4" t="str">
        <f t="shared" si="10"/>
        <v/>
      </c>
      <c r="L247" s="4" t="str">
        <f t="shared" si="11"/>
        <v/>
      </c>
      <c r="M247" s="4" t="str">
        <f>IF($A247="","",IF(INDEX(tbl_plan[計画状態],ROW()-1)="キャンセル","キャンセル",IF(K247=0,"発送済",IF(L247&gt;0,"要搬出","OK"))))</f>
        <v/>
      </c>
    </row>
    <row r="248" spans="1:13" ht="15" x14ac:dyDescent="0.25">
      <c r="A248" s="4" t="str">
        <f>IFERROR(INDEX(tbl_plan[ロットID],ROW()-1),"")</f>
        <v/>
      </c>
      <c r="B248" s="4" t="str">
        <f>IF($A248="","",INDEX(tbl_plan[品番],ROW()-1))</f>
        <v/>
      </c>
      <c r="C248" s="5" t="str">
        <f>IF($A248="","",INDEX(tbl_plan[出荷週],ROW()-1))</f>
        <v/>
      </c>
      <c r="D248" s="4" t="str">
        <f>IF($A248="","",INDEX(tbl_plan[納期先],ROW()-1)&amp;"")</f>
        <v/>
      </c>
      <c r="E248" s="4" t="str">
        <f>IF($A248="","",INDEX(tbl_plan[必要数],ROW()-1))</f>
        <v/>
      </c>
      <c r="F248" s="4" t="str">
        <f>IF($A248="","",SUMIFS(tbl_plan[必要数],tbl_plan[ロットID],$A248,tbl_plan[計画状態],"有効"))</f>
        <v/>
      </c>
      <c r="G248" s="4" t="str">
        <f>IF($A248="","",SUMIFS(tbl_ledger[数量],tbl_ledger[ロットID],$A248,tbl_ledger[イベント種類],"発送"))</f>
        <v/>
      </c>
      <c r="H248" s="4" t="str">
        <f>IF($A248="","",SUMIFS(tbl_ledger[数量],tbl_ledger[ロットID],$A248,tbl_ledger[イベント種類],"搬入")+SUMIFS(tbl_ledger[数量],tbl_ledger[充当先ロットID],$A248,tbl_ledger[イベント種類],"充当")-SUMIFS(tbl_ledger[数量],tbl_ledger[ロットID],$A248,tbl_ledger[イベント種類],"充当")-SUMIFS(tbl_ledger[数量],tbl_ledger[ロットID],$A248,tbl_ledger[イベント種類],"発送")-SUMIFS(tbl_ledger[数量],tbl_ledger[ロットID],$A248,tbl_ledger[イベント種類],"倉庫A戻し")-SUMIFS(tbl_ledger[数量],tbl_ledger[ロットID],$A248,tbl_ledger[イベント種類],"余剰化")-SUMIFS(tbl_ledger[数量],tbl_ledger[ロットID],$A248,tbl_ledger[イベント種類],"不良発生"))</f>
        <v/>
      </c>
      <c r="I248" s="4" t="str">
        <f>IF($A248="","",SUMIFS(tbl_ledger[数量],tbl_ledger[品番],$B248,tbl_ledger[イベント種類],"余剰化")+SUMIFS(tbl_ledger[数量],tbl_ledger[品番],$B248,tbl_ledger[イベント種類],"搬入",tbl_ledger[ロットID],"=")-SUMIFS(tbl_ledger[数量],tbl_ledger[品番],$B248,tbl_ledger[イベント種類],"充当",tbl_ledger[ロットID],"=")-SUMIFS(tbl_ledger[数量],tbl_ledger[品番],$B248,tbl_ledger[イベント種類],"発送",tbl_ledger[ロットID],"=")-SUMIFS(tbl_ledger[数量],tbl_ledger[品番],$B248,tbl_ledger[イベント種類],"倉庫A戻し",tbl_ledger[ロットID],"=")-SUMIFS(tbl_ledger[数量],tbl_ledger[品番],$B248,tbl_ledger[イベント種類],"不良発生",tbl_ledger[ロットID],"="))</f>
        <v/>
      </c>
      <c r="J248" s="4" t="str">
        <f t="shared" si="9"/>
        <v/>
      </c>
      <c r="K248" s="4" t="str">
        <f t="shared" si="10"/>
        <v/>
      </c>
      <c r="L248" s="4" t="str">
        <f t="shared" si="11"/>
        <v/>
      </c>
      <c r="M248" s="4" t="str">
        <f>IF($A248="","",IF(INDEX(tbl_plan[計画状態],ROW()-1)="キャンセル","キャンセル",IF(K248=0,"発送済",IF(L248&gt;0,"要搬出","OK"))))</f>
        <v/>
      </c>
    </row>
    <row r="249" spans="1:13" ht="15" x14ac:dyDescent="0.25">
      <c r="A249" s="4" t="str">
        <f>IFERROR(INDEX(tbl_plan[ロットID],ROW()-1),"")</f>
        <v/>
      </c>
      <c r="B249" s="4" t="str">
        <f>IF($A249="","",INDEX(tbl_plan[品番],ROW()-1))</f>
        <v/>
      </c>
      <c r="C249" s="5" t="str">
        <f>IF($A249="","",INDEX(tbl_plan[出荷週],ROW()-1))</f>
        <v/>
      </c>
      <c r="D249" s="4" t="str">
        <f>IF($A249="","",INDEX(tbl_plan[納期先],ROW()-1)&amp;"")</f>
        <v/>
      </c>
      <c r="E249" s="4" t="str">
        <f>IF($A249="","",INDEX(tbl_plan[必要数],ROW()-1))</f>
        <v/>
      </c>
      <c r="F249" s="4" t="str">
        <f>IF($A249="","",SUMIFS(tbl_plan[必要数],tbl_plan[ロットID],$A249,tbl_plan[計画状態],"有効"))</f>
        <v/>
      </c>
      <c r="G249" s="4" t="str">
        <f>IF($A249="","",SUMIFS(tbl_ledger[数量],tbl_ledger[ロットID],$A249,tbl_ledger[イベント種類],"発送"))</f>
        <v/>
      </c>
      <c r="H249" s="4" t="str">
        <f>IF($A249="","",SUMIFS(tbl_ledger[数量],tbl_ledger[ロットID],$A249,tbl_ledger[イベント種類],"搬入")+SUMIFS(tbl_ledger[数量],tbl_ledger[充当先ロットID],$A249,tbl_ledger[イベント種類],"充当")-SUMIFS(tbl_ledger[数量],tbl_ledger[ロットID],$A249,tbl_ledger[イベント種類],"充当")-SUMIFS(tbl_ledger[数量],tbl_ledger[ロットID],$A249,tbl_ledger[イベント種類],"発送")-SUMIFS(tbl_ledger[数量],tbl_ledger[ロットID],$A249,tbl_ledger[イベント種類],"倉庫A戻し")-SUMIFS(tbl_ledger[数量],tbl_ledger[ロットID],$A249,tbl_ledger[イベント種類],"余剰化")-SUMIFS(tbl_ledger[数量],tbl_ledger[ロットID],$A249,tbl_ledger[イベント種類],"不良発生"))</f>
        <v/>
      </c>
      <c r="I249" s="4" t="str">
        <f>IF($A249="","",SUMIFS(tbl_ledger[数量],tbl_ledger[品番],$B249,tbl_ledger[イベント種類],"余剰化")+SUMIFS(tbl_ledger[数量],tbl_ledger[品番],$B249,tbl_ledger[イベント種類],"搬入",tbl_ledger[ロットID],"=")-SUMIFS(tbl_ledger[数量],tbl_ledger[品番],$B249,tbl_ledger[イベント種類],"充当",tbl_ledger[ロットID],"=")-SUMIFS(tbl_ledger[数量],tbl_ledger[品番],$B249,tbl_ledger[イベント種類],"発送",tbl_ledger[ロットID],"=")-SUMIFS(tbl_ledger[数量],tbl_ledger[品番],$B249,tbl_ledger[イベント種類],"倉庫A戻し",tbl_ledger[ロットID],"=")-SUMIFS(tbl_ledger[数量],tbl_ledger[品番],$B249,tbl_ledger[イベント種類],"不良発生",tbl_ledger[ロットID],"="))</f>
        <v/>
      </c>
      <c r="J249" s="4" t="str">
        <f t="shared" si="9"/>
        <v/>
      </c>
      <c r="K249" s="4" t="str">
        <f t="shared" si="10"/>
        <v/>
      </c>
      <c r="L249" s="4" t="str">
        <f t="shared" si="11"/>
        <v/>
      </c>
      <c r="M249" s="4" t="str">
        <f>IF($A249="","",IF(INDEX(tbl_plan[計画状態],ROW()-1)="キャンセル","キャンセル",IF(K249=0,"発送済",IF(L249&gt;0,"要搬出","OK"))))</f>
        <v/>
      </c>
    </row>
    <row r="250" spans="1:13" ht="15" x14ac:dyDescent="0.25">
      <c r="A250" s="4" t="str">
        <f>IFERROR(INDEX(tbl_plan[ロットID],ROW()-1),"")</f>
        <v/>
      </c>
      <c r="B250" s="4" t="str">
        <f>IF($A250="","",INDEX(tbl_plan[品番],ROW()-1))</f>
        <v/>
      </c>
      <c r="C250" s="5" t="str">
        <f>IF($A250="","",INDEX(tbl_plan[出荷週],ROW()-1))</f>
        <v/>
      </c>
      <c r="D250" s="4" t="str">
        <f>IF($A250="","",INDEX(tbl_plan[納期先],ROW()-1)&amp;"")</f>
        <v/>
      </c>
      <c r="E250" s="4" t="str">
        <f>IF($A250="","",INDEX(tbl_plan[必要数],ROW()-1))</f>
        <v/>
      </c>
      <c r="F250" s="4" t="str">
        <f>IF($A250="","",SUMIFS(tbl_plan[必要数],tbl_plan[ロットID],$A250,tbl_plan[計画状態],"有効"))</f>
        <v/>
      </c>
      <c r="G250" s="4" t="str">
        <f>IF($A250="","",SUMIFS(tbl_ledger[数量],tbl_ledger[ロットID],$A250,tbl_ledger[イベント種類],"発送"))</f>
        <v/>
      </c>
      <c r="H250" s="4" t="str">
        <f>IF($A250="","",SUMIFS(tbl_ledger[数量],tbl_ledger[ロットID],$A250,tbl_ledger[イベント種類],"搬入")+SUMIFS(tbl_ledger[数量],tbl_ledger[充当先ロットID],$A250,tbl_ledger[イベント種類],"充当")-SUMIFS(tbl_ledger[数量],tbl_ledger[ロットID],$A250,tbl_ledger[イベント種類],"充当")-SUMIFS(tbl_ledger[数量],tbl_ledger[ロットID],$A250,tbl_ledger[イベント種類],"発送")-SUMIFS(tbl_ledger[数量],tbl_ledger[ロットID],$A250,tbl_ledger[イベント種類],"倉庫A戻し")-SUMIFS(tbl_ledger[数量],tbl_ledger[ロットID],$A250,tbl_ledger[イベント種類],"余剰化")-SUMIFS(tbl_ledger[数量],tbl_ledger[ロットID],$A250,tbl_ledger[イベント種類],"不良発生"))</f>
        <v/>
      </c>
      <c r="I250" s="4" t="str">
        <f>IF($A250="","",SUMIFS(tbl_ledger[数量],tbl_ledger[品番],$B250,tbl_ledger[イベント種類],"余剰化")+SUMIFS(tbl_ledger[数量],tbl_ledger[品番],$B250,tbl_ledger[イベント種類],"搬入",tbl_ledger[ロットID],"=")-SUMIFS(tbl_ledger[数量],tbl_ledger[品番],$B250,tbl_ledger[イベント種類],"充当",tbl_ledger[ロットID],"=")-SUMIFS(tbl_ledger[数量],tbl_ledger[品番],$B250,tbl_ledger[イベント種類],"発送",tbl_ledger[ロットID],"=")-SUMIFS(tbl_ledger[数量],tbl_ledger[品番],$B250,tbl_ledger[イベント種類],"倉庫A戻し",tbl_ledger[ロットID],"=")-SUMIFS(tbl_ledger[数量],tbl_ledger[品番],$B250,tbl_ledger[イベント種類],"不良発生",tbl_ledger[ロットID],"="))</f>
        <v/>
      </c>
      <c r="J250" s="4" t="str">
        <f t="shared" si="9"/>
        <v/>
      </c>
      <c r="K250" s="4" t="str">
        <f t="shared" si="10"/>
        <v/>
      </c>
      <c r="L250" s="4" t="str">
        <f t="shared" si="11"/>
        <v/>
      </c>
      <c r="M250" s="4" t="str">
        <f>IF($A250="","",IF(INDEX(tbl_plan[計画状態],ROW()-1)="キャンセル","キャンセル",IF(K250=0,"発送済",IF(L250&gt;0,"要搬出","OK"))))</f>
        <v/>
      </c>
    </row>
    <row r="251" spans="1:13" ht="15" x14ac:dyDescent="0.25">
      <c r="A251" s="4" t="str">
        <f>IFERROR(INDEX(tbl_plan[ロットID],ROW()-1),"")</f>
        <v/>
      </c>
      <c r="B251" s="4" t="str">
        <f>IF($A251="","",INDEX(tbl_plan[品番],ROW()-1))</f>
        <v/>
      </c>
      <c r="C251" s="5" t="str">
        <f>IF($A251="","",INDEX(tbl_plan[出荷週],ROW()-1))</f>
        <v/>
      </c>
      <c r="D251" s="4" t="str">
        <f>IF($A251="","",INDEX(tbl_plan[納期先],ROW()-1)&amp;"")</f>
        <v/>
      </c>
      <c r="E251" s="4" t="str">
        <f>IF($A251="","",INDEX(tbl_plan[必要数],ROW()-1))</f>
        <v/>
      </c>
      <c r="F251" s="4" t="str">
        <f>IF($A251="","",SUMIFS(tbl_plan[必要数],tbl_plan[ロットID],$A251,tbl_plan[計画状態],"有効"))</f>
        <v/>
      </c>
      <c r="G251" s="4" t="str">
        <f>IF($A251="","",SUMIFS(tbl_ledger[数量],tbl_ledger[ロットID],$A251,tbl_ledger[イベント種類],"発送"))</f>
        <v/>
      </c>
      <c r="H251" s="4" t="str">
        <f>IF($A251="","",SUMIFS(tbl_ledger[数量],tbl_ledger[ロットID],$A251,tbl_ledger[イベント種類],"搬入")+SUMIFS(tbl_ledger[数量],tbl_ledger[充当先ロットID],$A251,tbl_ledger[イベント種類],"充当")-SUMIFS(tbl_ledger[数量],tbl_ledger[ロットID],$A251,tbl_ledger[イベント種類],"充当")-SUMIFS(tbl_ledger[数量],tbl_ledger[ロットID],$A251,tbl_ledger[イベント種類],"発送")-SUMIFS(tbl_ledger[数量],tbl_ledger[ロットID],$A251,tbl_ledger[イベント種類],"倉庫A戻し")-SUMIFS(tbl_ledger[数量],tbl_ledger[ロットID],$A251,tbl_ledger[イベント種類],"余剰化")-SUMIFS(tbl_ledger[数量],tbl_ledger[ロットID],$A251,tbl_ledger[イベント種類],"不良発生"))</f>
        <v/>
      </c>
      <c r="I251" s="4" t="str">
        <f>IF($A251="","",SUMIFS(tbl_ledger[数量],tbl_ledger[品番],$B251,tbl_ledger[イベント種類],"余剰化")+SUMIFS(tbl_ledger[数量],tbl_ledger[品番],$B251,tbl_ledger[イベント種類],"搬入",tbl_ledger[ロットID],"=")-SUMIFS(tbl_ledger[数量],tbl_ledger[品番],$B251,tbl_ledger[イベント種類],"充当",tbl_ledger[ロットID],"=")-SUMIFS(tbl_ledger[数量],tbl_ledger[品番],$B251,tbl_ledger[イベント種類],"発送",tbl_ledger[ロットID],"=")-SUMIFS(tbl_ledger[数量],tbl_ledger[品番],$B251,tbl_ledger[イベント種類],"倉庫A戻し",tbl_ledger[ロットID],"=")-SUMIFS(tbl_ledger[数量],tbl_ledger[品番],$B251,tbl_ledger[イベント種類],"不良発生",tbl_ledger[ロットID],"="))</f>
        <v/>
      </c>
      <c r="J251" s="4" t="str">
        <f t="shared" si="9"/>
        <v/>
      </c>
      <c r="K251" s="4" t="str">
        <f t="shared" si="10"/>
        <v/>
      </c>
      <c r="L251" s="4" t="str">
        <f t="shared" si="11"/>
        <v/>
      </c>
      <c r="M251" s="4" t="str">
        <f>IF($A251="","",IF(INDEX(tbl_plan[計画状態],ROW()-1)="キャンセル","キャンセル",IF(K251=0,"発送済",IF(L251&gt;0,"要搬出","OK"))))</f>
        <v/>
      </c>
    </row>
    <row r="252" spans="1:13" ht="15" x14ac:dyDescent="0.25">
      <c r="A252" s="4" t="str">
        <f>IFERROR(INDEX(tbl_plan[ロットID],ROW()-1),"")</f>
        <v/>
      </c>
      <c r="B252" s="4" t="str">
        <f>IF($A252="","",INDEX(tbl_plan[品番],ROW()-1))</f>
        <v/>
      </c>
      <c r="C252" s="5" t="str">
        <f>IF($A252="","",INDEX(tbl_plan[出荷週],ROW()-1))</f>
        <v/>
      </c>
      <c r="D252" s="4" t="str">
        <f>IF($A252="","",INDEX(tbl_plan[納期先],ROW()-1)&amp;"")</f>
        <v/>
      </c>
      <c r="E252" s="4" t="str">
        <f>IF($A252="","",INDEX(tbl_plan[必要数],ROW()-1))</f>
        <v/>
      </c>
      <c r="F252" s="4" t="str">
        <f>IF($A252="","",SUMIFS(tbl_plan[必要数],tbl_plan[ロットID],$A252,tbl_plan[計画状態],"有効"))</f>
        <v/>
      </c>
      <c r="G252" s="4" t="str">
        <f>IF($A252="","",SUMIFS(tbl_ledger[数量],tbl_ledger[ロットID],$A252,tbl_ledger[イベント種類],"発送"))</f>
        <v/>
      </c>
      <c r="H252" s="4" t="str">
        <f>IF($A252="","",SUMIFS(tbl_ledger[数量],tbl_ledger[ロットID],$A252,tbl_ledger[イベント種類],"搬入")+SUMIFS(tbl_ledger[数量],tbl_ledger[充当先ロットID],$A252,tbl_ledger[イベント種類],"充当")-SUMIFS(tbl_ledger[数量],tbl_ledger[ロットID],$A252,tbl_ledger[イベント種類],"充当")-SUMIFS(tbl_ledger[数量],tbl_ledger[ロットID],$A252,tbl_ledger[イベント種類],"発送")-SUMIFS(tbl_ledger[数量],tbl_ledger[ロットID],$A252,tbl_ledger[イベント種類],"倉庫A戻し")-SUMIFS(tbl_ledger[数量],tbl_ledger[ロットID],$A252,tbl_ledger[イベント種類],"余剰化")-SUMIFS(tbl_ledger[数量],tbl_ledger[ロットID],$A252,tbl_ledger[イベント種類],"不良発生"))</f>
        <v/>
      </c>
      <c r="I252" s="4" t="str">
        <f>IF($A252="","",SUMIFS(tbl_ledger[数量],tbl_ledger[品番],$B252,tbl_ledger[イベント種類],"余剰化")+SUMIFS(tbl_ledger[数量],tbl_ledger[品番],$B252,tbl_ledger[イベント種類],"搬入",tbl_ledger[ロットID],"=")-SUMIFS(tbl_ledger[数量],tbl_ledger[品番],$B252,tbl_ledger[イベント種類],"充当",tbl_ledger[ロットID],"=")-SUMIFS(tbl_ledger[数量],tbl_ledger[品番],$B252,tbl_ledger[イベント種類],"発送",tbl_ledger[ロットID],"=")-SUMIFS(tbl_ledger[数量],tbl_ledger[品番],$B252,tbl_ledger[イベント種類],"倉庫A戻し",tbl_ledger[ロットID],"=")-SUMIFS(tbl_ledger[数量],tbl_ledger[品番],$B252,tbl_ledger[イベント種類],"不良発生",tbl_ledger[ロットID],"="))</f>
        <v/>
      </c>
      <c r="J252" s="4" t="str">
        <f t="shared" si="9"/>
        <v/>
      </c>
      <c r="K252" s="4" t="str">
        <f t="shared" si="10"/>
        <v/>
      </c>
      <c r="L252" s="4" t="str">
        <f t="shared" si="11"/>
        <v/>
      </c>
      <c r="M252" s="4" t="str">
        <f>IF($A252="","",IF(INDEX(tbl_plan[計画状態],ROW()-1)="キャンセル","キャンセル",IF(K252=0,"発送済",IF(L252&gt;0,"要搬出","OK"))))</f>
        <v/>
      </c>
    </row>
    <row r="253" spans="1:13" ht="15" x14ac:dyDescent="0.25">
      <c r="A253" s="4" t="str">
        <f>IFERROR(INDEX(tbl_plan[ロットID],ROW()-1),"")</f>
        <v/>
      </c>
      <c r="B253" s="4" t="str">
        <f>IF($A253="","",INDEX(tbl_plan[品番],ROW()-1))</f>
        <v/>
      </c>
      <c r="C253" s="5" t="str">
        <f>IF($A253="","",INDEX(tbl_plan[出荷週],ROW()-1))</f>
        <v/>
      </c>
      <c r="D253" s="4" t="str">
        <f>IF($A253="","",INDEX(tbl_plan[納期先],ROW()-1)&amp;"")</f>
        <v/>
      </c>
      <c r="E253" s="4" t="str">
        <f>IF($A253="","",INDEX(tbl_plan[必要数],ROW()-1))</f>
        <v/>
      </c>
      <c r="F253" s="4" t="str">
        <f>IF($A253="","",SUMIFS(tbl_plan[必要数],tbl_plan[ロットID],$A253,tbl_plan[計画状態],"有効"))</f>
        <v/>
      </c>
      <c r="G253" s="4" t="str">
        <f>IF($A253="","",SUMIFS(tbl_ledger[数量],tbl_ledger[ロットID],$A253,tbl_ledger[イベント種類],"発送"))</f>
        <v/>
      </c>
      <c r="H253" s="4" t="str">
        <f>IF($A253="","",SUMIFS(tbl_ledger[数量],tbl_ledger[ロットID],$A253,tbl_ledger[イベント種類],"搬入")+SUMIFS(tbl_ledger[数量],tbl_ledger[充当先ロットID],$A253,tbl_ledger[イベント種類],"充当")-SUMIFS(tbl_ledger[数量],tbl_ledger[ロットID],$A253,tbl_ledger[イベント種類],"充当")-SUMIFS(tbl_ledger[数量],tbl_ledger[ロットID],$A253,tbl_ledger[イベント種類],"発送")-SUMIFS(tbl_ledger[数量],tbl_ledger[ロットID],$A253,tbl_ledger[イベント種類],"倉庫A戻し")-SUMIFS(tbl_ledger[数量],tbl_ledger[ロットID],$A253,tbl_ledger[イベント種類],"余剰化")-SUMIFS(tbl_ledger[数量],tbl_ledger[ロットID],$A253,tbl_ledger[イベント種類],"不良発生"))</f>
        <v/>
      </c>
      <c r="I253" s="4" t="str">
        <f>IF($A253="","",SUMIFS(tbl_ledger[数量],tbl_ledger[品番],$B253,tbl_ledger[イベント種類],"余剰化")+SUMIFS(tbl_ledger[数量],tbl_ledger[品番],$B253,tbl_ledger[イベント種類],"搬入",tbl_ledger[ロットID],"=")-SUMIFS(tbl_ledger[数量],tbl_ledger[品番],$B253,tbl_ledger[イベント種類],"充当",tbl_ledger[ロットID],"=")-SUMIFS(tbl_ledger[数量],tbl_ledger[品番],$B253,tbl_ledger[イベント種類],"発送",tbl_ledger[ロットID],"=")-SUMIFS(tbl_ledger[数量],tbl_ledger[品番],$B253,tbl_ledger[イベント種類],"倉庫A戻し",tbl_ledger[ロットID],"=")-SUMIFS(tbl_ledger[数量],tbl_ledger[品番],$B253,tbl_ledger[イベント種類],"不良発生",tbl_ledger[ロットID],"="))</f>
        <v/>
      </c>
      <c r="J253" s="4" t="str">
        <f t="shared" si="9"/>
        <v/>
      </c>
      <c r="K253" s="4" t="str">
        <f t="shared" si="10"/>
        <v/>
      </c>
      <c r="L253" s="4" t="str">
        <f t="shared" si="11"/>
        <v/>
      </c>
      <c r="M253" s="4" t="str">
        <f>IF($A253="","",IF(INDEX(tbl_plan[計画状態],ROW()-1)="キャンセル","キャンセル",IF(K253=0,"発送済",IF(L253&gt;0,"要搬出","OK"))))</f>
        <v/>
      </c>
    </row>
    <row r="254" spans="1:13" ht="15" x14ac:dyDescent="0.25">
      <c r="A254" s="4" t="str">
        <f>IFERROR(INDEX(tbl_plan[ロットID],ROW()-1),"")</f>
        <v/>
      </c>
      <c r="B254" s="4" t="str">
        <f>IF($A254="","",INDEX(tbl_plan[品番],ROW()-1))</f>
        <v/>
      </c>
      <c r="C254" s="5" t="str">
        <f>IF($A254="","",INDEX(tbl_plan[出荷週],ROW()-1))</f>
        <v/>
      </c>
      <c r="D254" s="4" t="str">
        <f>IF($A254="","",INDEX(tbl_plan[納期先],ROW()-1)&amp;"")</f>
        <v/>
      </c>
      <c r="E254" s="4" t="str">
        <f>IF($A254="","",INDEX(tbl_plan[必要数],ROW()-1))</f>
        <v/>
      </c>
      <c r="F254" s="4" t="str">
        <f>IF($A254="","",SUMIFS(tbl_plan[必要数],tbl_plan[ロットID],$A254,tbl_plan[計画状態],"有効"))</f>
        <v/>
      </c>
      <c r="G254" s="4" t="str">
        <f>IF($A254="","",SUMIFS(tbl_ledger[数量],tbl_ledger[ロットID],$A254,tbl_ledger[イベント種類],"発送"))</f>
        <v/>
      </c>
      <c r="H254" s="4" t="str">
        <f>IF($A254="","",SUMIFS(tbl_ledger[数量],tbl_ledger[ロットID],$A254,tbl_ledger[イベント種類],"搬入")+SUMIFS(tbl_ledger[数量],tbl_ledger[充当先ロットID],$A254,tbl_ledger[イベント種類],"充当")-SUMIFS(tbl_ledger[数量],tbl_ledger[ロットID],$A254,tbl_ledger[イベント種類],"充当")-SUMIFS(tbl_ledger[数量],tbl_ledger[ロットID],$A254,tbl_ledger[イベント種類],"発送")-SUMIFS(tbl_ledger[数量],tbl_ledger[ロットID],$A254,tbl_ledger[イベント種類],"倉庫A戻し")-SUMIFS(tbl_ledger[数量],tbl_ledger[ロットID],$A254,tbl_ledger[イベント種類],"余剰化")-SUMIFS(tbl_ledger[数量],tbl_ledger[ロットID],$A254,tbl_ledger[イベント種類],"不良発生"))</f>
        <v/>
      </c>
      <c r="I254" s="4" t="str">
        <f>IF($A254="","",SUMIFS(tbl_ledger[数量],tbl_ledger[品番],$B254,tbl_ledger[イベント種類],"余剰化")+SUMIFS(tbl_ledger[数量],tbl_ledger[品番],$B254,tbl_ledger[イベント種類],"搬入",tbl_ledger[ロットID],"=")-SUMIFS(tbl_ledger[数量],tbl_ledger[品番],$B254,tbl_ledger[イベント種類],"充当",tbl_ledger[ロットID],"=")-SUMIFS(tbl_ledger[数量],tbl_ledger[品番],$B254,tbl_ledger[イベント種類],"発送",tbl_ledger[ロットID],"=")-SUMIFS(tbl_ledger[数量],tbl_ledger[品番],$B254,tbl_ledger[イベント種類],"倉庫A戻し",tbl_ledger[ロットID],"=")-SUMIFS(tbl_ledger[数量],tbl_ledger[品番],$B254,tbl_ledger[イベント種類],"不良発生",tbl_ledger[ロットID],"="))</f>
        <v/>
      </c>
      <c r="J254" s="4" t="str">
        <f t="shared" si="9"/>
        <v/>
      </c>
      <c r="K254" s="4" t="str">
        <f t="shared" si="10"/>
        <v/>
      </c>
      <c r="L254" s="4" t="str">
        <f t="shared" si="11"/>
        <v/>
      </c>
      <c r="M254" s="4" t="str">
        <f>IF($A254="","",IF(INDEX(tbl_plan[計画状態],ROW()-1)="キャンセル","キャンセル",IF(K254=0,"発送済",IF(L254&gt;0,"要搬出","OK"))))</f>
        <v/>
      </c>
    </row>
    <row r="255" spans="1:13" ht="15" x14ac:dyDescent="0.25">
      <c r="A255" s="4" t="str">
        <f>IFERROR(INDEX(tbl_plan[ロットID],ROW()-1),"")</f>
        <v/>
      </c>
      <c r="B255" s="4" t="str">
        <f>IF($A255="","",INDEX(tbl_plan[品番],ROW()-1))</f>
        <v/>
      </c>
      <c r="C255" s="5" t="str">
        <f>IF($A255="","",INDEX(tbl_plan[出荷週],ROW()-1))</f>
        <v/>
      </c>
      <c r="D255" s="4" t="str">
        <f>IF($A255="","",INDEX(tbl_plan[納期先],ROW()-1)&amp;"")</f>
        <v/>
      </c>
      <c r="E255" s="4" t="str">
        <f>IF($A255="","",INDEX(tbl_plan[必要数],ROW()-1))</f>
        <v/>
      </c>
      <c r="F255" s="4" t="str">
        <f>IF($A255="","",SUMIFS(tbl_plan[必要数],tbl_plan[ロットID],$A255,tbl_plan[計画状態],"有効"))</f>
        <v/>
      </c>
      <c r="G255" s="4" t="str">
        <f>IF($A255="","",SUMIFS(tbl_ledger[数量],tbl_ledger[ロットID],$A255,tbl_ledger[イベント種類],"発送"))</f>
        <v/>
      </c>
      <c r="H255" s="4" t="str">
        <f>IF($A255="","",SUMIFS(tbl_ledger[数量],tbl_ledger[ロットID],$A255,tbl_ledger[イベント種類],"搬入")+SUMIFS(tbl_ledger[数量],tbl_ledger[充当先ロットID],$A255,tbl_ledger[イベント種類],"充当")-SUMIFS(tbl_ledger[数量],tbl_ledger[ロットID],$A255,tbl_ledger[イベント種類],"充当")-SUMIFS(tbl_ledger[数量],tbl_ledger[ロットID],$A255,tbl_ledger[イベント種類],"発送")-SUMIFS(tbl_ledger[数量],tbl_ledger[ロットID],$A255,tbl_ledger[イベント種類],"倉庫A戻し")-SUMIFS(tbl_ledger[数量],tbl_ledger[ロットID],$A255,tbl_ledger[イベント種類],"余剰化")-SUMIFS(tbl_ledger[数量],tbl_ledger[ロットID],$A255,tbl_ledger[イベント種類],"不良発生"))</f>
        <v/>
      </c>
      <c r="I255" s="4" t="str">
        <f>IF($A255="","",SUMIFS(tbl_ledger[数量],tbl_ledger[品番],$B255,tbl_ledger[イベント種類],"余剰化")+SUMIFS(tbl_ledger[数量],tbl_ledger[品番],$B255,tbl_ledger[イベント種類],"搬入",tbl_ledger[ロットID],"=")-SUMIFS(tbl_ledger[数量],tbl_ledger[品番],$B255,tbl_ledger[イベント種類],"充当",tbl_ledger[ロットID],"=")-SUMIFS(tbl_ledger[数量],tbl_ledger[品番],$B255,tbl_ledger[イベント種類],"発送",tbl_ledger[ロットID],"=")-SUMIFS(tbl_ledger[数量],tbl_ledger[品番],$B255,tbl_ledger[イベント種類],"倉庫A戻し",tbl_ledger[ロットID],"=")-SUMIFS(tbl_ledger[数量],tbl_ledger[品番],$B255,tbl_ledger[イベント種類],"不良発生",tbl_ledger[ロットID],"="))</f>
        <v/>
      </c>
      <c r="J255" s="4" t="str">
        <f t="shared" si="9"/>
        <v/>
      </c>
      <c r="K255" s="4" t="str">
        <f t="shared" si="10"/>
        <v/>
      </c>
      <c r="L255" s="4" t="str">
        <f t="shared" si="11"/>
        <v/>
      </c>
      <c r="M255" s="4" t="str">
        <f>IF($A255="","",IF(INDEX(tbl_plan[計画状態],ROW()-1)="キャンセル","キャンセル",IF(K255=0,"発送済",IF(L255&gt;0,"要搬出","OK"))))</f>
        <v/>
      </c>
    </row>
    <row r="256" spans="1:13" ht="15" x14ac:dyDescent="0.25">
      <c r="A256" s="4" t="str">
        <f>IFERROR(INDEX(tbl_plan[ロットID],ROW()-1),"")</f>
        <v/>
      </c>
      <c r="B256" s="4" t="str">
        <f>IF($A256="","",INDEX(tbl_plan[品番],ROW()-1))</f>
        <v/>
      </c>
      <c r="C256" s="5" t="str">
        <f>IF($A256="","",INDEX(tbl_plan[出荷週],ROW()-1))</f>
        <v/>
      </c>
      <c r="D256" s="4" t="str">
        <f>IF($A256="","",INDEX(tbl_plan[納期先],ROW()-1)&amp;"")</f>
        <v/>
      </c>
      <c r="E256" s="4" t="str">
        <f>IF($A256="","",INDEX(tbl_plan[必要数],ROW()-1))</f>
        <v/>
      </c>
      <c r="F256" s="4" t="str">
        <f>IF($A256="","",SUMIFS(tbl_plan[必要数],tbl_plan[ロットID],$A256,tbl_plan[計画状態],"有効"))</f>
        <v/>
      </c>
      <c r="G256" s="4" t="str">
        <f>IF($A256="","",SUMIFS(tbl_ledger[数量],tbl_ledger[ロットID],$A256,tbl_ledger[イベント種類],"発送"))</f>
        <v/>
      </c>
      <c r="H256" s="4" t="str">
        <f>IF($A256="","",SUMIFS(tbl_ledger[数量],tbl_ledger[ロットID],$A256,tbl_ledger[イベント種類],"搬入")+SUMIFS(tbl_ledger[数量],tbl_ledger[充当先ロットID],$A256,tbl_ledger[イベント種類],"充当")-SUMIFS(tbl_ledger[数量],tbl_ledger[ロットID],$A256,tbl_ledger[イベント種類],"充当")-SUMIFS(tbl_ledger[数量],tbl_ledger[ロットID],$A256,tbl_ledger[イベント種類],"発送")-SUMIFS(tbl_ledger[数量],tbl_ledger[ロットID],$A256,tbl_ledger[イベント種類],"倉庫A戻し")-SUMIFS(tbl_ledger[数量],tbl_ledger[ロットID],$A256,tbl_ledger[イベント種類],"余剰化")-SUMIFS(tbl_ledger[数量],tbl_ledger[ロットID],$A256,tbl_ledger[イベント種類],"不良発生"))</f>
        <v/>
      </c>
      <c r="I256" s="4" t="str">
        <f>IF($A256="","",SUMIFS(tbl_ledger[数量],tbl_ledger[品番],$B256,tbl_ledger[イベント種類],"余剰化")+SUMIFS(tbl_ledger[数量],tbl_ledger[品番],$B256,tbl_ledger[イベント種類],"搬入",tbl_ledger[ロットID],"=")-SUMIFS(tbl_ledger[数量],tbl_ledger[品番],$B256,tbl_ledger[イベント種類],"充当",tbl_ledger[ロットID],"=")-SUMIFS(tbl_ledger[数量],tbl_ledger[品番],$B256,tbl_ledger[イベント種類],"発送",tbl_ledger[ロットID],"=")-SUMIFS(tbl_ledger[数量],tbl_ledger[品番],$B256,tbl_ledger[イベント種類],"倉庫A戻し",tbl_ledger[ロットID],"=")-SUMIFS(tbl_ledger[数量],tbl_ledger[品番],$B256,tbl_ledger[イベント種類],"不良発生",tbl_ledger[ロットID],"="))</f>
        <v/>
      </c>
      <c r="J256" s="4" t="str">
        <f t="shared" si="9"/>
        <v/>
      </c>
      <c r="K256" s="4" t="str">
        <f t="shared" si="10"/>
        <v/>
      </c>
      <c r="L256" s="4" t="str">
        <f t="shared" si="11"/>
        <v/>
      </c>
      <c r="M256" s="4" t="str">
        <f>IF($A256="","",IF(INDEX(tbl_plan[計画状態],ROW()-1)="キャンセル","キャンセル",IF(K256=0,"発送済",IF(L256&gt;0,"要搬出","OK"))))</f>
        <v/>
      </c>
    </row>
    <row r="257" spans="1:13" ht="15" x14ac:dyDescent="0.25">
      <c r="A257" s="4" t="str">
        <f>IFERROR(INDEX(tbl_plan[ロットID],ROW()-1),"")</f>
        <v/>
      </c>
      <c r="B257" s="4" t="str">
        <f>IF($A257="","",INDEX(tbl_plan[品番],ROW()-1))</f>
        <v/>
      </c>
      <c r="C257" s="5" t="str">
        <f>IF($A257="","",INDEX(tbl_plan[出荷週],ROW()-1))</f>
        <v/>
      </c>
      <c r="D257" s="4" t="str">
        <f>IF($A257="","",INDEX(tbl_plan[納期先],ROW()-1)&amp;"")</f>
        <v/>
      </c>
      <c r="E257" s="4" t="str">
        <f>IF($A257="","",INDEX(tbl_plan[必要数],ROW()-1))</f>
        <v/>
      </c>
      <c r="F257" s="4" t="str">
        <f>IF($A257="","",SUMIFS(tbl_plan[必要数],tbl_plan[ロットID],$A257,tbl_plan[計画状態],"有効"))</f>
        <v/>
      </c>
      <c r="G257" s="4" t="str">
        <f>IF($A257="","",SUMIFS(tbl_ledger[数量],tbl_ledger[ロットID],$A257,tbl_ledger[イベント種類],"発送"))</f>
        <v/>
      </c>
      <c r="H257" s="4" t="str">
        <f>IF($A257="","",SUMIFS(tbl_ledger[数量],tbl_ledger[ロットID],$A257,tbl_ledger[イベント種類],"搬入")+SUMIFS(tbl_ledger[数量],tbl_ledger[充当先ロットID],$A257,tbl_ledger[イベント種類],"充当")-SUMIFS(tbl_ledger[数量],tbl_ledger[ロットID],$A257,tbl_ledger[イベント種類],"充当")-SUMIFS(tbl_ledger[数量],tbl_ledger[ロットID],$A257,tbl_ledger[イベント種類],"発送")-SUMIFS(tbl_ledger[数量],tbl_ledger[ロットID],$A257,tbl_ledger[イベント種類],"倉庫A戻し")-SUMIFS(tbl_ledger[数量],tbl_ledger[ロットID],$A257,tbl_ledger[イベント種類],"余剰化")-SUMIFS(tbl_ledger[数量],tbl_ledger[ロットID],$A257,tbl_ledger[イベント種類],"不良発生"))</f>
        <v/>
      </c>
      <c r="I257" s="4" t="str">
        <f>IF($A257="","",SUMIFS(tbl_ledger[数量],tbl_ledger[品番],$B257,tbl_ledger[イベント種類],"余剰化")+SUMIFS(tbl_ledger[数量],tbl_ledger[品番],$B257,tbl_ledger[イベント種類],"搬入",tbl_ledger[ロットID],"=")-SUMIFS(tbl_ledger[数量],tbl_ledger[品番],$B257,tbl_ledger[イベント種類],"充当",tbl_ledger[ロットID],"=")-SUMIFS(tbl_ledger[数量],tbl_ledger[品番],$B257,tbl_ledger[イベント種類],"発送",tbl_ledger[ロットID],"=")-SUMIFS(tbl_ledger[数量],tbl_ledger[品番],$B257,tbl_ledger[イベント種類],"倉庫A戻し",tbl_ledger[ロットID],"=")-SUMIFS(tbl_ledger[数量],tbl_ledger[品番],$B257,tbl_ledger[イベント種類],"不良発生",tbl_ledger[ロットID],"="))</f>
        <v/>
      </c>
      <c r="J257" s="4" t="str">
        <f t="shared" si="9"/>
        <v/>
      </c>
      <c r="K257" s="4" t="str">
        <f t="shared" si="10"/>
        <v/>
      </c>
      <c r="L257" s="4" t="str">
        <f t="shared" si="11"/>
        <v/>
      </c>
      <c r="M257" s="4" t="str">
        <f>IF($A257="","",IF(INDEX(tbl_plan[計画状態],ROW()-1)="キャンセル","キャンセル",IF(K257=0,"発送済",IF(L257&gt;0,"要搬出","OK"))))</f>
        <v/>
      </c>
    </row>
    <row r="258" spans="1:13" ht="15" x14ac:dyDescent="0.25">
      <c r="A258" s="4" t="str">
        <f>IFERROR(INDEX(tbl_plan[ロットID],ROW()-1),"")</f>
        <v/>
      </c>
      <c r="B258" s="4" t="str">
        <f>IF($A258="","",INDEX(tbl_plan[品番],ROW()-1))</f>
        <v/>
      </c>
      <c r="C258" s="5" t="str">
        <f>IF($A258="","",INDEX(tbl_plan[出荷週],ROW()-1))</f>
        <v/>
      </c>
      <c r="D258" s="4" t="str">
        <f>IF($A258="","",INDEX(tbl_plan[納期先],ROW()-1)&amp;"")</f>
        <v/>
      </c>
      <c r="E258" s="4" t="str">
        <f>IF($A258="","",INDEX(tbl_plan[必要数],ROW()-1))</f>
        <v/>
      </c>
      <c r="F258" s="4" t="str">
        <f>IF($A258="","",SUMIFS(tbl_plan[必要数],tbl_plan[ロットID],$A258,tbl_plan[計画状態],"有効"))</f>
        <v/>
      </c>
      <c r="G258" s="4" t="str">
        <f>IF($A258="","",SUMIFS(tbl_ledger[数量],tbl_ledger[ロットID],$A258,tbl_ledger[イベント種類],"発送"))</f>
        <v/>
      </c>
      <c r="H258" s="4" t="str">
        <f>IF($A258="","",SUMIFS(tbl_ledger[数量],tbl_ledger[ロットID],$A258,tbl_ledger[イベント種類],"搬入")+SUMIFS(tbl_ledger[数量],tbl_ledger[充当先ロットID],$A258,tbl_ledger[イベント種類],"充当")-SUMIFS(tbl_ledger[数量],tbl_ledger[ロットID],$A258,tbl_ledger[イベント種類],"充当")-SUMIFS(tbl_ledger[数量],tbl_ledger[ロットID],$A258,tbl_ledger[イベント種類],"発送")-SUMIFS(tbl_ledger[数量],tbl_ledger[ロットID],$A258,tbl_ledger[イベント種類],"倉庫A戻し")-SUMIFS(tbl_ledger[数量],tbl_ledger[ロットID],$A258,tbl_ledger[イベント種類],"余剰化")-SUMIFS(tbl_ledger[数量],tbl_ledger[ロットID],$A258,tbl_ledger[イベント種類],"不良発生"))</f>
        <v/>
      </c>
      <c r="I258" s="4" t="str">
        <f>IF($A258="","",SUMIFS(tbl_ledger[数量],tbl_ledger[品番],$B258,tbl_ledger[イベント種類],"余剰化")+SUMIFS(tbl_ledger[数量],tbl_ledger[品番],$B258,tbl_ledger[イベント種類],"搬入",tbl_ledger[ロットID],"=")-SUMIFS(tbl_ledger[数量],tbl_ledger[品番],$B258,tbl_ledger[イベント種類],"充当",tbl_ledger[ロットID],"=")-SUMIFS(tbl_ledger[数量],tbl_ledger[品番],$B258,tbl_ledger[イベント種類],"発送",tbl_ledger[ロットID],"=")-SUMIFS(tbl_ledger[数量],tbl_ledger[品番],$B258,tbl_ledger[イベント種類],"倉庫A戻し",tbl_ledger[ロットID],"=")-SUMIFS(tbl_ledger[数量],tbl_ledger[品番],$B258,tbl_ledger[イベント種類],"不良発生",tbl_ledger[ロットID],"="))</f>
        <v/>
      </c>
      <c r="J258" s="4" t="str">
        <f t="shared" ref="J258:J301" si="12">IF($A258="","",H258+I258)</f>
        <v/>
      </c>
      <c r="K258" s="4" t="str">
        <f t="shared" ref="K258:K301" si="13">IF($A258="","",MAX(0,F258-G258))</f>
        <v/>
      </c>
      <c r="L258" s="4" t="str">
        <f t="shared" ref="L258:L301" si="14">IF($A258="","",MAX(0,K258-J258))</f>
        <v/>
      </c>
      <c r="M258" s="4" t="str">
        <f>IF($A258="","",IF(INDEX(tbl_plan[計画状態],ROW()-1)="キャンセル","キャンセル",IF(K258=0,"発送済",IF(L258&gt;0,"要搬出","OK"))))</f>
        <v/>
      </c>
    </row>
    <row r="259" spans="1:13" ht="15" x14ac:dyDescent="0.25">
      <c r="A259" s="4" t="str">
        <f>IFERROR(INDEX(tbl_plan[ロットID],ROW()-1),"")</f>
        <v/>
      </c>
      <c r="B259" s="4" t="str">
        <f>IF($A259="","",INDEX(tbl_plan[品番],ROW()-1))</f>
        <v/>
      </c>
      <c r="C259" s="5" t="str">
        <f>IF($A259="","",INDEX(tbl_plan[出荷週],ROW()-1))</f>
        <v/>
      </c>
      <c r="D259" s="4" t="str">
        <f>IF($A259="","",INDEX(tbl_plan[納期先],ROW()-1)&amp;"")</f>
        <v/>
      </c>
      <c r="E259" s="4" t="str">
        <f>IF($A259="","",INDEX(tbl_plan[必要数],ROW()-1))</f>
        <v/>
      </c>
      <c r="F259" s="4" t="str">
        <f>IF($A259="","",SUMIFS(tbl_plan[必要数],tbl_plan[ロットID],$A259,tbl_plan[計画状態],"有効"))</f>
        <v/>
      </c>
      <c r="G259" s="4" t="str">
        <f>IF($A259="","",SUMIFS(tbl_ledger[数量],tbl_ledger[ロットID],$A259,tbl_ledger[イベント種類],"発送"))</f>
        <v/>
      </c>
      <c r="H259" s="4" t="str">
        <f>IF($A259="","",SUMIFS(tbl_ledger[数量],tbl_ledger[ロットID],$A259,tbl_ledger[イベント種類],"搬入")+SUMIFS(tbl_ledger[数量],tbl_ledger[充当先ロットID],$A259,tbl_ledger[イベント種類],"充当")-SUMIFS(tbl_ledger[数量],tbl_ledger[ロットID],$A259,tbl_ledger[イベント種類],"充当")-SUMIFS(tbl_ledger[数量],tbl_ledger[ロットID],$A259,tbl_ledger[イベント種類],"発送")-SUMIFS(tbl_ledger[数量],tbl_ledger[ロットID],$A259,tbl_ledger[イベント種類],"倉庫A戻し")-SUMIFS(tbl_ledger[数量],tbl_ledger[ロットID],$A259,tbl_ledger[イベント種類],"余剰化")-SUMIFS(tbl_ledger[数量],tbl_ledger[ロットID],$A259,tbl_ledger[イベント種類],"不良発生"))</f>
        <v/>
      </c>
      <c r="I259" s="4" t="str">
        <f>IF($A259="","",SUMIFS(tbl_ledger[数量],tbl_ledger[品番],$B259,tbl_ledger[イベント種類],"余剰化")+SUMIFS(tbl_ledger[数量],tbl_ledger[品番],$B259,tbl_ledger[イベント種類],"搬入",tbl_ledger[ロットID],"=")-SUMIFS(tbl_ledger[数量],tbl_ledger[品番],$B259,tbl_ledger[イベント種類],"充当",tbl_ledger[ロットID],"=")-SUMIFS(tbl_ledger[数量],tbl_ledger[品番],$B259,tbl_ledger[イベント種類],"発送",tbl_ledger[ロットID],"=")-SUMIFS(tbl_ledger[数量],tbl_ledger[品番],$B259,tbl_ledger[イベント種類],"倉庫A戻し",tbl_ledger[ロットID],"=")-SUMIFS(tbl_ledger[数量],tbl_ledger[品番],$B259,tbl_ledger[イベント種類],"不良発生",tbl_ledger[ロットID],"="))</f>
        <v/>
      </c>
      <c r="J259" s="4" t="str">
        <f t="shared" si="12"/>
        <v/>
      </c>
      <c r="K259" s="4" t="str">
        <f t="shared" si="13"/>
        <v/>
      </c>
      <c r="L259" s="4" t="str">
        <f t="shared" si="14"/>
        <v/>
      </c>
      <c r="M259" s="4" t="str">
        <f>IF($A259="","",IF(INDEX(tbl_plan[計画状態],ROW()-1)="キャンセル","キャンセル",IF(K259=0,"発送済",IF(L259&gt;0,"要搬出","OK"))))</f>
        <v/>
      </c>
    </row>
    <row r="260" spans="1:13" ht="15" x14ac:dyDescent="0.25">
      <c r="A260" s="4" t="str">
        <f>IFERROR(INDEX(tbl_plan[ロットID],ROW()-1),"")</f>
        <v/>
      </c>
      <c r="B260" s="4" t="str">
        <f>IF($A260="","",INDEX(tbl_plan[品番],ROW()-1))</f>
        <v/>
      </c>
      <c r="C260" s="5" t="str">
        <f>IF($A260="","",INDEX(tbl_plan[出荷週],ROW()-1))</f>
        <v/>
      </c>
      <c r="D260" s="4" t="str">
        <f>IF($A260="","",INDEX(tbl_plan[納期先],ROW()-1)&amp;"")</f>
        <v/>
      </c>
      <c r="E260" s="4" t="str">
        <f>IF($A260="","",INDEX(tbl_plan[必要数],ROW()-1))</f>
        <v/>
      </c>
      <c r="F260" s="4" t="str">
        <f>IF($A260="","",SUMIFS(tbl_plan[必要数],tbl_plan[ロットID],$A260,tbl_plan[計画状態],"有効"))</f>
        <v/>
      </c>
      <c r="G260" s="4" t="str">
        <f>IF($A260="","",SUMIFS(tbl_ledger[数量],tbl_ledger[ロットID],$A260,tbl_ledger[イベント種類],"発送"))</f>
        <v/>
      </c>
      <c r="H260" s="4" t="str">
        <f>IF($A260="","",SUMIFS(tbl_ledger[数量],tbl_ledger[ロットID],$A260,tbl_ledger[イベント種類],"搬入")+SUMIFS(tbl_ledger[数量],tbl_ledger[充当先ロットID],$A260,tbl_ledger[イベント種類],"充当")-SUMIFS(tbl_ledger[数量],tbl_ledger[ロットID],$A260,tbl_ledger[イベント種類],"充当")-SUMIFS(tbl_ledger[数量],tbl_ledger[ロットID],$A260,tbl_ledger[イベント種類],"発送")-SUMIFS(tbl_ledger[数量],tbl_ledger[ロットID],$A260,tbl_ledger[イベント種類],"倉庫A戻し")-SUMIFS(tbl_ledger[数量],tbl_ledger[ロットID],$A260,tbl_ledger[イベント種類],"余剰化")-SUMIFS(tbl_ledger[数量],tbl_ledger[ロットID],$A260,tbl_ledger[イベント種類],"不良発生"))</f>
        <v/>
      </c>
      <c r="I260" s="4" t="str">
        <f>IF($A260="","",SUMIFS(tbl_ledger[数量],tbl_ledger[品番],$B260,tbl_ledger[イベント種類],"余剰化")+SUMIFS(tbl_ledger[数量],tbl_ledger[品番],$B260,tbl_ledger[イベント種類],"搬入",tbl_ledger[ロットID],"=")-SUMIFS(tbl_ledger[数量],tbl_ledger[品番],$B260,tbl_ledger[イベント種類],"充当",tbl_ledger[ロットID],"=")-SUMIFS(tbl_ledger[数量],tbl_ledger[品番],$B260,tbl_ledger[イベント種類],"発送",tbl_ledger[ロットID],"=")-SUMIFS(tbl_ledger[数量],tbl_ledger[品番],$B260,tbl_ledger[イベント種類],"倉庫A戻し",tbl_ledger[ロットID],"=")-SUMIFS(tbl_ledger[数量],tbl_ledger[品番],$B260,tbl_ledger[イベント種類],"不良発生",tbl_ledger[ロットID],"="))</f>
        <v/>
      </c>
      <c r="J260" s="4" t="str">
        <f t="shared" si="12"/>
        <v/>
      </c>
      <c r="K260" s="4" t="str">
        <f t="shared" si="13"/>
        <v/>
      </c>
      <c r="L260" s="4" t="str">
        <f t="shared" si="14"/>
        <v/>
      </c>
      <c r="M260" s="4" t="str">
        <f>IF($A260="","",IF(INDEX(tbl_plan[計画状態],ROW()-1)="キャンセル","キャンセル",IF(K260=0,"発送済",IF(L260&gt;0,"要搬出","OK"))))</f>
        <v/>
      </c>
    </row>
    <row r="261" spans="1:13" ht="15" x14ac:dyDescent="0.25">
      <c r="A261" s="4" t="str">
        <f>IFERROR(INDEX(tbl_plan[ロットID],ROW()-1),"")</f>
        <v/>
      </c>
      <c r="B261" s="4" t="str">
        <f>IF($A261="","",INDEX(tbl_plan[品番],ROW()-1))</f>
        <v/>
      </c>
      <c r="C261" s="5" t="str">
        <f>IF($A261="","",INDEX(tbl_plan[出荷週],ROW()-1))</f>
        <v/>
      </c>
      <c r="D261" s="4" t="str">
        <f>IF($A261="","",INDEX(tbl_plan[納期先],ROW()-1)&amp;"")</f>
        <v/>
      </c>
      <c r="E261" s="4" t="str">
        <f>IF($A261="","",INDEX(tbl_plan[必要数],ROW()-1))</f>
        <v/>
      </c>
      <c r="F261" s="4" t="str">
        <f>IF($A261="","",SUMIFS(tbl_plan[必要数],tbl_plan[ロットID],$A261,tbl_plan[計画状態],"有効"))</f>
        <v/>
      </c>
      <c r="G261" s="4" t="str">
        <f>IF($A261="","",SUMIFS(tbl_ledger[数量],tbl_ledger[ロットID],$A261,tbl_ledger[イベント種類],"発送"))</f>
        <v/>
      </c>
      <c r="H261" s="4" t="str">
        <f>IF($A261="","",SUMIFS(tbl_ledger[数量],tbl_ledger[ロットID],$A261,tbl_ledger[イベント種類],"搬入")+SUMIFS(tbl_ledger[数量],tbl_ledger[充当先ロットID],$A261,tbl_ledger[イベント種類],"充当")-SUMIFS(tbl_ledger[数量],tbl_ledger[ロットID],$A261,tbl_ledger[イベント種類],"充当")-SUMIFS(tbl_ledger[数量],tbl_ledger[ロットID],$A261,tbl_ledger[イベント種類],"発送")-SUMIFS(tbl_ledger[数量],tbl_ledger[ロットID],$A261,tbl_ledger[イベント種類],"倉庫A戻し")-SUMIFS(tbl_ledger[数量],tbl_ledger[ロットID],$A261,tbl_ledger[イベント種類],"余剰化")-SUMIFS(tbl_ledger[数量],tbl_ledger[ロットID],$A261,tbl_ledger[イベント種類],"不良発生"))</f>
        <v/>
      </c>
      <c r="I261" s="4" t="str">
        <f>IF($A261="","",SUMIFS(tbl_ledger[数量],tbl_ledger[品番],$B261,tbl_ledger[イベント種類],"余剰化")+SUMIFS(tbl_ledger[数量],tbl_ledger[品番],$B261,tbl_ledger[イベント種類],"搬入",tbl_ledger[ロットID],"=")-SUMIFS(tbl_ledger[数量],tbl_ledger[品番],$B261,tbl_ledger[イベント種類],"充当",tbl_ledger[ロットID],"=")-SUMIFS(tbl_ledger[数量],tbl_ledger[品番],$B261,tbl_ledger[イベント種類],"発送",tbl_ledger[ロットID],"=")-SUMIFS(tbl_ledger[数量],tbl_ledger[品番],$B261,tbl_ledger[イベント種類],"倉庫A戻し",tbl_ledger[ロットID],"=")-SUMIFS(tbl_ledger[数量],tbl_ledger[品番],$B261,tbl_ledger[イベント種類],"不良発生",tbl_ledger[ロットID],"="))</f>
        <v/>
      </c>
      <c r="J261" s="4" t="str">
        <f t="shared" si="12"/>
        <v/>
      </c>
      <c r="K261" s="4" t="str">
        <f t="shared" si="13"/>
        <v/>
      </c>
      <c r="L261" s="4" t="str">
        <f t="shared" si="14"/>
        <v/>
      </c>
      <c r="M261" s="4" t="str">
        <f>IF($A261="","",IF(INDEX(tbl_plan[計画状態],ROW()-1)="キャンセル","キャンセル",IF(K261=0,"発送済",IF(L261&gt;0,"要搬出","OK"))))</f>
        <v/>
      </c>
    </row>
    <row r="262" spans="1:13" ht="15" x14ac:dyDescent="0.25">
      <c r="A262" s="4" t="str">
        <f>IFERROR(INDEX(tbl_plan[ロットID],ROW()-1),"")</f>
        <v/>
      </c>
      <c r="B262" s="4" t="str">
        <f>IF($A262="","",INDEX(tbl_plan[品番],ROW()-1))</f>
        <v/>
      </c>
      <c r="C262" s="5" t="str">
        <f>IF($A262="","",INDEX(tbl_plan[出荷週],ROW()-1))</f>
        <v/>
      </c>
      <c r="D262" s="4" t="str">
        <f>IF($A262="","",INDEX(tbl_plan[納期先],ROW()-1)&amp;"")</f>
        <v/>
      </c>
      <c r="E262" s="4" t="str">
        <f>IF($A262="","",INDEX(tbl_plan[必要数],ROW()-1))</f>
        <v/>
      </c>
      <c r="F262" s="4" t="str">
        <f>IF($A262="","",SUMIFS(tbl_plan[必要数],tbl_plan[ロットID],$A262,tbl_plan[計画状態],"有効"))</f>
        <v/>
      </c>
      <c r="G262" s="4" t="str">
        <f>IF($A262="","",SUMIFS(tbl_ledger[数量],tbl_ledger[ロットID],$A262,tbl_ledger[イベント種類],"発送"))</f>
        <v/>
      </c>
      <c r="H262" s="4" t="str">
        <f>IF($A262="","",SUMIFS(tbl_ledger[数量],tbl_ledger[ロットID],$A262,tbl_ledger[イベント種類],"搬入")+SUMIFS(tbl_ledger[数量],tbl_ledger[充当先ロットID],$A262,tbl_ledger[イベント種類],"充当")-SUMIFS(tbl_ledger[数量],tbl_ledger[ロットID],$A262,tbl_ledger[イベント種類],"充当")-SUMIFS(tbl_ledger[数量],tbl_ledger[ロットID],$A262,tbl_ledger[イベント種類],"発送")-SUMIFS(tbl_ledger[数量],tbl_ledger[ロットID],$A262,tbl_ledger[イベント種類],"倉庫A戻し")-SUMIFS(tbl_ledger[数量],tbl_ledger[ロットID],$A262,tbl_ledger[イベント種類],"余剰化")-SUMIFS(tbl_ledger[数量],tbl_ledger[ロットID],$A262,tbl_ledger[イベント種類],"不良発生"))</f>
        <v/>
      </c>
      <c r="I262" s="4" t="str">
        <f>IF($A262="","",SUMIFS(tbl_ledger[数量],tbl_ledger[品番],$B262,tbl_ledger[イベント種類],"余剰化")+SUMIFS(tbl_ledger[数量],tbl_ledger[品番],$B262,tbl_ledger[イベント種類],"搬入",tbl_ledger[ロットID],"=")-SUMIFS(tbl_ledger[数量],tbl_ledger[品番],$B262,tbl_ledger[イベント種類],"充当",tbl_ledger[ロットID],"=")-SUMIFS(tbl_ledger[数量],tbl_ledger[品番],$B262,tbl_ledger[イベント種類],"発送",tbl_ledger[ロットID],"=")-SUMIFS(tbl_ledger[数量],tbl_ledger[品番],$B262,tbl_ledger[イベント種類],"倉庫A戻し",tbl_ledger[ロットID],"=")-SUMIFS(tbl_ledger[数量],tbl_ledger[品番],$B262,tbl_ledger[イベント種類],"不良発生",tbl_ledger[ロットID],"="))</f>
        <v/>
      </c>
      <c r="J262" s="4" t="str">
        <f t="shared" si="12"/>
        <v/>
      </c>
      <c r="K262" s="4" t="str">
        <f t="shared" si="13"/>
        <v/>
      </c>
      <c r="L262" s="4" t="str">
        <f t="shared" si="14"/>
        <v/>
      </c>
      <c r="M262" s="4" t="str">
        <f>IF($A262="","",IF(INDEX(tbl_plan[計画状態],ROW()-1)="キャンセル","キャンセル",IF(K262=0,"発送済",IF(L262&gt;0,"要搬出","OK"))))</f>
        <v/>
      </c>
    </row>
    <row r="263" spans="1:13" ht="15" x14ac:dyDescent="0.25">
      <c r="A263" s="4" t="str">
        <f>IFERROR(INDEX(tbl_plan[ロットID],ROW()-1),"")</f>
        <v/>
      </c>
      <c r="B263" s="4" t="str">
        <f>IF($A263="","",INDEX(tbl_plan[品番],ROW()-1))</f>
        <v/>
      </c>
      <c r="C263" s="5" t="str">
        <f>IF($A263="","",INDEX(tbl_plan[出荷週],ROW()-1))</f>
        <v/>
      </c>
      <c r="D263" s="4" t="str">
        <f>IF($A263="","",INDEX(tbl_plan[納期先],ROW()-1)&amp;"")</f>
        <v/>
      </c>
      <c r="E263" s="4" t="str">
        <f>IF($A263="","",INDEX(tbl_plan[必要数],ROW()-1))</f>
        <v/>
      </c>
      <c r="F263" s="4" t="str">
        <f>IF($A263="","",SUMIFS(tbl_plan[必要数],tbl_plan[ロットID],$A263,tbl_plan[計画状態],"有効"))</f>
        <v/>
      </c>
      <c r="G263" s="4" t="str">
        <f>IF($A263="","",SUMIFS(tbl_ledger[数量],tbl_ledger[ロットID],$A263,tbl_ledger[イベント種類],"発送"))</f>
        <v/>
      </c>
      <c r="H263" s="4" t="str">
        <f>IF($A263="","",SUMIFS(tbl_ledger[数量],tbl_ledger[ロットID],$A263,tbl_ledger[イベント種類],"搬入")+SUMIFS(tbl_ledger[数量],tbl_ledger[充当先ロットID],$A263,tbl_ledger[イベント種類],"充当")-SUMIFS(tbl_ledger[数量],tbl_ledger[ロットID],$A263,tbl_ledger[イベント種類],"充当")-SUMIFS(tbl_ledger[数量],tbl_ledger[ロットID],$A263,tbl_ledger[イベント種類],"発送")-SUMIFS(tbl_ledger[数量],tbl_ledger[ロットID],$A263,tbl_ledger[イベント種類],"倉庫A戻し")-SUMIFS(tbl_ledger[数量],tbl_ledger[ロットID],$A263,tbl_ledger[イベント種類],"余剰化")-SUMIFS(tbl_ledger[数量],tbl_ledger[ロットID],$A263,tbl_ledger[イベント種類],"不良発生"))</f>
        <v/>
      </c>
      <c r="I263" s="4" t="str">
        <f>IF($A263="","",SUMIFS(tbl_ledger[数量],tbl_ledger[品番],$B263,tbl_ledger[イベント種類],"余剰化")+SUMIFS(tbl_ledger[数量],tbl_ledger[品番],$B263,tbl_ledger[イベント種類],"搬入",tbl_ledger[ロットID],"=")-SUMIFS(tbl_ledger[数量],tbl_ledger[品番],$B263,tbl_ledger[イベント種類],"充当",tbl_ledger[ロットID],"=")-SUMIFS(tbl_ledger[数量],tbl_ledger[品番],$B263,tbl_ledger[イベント種類],"発送",tbl_ledger[ロットID],"=")-SUMIFS(tbl_ledger[数量],tbl_ledger[品番],$B263,tbl_ledger[イベント種類],"倉庫A戻し",tbl_ledger[ロットID],"=")-SUMIFS(tbl_ledger[数量],tbl_ledger[品番],$B263,tbl_ledger[イベント種類],"不良発生",tbl_ledger[ロットID],"="))</f>
        <v/>
      </c>
      <c r="J263" s="4" t="str">
        <f t="shared" si="12"/>
        <v/>
      </c>
      <c r="K263" s="4" t="str">
        <f t="shared" si="13"/>
        <v/>
      </c>
      <c r="L263" s="4" t="str">
        <f t="shared" si="14"/>
        <v/>
      </c>
      <c r="M263" s="4" t="str">
        <f>IF($A263="","",IF(INDEX(tbl_plan[計画状態],ROW()-1)="キャンセル","キャンセル",IF(K263=0,"発送済",IF(L263&gt;0,"要搬出","OK"))))</f>
        <v/>
      </c>
    </row>
    <row r="264" spans="1:13" ht="15" x14ac:dyDescent="0.25">
      <c r="A264" s="4" t="str">
        <f>IFERROR(INDEX(tbl_plan[ロットID],ROW()-1),"")</f>
        <v/>
      </c>
      <c r="B264" s="4" t="str">
        <f>IF($A264="","",INDEX(tbl_plan[品番],ROW()-1))</f>
        <v/>
      </c>
      <c r="C264" s="5" t="str">
        <f>IF($A264="","",INDEX(tbl_plan[出荷週],ROW()-1))</f>
        <v/>
      </c>
      <c r="D264" s="4" t="str">
        <f>IF($A264="","",INDEX(tbl_plan[納期先],ROW()-1)&amp;"")</f>
        <v/>
      </c>
      <c r="E264" s="4" t="str">
        <f>IF($A264="","",INDEX(tbl_plan[必要数],ROW()-1))</f>
        <v/>
      </c>
      <c r="F264" s="4" t="str">
        <f>IF($A264="","",SUMIFS(tbl_plan[必要数],tbl_plan[ロットID],$A264,tbl_plan[計画状態],"有効"))</f>
        <v/>
      </c>
      <c r="G264" s="4" t="str">
        <f>IF($A264="","",SUMIFS(tbl_ledger[数量],tbl_ledger[ロットID],$A264,tbl_ledger[イベント種類],"発送"))</f>
        <v/>
      </c>
      <c r="H264" s="4" t="str">
        <f>IF($A264="","",SUMIFS(tbl_ledger[数量],tbl_ledger[ロットID],$A264,tbl_ledger[イベント種類],"搬入")+SUMIFS(tbl_ledger[数量],tbl_ledger[充当先ロットID],$A264,tbl_ledger[イベント種類],"充当")-SUMIFS(tbl_ledger[数量],tbl_ledger[ロットID],$A264,tbl_ledger[イベント種類],"充当")-SUMIFS(tbl_ledger[数量],tbl_ledger[ロットID],$A264,tbl_ledger[イベント種類],"発送")-SUMIFS(tbl_ledger[数量],tbl_ledger[ロットID],$A264,tbl_ledger[イベント種類],"倉庫A戻し")-SUMIFS(tbl_ledger[数量],tbl_ledger[ロットID],$A264,tbl_ledger[イベント種類],"余剰化")-SUMIFS(tbl_ledger[数量],tbl_ledger[ロットID],$A264,tbl_ledger[イベント種類],"不良発生"))</f>
        <v/>
      </c>
      <c r="I264" s="4" t="str">
        <f>IF($A264="","",SUMIFS(tbl_ledger[数量],tbl_ledger[品番],$B264,tbl_ledger[イベント種類],"余剰化")+SUMIFS(tbl_ledger[数量],tbl_ledger[品番],$B264,tbl_ledger[イベント種類],"搬入",tbl_ledger[ロットID],"=")-SUMIFS(tbl_ledger[数量],tbl_ledger[品番],$B264,tbl_ledger[イベント種類],"充当",tbl_ledger[ロットID],"=")-SUMIFS(tbl_ledger[数量],tbl_ledger[品番],$B264,tbl_ledger[イベント種類],"発送",tbl_ledger[ロットID],"=")-SUMIFS(tbl_ledger[数量],tbl_ledger[品番],$B264,tbl_ledger[イベント種類],"倉庫A戻し",tbl_ledger[ロットID],"=")-SUMIFS(tbl_ledger[数量],tbl_ledger[品番],$B264,tbl_ledger[イベント種類],"不良発生",tbl_ledger[ロットID],"="))</f>
        <v/>
      </c>
      <c r="J264" s="4" t="str">
        <f t="shared" si="12"/>
        <v/>
      </c>
      <c r="K264" s="4" t="str">
        <f t="shared" si="13"/>
        <v/>
      </c>
      <c r="L264" s="4" t="str">
        <f t="shared" si="14"/>
        <v/>
      </c>
      <c r="M264" s="4" t="str">
        <f>IF($A264="","",IF(INDEX(tbl_plan[計画状態],ROW()-1)="キャンセル","キャンセル",IF(K264=0,"発送済",IF(L264&gt;0,"要搬出","OK"))))</f>
        <v/>
      </c>
    </row>
    <row r="265" spans="1:13" ht="15" x14ac:dyDescent="0.25">
      <c r="A265" s="4" t="str">
        <f>IFERROR(INDEX(tbl_plan[ロットID],ROW()-1),"")</f>
        <v/>
      </c>
      <c r="B265" s="4" t="str">
        <f>IF($A265="","",INDEX(tbl_plan[品番],ROW()-1))</f>
        <v/>
      </c>
      <c r="C265" s="5" t="str">
        <f>IF($A265="","",INDEX(tbl_plan[出荷週],ROW()-1))</f>
        <v/>
      </c>
      <c r="D265" s="4" t="str">
        <f>IF($A265="","",INDEX(tbl_plan[納期先],ROW()-1)&amp;"")</f>
        <v/>
      </c>
      <c r="E265" s="4" t="str">
        <f>IF($A265="","",INDEX(tbl_plan[必要数],ROW()-1))</f>
        <v/>
      </c>
      <c r="F265" s="4" t="str">
        <f>IF($A265="","",SUMIFS(tbl_plan[必要数],tbl_plan[ロットID],$A265,tbl_plan[計画状態],"有効"))</f>
        <v/>
      </c>
      <c r="G265" s="4" t="str">
        <f>IF($A265="","",SUMIFS(tbl_ledger[数量],tbl_ledger[ロットID],$A265,tbl_ledger[イベント種類],"発送"))</f>
        <v/>
      </c>
      <c r="H265" s="4" t="str">
        <f>IF($A265="","",SUMIFS(tbl_ledger[数量],tbl_ledger[ロットID],$A265,tbl_ledger[イベント種類],"搬入")+SUMIFS(tbl_ledger[数量],tbl_ledger[充当先ロットID],$A265,tbl_ledger[イベント種類],"充当")-SUMIFS(tbl_ledger[数量],tbl_ledger[ロットID],$A265,tbl_ledger[イベント種類],"充当")-SUMIFS(tbl_ledger[数量],tbl_ledger[ロットID],$A265,tbl_ledger[イベント種類],"発送")-SUMIFS(tbl_ledger[数量],tbl_ledger[ロットID],$A265,tbl_ledger[イベント種類],"倉庫A戻し")-SUMIFS(tbl_ledger[数量],tbl_ledger[ロットID],$A265,tbl_ledger[イベント種類],"余剰化")-SUMIFS(tbl_ledger[数量],tbl_ledger[ロットID],$A265,tbl_ledger[イベント種類],"不良発生"))</f>
        <v/>
      </c>
      <c r="I265" s="4" t="str">
        <f>IF($A265="","",SUMIFS(tbl_ledger[数量],tbl_ledger[品番],$B265,tbl_ledger[イベント種類],"余剰化")+SUMIFS(tbl_ledger[数量],tbl_ledger[品番],$B265,tbl_ledger[イベント種類],"搬入",tbl_ledger[ロットID],"=")-SUMIFS(tbl_ledger[数量],tbl_ledger[品番],$B265,tbl_ledger[イベント種類],"充当",tbl_ledger[ロットID],"=")-SUMIFS(tbl_ledger[数量],tbl_ledger[品番],$B265,tbl_ledger[イベント種類],"発送",tbl_ledger[ロットID],"=")-SUMIFS(tbl_ledger[数量],tbl_ledger[品番],$B265,tbl_ledger[イベント種類],"倉庫A戻し",tbl_ledger[ロットID],"=")-SUMIFS(tbl_ledger[数量],tbl_ledger[品番],$B265,tbl_ledger[イベント種類],"不良発生",tbl_ledger[ロットID],"="))</f>
        <v/>
      </c>
      <c r="J265" s="4" t="str">
        <f t="shared" si="12"/>
        <v/>
      </c>
      <c r="K265" s="4" t="str">
        <f t="shared" si="13"/>
        <v/>
      </c>
      <c r="L265" s="4" t="str">
        <f t="shared" si="14"/>
        <v/>
      </c>
      <c r="M265" s="4" t="str">
        <f>IF($A265="","",IF(INDEX(tbl_plan[計画状態],ROW()-1)="キャンセル","キャンセル",IF(K265=0,"発送済",IF(L265&gt;0,"要搬出","OK"))))</f>
        <v/>
      </c>
    </row>
    <row r="266" spans="1:13" ht="15" x14ac:dyDescent="0.25">
      <c r="A266" s="4" t="str">
        <f>IFERROR(INDEX(tbl_plan[ロットID],ROW()-1),"")</f>
        <v/>
      </c>
      <c r="B266" s="4" t="str">
        <f>IF($A266="","",INDEX(tbl_plan[品番],ROW()-1))</f>
        <v/>
      </c>
      <c r="C266" s="5" t="str">
        <f>IF($A266="","",INDEX(tbl_plan[出荷週],ROW()-1))</f>
        <v/>
      </c>
      <c r="D266" s="4" t="str">
        <f>IF($A266="","",INDEX(tbl_plan[納期先],ROW()-1)&amp;"")</f>
        <v/>
      </c>
      <c r="E266" s="4" t="str">
        <f>IF($A266="","",INDEX(tbl_plan[必要数],ROW()-1))</f>
        <v/>
      </c>
      <c r="F266" s="4" t="str">
        <f>IF($A266="","",SUMIFS(tbl_plan[必要数],tbl_plan[ロットID],$A266,tbl_plan[計画状態],"有効"))</f>
        <v/>
      </c>
      <c r="G266" s="4" t="str">
        <f>IF($A266="","",SUMIFS(tbl_ledger[数量],tbl_ledger[ロットID],$A266,tbl_ledger[イベント種類],"発送"))</f>
        <v/>
      </c>
      <c r="H266" s="4" t="str">
        <f>IF($A266="","",SUMIFS(tbl_ledger[数量],tbl_ledger[ロットID],$A266,tbl_ledger[イベント種類],"搬入")+SUMIFS(tbl_ledger[数量],tbl_ledger[充当先ロットID],$A266,tbl_ledger[イベント種類],"充当")-SUMIFS(tbl_ledger[数量],tbl_ledger[ロットID],$A266,tbl_ledger[イベント種類],"充当")-SUMIFS(tbl_ledger[数量],tbl_ledger[ロットID],$A266,tbl_ledger[イベント種類],"発送")-SUMIFS(tbl_ledger[数量],tbl_ledger[ロットID],$A266,tbl_ledger[イベント種類],"倉庫A戻し")-SUMIFS(tbl_ledger[数量],tbl_ledger[ロットID],$A266,tbl_ledger[イベント種類],"余剰化")-SUMIFS(tbl_ledger[数量],tbl_ledger[ロットID],$A266,tbl_ledger[イベント種類],"不良発生"))</f>
        <v/>
      </c>
      <c r="I266" s="4" t="str">
        <f>IF($A266="","",SUMIFS(tbl_ledger[数量],tbl_ledger[品番],$B266,tbl_ledger[イベント種類],"余剰化")+SUMIFS(tbl_ledger[数量],tbl_ledger[品番],$B266,tbl_ledger[イベント種類],"搬入",tbl_ledger[ロットID],"=")-SUMIFS(tbl_ledger[数量],tbl_ledger[品番],$B266,tbl_ledger[イベント種類],"充当",tbl_ledger[ロットID],"=")-SUMIFS(tbl_ledger[数量],tbl_ledger[品番],$B266,tbl_ledger[イベント種類],"発送",tbl_ledger[ロットID],"=")-SUMIFS(tbl_ledger[数量],tbl_ledger[品番],$B266,tbl_ledger[イベント種類],"倉庫A戻し",tbl_ledger[ロットID],"=")-SUMIFS(tbl_ledger[数量],tbl_ledger[品番],$B266,tbl_ledger[イベント種類],"不良発生",tbl_ledger[ロットID],"="))</f>
        <v/>
      </c>
      <c r="J266" s="4" t="str">
        <f t="shared" si="12"/>
        <v/>
      </c>
      <c r="K266" s="4" t="str">
        <f t="shared" si="13"/>
        <v/>
      </c>
      <c r="L266" s="4" t="str">
        <f t="shared" si="14"/>
        <v/>
      </c>
      <c r="M266" s="4" t="str">
        <f>IF($A266="","",IF(INDEX(tbl_plan[計画状態],ROW()-1)="キャンセル","キャンセル",IF(K266=0,"発送済",IF(L266&gt;0,"要搬出","OK"))))</f>
        <v/>
      </c>
    </row>
    <row r="267" spans="1:13" ht="15" x14ac:dyDescent="0.25">
      <c r="A267" s="4" t="str">
        <f>IFERROR(INDEX(tbl_plan[ロットID],ROW()-1),"")</f>
        <v/>
      </c>
      <c r="B267" s="4" t="str">
        <f>IF($A267="","",INDEX(tbl_plan[品番],ROW()-1))</f>
        <v/>
      </c>
      <c r="C267" s="5" t="str">
        <f>IF($A267="","",INDEX(tbl_plan[出荷週],ROW()-1))</f>
        <v/>
      </c>
      <c r="D267" s="4" t="str">
        <f>IF($A267="","",INDEX(tbl_plan[納期先],ROW()-1)&amp;"")</f>
        <v/>
      </c>
      <c r="E267" s="4" t="str">
        <f>IF($A267="","",INDEX(tbl_plan[必要数],ROW()-1))</f>
        <v/>
      </c>
      <c r="F267" s="4" t="str">
        <f>IF($A267="","",SUMIFS(tbl_plan[必要数],tbl_plan[ロットID],$A267,tbl_plan[計画状態],"有効"))</f>
        <v/>
      </c>
      <c r="G267" s="4" t="str">
        <f>IF($A267="","",SUMIFS(tbl_ledger[数量],tbl_ledger[ロットID],$A267,tbl_ledger[イベント種類],"発送"))</f>
        <v/>
      </c>
      <c r="H267" s="4" t="str">
        <f>IF($A267="","",SUMIFS(tbl_ledger[数量],tbl_ledger[ロットID],$A267,tbl_ledger[イベント種類],"搬入")+SUMIFS(tbl_ledger[数量],tbl_ledger[充当先ロットID],$A267,tbl_ledger[イベント種類],"充当")-SUMIFS(tbl_ledger[数量],tbl_ledger[ロットID],$A267,tbl_ledger[イベント種類],"充当")-SUMIFS(tbl_ledger[数量],tbl_ledger[ロットID],$A267,tbl_ledger[イベント種類],"発送")-SUMIFS(tbl_ledger[数量],tbl_ledger[ロットID],$A267,tbl_ledger[イベント種類],"倉庫A戻し")-SUMIFS(tbl_ledger[数量],tbl_ledger[ロットID],$A267,tbl_ledger[イベント種類],"余剰化")-SUMIFS(tbl_ledger[数量],tbl_ledger[ロットID],$A267,tbl_ledger[イベント種類],"不良発生"))</f>
        <v/>
      </c>
      <c r="I267" s="4" t="str">
        <f>IF($A267="","",SUMIFS(tbl_ledger[数量],tbl_ledger[品番],$B267,tbl_ledger[イベント種類],"余剰化")+SUMIFS(tbl_ledger[数量],tbl_ledger[品番],$B267,tbl_ledger[イベント種類],"搬入",tbl_ledger[ロットID],"=")-SUMIFS(tbl_ledger[数量],tbl_ledger[品番],$B267,tbl_ledger[イベント種類],"充当",tbl_ledger[ロットID],"=")-SUMIFS(tbl_ledger[数量],tbl_ledger[品番],$B267,tbl_ledger[イベント種類],"発送",tbl_ledger[ロットID],"=")-SUMIFS(tbl_ledger[数量],tbl_ledger[品番],$B267,tbl_ledger[イベント種類],"倉庫A戻し",tbl_ledger[ロットID],"=")-SUMIFS(tbl_ledger[数量],tbl_ledger[品番],$B267,tbl_ledger[イベント種類],"不良発生",tbl_ledger[ロットID],"="))</f>
        <v/>
      </c>
      <c r="J267" s="4" t="str">
        <f t="shared" si="12"/>
        <v/>
      </c>
      <c r="K267" s="4" t="str">
        <f t="shared" si="13"/>
        <v/>
      </c>
      <c r="L267" s="4" t="str">
        <f t="shared" si="14"/>
        <v/>
      </c>
      <c r="M267" s="4" t="str">
        <f>IF($A267="","",IF(INDEX(tbl_plan[計画状態],ROW()-1)="キャンセル","キャンセル",IF(K267=0,"発送済",IF(L267&gt;0,"要搬出","OK"))))</f>
        <v/>
      </c>
    </row>
    <row r="268" spans="1:13" ht="15" x14ac:dyDescent="0.25">
      <c r="A268" s="4" t="str">
        <f>IFERROR(INDEX(tbl_plan[ロットID],ROW()-1),"")</f>
        <v/>
      </c>
      <c r="B268" s="4" t="str">
        <f>IF($A268="","",INDEX(tbl_plan[品番],ROW()-1))</f>
        <v/>
      </c>
      <c r="C268" s="5" t="str">
        <f>IF($A268="","",INDEX(tbl_plan[出荷週],ROW()-1))</f>
        <v/>
      </c>
      <c r="D268" s="4" t="str">
        <f>IF($A268="","",INDEX(tbl_plan[納期先],ROW()-1)&amp;"")</f>
        <v/>
      </c>
      <c r="E268" s="4" t="str">
        <f>IF($A268="","",INDEX(tbl_plan[必要数],ROW()-1))</f>
        <v/>
      </c>
      <c r="F268" s="4" t="str">
        <f>IF($A268="","",SUMIFS(tbl_plan[必要数],tbl_plan[ロットID],$A268,tbl_plan[計画状態],"有効"))</f>
        <v/>
      </c>
      <c r="G268" s="4" t="str">
        <f>IF($A268="","",SUMIFS(tbl_ledger[数量],tbl_ledger[ロットID],$A268,tbl_ledger[イベント種類],"発送"))</f>
        <v/>
      </c>
      <c r="H268" s="4" t="str">
        <f>IF($A268="","",SUMIFS(tbl_ledger[数量],tbl_ledger[ロットID],$A268,tbl_ledger[イベント種類],"搬入")+SUMIFS(tbl_ledger[数量],tbl_ledger[充当先ロットID],$A268,tbl_ledger[イベント種類],"充当")-SUMIFS(tbl_ledger[数量],tbl_ledger[ロットID],$A268,tbl_ledger[イベント種類],"充当")-SUMIFS(tbl_ledger[数量],tbl_ledger[ロットID],$A268,tbl_ledger[イベント種類],"発送")-SUMIFS(tbl_ledger[数量],tbl_ledger[ロットID],$A268,tbl_ledger[イベント種類],"倉庫A戻し")-SUMIFS(tbl_ledger[数量],tbl_ledger[ロットID],$A268,tbl_ledger[イベント種類],"余剰化")-SUMIFS(tbl_ledger[数量],tbl_ledger[ロットID],$A268,tbl_ledger[イベント種類],"不良発生"))</f>
        <v/>
      </c>
      <c r="I268" s="4" t="str">
        <f>IF($A268="","",SUMIFS(tbl_ledger[数量],tbl_ledger[品番],$B268,tbl_ledger[イベント種類],"余剰化")+SUMIFS(tbl_ledger[数量],tbl_ledger[品番],$B268,tbl_ledger[イベント種類],"搬入",tbl_ledger[ロットID],"=")-SUMIFS(tbl_ledger[数量],tbl_ledger[品番],$B268,tbl_ledger[イベント種類],"充当",tbl_ledger[ロットID],"=")-SUMIFS(tbl_ledger[数量],tbl_ledger[品番],$B268,tbl_ledger[イベント種類],"発送",tbl_ledger[ロットID],"=")-SUMIFS(tbl_ledger[数量],tbl_ledger[品番],$B268,tbl_ledger[イベント種類],"倉庫A戻し",tbl_ledger[ロットID],"=")-SUMIFS(tbl_ledger[数量],tbl_ledger[品番],$B268,tbl_ledger[イベント種類],"不良発生",tbl_ledger[ロットID],"="))</f>
        <v/>
      </c>
      <c r="J268" s="4" t="str">
        <f t="shared" si="12"/>
        <v/>
      </c>
      <c r="K268" s="4" t="str">
        <f t="shared" si="13"/>
        <v/>
      </c>
      <c r="L268" s="4" t="str">
        <f t="shared" si="14"/>
        <v/>
      </c>
      <c r="M268" s="4" t="str">
        <f>IF($A268="","",IF(INDEX(tbl_plan[計画状態],ROW()-1)="キャンセル","キャンセル",IF(K268=0,"発送済",IF(L268&gt;0,"要搬出","OK"))))</f>
        <v/>
      </c>
    </row>
    <row r="269" spans="1:13" ht="15" x14ac:dyDescent="0.25">
      <c r="A269" s="4" t="str">
        <f>IFERROR(INDEX(tbl_plan[ロットID],ROW()-1),"")</f>
        <v/>
      </c>
      <c r="B269" s="4" t="str">
        <f>IF($A269="","",INDEX(tbl_plan[品番],ROW()-1))</f>
        <v/>
      </c>
      <c r="C269" s="5" t="str">
        <f>IF($A269="","",INDEX(tbl_plan[出荷週],ROW()-1))</f>
        <v/>
      </c>
      <c r="D269" s="4" t="str">
        <f>IF($A269="","",INDEX(tbl_plan[納期先],ROW()-1)&amp;"")</f>
        <v/>
      </c>
      <c r="E269" s="4" t="str">
        <f>IF($A269="","",INDEX(tbl_plan[必要数],ROW()-1))</f>
        <v/>
      </c>
      <c r="F269" s="4" t="str">
        <f>IF($A269="","",SUMIFS(tbl_plan[必要数],tbl_plan[ロットID],$A269,tbl_plan[計画状態],"有効"))</f>
        <v/>
      </c>
      <c r="G269" s="4" t="str">
        <f>IF($A269="","",SUMIFS(tbl_ledger[数量],tbl_ledger[ロットID],$A269,tbl_ledger[イベント種類],"発送"))</f>
        <v/>
      </c>
      <c r="H269" s="4" t="str">
        <f>IF($A269="","",SUMIFS(tbl_ledger[数量],tbl_ledger[ロットID],$A269,tbl_ledger[イベント種類],"搬入")+SUMIFS(tbl_ledger[数量],tbl_ledger[充当先ロットID],$A269,tbl_ledger[イベント種類],"充当")-SUMIFS(tbl_ledger[数量],tbl_ledger[ロットID],$A269,tbl_ledger[イベント種類],"充当")-SUMIFS(tbl_ledger[数量],tbl_ledger[ロットID],$A269,tbl_ledger[イベント種類],"発送")-SUMIFS(tbl_ledger[数量],tbl_ledger[ロットID],$A269,tbl_ledger[イベント種類],"倉庫A戻し")-SUMIFS(tbl_ledger[数量],tbl_ledger[ロットID],$A269,tbl_ledger[イベント種類],"余剰化")-SUMIFS(tbl_ledger[数量],tbl_ledger[ロットID],$A269,tbl_ledger[イベント種類],"不良発生"))</f>
        <v/>
      </c>
      <c r="I269" s="4" t="str">
        <f>IF($A269="","",SUMIFS(tbl_ledger[数量],tbl_ledger[品番],$B269,tbl_ledger[イベント種類],"余剰化")+SUMIFS(tbl_ledger[数量],tbl_ledger[品番],$B269,tbl_ledger[イベント種類],"搬入",tbl_ledger[ロットID],"=")-SUMIFS(tbl_ledger[数量],tbl_ledger[品番],$B269,tbl_ledger[イベント種類],"充当",tbl_ledger[ロットID],"=")-SUMIFS(tbl_ledger[数量],tbl_ledger[品番],$B269,tbl_ledger[イベント種類],"発送",tbl_ledger[ロットID],"=")-SUMIFS(tbl_ledger[数量],tbl_ledger[品番],$B269,tbl_ledger[イベント種類],"倉庫A戻し",tbl_ledger[ロットID],"=")-SUMIFS(tbl_ledger[数量],tbl_ledger[品番],$B269,tbl_ledger[イベント種類],"不良発生",tbl_ledger[ロットID],"="))</f>
        <v/>
      </c>
      <c r="J269" s="4" t="str">
        <f t="shared" si="12"/>
        <v/>
      </c>
      <c r="K269" s="4" t="str">
        <f t="shared" si="13"/>
        <v/>
      </c>
      <c r="L269" s="4" t="str">
        <f t="shared" si="14"/>
        <v/>
      </c>
      <c r="M269" s="4" t="str">
        <f>IF($A269="","",IF(INDEX(tbl_plan[計画状態],ROW()-1)="キャンセル","キャンセル",IF(K269=0,"発送済",IF(L269&gt;0,"要搬出","OK"))))</f>
        <v/>
      </c>
    </row>
    <row r="270" spans="1:13" ht="15" x14ac:dyDescent="0.25">
      <c r="A270" s="4" t="str">
        <f>IFERROR(INDEX(tbl_plan[ロットID],ROW()-1),"")</f>
        <v/>
      </c>
      <c r="B270" s="4" t="str">
        <f>IF($A270="","",INDEX(tbl_plan[品番],ROW()-1))</f>
        <v/>
      </c>
      <c r="C270" s="5" t="str">
        <f>IF($A270="","",INDEX(tbl_plan[出荷週],ROW()-1))</f>
        <v/>
      </c>
      <c r="D270" s="4" t="str">
        <f>IF($A270="","",INDEX(tbl_plan[納期先],ROW()-1)&amp;"")</f>
        <v/>
      </c>
      <c r="E270" s="4" t="str">
        <f>IF($A270="","",INDEX(tbl_plan[必要数],ROW()-1))</f>
        <v/>
      </c>
      <c r="F270" s="4" t="str">
        <f>IF($A270="","",SUMIFS(tbl_plan[必要数],tbl_plan[ロットID],$A270,tbl_plan[計画状態],"有効"))</f>
        <v/>
      </c>
      <c r="G270" s="4" t="str">
        <f>IF($A270="","",SUMIFS(tbl_ledger[数量],tbl_ledger[ロットID],$A270,tbl_ledger[イベント種類],"発送"))</f>
        <v/>
      </c>
      <c r="H270" s="4" t="str">
        <f>IF($A270="","",SUMIFS(tbl_ledger[数量],tbl_ledger[ロットID],$A270,tbl_ledger[イベント種類],"搬入")+SUMIFS(tbl_ledger[数量],tbl_ledger[充当先ロットID],$A270,tbl_ledger[イベント種類],"充当")-SUMIFS(tbl_ledger[数量],tbl_ledger[ロットID],$A270,tbl_ledger[イベント種類],"充当")-SUMIFS(tbl_ledger[数量],tbl_ledger[ロットID],$A270,tbl_ledger[イベント種類],"発送")-SUMIFS(tbl_ledger[数量],tbl_ledger[ロットID],$A270,tbl_ledger[イベント種類],"倉庫A戻し")-SUMIFS(tbl_ledger[数量],tbl_ledger[ロットID],$A270,tbl_ledger[イベント種類],"余剰化")-SUMIFS(tbl_ledger[数量],tbl_ledger[ロットID],$A270,tbl_ledger[イベント種類],"不良発生"))</f>
        <v/>
      </c>
      <c r="I270" s="4" t="str">
        <f>IF($A270="","",SUMIFS(tbl_ledger[数量],tbl_ledger[品番],$B270,tbl_ledger[イベント種類],"余剰化")+SUMIFS(tbl_ledger[数量],tbl_ledger[品番],$B270,tbl_ledger[イベント種類],"搬入",tbl_ledger[ロットID],"=")-SUMIFS(tbl_ledger[数量],tbl_ledger[品番],$B270,tbl_ledger[イベント種類],"充当",tbl_ledger[ロットID],"=")-SUMIFS(tbl_ledger[数量],tbl_ledger[品番],$B270,tbl_ledger[イベント種類],"発送",tbl_ledger[ロットID],"=")-SUMIFS(tbl_ledger[数量],tbl_ledger[品番],$B270,tbl_ledger[イベント種類],"倉庫A戻し",tbl_ledger[ロットID],"=")-SUMIFS(tbl_ledger[数量],tbl_ledger[品番],$B270,tbl_ledger[イベント種類],"不良発生",tbl_ledger[ロットID],"="))</f>
        <v/>
      </c>
      <c r="J270" s="4" t="str">
        <f t="shared" si="12"/>
        <v/>
      </c>
      <c r="K270" s="4" t="str">
        <f t="shared" si="13"/>
        <v/>
      </c>
      <c r="L270" s="4" t="str">
        <f t="shared" si="14"/>
        <v/>
      </c>
      <c r="M270" s="4" t="str">
        <f>IF($A270="","",IF(INDEX(tbl_plan[計画状態],ROW()-1)="キャンセル","キャンセル",IF(K270=0,"発送済",IF(L270&gt;0,"要搬出","OK"))))</f>
        <v/>
      </c>
    </row>
    <row r="271" spans="1:13" ht="15" x14ac:dyDescent="0.25">
      <c r="A271" s="4" t="str">
        <f>IFERROR(INDEX(tbl_plan[ロットID],ROW()-1),"")</f>
        <v/>
      </c>
      <c r="B271" s="4" t="str">
        <f>IF($A271="","",INDEX(tbl_plan[品番],ROW()-1))</f>
        <v/>
      </c>
      <c r="C271" s="5" t="str">
        <f>IF($A271="","",INDEX(tbl_plan[出荷週],ROW()-1))</f>
        <v/>
      </c>
      <c r="D271" s="4" t="str">
        <f>IF($A271="","",INDEX(tbl_plan[納期先],ROW()-1)&amp;"")</f>
        <v/>
      </c>
      <c r="E271" s="4" t="str">
        <f>IF($A271="","",INDEX(tbl_plan[必要数],ROW()-1))</f>
        <v/>
      </c>
      <c r="F271" s="4" t="str">
        <f>IF($A271="","",SUMIFS(tbl_plan[必要数],tbl_plan[ロットID],$A271,tbl_plan[計画状態],"有効"))</f>
        <v/>
      </c>
      <c r="G271" s="4" t="str">
        <f>IF($A271="","",SUMIFS(tbl_ledger[数量],tbl_ledger[ロットID],$A271,tbl_ledger[イベント種類],"発送"))</f>
        <v/>
      </c>
      <c r="H271" s="4" t="str">
        <f>IF($A271="","",SUMIFS(tbl_ledger[数量],tbl_ledger[ロットID],$A271,tbl_ledger[イベント種類],"搬入")+SUMIFS(tbl_ledger[数量],tbl_ledger[充当先ロットID],$A271,tbl_ledger[イベント種類],"充当")-SUMIFS(tbl_ledger[数量],tbl_ledger[ロットID],$A271,tbl_ledger[イベント種類],"充当")-SUMIFS(tbl_ledger[数量],tbl_ledger[ロットID],$A271,tbl_ledger[イベント種類],"発送")-SUMIFS(tbl_ledger[数量],tbl_ledger[ロットID],$A271,tbl_ledger[イベント種類],"倉庫A戻し")-SUMIFS(tbl_ledger[数量],tbl_ledger[ロットID],$A271,tbl_ledger[イベント種類],"余剰化")-SUMIFS(tbl_ledger[数量],tbl_ledger[ロットID],$A271,tbl_ledger[イベント種類],"不良発生"))</f>
        <v/>
      </c>
      <c r="I271" s="4" t="str">
        <f>IF($A271="","",SUMIFS(tbl_ledger[数量],tbl_ledger[品番],$B271,tbl_ledger[イベント種類],"余剰化")+SUMIFS(tbl_ledger[数量],tbl_ledger[品番],$B271,tbl_ledger[イベント種類],"搬入",tbl_ledger[ロットID],"=")-SUMIFS(tbl_ledger[数量],tbl_ledger[品番],$B271,tbl_ledger[イベント種類],"充当",tbl_ledger[ロットID],"=")-SUMIFS(tbl_ledger[数量],tbl_ledger[品番],$B271,tbl_ledger[イベント種類],"発送",tbl_ledger[ロットID],"=")-SUMIFS(tbl_ledger[数量],tbl_ledger[品番],$B271,tbl_ledger[イベント種類],"倉庫A戻し",tbl_ledger[ロットID],"=")-SUMIFS(tbl_ledger[数量],tbl_ledger[品番],$B271,tbl_ledger[イベント種類],"不良発生",tbl_ledger[ロットID],"="))</f>
        <v/>
      </c>
      <c r="J271" s="4" t="str">
        <f t="shared" si="12"/>
        <v/>
      </c>
      <c r="K271" s="4" t="str">
        <f t="shared" si="13"/>
        <v/>
      </c>
      <c r="L271" s="4" t="str">
        <f t="shared" si="14"/>
        <v/>
      </c>
      <c r="M271" s="4" t="str">
        <f>IF($A271="","",IF(INDEX(tbl_plan[計画状態],ROW()-1)="キャンセル","キャンセル",IF(K271=0,"発送済",IF(L271&gt;0,"要搬出","OK"))))</f>
        <v/>
      </c>
    </row>
    <row r="272" spans="1:13" ht="15" x14ac:dyDescent="0.25">
      <c r="A272" s="4" t="str">
        <f>IFERROR(INDEX(tbl_plan[ロットID],ROW()-1),"")</f>
        <v/>
      </c>
      <c r="B272" s="4" t="str">
        <f>IF($A272="","",INDEX(tbl_plan[品番],ROW()-1))</f>
        <v/>
      </c>
      <c r="C272" s="5" t="str">
        <f>IF($A272="","",INDEX(tbl_plan[出荷週],ROW()-1))</f>
        <v/>
      </c>
      <c r="D272" s="4" t="str">
        <f>IF($A272="","",INDEX(tbl_plan[納期先],ROW()-1)&amp;"")</f>
        <v/>
      </c>
      <c r="E272" s="4" t="str">
        <f>IF($A272="","",INDEX(tbl_plan[必要数],ROW()-1))</f>
        <v/>
      </c>
      <c r="F272" s="4" t="str">
        <f>IF($A272="","",SUMIFS(tbl_plan[必要数],tbl_plan[ロットID],$A272,tbl_plan[計画状態],"有効"))</f>
        <v/>
      </c>
      <c r="G272" s="4" t="str">
        <f>IF($A272="","",SUMIFS(tbl_ledger[数量],tbl_ledger[ロットID],$A272,tbl_ledger[イベント種類],"発送"))</f>
        <v/>
      </c>
      <c r="H272" s="4" t="str">
        <f>IF($A272="","",SUMIFS(tbl_ledger[数量],tbl_ledger[ロットID],$A272,tbl_ledger[イベント種類],"搬入")+SUMIFS(tbl_ledger[数量],tbl_ledger[充当先ロットID],$A272,tbl_ledger[イベント種類],"充当")-SUMIFS(tbl_ledger[数量],tbl_ledger[ロットID],$A272,tbl_ledger[イベント種類],"充当")-SUMIFS(tbl_ledger[数量],tbl_ledger[ロットID],$A272,tbl_ledger[イベント種類],"発送")-SUMIFS(tbl_ledger[数量],tbl_ledger[ロットID],$A272,tbl_ledger[イベント種類],"倉庫A戻し")-SUMIFS(tbl_ledger[数量],tbl_ledger[ロットID],$A272,tbl_ledger[イベント種類],"余剰化")-SUMIFS(tbl_ledger[数量],tbl_ledger[ロットID],$A272,tbl_ledger[イベント種類],"不良発生"))</f>
        <v/>
      </c>
      <c r="I272" s="4" t="str">
        <f>IF($A272="","",SUMIFS(tbl_ledger[数量],tbl_ledger[品番],$B272,tbl_ledger[イベント種類],"余剰化")+SUMIFS(tbl_ledger[数量],tbl_ledger[品番],$B272,tbl_ledger[イベント種類],"搬入",tbl_ledger[ロットID],"=")-SUMIFS(tbl_ledger[数量],tbl_ledger[品番],$B272,tbl_ledger[イベント種類],"充当",tbl_ledger[ロットID],"=")-SUMIFS(tbl_ledger[数量],tbl_ledger[品番],$B272,tbl_ledger[イベント種類],"発送",tbl_ledger[ロットID],"=")-SUMIFS(tbl_ledger[数量],tbl_ledger[品番],$B272,tbl_ledger[イベント種類],"倉庫A戻し",tbl_ledger[ロットID],"=")-SUMIFS(tbl_ledger[数量],tbl_ledger[品番],$B272,tbl_ledger[イベント種類],"不良発生",tbl_ledger[ロットID],"="))</f>
        <v/>
      </c>
      <c r="J272" s="4" t="str">
        <f t="shared" si="12"/>
        <v/>
      </c>
      <c r="K272" s="4" t="str">
        <f t="shared" si="13"/>
        <v/>
      </c>
      <c r="L272" s="4" t="str">
        <f t="shared" si="14"/>
        <v/>
      </c>
      <c r="M272" s="4" t="str">
        <f>IF($A272="","",IF(INDEX(tbl_plan[計画状態],ROW()-1)="キャンセル","キャンセル",IF(K272=0,"発送済",IF(L272&gt;0,"要搬出","OK"))))</f>
        <v/>
      </c>
    </row>
    <row r="273" spans="1:13" ht="15" x14ac:dyDescent="0.25">
      <c r="A273" s="4" t="str">
        <f>IFERROR(INDEX(tbl_plan[ロットID],ROW()-1),"")</f>
        <v/>
      </c>
      <c r="B273" s="4" t="str">
        <f>IF($A273="","",INDEX(tbl_plan[品番],ROW()-1))</f>
        <v/>
      </c>
      <c r="C273" s="5" t="str">
        <f>IF($A273="","",INDEX(tbl_plan[出荷週],ROW()-1))</f>
        <v/>
      </c>
      <c r="D273" s="4" t="str">
        <f>IF($A273="","",INDEX(tbl_plan[納期先],ROW()-1)&amp;"")</f>
        <v/>
      </c>
      <c r="E273" s="4" t="str">
        <f>IF($A273="","",INDEX(tbl_plan[必要数],ROW()-1))</f>
        <v/>
      </c>
      <c r="F273" s="4" t="str">
        <f>IF($A273="","",SUMIFS(tbl_plan[必要数],tbl_plan[ロットID],$A273,tbl_plan[計画状態],"有効"))</f>
        <v/>
      </c>
      <c r="G273" s="4" t="str">
        <f>IF($A273="","",SUMIFS(tbl_ledger[数量],tbl_ledger[ロットID],$A273,tbl_ledger[イベント種類],"発送"))</f>
        <v/>
      </c>
      <c r="H273" s="4" t="str">
        <f>IF($A273="","",SUMIFS(tbl_ledger[数量],tbl_ledger[ロットID],$A273,tbl_ledger[イベント種類],"搬入")+SUMIFS(tbl_ledger[数量],tbl_ledger[充当先ロットID],$A273,tbl_ledger[イベント種類],"充当")-SUMIFS(tbl_ledger[数量],tbl_ledger[ロットID],$A273,tbl_ledger[イベント種類],"充当")-SUMIFS(tbl_ledger[数量],tbl_ledger[ロットID],$A273,tbl_ledger[イベント種類],"発送")-SUMIFS(tbl_ledger[数量],tbl_ledger[ロットID],$A273,tbl_ledger[イベント種類],"倉庫A戻し")-SUMIFS(tbl_ledger[数量],tbl_ledger[ロットID],$A273,tbl_ledger[イベント種類],"余剰化")-SUMIFS(tbl_ledger[数量],tbl_ledger[ロットID],$A273,tbl_ledger[イベント種類],"不良発生"))</f>
        <v/>
      </c>
      <c r="I273" s="4" t="str">
        <f>IF($A273="","",SUMIFS(tbl_ledger[数量],tbl_ledger[品番],$B273,tbl_ledger[イベント種類],"余剰化")+SUMIFS(tbl_ledger[数量],tbl_ledger[品番],$B273,tbl_ledger[イベント種類],"搬入",tbl_ledger[ロットID],"=")-SUMIFS(tbl_ledger[数量],tbl_ledger[品番],$B273,tbl_ledger[イベント種類],"充当",tbl_ledger[ロットID],"=")-SUMIFS(tbl_ledger[数量],tbl_ledger[品番],$B273,tbl_ledger[イベント種類],"発送",tbl_ledger[ロットID],"=")-SUMIFS(tbl_ledger[数量],tbl_ledger[品番],$B273,tbl_ledger[イベント種類],"倉庫A戻し",tbl_ledger[ロットID],"=")-SUMIFS(tbl_ledger[数量],tbl_ledger[品番],$B273,tbl_ledger[イベント種類],"不良発生",tbl_ledger[ロットID],"="))</f>
        <v/>
      </c>
      <c r="J273" s="4" t="str">
        <f t="shared" si="12"/>
        <v/>
      </c>
      <c r="K273" s="4" t="str">
        <f t="shared" si="13"/>
        <v/>
      </c>
      <c r="L273" s="4" t="str">
        <f t="shared" si="14"/>
        <v/>
      </c>
      <c r="M273" s="4" t="str">
        <f>IF($A273="","",IF(INDEX(tbl_plan[計画状態],ROW()-1)="キャンセル","キャンセル",IF(K273=0,"発送済",IF(L273&gt;0,"要搬出","OK"))))</f>
        <v/>
      </c>
    </row>
    <row r="274" spans="1:13" ht="15" x14ac:dyDescent="0.25">
      <c r="A274" s="4" t="str">
        <f>IFERROR(INDEX(tbl_plan[ロットID],ROW()-1),"")</f>
        <v/>
      </c>
      <c r="B274" s="4" t="str">
        <f>IF($A274="","",INDEX(tbl_plan[品番],ROW()-1))</f>
        <v/>
      </c>
      <c r="C274" s="5" t="str">
        <f>IF($A274="","",INDEX(tbl_plan[出荷週],ROW()-1))</f>
        <v/>
      </c>
      <c r="D274" s="4" t="str">
        <f>IF($A274="","",INDEX(tbl_plan[納期先],ROW()-1)&amp;"")</f>
        <v/>
      </c>
      <c r="E274" s="4" t="str">
        <f>IF($A274="","",INDEX(tbl_plan[必要数],ROW()-1))</f>
        <v/>
      </c>
      <c r="F274" s="4" t="str">
        <f>IF($A274="","",SUMIFS(tbl_plan[必要数],tbl_plan[ロットID],$A274,tbl_plan[計画状態],"有効"))</f>
        <v/>
      </c>
      <c r="G274" s="4" t="str">
        <f>IF($A274="","",SUMIFS(tbl_ledger[数量],tbl_ledger[ロットID],$A274,tbl_ledger[イベント種類],"発送"))</f>
        <v/>
      </c>
      <c r="H274" s="4" t="str">
        <f>IF($A274="","",SUMIFS(tbl_ledger[数量],tbl_ledger[ロットID],$A274,tbl_ledger[イベント種類],"搬入")+SUMIFS(tbl_ledger[数量],tbl_ledger[充当先ロットID],$A274,tbl_ledger[イベント種類],"充当")-SUMIFS(tbl_ledger[数量],tbl_ledger[ロットID],$A274,tbl_ledger[イベント種類],"充当")-SUMIFS(tbl_ledger[数量],tbl_ledger[ロットID],$A274,tbl_ledger[イベント種類],"発送")-SUMIFS(tbl_ledger[数量],tbl_ledger[ロットID],$A274,tbl_ledger[イベント種類],"倉庫A戻し")-SUMIFS(tbl_ledger[数量],tbl_ledger[ロットID],$A274,tbl_ledger[イベント種類],"余剰化")-SUMIFS(tbl_ledger[数量],tbl_ledger[ロットID],$A274,tbl_ledger[イベント種類],"不良発生"))</f>
        <v/>
      </c>
      <c r="I274" s="4" t="str">
        <f>IF($A274="","",SUMIFS(tbl_ledger[数量],tbl_ledger[品番],$B274,tbl_ledger[イベント種類],"余剰化")+SUMIFS(tbl_ledger[数量],tbl_ledger[品番],$B274,tbl_ledger[イベント種類],"搬入",tbl_ledger[ロットID],"=")-SUMIFS(tbl_ledger[数量],tbl_ledger[品番],$B274,tbl_ledger[イベント種類],"充当",tbl_ledger[ロットID],"=")-SUMIFS(tbl_ledger[数量],tbl_ledger[品番],$B274,tbl_ledger[イベント種類],"発送",tbl_ledger[ロットID],"=")-SUMIFS(tbl_ledger[数量],tbl_ledger[品番],$B274,tbl_ledger[イベント種類],"倉庫A戻し",tbl_ledger[ロットID],"=")-SUMIFS(tbl_ledger[数量],tbl_ledger[品番],$B274,tbl_ledger[イベント種類],"不良発生",tbl_ledger[ロットID],"="))</f>
        <v/>
      </c>
      <c r="J274" s="4" t="str">
        <f t="shared" si="12"/>
        <v/>
      </c>
      <c r="K274" s="4" t="str">
        <f t="shared" si="13"/>
        <v/>
      </c>
      <c r="L274" s="4" t="str">
        <f t="shared" si="14"/>
        <v/>
      </c>
      <c r="M274" s="4" t="str">
        <f>IF($A274="","",IF(INDEX(tbl_plan[計画状態],ROW()-1)="キャンセル","キャンセル",IF(K274=0,"発送済",IF(L274&gt;0,"要搬出","OK"))))</f>
        <v/>
      </c>
    </row>
    <row r="275" spans="1:13" ht="15" x14ac:dyDescent="0.25">
      <c r="A275" s="4" t="str">
        <f>IFERROR(INDEX(tbl_plan[ロットID],ROW()-1),"")</f>
        <v/>
      </c>
      <c r="B275" s="4" t="str">
        <f>IF($A275="","",INDEX(tbl_plan[品番],ROW()-1))</f>
        <v/>
      </c>
      <c r="C275" s="5" t="str">
        <f>IF($A275="","",INDEX(tbl_plan[出荷週],ROW()-1))</f>
        <v/>
      </c>
      <c r="D275" s="4" t="str">
        <f>IF($A275="","",INDEX(tbl_plan[納期先],ROW()-1)&amp;"")</f>
        <v/>
      </c>
      <c r="E275" s="4" t="str">
        <f>IF($A275="","",INDEX(tbl_plan[必要数],ROW()-1))</f>
        <v/>
      </c>
      <c r="F275" s="4" t="str">
        <f>IF($A275="","",SUMIFS(tbl_plan[必要数],tbl_plan[ロットID],$A275,tbl_plan[計画状態],"有効"))</f>
        <v/>
      </c>
      <c r="G275" s="4" t="str">
        <f>IF($A275="","",SUMIFS(tbl_ledger[数量],tbl_ledger[ロットID],$A275,tbl_ledger[イベント種類],"発送"))</f>
        <v/>
      </c>
      <c r="H275" s="4" t="str">
        <f>IF($A275="","",SUMIFS(tbl_ledger[数量],tbl_ledger[ロットID],$A275,tbl_ledger[イベント種類],"搬入")+SUMIFS(tbl_ledger[数量],tbl_ledger[充当先ロットID],$A275,tbl_ledger[イベント種類],"充当")-SUMIFS(tbl_ledger[数量],tbl_ledger[ロットID],$A275,tbl_ledger[イベント種類],"充当")-SUMIFS(tbl_ledger[数量],tbl_ledger[ロットID],$A275,tbl_ledger[イベント種類],"発送")-SUMIFS(tbl_ledger[数量],tbl_ledger[ロットID],$A275,tbl_ledger[イベント種類],"倉庫A戻し")-SUMIFS(tbl_ledger[数量],tbl_ledger[ロットID],$A275,tbl_ledger[イベント種類],"余剰化")-SUMIFS(tbl_ledger[数量],tbl_ledger[ロットID],$A275,tbl_ledger[イベント種類],"不良発生"))</f>
        <v/>
      </c>
      <c r="I275" s="4" t="str">
        <f>IF($A275="","",SUMIFS(tbl_ledger[数量],tbl_ledger[品番],$B275,tbl_ledger[イベント種類],"余剰化")+SUMIFS(tbl_ledger[数量],tbl_ledger[品番],$B275,tbl_ledger[イベント種類],"搬入",tbl_ledger[ロットID],"=")-SUMIFS(tbl_ledger[数量],tbl_ledger[品番],$B275,tbl_ledger[イベント種類],"充当",tbl_ledger[ロットID],"=")-SUMIFS(tbl_ledger[数量],tbl_ledger[品番],$B275,tbl_ledger[イベント種類],"発送",tbl_ledger[ロットID],"=")-SUMIFS(tbl_ledger[数量],tbl_ledger[品番],$B275,tbl_ledger[イベント種類],"倉庫A戻し",tbl_ledger[ロットID],"=")-SUMIFS(tbl_ledger[数量],tbl_ledger[品番],$B275,tbl_ledger[イベント種類],"不良発生",tbl_ledger[ロットID],"="))</f>
        <v/>
      </c>
      <c r="J275" s="4" t="str">
        <f t="shared" si="12"/>
        <v/>
      </c>
      <c r="K275" s="4" t="str">
        <f t="shared" si="13"/>
        <v/>
      </c>
      <c r="L275" s="4" t="str">
        <f t="shared" si="14"/>
        <v/>
      </c>
      <c r="M275" s="4" t="str">
        <f>IF($A275="","",IF(INDEX(tbl_plan[計画状態],ROW()-1)="キャンセル","キャンセル",IF(K275=0,"発送済",IF(L275&gt;0,"要搬出","OK"))))</f>
        <v/>
      </c>
    </row>
    <row r="276" spans="1:13" ht="15" x14ac:dyDescent="0.25">
      <c r="A276" s="4" t="str">
        <f>IFERROR(INDEX(tbl_plan[ロットID],ROW()-1),"")</f>
        <v/>
      </c>
      <c r="B276" s="4" t="str">
        <f>IF($A276="","",INDEX(tbl_plan[品番],ROW()-1))</f>
        <v/>
      </c>
      <c r="C276" s="5" t="str">
        <f>IF($A276="","",INDEX(tbl_plan[出荷週],ROW()-1))</f>
        <v/>
      </c>
      <c r="D276" s="4" t="str">
        <f>IF($A276="","",INDEX(tbl_plan[納期先],ROW()-1)&amp;"")</f>
        <v/>
      </c>
      <c r="E276" s="4" t="str">
        <f>IF($A276="","",INDEX(tbl_plan[必要数],ROW()-1))</f>
        <v/>
      </c>
      <c r="F276" s="4" t="str">
        <f>IF($A276="","",SUMIFS(tbl_plan[必要数],tbl_plan[ロットID],$A276,tbl_plan[計画状態],"有効"))</f>
        <v/>
      </c>
      <c r="G276" s="4" t="str">
        <f>IF($A276="","",SUMIFS(tbl_ledger[数量],tbl_ledger[ロットID],$A276,tbl_ledger[イベント種類],"発送"))</f>
        <v/>
      </c>
      <c r="H276" s="4" t="str">
        <f>IF($A276="","",SUMIFS(tbl_ledger[数量],tbl_ledger[ロットID],$A276,tbl_ledger[イベント種類],"搬入")+SUMIFS(tbl_ledger[数量],tbl_ledger[充当先ロットID],$A276,tbl_ledger[イベント種類],"充当")-SUMIFS(tbl_ledger[数量],tbl_ledger[ロットID],$A276,tbl_ledger[イベント種類],"充当")-SUMIFS(tbl_ledger[数量],tbl_ledger[ロットID],$A276,tbl_ledger[イベント種類],"発送")-SUMIFS(tbl_ledger[数量],tbl_ledger[ロットID],$A276,tbl_ledger[イベント種類],"倉庫A戻し")-SUMIFS(tbl_ledger[数量],tbl_ledger[ロットID],$A276,tbl_ledger[イベント種類],"余剰化")-SUMIFS(tbl_ledger[数量],tbl_ledger[ロットID],$A276,tbl_ledger[イベント種類],"不良発生"))</f>
        <v/>
      </c>
      <c r="I276" s="4" t="str">
        <f>IF($A276="","",SUMIFS(tbl_ledger[数量],tbl_ledger[品番],$B276,tbl_ledger[イベント種類],"余剰化")+SUMIFS(tbl_ledger[数量],tbl_ledger[品番],$B276,tbl_ledger[イベント種類],"搬入",tbl_ledger[ロットID],"=")-SUMIFS(tbl_ledger[数量],tbl_ledger[品番],$B276,tbl_ledger[イベント種類],"充当",tbl_ledger[ロットID],"=")-SUMIFS(tbl_ledger[数量],tbl_ledger[品番],$B276,tbl_ledger[イベント種類],"発送",tbl_ledger[ロットID],"=")-SUMIFS(tbl_ledger[数量],tbl_ledger[品番],$B276,tbl_ledger[イベント種類],"倉庫A戻し",tbl_ledger[ロットID],"=")-SUMIFS(tbl_ledger[数量],tbl_ledger[品番],$B276,tbl_ledger[イベント種類],"不良発生",tbl_ledger[ロットID],"="))</f>
        <v/>
      </c>
      <c r="J276" s="4" t="str">
        <f t="shared" si="12"/>
        <v/>
      </c>
      <c r="K276" s="4" t="str">
        <f t="shared" si="13"/>
        <v/>
      </c>
      <c r="L276" s="4" t="str">
        <f t="shared" si="14"/>
        <v/>
      </c>
      <c r="M276" s="4" t="str">
        <f>IF($A276="","",IF(INDEX(tbl_plan[計画状態],ROW()-1)="キャンセル","キャンセル",IF(K276=0,"発送済",IF(L276&gt;0,"要搬出","OK"))))</f>
        <v/>
      </c>
    </row>
    <row r="277" spans="1:13" ht="15" x14ac:dyDescent="0.25">
      <c r="A277" s="4" t="str">
        <f>IFERROR(INDEX(tbl_plan[ロットID],ROW()-1),"")</f>
        <v/>
      </c>
      <c r="B277" s="4" t="str">
        <f>IF($A277="","",INDEX(tbl_plan[品番],ROW()-1))</f>
        <v/>
      </c>
      <c r="C277" s="5" t="str">
        <f>IF($A277="","",INDEX(tbl_plan[出荷週],ROW()-1))</f>
        <v/>
      </c>
      <c r="D277" s="4" t="str">
        <f>IF($A277="","",INDEX(tbl_plan[納期先],ROW()-1)&amp;"")</f>
        <v/>
      </c>
      <c r="E277" s="4" t="str">
        <f>IF($A277="","",INDEX(tbl_plan[必要数],ROW()-1))</f>
        <v/>
      </c>
      <c r="F277" s="4" t="str">
        <f>IF($A277="","",SUMIFS(tbl_plan[必要数],tbl_plan[ロットID],$A277,tbl_plan[計画状態],"有効"))</f>
        <v/>
      </c>
      <c r="G277" s="4" t="str">
        <f>IF($A277="","",SUMIFS(tbl_ledger[数量],tbl_ledger[ロットID],$A277,tbl_ledger[イベント種類],"発送"))</f>
        <v/>
      </c>
      <c r="H277" s="4" t="str">
        <f>IF($A277="","",SUMIFS(tbl_ledger[数量],tbl_ledger[ロットID],$A277,tbl_ledger[イベント種類],"搬入")+SUMIFS(tbl_ledger[数量],tbl_ledger[充当先ロットID],$A277,tbl_ledger[イベント種類],"充当")-SUMIFS(tbl_ledger[数量],tbl_ledger[ロットID],$A277,tbl_ledger[イベント種類],"充当")-SUMIFS(tbl_ledger[数量],tbl_ledger[ロットID],$A277,tbl_ledger[イベント種類],"発送")-SUMIFS(tbl_ledger[数量],tbl_ledger[ロットID],$A277,tbl_ledger[イベント種類],"倉庫A戻し")-SUMIFS(tbl_ledger[数量],tbl_ledger[ロットID],$A277,tbl_ledger[イベント種類],"余剰化")-SUMIFS(tbl_ledger[数量],tbl_ledger[ロットID],$A277,tbl_ledger[イベント種類],"不良発生"))</f>
        <v/>
      </c>
      <c r="I277" s="4" t="str">
        <f>IF($A277="","",SUMIFS(tbl_ledger[数量],tbl_ledger[品番],$B277,tbl_ledger[イベント種類],"余剰化")+SUMIFS(tbl_ledger[数量],tbl_ledger[品番],$B277,tbl_ledger[イベント種類],"搬入",tbl_ledger[ロットID],"=")-SUMIFS(tbl_ledger[数量],tbl_ledger[品番],$B277,tbl_ledger[イベント種類],"充当",tbl_ledger[ロットID],"=")-SUMIFS(tbl_ledger[数量],tbl_ledger[品番],$B277,tbl_ledger[イベント種類],"発送",tbl_ledger[ロットID],"=")-SUMIFS(tbl_ledger[数量],tbl_ledger[品番],$B277,tbl_ledger[イベント種類],"倉庫A戻し",tbl_ledger[ロットID],"=")-SUMIFS(tbl_ledger[数量],tbl_ledger[品番],$B277,tbl_ledger[イベント種類],"不良発生",tbl_ledger[ロットID],"="))</f>
        <v/>
      </c>
      <c r="J277" s="4" t="str">
        <f t="shared" si="12"/>
        <v/>
      </c>
      <c r="K277" s="4" t="str">
        <f t="shared" si="13"/>
        <v/>
      </c>
      <c r="L277" s="4" t="str">
        <f t="shared" si="14"/>
        <v/>
      </c>
      <c r="M277" s="4" t="str">
        <f>IF($A277="","",IF(INDEX(tbl_plan[計画状態],ROW()-1)="キャンセル","キャンセル",IF(K277=0,"発送済",IF(L277&gt;0,"要搬出","OK"))))</f>
        <v/>
      </c>
    </row>
    <row r="278" spans="1:13" ht="15" x14ac:dyDescent="0.25">
      <c r="A278" s="4" t="str">
        <f>IFERROR(INDEX(tbl_plan[ロットID],ROW()-1),"")</f>
        <v/>
      </c>
      <c r="B278" s="4" t="str">
        <f>IF($A278="","",INDEX(tbl_plan[品番],ROW()-1))</f>
        <v/>
      </c>
      <c r="C278" s="5" t="str">
        <f>IF($A278="","",INDEX(tbl_plan[出荷週],ROW()-1))</f>
        <v/>
      </c>
      <c r="D278" s="4" t="str">
        <f>IF($A278="","",INDEX(tbl_plan[納期先],ROW()-1)&amp;"")</f>
        <v/>
      </c>
      <c r="E278" s="4" t="str">
        <f>IF($A278="","",INDEX(tbl_plan[必要数],ROW()-1))</f>
        <v/>
      </c>
      <c r="F278" s="4" t="str">
        <f>IF($A278="","",SUMIFS(tbl_plan[必要数],tbl_plan[ロットID],$A278,tbl_plan[計画状態],"有効"))</f>
        <v/>
      </c>
      <c r="G278" s="4" t="str">
        <f>IF($A278="","",SUMIFS(tbl_ledger[数量],tbl_ledger[ロットID],$A278,tbl_ledger[イベント種類],"発送"))</f>
        <v/>
      </c>
      <c r="H278" s="4" t="str">
        <f>IF($A278="","",SUMIFS(tbl_ledger[数量],tbl_ledger[ロットID],$A278,tbl_ledger[イベント種類],"搬入")+SUMIFS(tbl_ledger[数量],tbl_ledger[充当先ロットID],$A278,tbl_ledger[イベント種類],"充当")-SUMIFS(tbl_ledger[数量],tbl_ledger[ロットID],$A278,tbl_ledger[イベント種類],"充当")-SUMIFS(tbl_ledger[数量],tbl_ledger[ロットID],$A278,tbl_ledger[イベント種類],"発送")-SUMIFS(tbl_ledger[数量],tbl_ledger[ロットID],$A278,tbl_ledger[イベント種類],"倉庫A戻し")-SUMIFS(tbl_ledger[数量],tbl_ledger[ロットID],$A278,tbl_ledger[イベント種類],"余剰化")-SUMIFS(tbl_ledger[数量],tbl_ledger[ロットID],$A278,tbl_ledger[イベント種類],"不良発生"))</f>
        <v/>
      </c>
      <c r="I278" s="4" t="str">
        <f>IF($A278="","",SUMIFS(tbl_ledger[数量],tbl_ledger[品番],$B278,tbl_ledger[イベント種類],"余剰化")+SUMIFS(tbl_ledger[数量],tbl_ledger[品番],$B278,tbl_ledger[イベント種類],"搬入",tbl_ledger[ロットID],"=")-SUMIFS(tbl_ledger[数量],tbl_ledger[品番],$B278,tbl_ledger[イベント種類],"充当",tbl_ledger[ロットID],"=")-SUMIFS(tbl_ledger[数量],tbl_ledger[品番],$B278,tbl_ledger[イベント種類],"発送",tbl_ledger[ロットID],"=")-SUMIFS(tbl_ledger[数量],tbl_ledger[品番],$B278,tbl_ledger[イベント種類],"倉庫A戻し",tbl_ledger[ロットID],"=")-SUMIFS(tbl_ledger[数量],tbl_ledger[品番],$B278,tbl_ledger[イベント種類],"不良発生",tbl_ledger[ロットID],"="))</f>
        <v/>
      </c>
      <c r="J278" s="4" t="str">
        <f t="shared" si="12"/>
        <v/>
      </c>
      <c r="K278" s="4" t="str">
        <f t="shared" si="13"/>
        <v/>
      </c>
      <c r="L278" s="4" t="str">
        <f t="shared" si="14"/>
        <v/>
      </c>
      <c r="M278" s="4" t="str">
        <f>IF($A278="","",IF(INDEX(tbl_plan[計画状態],ROW()-1)="キャンセル","キャンセル",IF(K278=0,"発送済",IF(L278&gt;0,"要搬出","OK"))))</f>
        <v/>
      </c>
    </row>
    <row r="279" spans="1:13" ht="15" x14ac:dyDescent="0.25">
      <c r="A279" s="4" t="str">
        <f>IFERROR(INDEX(tbl_plan[ロットID],ROW()-1),"")</f>
        <v/>
      </c>
      <c r="B279" s="4" t="str">
        <f>IF($A279="","",INDEX(tbl_plan[品番],ROW()-1))</f>
        <v/>
      </c>
      <c r="C279" s="5" t="str">
        <f>IF($A279="","",INDEX(tbl_plan[出荷週],ROW()-1))</f>
        <v/>
      </c>
      <c r="D279" s="4" t="str">
        <f>IF($A279="","",INDEX(tbl_plan[納期先],ROW()-1)&amp;"")</f>
        <v/>
      </c>
      <c r="E279" s="4" t="str">
        <f>IF($A279="","",INDEX(tbl_plan[必要数],ROW()-1))</f>
        <v/>
      </c>
      <c r="F279" s="4" t="str">
        <f>IF($A279="","",SUMIFS(tbl_plan[必要数],tbl_plan[ロットID],$A279,tbl_plan[計画状態],"有効"))</f>
        <v/>
      </c>
      <c r="G279" s="4" t="str">
        <f>IF($A279="","",SUMIFS(tbl_ledger[数量],tbl_ledger[ロットID],$A279,tbl_ledger[イベント種類],"発送"))</f>
        <v/>
      </c>
      <c r="H279" s="4" t="str">
        <f>IF($A279="","",SUMIFS(tbl_ledger[数量],tbl_ledger[ロットID],$A279,tbl_ledger[イベント種類],"搬入")+SUMIFS(tbl_ledger[数量],tbl_ledger[充当先ロットID],$A279,tbl_ledger[イベント種類],"充当")-SUMIFS(tbl_ledger[数量],tbl_ledger[ロットID],$A279,tbl_ledger[イベント種類],"充当")-SUMIFS(tbl_ledger[数量],tbl_ledger[ロットID],$A279,tbl_ledger[イベント種類],"発送")-SUMIFS(tbl_ledger[数量],tbl_ledger[ロットID],$A279,tbl_ledger[イベント種類],"倉庫A戻し")-SUMIFS(tbl_ledger[数量],tbl_ledger[ロットID],$A279,tbl_ledger[イベント種類],"余剰化")-SUMIFS(tbl_ledger[数量],tbl_ledger[ロットID],$A279,tbl_ledger[イベント種類],"不良発生"))</f>
        <v/>
      </c>
      <c r="I279" s="4" t="str">
        <f>IF($A279="","",SUMIFS(tbl_ledger[数量],tbl_ledger[品番],$B279,tbl_ledger[イベント種類],"余剰化")+SUMIFS(tbl_ledger[数量],tbl_ledger[品番],$B279,tbl_ledger[イベント種類],"搬入",tbl_ledger[ロットID],"=")-SUMIFS(tbl_ledger[数量],tbl_ledger[品番],$B279,tbl_ledger[イベント種類],"充当",tbl_ledger[ロットID],"=")-SUMIFS(tbl_ledger[数量],tbl_ledger[品番],$B279,tbl_ledger[イベント種類],"発送",tbl_ledger[ロットID],"=")-SUMIFS(tbl_ledger[数量],tbl_ledger[品番],$B279,tbl_ledger[イベント種類],"倉庫A戻し",tbl_ledger[ロットID],"=")-SUMIFS(tbl_ledger[数量],tbl_ledger[品番],$B279,tbl_ledger[イベント種類],"不良発生",tbl_ledger[ロットID],"="))</f>
        <v/>
      </c>
      <c r="J279" s="4" t="str">
        <f t="shared" si="12"/>
        <v/>
      </c>
      <c r="K279" s="4" t="str">
        <f t="shared" si="13"/>
        <v/>
      </c>
      <c r="L279" s="4" t="str">
        <f t="shared" si="14"/>
        <v/>
      </c>
      <c r="M279" s="4" t="str">
        <f>IF($A279="","",IF(INDEX(tbl_plan[計画状態],ROW()-1)="キャンセル","キャンセル",IF(K279=0,"発送済",IF(L279&gt;0,"要搬出","OK"))))</f>
        <v/>
      </c>
    </row>
    <row r="280" spans="1:13" ht="15" x14ac:dyDescent="0.25">
      <c r="A280" s="4" t="str">
        <f>IFERROR(INDEX(tbl_plan[ロットID],ROW()-1),"")</f>
        <v/>
      </c>
      <c r="B280" s="4" t="str">
        <f>IF($A280="","",INDEX(tbl_plan[品番],ROW()-1))</f>
        <v/>
      </c>
      <c r="C280" s="5" t="str">
        <f>IF($A280="","",INDEX(tbl_plan[出荷週],ROW()-1))</f>
        <v/>
      </c>
      <c r="D280" s="4" t="str">
        <f>IF($A280="","",INDEX(tbl_plan[納期先],ROW()-1)&amp;"")</f>
        <v/>
      </c>
      <c r="E280" s="4" t="str">
        <f>IF($A280="","",INDEX(tbl_plan[必要数],ROW()-1))</f>
        <v/>
      </c>
      <c r="F280" s="4" t="str">
        <f>IF($A280="","",SUMIFS(tbl_plan[必要数],tbl_plan[ロットID],$A280,tbl_plan[計画状態],"有効"))</f>
        <v/>
      </c>
      <c r="G280" s="4" t="str">
        <f>IF($A280="","",SUMIFS(tbl_ledger[数量],tbl_ledger[ロットID],$A280,tbl_ledger[イベント種類],"発送"))</f>
        <v/>
      </c>
      <c r="H280" s="4" t="str">
        <f>IF($A280="","",SUMIFS(tbl_ledger[数量],tbl_ledger[ロットID],$A280,tbl_ledger[イベント種類],"搬入")+SUMIFS(tbl_ledger[数量],tbl_ledger[充当先ロットID],$A280,tbl_ledger[イベント種類],"充当")-SUMIFS(tbl_ledger[数量],tbl_ledger[ロットID],$A280,tbl_ledger[イベント種類],"充当")-SUMIFS(tbl_ledger[数量],tbl_ledger[ロットID],$A280,tbl_ledger[イベント種類],"発送")-SUMIFS(tbl_ledger[数量],tbl_ledger[ロットID],$A280,tbl_ledger[イベント種類],"倉庫A戻し")-SUMIFS(tbl_ledger[数量],tbl_ledger[ロットID],$A280,tbl_ledger[イベント種類],"余剰化")-SUMIFS(tbl_ledger[数量],tbl_ledger[ロットID],$A280,tbl_ledger[イベント種類],"不良発生"))</f>
        <v/>
      </c>
      <c r="I280" s="4" t="str">
        <f>IF($A280="","",SUMIFS(tbl_ledger[数量],tbl_ledger[品番],$B280,tbl_ledger[イベント種類],"余剰化")+SUMIFS(tbl_ledger[数量],tbl_ledger[品番],$B280,tbl_ledger[イベント種類],"搬入",tbl_ledger[ロットID],"=")-SUMIFS(tbl_ledger[数量],tbl_ledger[品番],$B280,tbl_ledger[イベント種類],"充当",tbl_ledger[ロットID],"=")-SUMIFS(tbl_ledger[数量],tbl_ledger[品番],$B280,tbl_ledger[イベント種類],"発送",tbl_ledger[ロットID],"=")-SUMIFS(tbl_ledger[数量],tbl_ledger[品番],$B280,tbl_ledger[イベント種類],"倉庫A戻し",tbl_ledger[ロットID],"=")-SUMIFS(tbl_ledger[数量],tbl_ledger[品番],$B280,tbl_ledger[イベント種類],"不良発生",tbl_ledger[ロットID],"="))</f>
        <v/>
      </c>
      <c r="J280" s="4" t="str">
        <f t="shared" si="12"/>
        <v/>
      </c>
      <c r="K280" s="4" t="str">
        <f t="shared" si="13"/>
        <v/>
      </c>
      <c r="L280" s="4" t="str">
        <f t="shared" si="14"/>
        <v/>
      </c>
      <c r="M280" s="4" t="str">
        <f>IF($A280="","",IF(INDEX(tbl_plan[計画状態],ROW()-1)="キャンセル","キャンセル",IF(K280=0,"発送済",IF(L280&gt;0,"要搬出","OK"))))</f>
        <v/>
      </c>
    </row>
    <row r="281" spans="1:13" ht="15" x14ac:dyDescent="0.25">
      <c r="A281" s="4" t="str">
        <f>IFERROR(INDEX(tbl_plan[ロットID],ROW()-1),"")</f>
        <v/>
      </c>
      <c r="B281" s="4" t="str">
        <f>IF($A281="","",INDEX(tbl_plan[品番],ROW()-1))</f>
        <v/>
      </c>
      <c r="C281" s="5" t="str">
        <f>IF($A281="","",INDEX(tbl_plan[出荷週],ROW()-1))</f>
        <v/>
      </c>
      <c r="D281" s="4" t="str">
        <f>IF($A281="","",INDEX(tbl_plan[納期先],ROW()-1)&amp;"")</f>
        <v/>
      </c>
      <c r="E281" s="4" t="str">
        <f>IF($A281="","",INDEX(tbl_plan[必要数],ROW()-1))</f>
        <v/>
      </c>
      <c r="F281" s="4" t="str">
        <f>IF($A281="","",SUMIFS(tbl_plan[必要数],tbl_plan[ロットID],$A281,tbl_plan[計画状態],"有効"))</f>
        <v/>
      </c>
      <c r="G281" s="4" t="str">
        <f>IF($A281="","",SUMIFS(tbl_ledger[数量],tbl_ledger[ロットID],$A281,tbl_ledger[イベント種類],"発送"))</f>
        <v/>
      </c>
      <c r="H281" s="4" t="str">
        <f>IF($A281="","",SUMIFS(tbl_ledger[数量],tbl_ledger[ロットID],$A281,tbl_ledger[イベント種類],"搬入")+SUMIFS(tbl_ledger[数量],tbl_ledger[充当先ロットID],$A281,tbl_ledger[イベント種類],"充当")-SUMIFS(tbl_ledger[数量],tbl_ledger[ロットID],$A281,tbl_ledger[イベント種類],"充当")-SUMIFS(tbl_ledger[数量],tbl_ledger[ロットID],$A281,tbl_ledger[イベント種類],"発送")-SUMIFS(tbl_ledger[数量],tbl_ledger[ロットID],$A281,tbl_ledger[イベント種類],"倉庫A戻し")-SUMIFS(tbl_ledger[数量],tbl_ledger[ロットID],$A281,tbl_ledger[イベント種類],"余剰化")-SUMIFS(tbl_ledger[数量],tbl_ledger[ロットID],$A281,tbl_ledger[イベント種類],"不良発生"))</f>
        <v/>
      </c>
      <c r="I281" s="4" t="str">
        <f>IF($A281="","",SUMIFS(tbl_ledger[数量],tbl_ledger[品番],$B281,tbl_ledger[イベント種類],"余剰化")+SUMIFS(tbl_ledger[数量],tbl_ledger[品番],$B281,tbl_ledger[イベント種類],"搬入",tbl_ledger[ロットID],"=")-SUMIFS(tbl_ledger[数量],tbl_ledger[品番],$B281,tbl_ledger[イベント種類],"充当",tbl_ledger[ロットID],"=")-SUMIFS(tbl_ledger[数量],tbl_ledger[品番],$B281,tbl_ledger[イベント種類],"発送",tbl_ledger[ロットID],"=")-SUMIFS(tbl_ledger[数量],tbl_ledger[品番],$B281,tbl_ledger[イベント種類],"倉庫A戻し",tbl_ledger[ロットID],"=")-SUMIFS(tbl_ledger[数量],tbl_ledger[品番],$B281,tbl_ledger[イベント種類],"不良発生",tbl_ledger[ロットID],"="))</f>
        <v/>
      </c>
      <c r="J281" s="4" t="str">
        <f t="shared" si="12"/>
        <v/>
      </c>
      <c r="K281" s="4" t="str">
        <f t="shared" si="13"/>
        <v/>
      </c>
      <c r="L281" s="4" t="str">
        <f t="shared" si="14"/>
        <v/>
      </c>
      <c r="M281" s="4" t="str">
        <f>IF($A281="","",IF(INDEX(tbl_plan[計画状態],ROW()-1)="キャンセル","キャンセル",IF(K281=0,"発送済",IF(L281&gt;0,"要搬出","OK"))))</f>
        <v/>
      </c>
    </row>
    <row r="282" spans="1:13" ht="15" x14ac:dyDescent="0.25">
      <c r="A282" s="4" t="str">
        <f>IFERROR(INDEX(tbl_plan[ロットID],ROW()-1),"")</f>
        <v/>
      </c>
      <c r="B282" s="4" t="str">
        <f>IF($A282="","",INDEX(tbl_plan[品番],ROW()-1))</f>
        <v/>
      </c>
      <c r="C282" s="5" t="str">
        <f>IF($A282="","",INDEX(tbl_plan[出荷週],ROW()-1))</f>
        <v/>
      </c>
      <c r="D282" s="4" t="str">
        <f>IF($A282="","",INDEX(tbl_plan[納期先],ROW()-1)&amp;"")</f>
        <v/>
      </c>
      <c r="E282" s="4" t="str">
        <f>IF($A282="","",INDEX(tbl_plan[必要数],ROW()-1))</f>
        <v/>
      </c>
      <c r="F282" s="4" t="str">
        <f>IF($A282="","",SUMIFS(tbl_plan[必要数],tbl_plan[ロットID],$A282,tbl_plan[計画状態],"有効"))</f>
        <v/>
      </c>
      <c r="G282" s="4" t="str">
        <f>IF($A282="","",SUMIFS(tbl_ledger[数量],tbl_ledger[ロットID],$A282,tbl_ledger[イベント種類],"発送"))</f>
        <v/>
      </c>
      <c r="H282" s="4" t="str">
        <f>IF($A282="","",SUMIFS(tbl_ledger[数量],tbl_ledger[ロットID],$A282,tbl_ledger[イベント種類],"搬入")+SUMIFS(tbl_ledger[数量],tbl_ledger[充当先ロットID],$A282,tbl_ledger[イベント種類],"充当")-SUMIFS(tbl_ledger[数量],tbl_ledger[ロットID],$A282,tbl_ledger[イベント種類],"充当")-SUMIFS(tbl_ledger[数量],tbl_ledger[ロットID],$A282,tbl_ledger[イベント種類],"発送")-SUMIFS(tbl_ledger[数量],tbl_ledger[ロットID],$A282,tbl_ledger[イベント種類],"倉庫A戻し")-SUMIFS(tbl_ledger[数量],tbl_ledger[ロットID],$A282,tbl_ledger[イベント種類],"余剰化")-SUMIFS(tbl_ledger[数量],tbl_ledger[ロットID],$A282,tbl_ledger[イベント種類],"不良発生"))</f>
        <v/>
      </c>
      <c r="I282" s="4" t="str">
        <f>IF($A282="","",SUMIFS(tbl_ledger[数量],tbl_ledger[品番],$B282,tbl_ledger[イベント種類],"余剰化")+SUMIFS(tbl_ledger[数量],tbl_ledger[品番],$B282,tbl_ledger[イベント種類],"搬入",tbl_ledger[ロットID],"=")-SUMIFS(tbl_ledger[数量],tbl_ledger[品番],$B282,tbl_ledger[イベント種類],"充当",tbl_ledger[ロットID],"=")-SUMIFS(tbl_ledger[数量],tbl_ledger[品番],$B282,tbl_ledger[イベント種類],"発送",tbl_ledger[ロットID],"=")-SUMIFS(tbl_ledger[数量],tbl_ledger[品番],$B282,tbl_ledger[イベント種類],"倉庫A戻し",tbl_ledger[ロットID],"=")-SUMIFS(tbl_ledger[数量],tbl_ledger[品番],$B282,tbl_ledger[イベント種類],"不良発生",tbl_ledger[ロットID],"="))</f>
        <v/>
      </c>
      <c r="J282" s="4" t="str">
        <f t="shared" si="12"/>
        <v/>
      </c>
      <c r="K282" s="4" t="str">
        <f t="shared" si="13"/>
        <v/>
      </c>
      <c r="L282" s="4" t="str">
        <f t="shared" si="14"/>
        <v/>
      </c>
      <c r="M282" s="4" t="str">
        <f>IF($A282="","",IF(INDEX(tbl_plan[計画状態],ROW()-1)="キャンセル","キャンセル",IF(K282=0,"発送済",IF(L282&gt;0,"要搬出","OK"))))</f>
        <v/>
      </c>
    </row>
    <row r="283" spans="1:13" ht="15" x14ac:dyDescent="0.25">
      <c r="A283" s="4" t="str">
        <f>IFERROR(INDEX(tbl_plan[ロットID],ROW()-1),"")</f>
        <v/>
      </c>
      <c r="B283" s="4" t="str">
        <f>IF($A283="","",INDEX(tbl_plan[品番],ROW()-1))</f>
        <v/>
      </c>
      <c r="C283" s="5" t="str">
        <f>IF($A283="","",INDEX(tbl_plan[出荷週],ROW()-1))</f>
        <v/>
      </c>
      <c r="D283" s="4" t="str">
        <f>IF($A283="","",INDEX(tbl_plan[納期先],ROW()-1)&amp;"")</f>
        <v/>
      </c>
      <c r="E283" s="4" t="str">
        <f>IF($A283="","",INDEX(tbl_plan[必要数],ROW()-1))</f>
        <v/>
      </c>
      <c r="F283" s="4" t="str">
        <f>IF($A283="","",SUMIFS(tbl_plan[必要数],tbl_plan[ロットID],$A283,tbl_plan[計画状態],"有効"))</f>
        <v/>
      </c>
      <c r="G283" s="4" t="str">
        <f>IF($A283="","",SUMIFS(tbl_ledger[数量],tbl_ledger[ロットID],$A283,tbl_ledger[イベント種類],"発送"))</f>
        <v/>
      </c>
      <c r="H283" s="4" t="str">
        <f>IF($A283="","",SUMIFS(tbl_ledger[数量],tbl_ledger[ロットID],$A283,tbl_ledger[イベント種類],"搬入")+SUMIFS(tbl_ledger[数量],tbl_ledger[充当先ロットID],$A283,tbl_ledger[イベント種類],"充当")-SUMIFS(tbl_ledger[数量],tbl_ledger[ロットID],$A283,tbl_ledger[イベント種類],"充当")-SUMIFS(tbl_ledger[数量],tbl_ledger[ロットID],$A283,tbl_ledger[イベント種類],"発送")-SUMIFS(tbl_ledger[数量],tbl_ledger[ロットID],$A283,tbl_ledger[イベント種類],"倉庫A戻し")-SUMIFS(tbl_ledger[数量],tbl_ledger[ロットID],$A283,tbl_ledger[イベント種類],"余剰化")-SUMIFS(tbl_ledger[数量],tbl_ledger[ロットID],$A283,tbl_ledger[イベント種類],"不良発生"))</f>
        <v/>
      </c>
      <c r="I283" s="4" t="str">
        <f>IF($A283="","",SUMIFS(tbl_ledger[数量],tbl_ledger[品番],$B283,tbl_ledger[イベント種類],"余剰化")+SUMIFS(tbl_ledger[数量],tbl_ledger[品番],$B283,tbl_ledger[イベント種類],"搬入",tbl_ledger[ロットID],"=")-SUMIFS(tbl_ledger[数量],tbl_ledger[品番],$B283,tbl_ledger[イベント種類],"充当",tbl_ledger[ロットID],"=")-SUMIFS(tbl_ledger[数量],tbl_ledger[品番],$B283,tbl_ledger[イベント種類],"発送",tbl_ledger[ロットID],"=")-SUMIFS(tbl_ledger[数量],tbl_ledger[品番],$B283,tbl_ledger[イベント種類],"倉庫A戻し",tbl_ledger[ロットID],"=")-SUMIFS(tbl_ledger[数量],tbl_ledger[品番],$B283,tbl_ledger[イベント種類],"不良発生",tbl_ledger[ロットID],"="))</f>
        <v/>
      </c>
      <c r="J283" s="4" t="str">
        <f t="shared" si="12"/>
        <v/>
      </c>
      <c r="K283" s="4" t="str">
        <f t="shared" si="13"/>
        <v/>
      </c>
      <c r="L283" s="4" t="str">
        <f t="shared" si="14"/>
        <v/>
      </c>
      <c r="M283" s="4" t="str">
        <f>IF($A283="","",IF(INDEX(tbl_plan[計画状態],ROW()-1)="キャンセル","キャンセル",IF(K283=0,"発送済",IF(L283&gt;0,"要搬出","OK"))))</f>
        <v/>
      </c>
    </row>
    <row r="284" spans="1:13" ht="15" x14ac:dyDescent="0.25">
      <c r="A284" s="4" t="str">
        <f>IFERROR(INDEX(tbl_plan[ロットID],ROW()-1),"")</f>
        <v/>
      </c>
      <c r="B284" s="4" t="str">
        <f>IF($A284="","",INDEX(tbl_plan[品番],ROW()-1))</f>
        <v/>
      </c>
      <c r="C284" s="5" t="str">
        <f>IF($A284="","",INDEX(tbl_plan[出荷週],ROW()-1))</f>
        <v/>
      </c>
      <c r="D284" s="4" t="str">
        <f>IF($A284="","",INDEX(tbl_plan[納期先],ROW()-1)&amp;"")</f>
        <v/>
      </c>
      <c r="E284" s="4" t="str">
        <f>IF($A284="","",INDEX(tbl_plan[必要数],ROW()-1))</f>
        <v/>
      </c>
      <c r="F284" s="4" t="str">
        <f>IF($A284="","",SUMIFS(tbl_plan[必要数],tbl_plan[ロットID],$A284,tbl_plan[計画状態],"有効"))</f>
        <v/>
      </c>
      <c r="G284" s="4" t="str">
        <f>IF($A284="","",SUMIFS(tbl_ledger[数量],tbl_ledger[ロットID],$A284,tbl_ledger[イベント種類],"発送"))</f>
        <v/>
      </c>
      <c r="H284" s="4" t="str">
        <f>IF($A284="","",SUMIFS(tbl_ledger[数量],tbl_ledger[ロットID],$A284,tbl_ledger[イベント種類],"搬入")+SUMIFS(tbl_ledger[数量],tbl_ledger[充当先ロットID],$A284,tbl_ledger[イベント種類],"充当")-SUMIFS(tbl_ledger[数量],tbl_ledger[ロットID],$A284,tbl_ledger[イベント種類],"充当")-SUMIFS(tbl_ledger[数量],tbl_ledger[ロットID],$A284,tbl_ledger[イベント種類],"発送")-SUMIFS(tbl_ledger[数量],tbl_ledger[ロットID],$A284,tbl_ledger[イベント種類],"倉庫A戻し")-SUMIFS(tbl_ledger[数量],tbl_ledger[ロットID],$A284,tbl_ledger[イベント種類],"余剰化")-SUMIFS(tbl_ledger[数量],tbl_ledger[ロットID],$A284,tbl_ledger[イベント種類],"不良発生"))</f>
        <v/>
      </c>
      <c r="I284" s="4" t="str">
        <f>IF($A284="","",SUMIFS(tbl_ledger[数量],tbl_ledger[品番],$B284,tbl_ledger[イベント種類],"余剰化")+SUMIFS(tbl_ledger[数量],tbl_ledger[品番],$B284,tbl_ledger[イベント種類],"搬入",tbl_ledger[ロットID],"=")-SUMIFS(tbl_ledger[数量],tbl_ledger[品番],$B284,tbl_ledger[イベント種類],"充当",tbl_ledger[ロットID],"=")-SUMIFS(tbl_ledger[数量],tbl_ledger[品番],$B284,tbl_ledger[イベント種類],"発送",tbl_ledger[ロットID],"=")-SUMIFS(tbl_ledger[数量],tbl_ledger[品番],$B284,tbl_ledger[イベント種類],"倉庫A戻し",tbl_ledger[ロットID],"=")-SUMIFS(tbl_ledger[数量],tbl_ledger[品番],$B284,tbl_ledger[イベント種類],"不良発生",tbl_ledger[ロットID],"="))</f>
        <v/>
      </c>
      <c r="J284" s="4" t="str">
        <f t="shared" si="12"/>
        <v/>
      </c>
      <c r="K284" s="4" t="str">
        <f t="shared" si="13"/>
        <v/>
      </c>
      <c r="L284" s="4" t="str">
        <f t="shared" si="14"/>
        <v/>
      </c>
      <c r="M284" s="4" t="str">
        <f>IF($A284="","",IF(INDEX(tbl_plan[計画状態],ROW()-1)="キャンセル","キャンセル",IF(K284=0,"発送済",IF(L284&gt;0,"要搬出","OK"))))</f>
        <v/>
      </c>
    </row>
    <row r="285" spans="1:13" ht="15" x14ac:dyDescent="0.25">
      <c r="A285" s="4" t="str">
        <f>IFERROR(INDEX(tbl_plan[ロットID],ROW()-1),"")</f>
        <v/>
      </c>
      <c r="B285" s="4" t="str">
        <f>IF($A285="","",INDEX(tbl_plan[品番],ROW()-1))</f>
        <v/>
      </c>
      <c r="C285" s="5" t="str">
        <f>IF($A285="","",INDEX(tbl_plan[出荷週],ROW()-1))</f>
        <v/>
      </c>
      <c r="D285" s="4" t="str">
        <f>IF($A285="","",INDEX(tbl_plan[納期先],ROW()-1)&amp;"")</f>
        <v/>
      </c>
      <c r="E285" s="4" t="str">
        <f>IF($A285="","",INDEX(tbl_plan[必要数],ROW()-1))</f>
        <v/>
      </c>
      <c r="F285" s="4" t="str">
        <f>IF($A285="","",SUMIFS(tbl_plan[必要数],tbl_plan[ロットID],$A285,tbl_plan[計画状態],"有効"))</f>
        <v/>
      </c>
      <c r="G285" s="4" t="str">
        <f>IF($A285="","",SUMIFS(tbl_ledger[数量],tbl_ledger[ロットID],$A285,tbl_ledger[イベント種類],"発送"))</f>
        <v/>
      </c>
      <c r="H285" s="4" t="str">
        <f>IF($A285="","",SUMIFS(tbl_ledger[数量],tbl_ledger[ロットID],$A285,tbl_ledger[イベント種類],"搬入")+SUMIFS(tbl_ledger[数量],tbl_ledger[充当先ロットID],$A285,tbl_ledger[イベント種類],"充当")-SUMIFS(tbl_ledger[数量],tbl_ledger[ロットID],$A285,tbl_ledger[イベント種類],"充当")-SUMIFS(tbl_ledger[数量],tbl_ledger[ロットID],$A285,tbl_ledger[イベント種類],"発送")-SUMIFS(tbl_ledger[数量],tbl_ledger[ロットID],$A285,tbl_ledger[イベント種類],"倉庫A戻し")-SUMIFS(tbl_ledger[数量],tbl_ledger[ロットID],$A285,tbl_ledger[イベント種類],"余剰化")-SUMIFS(tbl_ledger[数量],tbl_ledger[ロットID],$A285,tbl_ledger[イベント種類],"不良発生"))</f>
        <v/>
      </c>
      <c r="I285" s="4" t="str">
        <f>IF($A285="","",SUMIFS(tbl_ledger[数量],tbl_ledger[品番],$B285,tbl_ledger[イベント種類],"余剰化")+SUMIFS(tbl_ledger[数量],tbl_ledger[品番],$B285,tbl_ledger[イベント種類],"搬入",tbl_ledger[ロットID],"=")-SUMIFS(tbl_ledger[数量],tbl_ledger[品番],$B285,tbl_ledger[イベント種類],"充当",tbl_ledger[ロットID],"=")-SUMIFS(tbl_ledger[数量],tbl_ledger[品番],$B285,tbl_ledger[イベント種類],"発送",tbl_ledger[ロットID],"=")-SUMIFS(tbl_ledger[数量],tbl_ledger[品番],$B285,tbl_ledger[イベント種類],"倉庫A戻し",tbl_ledger[ロットID],"=")-SUMIFS(tbl_ledger[数量],tbl_ledger[品番],$B285,tbl_ledger[イベント種類],"不良発生",tbl_ledger[ロットID],"="))</f>
        <v/>
      </c>
      <c r="J285" s="4" t="str">
        <f t="shared" si="12"/>
        <v/>
      </c>
      <c r="K285" s="4" t="str">
        <f t="shared" si="13"/>
        <v/>
      </c>
      <c r="L285" s="4" t="str">
        <f t="shared" si="14"/>
        <v/>
      </c>
      <c r="M285" s="4" t="str">
        <f>IF($A285="","",IF(INDEX(tbl_plan[計画状態],ROW()-1)="キャンセル","キャンセル",IF(K285=0,"発送済",IF(L285&gt;0,"要搬出","OK"))))</f>
        <v/>
      </c>
    </row>
    <row r="286" spans="1:13" ht="15" x14ac:dyDescent="0.25">
      <c r="A286" s="4" t="str">
        <f>IFERROR(INDEX(tbl_plan[ロットID],ROW()-1),"")</f>
        <v/>
      </c>
      <c r="B286" s="4" t="str">
        <f>IF($A286="","",INDEX(tbl_plan[品番],ROW()-1))</f>
        <v/>
      </c>
      <c r="C286" s="5" t="str">
        <f>IF($A286="","",INDEX(tbl_plan[出荷週],ROW()-1))</f>
        <v/>
      </c>
      <c r="D286" s="4" t="str">
        <f>IF($A286="","",INDEX(tbl_plan[納期先],ROW()-1)&amp;"")</f>
        <v/>
      </c>
      <c r="E286" s="4" t="str">
        <f>IF($A286="","",INDEX(tbl_plan[必要数],ROW()-1))</f>
        <v/>
      </c>
      <c r="F286" s="4" t="str">
        <f>IF($A286="","",SUMIFS(tbl_plan[必要数],tbl_plan[ロットID],$A286,tbl_plan[計画状態],"有効"))</f>
        <v/>
      </c>
      <c r="G286" s="4" t="str">
        <f>IF($A286="","",SUMIFS(tbl_ledger[数量],tbl_ledger[ロットID],$A286,tbl_ledger[イベント種類],"発送"))</f>
        <v/>
      </c>
      <c r="H286" s="4" t="str">
        <f>IF($A286="","",SUMIFS(tbl_ledger[数量],tbl_ledger[ロットID],$A286,tbl_ledger[イベント種類],"搬入")+SUMIFS(tbl_ledger[数量],tbl_ledger[充当先ロットID],$A286,tbl_ledger[イベント種類],"充当")-SUMIFS(tbl_ledger[数量],tbl_ledger[ロットID],$A286,tbl_ledger[イベント種類],"充当")-SUMIFS(tbl_ledger[数量],tbl_ledger[ロットID],$A286,tbl_ledger[イベント種類],"発送")-SUMIFS(tbl_ledger[数量],tbl_ledger[ロットID],$A286,tbl_ledger[イベント種類],"倉庫A戻し")-SUMIFS(tbl_ledger[数量],tbl_ledger[ロットID],$A286,tbl_ledger[イベント種類],"余剰化")-SUMIFS(tbl_ledger[数量],tbl_ledger[ロットID],$A286,tbl_ledger[イベント種類],"不良発生"))</f>
        <v/>
      </c>
      <c r="I286" s="4" t="str">
        <f>IF($A286="","",SUMIFS(tbl_ledger[数量],tbl_ledger[品番],$B286,tbl_ledger[イベント種類],"余剰化")+SUMIFS(tbl_ledger[数量],tbl_ledger[品番],$B286,tbl_ledger[イベント種類],"搬入",tbl_ledger[ロットID],"=")-SUMIFS(tbl_ledger[数量],tbl_ledger[品番],$B286,tbl_ledger[イベント種類],"充当",tbl_ledger[ロットID],"=")-SUMIFS(tbl_ledger[数量],tbl_ledger[品番],$B286,tbl_ledger[イベント種類],"発送",tbl_ledger[ロットID],"=")-SUMIFS(tbl_ledger[数量],tbl_ledger[品番],$B286,tbl_ledger[イベント種類],"倉庫A戻し",tbl_ledger[ロットID],"=")-SUMIFS(tbl_ledger[数量],tbl_ledger[品番],$B286,tbl_ledger[イベント種類],"不良発生",tbl_ledger[ロットID],"="))</f>
        <v/>
      </c>
      <c r="J286" s="4" t="str">
        <f t="shared" si="12"/>
        <v/>
      </c>
      <c r="K286" s="4" t="str">
        <f t="shared" si="13"/>
        <v/>
      </c>
      <c r="L286" s="4" t="str">
        <f t="shared" si="14"/>
        <v/>
      </c>
      <c r="M286" s="4" t="str">
        <f>IF($A286="","",IF(INDEX(tbl_plan[計画状態],ROW()-1)="キャンセル","キャンセル",IF(K286=0,"発送済",IF(L286&gt;0,"要搬出","OK"))))</f>
        <v/>
      </c>
    </row>
    <row r="287" spans="1:13" ht="15" x14ac:dyDescent="0.25">
      <c r="A287" s="4" t="str">
        <f>IFERROR(INDEX(tbl_plan[ロットID],ROW()-1),"")</f>
        <v/>
      </c>
      <c r="B287" s="4" t="str">
        <f>IF($A287="","",INDEX(tbl_plan[品番],ROW()-1))</f>
        <v/>
      </c>
      <c r="C287" s="5" t="str">
        <f>IF($A287="","",INDEX(tbl_plan[出荷週],ROW()-1))</f>
        <v/>
      </c>
      <c r="D287" s="4" t="str">
        <f>IF($A287="","",INDEX(tbl_plan[納期先],ROW()-1)&amp;"")</f>
        <v/>
      </c>
      <c r="E287" s="4" t="str">
        <f>IF($A287="","",INDEX(tbl_plan[必要数],ROW()-1))</f>
        <v/>
      </c>
      <c r="F287" s="4" t="str">
        <f>IF($A287="","",SUMIFS(tbl_plan[必要数],tbl_plan[ロットID],$A287,tbl_plan[計画状態],"有効"))</f>
        <v/>
      </c>
      <c r="G287" s="4" t="str">
        <f>IF($A287="","",SUMIFS(tbl_ledger[数量],tbl_ledger[ロットID],$A287,tbl_ledger[イベント種類],"発送"))</f>
        <v/>
      </c>
      <c r="H287" s="4" t="str">
        <f>IF($A287="","",SUMIFS(tbl_ledger[数量],tbl_ledger[ロットID],$A287,tbl_ledger[イベント種類],"搬入")+SUMIFS(tbl_ledger[数量],tbl_ledger[充当先ロットID],$A287,tbl_ledger[イベント種類],"充当")-SUMIFS(tbl_ledger[数量],tbl_ledger[ロットID],$A287,tbl_ledger[イベント種類],"充当")-SUMIFS(tbl_ledger[数量],tbl_ledger[ロットID],$A287,tbl_ledger[イベント種類],"発送")-SUMIFS(tbl_ledger[数量],tbl_ledger[ロットID],$A287,tbl_ledger[イベント種類],"倉庫A戻し")-SUMIFS(tbl_ledger[数量],tbl_ledger[ロットID],$A287,tbl_ledger[イベント種類],"余剰化")-SUMIFS(tbl_ledger[数量],tbl_ledger[ロットID],$A287,tbl_ledger[イベント種類],"不良発生"))</f>
        <v/>
      </c>
      <c r="I287" s="4" t="str">
        <f>IF($A287="","",SUMIFS(tbl_ledger[数量],tbl_ledger[品番],$B287,tbl_ledger[イベント種類],"余剰化")+SUMIFS(tbl_ledger[数量],tbl_ledger[品番],$B287,tbl_ledger[イベント種類],"搬入",tbl_ledger[ロットID],"=")-SUMIFS(tbl_ledger[数量],tbl_ledger[品番],$B287,tbl_ledger[イベント種類],"充当",tbl_ledger[ロットID],"=")-SUMIFS(tbl_ledger[数量],tbl_ledger[品番],$B287,tbl_ledger[イベント種類],"発送",tbl_ledger[ロットID],"=")-SUMIFS(tbl_ledger[数量],tbl_ledger[品番],$B287,tbl_ledger[イベント種類],"倉庫A戻し",tbl_ledger[ロットID],"=")-SUMIFS(tbl_ledger[数量],tbl_ledger[品番],$B287,tbl_ledger[イベント種類],"不良発生",tbl_ledger[ロットID],"="))</f>
        <v/>
      </c>
      <c r="J287" s="4" t="str">
        <f t="shared" si="12"/>
        <v/>
      </c>
      <c r="K287" s="4" t="str">
        <f t="shared" si="13"/>
        <v/>
      </c>
      <c r="L287" s="4" t="str">
        <f t="shared" si="14"/>
        <v/>
      </c>
      <c r="M287" s="4" t="str">
        <f>IF($A287="","",IF(INDEX(tbl_plan[計画状態],ROW()-1)="キャンセル","キャンセル",IF(K287=0,"発送済",IF(L287&gt;0,"要搬出","OK"))))</f>
        <v/>
      </c>
    </row>
    <row r="288" spans="1:13" ht="15" x14ac:dyDescent="0.25">
      <c r="A288" s="4" t="str">
        <f>IFERROR(INDEX(tbl_plan[ロットID],ROW()-1),"")</f>
        <v/>
      </c>
      <c r="B288" s="4" t="str">
        <f>IF($A288="","",INDEX(tbl_plan[品番],ROW()-1))</f>
        <v/>
      </c>
      <c r="C288" s="5" t="str">
        <f>IF($A288="","",INDEX(tbl_plan[出荷週],ROW()-1))</f>
        <v/>
      </c>
      <c r="D288" s="4" t="str">
        <f>IF($A288="","",INDEX(tbl_plan[納期先],ROW()-1)&amp;"")</f>
        <v/>
      </c>
      <c r="E288" s="4" t="str">
        <f>IF($A288="","",INDEX(tbl_plan[必要数],ROW()-1))</f>
        <v/>
      </c>
      <c r="F288" s="4" t="str">
        <f>IF($A288="","",SUMIFS(tbl_plan[必要数],tbl_plan[ロットID],$A288,tbl_plan[計画状態],"有効"))</f>
        <v/>
      </c>
      <c r="G288" s="4" t="str">
        <f>IF($A288="","",SUMIFS(tbl_ledger[数量],tbl_ledger[ロットID],$A288,tbl_ledger[イベント種類],"発送"))</f>
        <v/>
      </c>
      <c r="H288" s="4" t="str">
        <f>IF($A288="","",SUMIFS(tbl_ledger[数量],tbl_ledger[ロットID],$A288,tbl_ledger[イベント種類],"搬入")+SUMIFS(tbl_ledger[数量],tbl_ledger[充当先ロットID],$A288,tbl_ledger[イベント種類],"充当")-SUMIFS(tbl_ledger[数量],tbl_ledger[ロットID],$A288,tbl_ledger[イベント種類],"充当")-SUMIFS(tbl_ledger[数量],tbl_ledger[ロットID],$A288,tbl_ledger[イベント種類],"発送")-SUMIFS(tbl_ledger[数量],tbl_ledger[ロットID],$A288,tbl_ledger[イベント種類],"倉庫A戻し")-SUMIFS(tbl_ledger[数量],tbl_ledger[ロットID],$A288,tbl_ledger[イベント種類],"余剰化")-SUMIFS(tbl_ledger[数量],tbl_ledger[ロットID],$A288,tbl_ledger[イベント種類],"不良発生"))</f>
        <v/>
      </c>
      <c r="I288" s="4" t="str">
        <f>IF($A288="","",SUMIFS(tbl_ledger[数量],tbl_ledger[品番],$B288,tbl_ledger[イベント種類],"余剰化")+SUMIFS(tbl_ledger[数量],tbl_ledger[品番],$B288,tbl_ledger[イベント種類],"搬入",tbl_ledger[ロットID],"=")-SUMIFS(tbl_ledger[数量],tbl_ledger[品番],$B288,tbl_ledger[イベント種類],"充当",tbl_ledger[ロットID],"=")-SUMIFS(tbl_ledger[数量],tbl_ledger[品番],$B288,tbl_ledger[イベント種類],"発送",tbl_ledger[ロットID],"=")-SUMIFS(tbl_ledger[数量],tbl_ledger[品番],$B288,tbl_ledger[イベント種類],"倉庫A戻し",tbl_ledger[ロットID],"=")-SUMIFS(tbl_ledger[数量],tbl_ledger[品番],$B288,tbl_ledger[イベント種類],"不良発生",tbl_ledger[ロットID],"="))</f>
        <v/>
      </c>
      <c r="J288" s="4" t="str">
        <f t="shared" si="12"/>
        <v/>
      </c>
      <c r="K288" s="4" t="str">
        <f t="shared" si="13"/>
        <v/>
      </c>
      <c r="L288" s="4" t="str">
        <f t="shared" si="14"/>
        <v/>
      </c>
      <c r="M288" s="4" t="str">
        <f>IF($A288="","",IF(INDEX(tbl_plan[計画状態],ROW()-1)="キャンセル","キャンセル",IF(K288=0,"発送済",IF(L288&gt;0,"要搬出","OK"))))</f>
        <v/>
      </c>
    </row>
    <row r="289" spans="1:13" ht="15" x14ac:dyDescent="0.25">
      <c r="A289" s="4" t="str">
        <f>IFERROR(INDEX(tbl_plan[ロットID],ROW()-1),"")</f>
        <v/>
      </c>
      <c r="B289" s="4" t="str">
        <f>IF($A289="","",INDEX(tbl_plan[品番],ROW()-1))</f>
        <v/>
      </c>
      <c r="C289" s="5" t="str">
        <f>IF($A289="","",INDEX(tbl_plan[出荷週],ROW()-1))</f>
        <v/>
      </c>
      <c r="D289" s="4" t="str">
        <f>IF($A289="","",INDEX(tbl_plan[納期先],ROW()-1)&amp;"")</f>
        <v/>
      </c>
      <c r="E289" s="4" t="str">
        <f>IF($A289="","",INDEX(tbl_plan[必要数],ROW()-1))</f>
        <v/>
      </c>
      <c r="F289" s="4" t="str">
        <f>IF($A289="","",SUMIFS(tbl_plan[必要数],tbl_plan[ロットID],$A289,tbl_plan[計画状態],"有効"))</f>
        <v/>
      </c>
      <c r="G289" s="4" t="str">
        <f>IF($A289="","",SUMIFS(tbl_ledger[数量],tbl_ledger[ロットID],$A289,tbl_ledger[イベント種類],"発送"))</f>
        <v/>
      </c>
      <c r="H289" s="4" t="str">
        <f>IF($A289="","",SUMIFS(tbl_ledger[数量],tbl_ledger[ロットID],$A289,tbl_ledger[イベント種類],"搬入")+SUMIFS(tbl_ledger[数量],tbl_ledger[充当先ロットID],$A289,tbl_ledger[イベント種類],"充当")-SUMIFS(tbl_ledger[数量],tbl_ledger[ロットID],$A289,tbl_ledger[イベント種類],"充当")-SUMIFS(tbl_ledger[数量],tbl_ledger[ロットID],$A289,tbl_ledger[イベント種類],"発送")-SUMIFS(tbl_ledger[数量],tbl_ledger[ロットID],$A289,tbl_ledger[イベント種類],"倉庫A戻し")-SUMIFS(tbl_ledger[数量],tbl_ledger[ロットID],$A289,tbl_ledger[イベント種類],"余剰化")-SUMIFS(tbl_ledger[数量],tbl_ledger[ロットID],$A289,tbl_ledger[イベント種類],"不良発生"))</f>
        <v/>
      </c>
      <c r="I289" s="4" t="str">
        <f>IF($A289="","",SUMIFS(tbl_ledger[数量],tbl_ledger[品番],$B289,tbl_ledger[イベント種類],"余剰化")+SUMIFS(tbl_ledger[数量],tbl_ledger[品番],$B289,tbl_ledger[イベント種類],"搬入",tbl_ledger[ロットID],"=")-SUMIFS(tbl_ledger[数量],tbl_ledger[品番],$B289,tbl_ledger[イベント種類],"充当",tbl_ledger[ロットID],"=")-SUMIFS(tbl_ledger[数量],tbl_ledger[品番],$B289,tbl_ledger[イベント種類],"発送",tbl_ledger[ロットID],"=")-SUMIFS(tbl_ledger[数量],tbl_ledger[品番],$B289,tbl_ledger[イベント種類],"倉庫A戻し",tbl_ledger[ロットID],"=")-SUMIFS(tbl_ledger[数量],tbl_ledger[品番],$B289,tbl_ledger[イベント種類],"不良発生",tbl_ledger[ロットID],"="))</f>
        <v/>
      </c>
      <c r="J289" s="4" t="str">
        <f t="shared" si="12"/>
        <v/>
      </c>
      <c r="K289" s="4" t="str">
        <f t="shared" si="13"/>
        <v/>
      </c>
      <c r="L289" s="4" t="str">
        <f t="shared" si="14"/>
        <v/>
      </c>
      <c r="M289" s="4" t="str">
        <f>IF($A289="","",IF(INDEX(tbl_plan[計画状態],ROW()-1)="キャンセル","キャンセル",IF(K289=0,"発送済",IF(L289&gt;0,"要搬出","OK"))))</f>
        <v/>
      </c>
    </row>
    <row r="290" spans="1:13" ht="15" x14ac:dyDescent="0.25">
      <c r="A290" s="4" t="str">
        <f>IFERROR(INDEX(tbl_plan[ロットID],ROW()-1),"")</f>
        <v/>
      </c>
      <c r="B290" s="4" t="str">
        <f>IF($A290="","",INDEX(tbl_plan[品番],ROW()-1))</f>
        <v/>
      </c>
      <c r="C290" s="5" t="str">
        <f>IF($A290="","",INDEX(tbl_plan[出荷週],ROW()-1))</f>
        <v/>
      </c>
      <c r="D290" s="4" t="str">
        <f>IF($A290="","",INDEX(tbl_plan[納期先],ROW()-1)&amp;"")</f>
        <v/>
      </c>
      <c r="E290" s="4" t="str">
        <f>IF($A290="","",INDEX(tbl_plan[必要数],ROW()-1))</f>
        <v/>
      </c>
      <c r="F290" s="4" t="str">
        <f>IF($A290="","",SUMIFS(tbl_plan[必要数],tbl_plan[ロットID],$A290,tbl_plan[計画状態],"有効"))</f>
        <v/>
      </c>
      <c r="G290" s="4" t="str">
        <f>IF($A290="","",SUMIFS(tbl_ledger[数量],tbl_ledger[ロットID],$A290,tbl_ledger[イベント種類],"発送"))</f>
        <v/>
      </c>
      <c r="H290" s="4" t="str">
        <f>IF($A290="","",SUMIFS(tbl_ledger[数量],tbl_ledger[ロットID],$A290,tbl_ledger[イベント種類],"搬入")+SUMIFS(tbl_ledger[数量],tbl_ledger[充当先ロットID],$A290,tbl_ledger[イベント種類],"充当")-SUMIFS(tbl_ledger[数量],tbl_ledger[ロットID],$A290,tbl_ledger[イベント種類],"充当")-SUMIFS(tbl_ledger[数量],tbl_ledger[ロットID],$A290,tbl_ledger[イベント種類],"発送")-SUMIFS(tbl_ledger[数量],tbl_ledger[ロットID],$A290,tbl_ledger[イベント種類],"倉庫A戻し")-SUMIFS(tbl_ledger[数量],tbl_ledger[ロットID],$A290,tbl_ledger[イベント種類],"余剰化")-SUMIFS(tbl_ledger[数量],tbl_ledger[ロットID],$A290,tbl_ledger[イベント種類],"不良発生"))</f>
        <v/>
      </c>
      <c r="I290" s="4" t="str">
        <f>IF($A290="","",SUMIFS(tbl_ledger[数量],tbl_ledger[品番],$B290,tbl_ledger[イベント種類],"余剰化")+SUMIFS(tbl_ledger[数量],tbl_ledger[品番],$B290,tbl_ledger[イベント種類],"搬入",tbl_ledger[ロットID],"=")-SUMIFS(tbl_ledger[数量],tbl_ledger[品番],$B290,tbl_ledger[イベント種類],"充当",tbl_ledger[ロットID],"=")-SUMIFS(tbl_ledger[数量],tbl_ledger[品番],$B290,tbl_ledger[イベント種類],"発送",tbl_ledger[ロットID],"=")-SUMIFS(tbl_ledger[数量],tbl_ledger[品番],$B290,tbl_ledger[イベント種類],"倉庫A戻し",tbl_ledger[ロットID],"=")-SUMIFS(tbl_ledger[数量],tbl_ledger[品番],$B290,tbl_ledger[イベント種類],"不良発生",tbl_ledger[ロットID],"="))</f>
        <v/>
      </c>
      <c r="J290" s="4" t="str">
        <f t="shared" si="12"/>
        <v/>
      </c>
      <c r="K290" s="4" t="str">
        <f t="shared" si="13"/>
        <v/>
      </c>
      <c r="L290" s="4" t="str">
        <f t="shared" si="14"/>
        <v/>
      </c>
      <c r="M290" s="4" t="str">
        <f>IF($A290="","",IF(INDEX(tbl_plan[計画状態],ROW()-1)="キャンセル","キャンセル",IF(K290=0,"発送済",IF(L290&gt;0,"要搬出","OK"))))</f>
        <v/>
      </c>
    </row>
    <row r="291" spans="1:13" ht="15" x14ac:dyDescent="0.25">
      <c r="A291" s="4" t="str">
        <f>IFERROR(INDEX(tbl_plan[ロットID],ROW()-1),"")</f>
        <v/>
      </c>
      <c r="B291" s="4" t="str">
        <f>IF($A291="","",INDEX(tbl_plan[品番],ROW()-1))</f>
        <v/>
      </c>
      <c r="C291" s="5" t="str">
        <f>IF($A291="","",INDEX(tbl_plan[出荷週],ROW()-1))</f>
        <v/>
      </c>
      <c r="D291" s="4" t="str">
        <f>IF($A291="","",INDEX(tbl_plan[納期先],ROW()-1)&amp;"")</f>
        <v/>
      </c>
      <c r="E291" s="4" t="str">
        <f>IF($A291="","",INDEX(tbl_plan[必要数],ROW()-1))</f>
        <v/>
      </c>
      <c r="F291" s="4" t="str">
        <f>IF($A291="","",SUMIFS(tbl_plan[必要数],tbl_plan[ロットID],$A291,tbl_plan[計画状態],"有効"))</f>
        <v/>
      </c>
      <c r="G291" s="4" t="str">
        <f>IF($A291="","",SUMIFS(tbl_ledger[数量],tbl_ledger[ロットID],$A291,tbl_ledger[イベント種類],"発送"))</f>
        <v/>
      </c>
      <c r="H291" s="4" t="str">
        <f>IF($A291="","",SUMIFS(tbl_ledger[数量],tbl_ledger[ロットID],$A291,tbl_ledger[イベント種類],"搬入")+SUMIFS(tbl_ledger[数量],tbl_ledger[充当先ロットID],$A291,tbl_ledger[イベント種類],"充当")-SUMIFS(tbl_ledger[数量],tbl_ledger[ロットID],$A291,tbl_ledger[イベント種類],"充当")-SUMIFS(tbl_ledger[数量],tbl_ledger[ロットID],$A291,tbl_ledger[イベント種類],"発送")-SUMIFS(tbl_ledger[数量],tbl_ledger[ロットID],$A291,tbl_ledger[イベント種類],"倉庫A戻し")-SUMIFS(tbl_ledger[数量],tbl_ledger[ロットID],$A291,tbl_ledger[イベント種類],"余剰化")-SUMIFS(tbl_ledger[数量],tbl_ledger[ロットID],$A291,tbl_ledger[イベント種類],"不良発生"))</f>
        <v/>
      </c>
      <c r="I291" s="4" t="str">
        <f>IF($A291="","",SUMIFS(tbl_ledger[数量],tbl_ledger[品番],$B291,tbl_ledger[イベント種類],"余剰化")+SUMIFS(tbl_ledger[数量],tbl_ledger[品番],$B291,tbl_ledger[イベント種類],"搬入",tbl_ledger[ロットID],"=")-SUMIFS(tbl_ledger[数量],tbl_ledger[品番],$B291,tbl_ledger[イベント種類],"充当",tbl_ledger[ロットID],"=")-SUMIFS(tbl_ledger[数量],tbl_ledger[品番],$B291,tbl_ledger[イベント種類],"発送",tbl_ledger[ロットID],"=")-SUMIFS(tbl_ledger[数量],tbl_ledger[品番],$B291,tbl_ledger[イベント種類],"倉庫A戻し",tbl_ledger[ロットID],"=")-SUMIFS(tbl_ledger[数量],tbl_ledger[品番],$B291,tbl_ledger[イベント種類],"不良発生",tbl_ledger[ロットID],"="))</f>
        <v/>
      </c>
      <c r="J291" s="4" t="str">
        <f t="shared" si="12"/>
        <v/>
      </c>
      <c r="K291" s="4" t="str">
        <f t="shared" si="13"/>
        <v/>
      </c>
      <c r="L291" s="4" t="str">
        <f t="shared" si="14"/>
        <v/>
      </c>
      <c r="M291" s="4" t="str">
        <f>IF($A291="","",IF(INDEX(tbl_plan[計画状態],ROW()-1)="キャンセル","キャンセル",IF(K291=0,"発送済",IF(L291&gt;0,"要搬出","OK"))))</f>
        <v/>
      </c>
    </row>
    <row r="292" spans="1:13" ht="15" x14ac:dyDescent="0.25">
      <c r="A292" s="4" t="str">
        <f>IFERROR(INDEX(tbl_plan[ロットID],ROW()-1),"")</f>
        <v/>
      </c>
      <c r="B292" s="4" t="str">
        <f>IF($A292="","",INDEX(tbl_plan[品番],ROW()-1))</f>
        <v/>
      </c>
      <c r="C292" s="5" t="str">
        <f>IF($A292="","",INDEX(tbl_plan[出荷週],ROW()-1))</f>
        <v/>
      </c>
      <c r="D292" s="4" t="str">
        <f>IF($A292="","",INDEX(tbl_plan[納期先],ROW()-1)&amp;"")</f>
        <v/>
      </c>
      <c r="E292" s="4" t="str">
        <f>IF($A292="","",INDEX(tbl_plan[必要数],ROW()-1))</f>
        <v/>
      </c>
      <c r="F292" s="4" t="str">
        <f>IF($A292="","",SUMIFS(tbl_plan[必要数],tbl_plan[ロットID],$A292,tbl_plan[計画状態],"有効"))</f>
        <v/>
      </c>
      <c r="G292" s="4" t="str">
        <f>IF($A292="","",SUMIFS(tbl_ledger[数量],tbl_ledger[ロットID],$A292,tbl_ledger[イベント種類],"発送"))</f>
        <v/>
      </c>
      <c r="H292" s="4" t="str">
        <f>IF($A292="","",SUMIFS(tbl_ledger[数量],tbl_ledger[ロットID],$A292,tbl_ledger[イベント種類],"搬入")+SUMIFS(tbl_ledger[数量],tbl_ledger[充当先ロットID],$A292,tbl_ledger[イベント種類],"充当")-SUMIFS(tbl_ledger[数量],tbl_ledger[ロットID],$A292,tbl_ledger[イベント種類],"充当")-SUMIFS(tbl_ledger[数量],tbl_ledger[ロットID],$A292,tbl_ledger[イベント種類],"発送")-SUMIFS(tbl_ledger[数量],tbl_ledger[ロットID],$A292,tbl_ledger[イベント種類],"倉庫A戻し")-SUMIFS(tbl_ledger[数量],tbl_ledger[ロットID],$A292,tbl_ledger[イベント種類],"余剰化")-SUMIFS(tbl_ledger[数量],tbl_ledger[ロットID],$A292,tbl_ledger[イベント種類],"不良発生"))</f>
        <v/>
      </c>
      <c r="I292" s="4" t="str">
        <f>IF($A292="","",SUMIFS(tbl_ledger[数量],tbl_ledger[品番],$B292,tbl_ledger[イベント種類],"余剰化")+SUMIFS(tbl_ledger[数量],tbl_ledger[品番],$B292,tbl_ledger[イベント種類],"搬入",tbl_ledger[ロットID],"=")-SUMIFS(tbl_ledger[数量],tbl_ledger[品番],$B292,tbl_ledger[イベント種類],"充当",tbl_ledger[ロットID],"=")-SUMIFS(tbl_ledger[数量],tbl_ledger[品番],$B292,tbl_ledger[イベント種類],"発送",tbl_ledger[ロットID],"=")-SUMIFS(tbl_ledger[数量],tbl_ledger[品番],$B292,tbl_ledger[イベント種類],"倉庫A戻し",tbl_ledger[ロットID],"=")-SUMIFS(tbl_ledger[数量],tbl_ledger[品番],$B292,tbl_ledger[イベント種類],"不良発生",tbl_ledger[ロットID],"="))</f>
        <v/>
      </c>
      <c r="J292" s="4" t="str">
        <f t="shared" si="12"/>
        <v/>
      </c>
      <c r="K292" s="4" t="str">
        <f t="shared" si="13"/>
        <v/>
      </c>
      <c r="L292" s="4" t="str">
        <f t="shared" si="14"/>
        <v/>
      </c>
      <c r="M292" s="4" t="str">
        <f>IF($A292="","",IF(INDEX(tbl_plan[計画状態],ROW()-1)="キャンセル","キャンセル",IF(K292=0,"発送済",IF(L292&gt;0,"要搬出","OK"))))</f>
        <v/>
      </c>
    </row>
    <row r="293" spans="1:13" ht="15" x14ac:dyDescent="0.25">
      <c r="A293" s="4" t="str">
        <f>IFERROR(INDEX(tbl_plan[ロットID],ROW()-1),"")</f>
        <v/>
      </c>
      <c r="B293" s="4" t="str">
        <f>IF($A293="","",INDEX(tbl_plan[品番],ROW()-1))</f>
        <v/>
      </c>
      <c r="C293" s="5" t="str">
        <f>IF($A293="","",INDEX(tbl_plan[出荷週],ROW()-1))</f>
        <v/>
      </c>
      <c r="D293" s="4" t="str">
        <f>IF($A293="","",INDEX(tbl_plan[納期先],ROW()-1)&amp;"")</f>
        <v/>
      </c>
      <c r="E293" s="4" t="str">
        <f>IF($A293="","",INDEX(tbl_plan[必要数],ROW()-1))</f>
        <v/>
      </c>
      <c r="F293" s="4" t="str">
        <f>IF($A293="","",SUMIFS(tbl_plan[必要数],tbl_plan[ロットID],$A293,tbl_plan[計画状態],"有効"))</f>
        <v/>
      </c>
      <c r="G293" s="4" t="str">
        <f>IF($A293="","",SUMIFS(tbl_ledger[数量],tbl_ledger[ロットID],$A293,tbl_ledger[イベント種類],"発送"))</f>
        <v/>
      </c>
      <c r="H293" s="4" t="str">
        <f>IF($A293="","",SUMIFS(tbl_ledger[数量],tbl_ledger[ロットID],$A293,tbl_ledger[イベント種類],"搬入")+SUMIFS(tbl_ledger[数量],tbl_ledger[充当先ロットID],$A293,tbl_ledger[イベント種類],"充当")-SUMIFS(tbl_ledger[数量],tbl_ledger[ロットID],$A293,tbl_ledger[イベント種類],"充当")-SUMIFS(tbl_ledger[数量],tbl_ledger[ロットID],$A293,tbl_ledger[イベント種類],"発送")-SUMIFS(tbl_ledger[数量],tbl_ledger[ロットID],$A293,tbl_ledger[イベント種類],"倉庫A戻し")-SUMIFS(tbl_ledger[数量],tbl_ledger[ロットID],$A293,tbl_ledger[イベント種類],"余剰化")-SUMIFS(tbl_ledger[数量],tbl_ledger[ロットID],$A293,tbl_ledger[イベント種類],"不良発生"))</f>
        <v/>
      </c>
      <c r="I293" s="4" t="str">
        <f>IF($A293="","",SUMIFS(tbl_ledger[数量],tbl_ledger[品番],$B293,tbl_ledger[イベント種類],"余剰化")+SUMIFS(tbl_ledger[数量],tbl_ledger[品番],$B293,tbl_ledger[イベント種類],"搬入",tbl_ledger[ロットID],"=")-SUMIFS(tbl_ledger[数量],tbl_ledger[品番],$B293,tbl_ledger[イベント種類],"充当",tbl_ledger[ロットID],"=")-SUMIFS(tbl_ledger[数量],tbl_ledger[品番],$B293,tbl_ledger[イベント種類],"発送",tbl_ledger[ロットID],"=")-SUMIFS(tbl_ledger[数量],tbl_ledger[品番],$B293,tbl_ledger[イベント種類],"倉庫A戻し",tbl_ledger[ロットID],"=")-SUMIFS(tbl_ledger[数量],tbl_ledger[品番],$B293,tbl_ledger[イベント種類],"不良発生",tbl_ledger[ロットID],"="))</f>
        <v/>
      </c>
      <c r="J293" s="4" t="str">
        <f t="shared" si="12"/>
        <v/>
      </c>
      <c r="K293" s="4" t="str">
        <f t="shared" si="13"/>
        <v/>
      </c>
      <c r="L293" s="4" t="str">
        <f t="shared" si="14"/>
        <v/>
      </c>
      <c r="M293" s="4" t="str">
        <f>IF($A293="","",IF(INDEX(tbl_plan[計画状態],ROW()-1)="キャンセル","キャンセル",IF(K293=0,"発送済",IF(L293&gt;0,"要搬出","OK"))))</f>
        <v/>
      </c>
    </row>
    <row r="294" spans="1:13" ht="15" x14ac:dyDescent="0.25">
      <c r="A294" s="4" t="str">
        <f>IFERROR(INDEX(tbl_plan[ロットID],ROW()-1),"")</f>
        <v/>
      </c>
      <c r="B294" s="4" t="str">
        <f>IF($A294="","",INDEX(tbl_plan[品番],ROW()-1))</f>
        <v/>
      </c>
      <c r="C294" s="5" t="str">
        <f>IF($A294="","",INDEX(tbl_plan[出荷週],ROW()-1))</f>
        <v/>
      </c>
      <c r="D294" s="4" t="str">
        <f>IF($A294="","",INDEX(tbl_plan[納期先],ROW()-1)&amp;"")</f>
        <v/>
      </c>
      <c r="E294" s="4" t="str">
        <f>IF($A294="","",INDEX(tbl_plan[必要数],ROW()-1))</f>
        <v/>
      </c>
      <c r="F294" s="4" t="str">
        <f>IF($A294="","",SUMIFS(tbl_plan[必要数],tbl_plan[ロットID],$A294,tbl_plan[計画状態],"有効"))</f>
        <v/>
      </c>
      <c r="G294" s="4" t="str">
        <f>IF($A294="","",SUMIFS(tbl_ledger[数量],tbl_ledger[ロットID],$A294,tbl_ledger[イベント種類],"発送"))</f>
        <v/>
      </c>
      <c r="H294" s="4" t="str">
        <f>IF($A294="","",SUMIFS(tbl_ledger[数量],tbl_ledger[ロットID],$A294,tbl_ledger[イベント種類],"搬入")+SUMIFS(tbl_ledger[数量],tbl_ledger[充当先ロットID],$A294,tbl_ledger[イベント種類],"充当")-SUMIFS(tbl_ledger[数量],tbl_ledger[ロットID],$A294,tbl_ledger[イベント種類],"充当")-SUMIFS(tbl_ledger[数量],tbl_ledger[ロットID],$A294,tbl_ledger[イベント種類],"発送")-SUMIFS(tbl_ledger[数量],tbl_ledger[ロットID],$A294,tbl_ledger[イベント種類],"倉庫A戻し")-SUMIFS(tbl_ledger[数量],tbl_ledger[ロットID],$A294,tbl_ledger[イベント種類],"余剰化")-SUMIFS(tbl_ledger[数量],tbl_ledger[ロットID],$A294,tbl_ledger[イベント種類],"不良発生"))</f>
        <v/>
      </c>
      <c r="I294" s="4" t="str">
        <f>IF($A294="","",SUMIFS(tbl_ledger[数量],tbl_ledger[品番],$B294,tbl_ledger[イベント種類],"余剰化")+SUMIFS(tbl_ledger[数量],tbl_ledger[品番],$B294,tbl_ledger[イベント種類],"搬入",tbl_ledger[ロットID],"=")-SUMIFS(tbl_ledger[数量],tbl_ledger[品番],$B294,tbl_ledger[イベント種類],"充当",tbl_ledger[ロットID],"=")-SUMIFS(tbl_ledger[数量],tbl_ledger[品番],$B294,tbl_ledger[イベント種類],"発送",tbl_ledger[ロットID],"=")-SUMIFS(tbl_ledger[数量],tbl_ledger[品番],$B294,tbl_ledger[イベント種類],"倉庫A戻し",tbl_ledger[ロットID],"=")-SUMIFS(tbl_ledger[数量],tbl_ledger[品番],$B294,tbl_ledger[イベント種類],"不良発生",tbl_ledger[ロットID],"="))</f>
        <v/>
      </c>
      <c r="J294" s="4" t="str">
        <f t="shared" si="12"/>
        <v/>
      </c>
      <c r="K294" s="4" t="str">
        <f t="shared" si="13"/>
        <v/>
      </c>
      <c r="L294" s="4" t="str">
        <f t="shared" si="14"/>
        <v/>
      </c>
      <c r="M294" s="4" t="str">
        <f>IF($A294="","",IF(INDEX(tbl_plan[計画状態],ROW()-1)="キャンセル","キャンセル",IF(K294=0,"発送済",IF(L294&gt;0,"要搬出","OK"))))</f>
        <v/>
      </c>
    </row>
    <row r="295" spans="1:13" ht="15" x14ac:dyDescent="0.25">
      <c r="A295" s="4" t="str">
        <f>IFERROR(INDEX(tbl_plan[ロットID],ROW()-1),"")</f>
        <v/>
      </c>
      <c r="B295" s="4" t="str">
        <f>IF($A295="","",INDEX(tbl_plan[品番],ROW()-1))</f>
        <v/>
      </c>
      <c r="C295" s="5" t="str">
        <f>IF($A295="","",INDEX(tbl_plan[出荷週],ROW()-1))</f>
        <v/>
      </c>
      <c r="D295" s="4" t="str">
        <f>IF($A295="","",INDEX(tbl_plan[納期先],ROW()-1)&amp;"")</f>
        <v/>
      </c>
      <c r="E295" s="4" t="str">
        <f>IF($A295="","",INDEX(tbl_plan[必要数],ROW()-1))</f>
        <v/>
      </c>
      <c r="F295" s="4" t="str">
        <f>IF($A295="","",SUMIFS(tbl_plan[必要数],tbl_plan[ロットID],$A295,tbl_plan[計画状態],"有効"))</f>
        <v/>
      </c>
      <c r="G295" s="4" t="str">
        <f>IF($A295="","",SUMIFS(tbl_ledger[数量],tbl_ledger[ロットID],$A295,tbl_ledger[イベント種類],"発送"))</f>
        <v/>
      </c>
      <c r="H295" s="4" t="str">
        <f>IF($A295="","",SUMIFS(tbl_ledger[数量],tbl_ledger[ロットID],$A295,tbl_ledger[イベント種類],"搬入")+SUMIFS(tbl_ledger[数量],tbl_ledger[充当先ロットID],$A295,tbl_ledger[イベント種類],"充当")-SUMIFS(tbl_ledger[数量],tbl_ledger[ロットID],$A295,tbl_ledger[イベント種類],"充当")-SUMIFS(tbl_ledger[数量],tbl_ledger[ロットID],$A295,tbl_ledger[イベント種類],"発送")-SUMIFS(tbl_ledger[数量],tbl_ledger[ロットID],$A295,tbl_ledger[イベント種類],"倉庫A戻し")-SUMIFS(tbl_ledger[数量],tbl_ledger[ロットID],$A295,tbl_ledger[イベント種類],"余剰化")-SUMIFS(tbl_ledger[数量],tbl_ledger[ロットID],$A295,tbl_ledger[イベント種類],"不良発生"))</f>
        <v/>
      </c>
      <c r="I295" s="4" t="str">
        <f>IF($A295="","",SUMIFS(tbl_ledger[数量],tbl_ledger[品番],$B295,tbl_ledger[イベント種類],"余剰化")+SUMIFS(tbl_ledger[数量],tbl_ledger[品番],$B295,tbl_ledger[イベント種類],"搬入",tbl_ledger[ロットID],"=")-SUMIFS(tbl_ledger[数量],tbl_ledger[品番],$B295,tbl_ledger[イベント種類],"充当",tbl_ledger[ロットID],"=")-SUMIFS(tbl_ledger[数量],tbl_ledger[品番],$B295,tbl_ledger[イベント種類],"発送",tbl_ledger[ロットID],"=")-SUMIFS(tbl_ledger[数量],tbl_ledger[品番],$B295,tbl_ledger[イベント種類],"倉庫A戻し",tbl_ledger[ロットID],"=")-SUMIFS(tbl_ledger[数量],tbl_ledger[品番],$B295,tbl_ledger[イベント種類],"不良発生",tbl_ledger[ロットID],"="))</f>
        <v/>
      </c>
      <c r="J295" s="4" t="str">
        <f t="shared" si="12"/>
        <v/>
      </c>
      <c r="K295" s="4" t="str">
        <f t="shared" si="13"/>
        <v/>
      </c>
      <c r="L295" s="4" t="str">
        <f t="shared" si="14"/>
        <v/>
      </c>
      <c r="M295" s="4" t="str">
        <f>IF($A295="","",IF(INDEX(tbl_plan[計画状態],ROW()-1)="キャンセル","キャンセル",IF(K295=0,"発送済",IF(L295&gt;0,"要搬出","OK"))))</f>
        <v/>
      </c>
    </row>
    <row r="296" spans="1:13" ht="15" x14ac:dyDescent="0.25">
      <c r="A296" s="4" t="str">
        <f>IFERROR(INDEX(tbl_plan[ロットID],ROW()-1),"")</f>
        <v/>
      </c>
      <c r="B296" s="4" t="str">
        <f>IF($A296="","",INDEX(tbl_plan[品番],ROW()-1))</f>
        <v/>
      </c>
      <c r="C296" s="5" t="str">
        <f>IF($A296="","",INDEX(tbl_plan[出荷週],ROW()-1))</f>
        <v/>
      </c>
      <c r="D296" s="4" t="str">
        <f>IF($A296="","",INDEX(tbl_plan[納期先],ROW()-1)&amp;"")</f>
        <v/>
      </c>
      <c r="E296" s="4" t="str">
        <f>IF($A296="","",INDEX(tbl_plan[必要数],ROW()-1))</f>
        <v/>
      </c>
      <c r="F296" s="4" t="str">
        <f>IF($A296="","",SUMIFS(tbl_plan[必要数],tbl_plan[ロットID],$A296,tbl_plan[計画状態],"有効"))</f>
        <v/>
      </c>
      <c r="G296" s="4" t="str">
        <f>IF($A296="","",SUMIFS(tbl_ledger[数量],tbl_ledger[ロットID],$A296,tbl_ledger[イベント種類],"発送"))</f>
        <v/>
      </c>
      <c r="H296" s="4" t="str">
        <f>IF($A296="","",SUMIFS(tbl_ledger[数量],tbl_ledger[ロットID],$A296,tbl_ledger[イベント種類],"搬入")+SUMIFS(tbl_ledger[数量],tbl_ledger[充当先ロットID],$A296,tbl_ledger[イベント種類],"充当")-SUMIFS(tbl_ledger[数量],tbl_ledger[ロットID],$A296,tbl_ledger[イベント種類],"充当")-SUMIFS(tbl_ledger[数量],tbl_ledger[ロットID],$A296,tbl_ledger[イベント種類],"発送")-SUMIFS(tbl_ledger[数量],tbl_ledger[ロットID],$A296,tbl_ledger[イベント種類],"倉庫A戻し")-SUMIFS(tbl_ledger[数量],tbl_ledger[ロットID],$A296,tbl_ledger[イベント種類],"余剰化")-SUMIFS(tbl_ledger[数量],tbl_ledger[ロットID],$A296,tbl_ledger[イベント種類],"不良発生"))</f>
        <v/>
      </c>
      <c r="I296" s="4" t="str">
        <f>IF($A296="","",SUMIFS(tbl_ledger[数量],tbl_ledger[品番],$B296,tbl_ledger[イベント種類],"余剰化")+SUMIFS(tbl_ledger[数量],tbl_ledger[品番],$B296,tbl_ledger[イベント種類],"搬入",tbl_ledger[ロットID],"=")-SUMIFS(tbl_ledger[数量],tbl_ledger[品番],$B296,tbl_ledger[イベント種類],"充当",tbl_ledger[ロットID],"=")-SUMIFS(tbl_ledger[数量],tbl_ledger[品番],$B296,tbl_ledger[イベント種類],"発送",tbl_ledger[ロットID],"=")-SUMIFS(tbl_ledger[数量],tbl_ledger[品番],$B296,tbl_ledger[イベント種類],"倉庫A戻し",tbl_ledger[ロットID],"=")-SUMIFS(tbl_ledger[数量],tbl_ledger[品番],$B296,tbl_ledger[イベント種類],"不良発生",tbl_ledger[ロットID],"="))</f>
        <v/>
      </c>
      <c r="J296" s="4" t="str">
        <f t="shared" si="12"/>
        <v/>
      </c>
      <c r="K296" s="4" t="str">
        <f t="shared" si="13"/>
        <v/>
      </c>
      <c r="L296" s="4" t="str">
        <f t="shared" si="14"/>
        <v/>
      </c>
      <c r="M296" s="4" t="str">
        <f>IF($A296="","",IF(INDEX(tbl_plan[計画状態],ROW()-1)="キャンセル","キャンセル",IF(K296=0,"発送済",IF(L296&gt;0,"要搬出","OK"))))</f>
        <v/>
      </c>
    </row>
    <row r="297" spans="1:13" ht="15" x14ac:dyDescent="0.25">
      <c r="A297" s="4" t="str">
        <f>IFERROR(INDEX(tbl_plan[ロットID],ROW()-1),"")</f>
        <v/>
      </c>
      <c r="B297" s="4" t="str">
        <f>IF($A297="","",INDEX(tbl_plan[品番],ROW()-1))</f>
        <v/>
      </c>
      <c r="C297" s="5" t="str">
        <f>IF($A297="","",INDEX(tbl_plan[出荷週],ROW()-1))</f>
        <v/>
      </c>
      <c r="D297" s="4" t="str">
        <f>IF($A297="","",INDEX(tbl_plan[納期先],ROW()-1)&amp;"")</f>
        <v/>
      </c>
      <c r="E297" s="4" t="str">
        <f>IF($A297="","",INDEX(tbl_plan[必要数],ROW()-1))</f>
        <v/>
      </c>
      <c r="F297" s="4" t="str">
        <f>IF($A297="","",SUMIFS(tbl_plan[必要数],tbl_plan[ロットID],$A297,tbl_plan[計画状態],"有効"))</f>
        <v/>
      </c>
      <c r="G297" s="4" t="str">
        <f>IF($A297="","",SUMIFS(tbl_ledger[数量],tbl_ledger[ロットID],$A297,tbl_ledger[イベント種類],"発送"))</f>
        <v/>
      </c>
      <c r="H297" s="4" t="str">
        <f>IF($A297="","",SUMIFS(tbl_ledger[数量],tbl_ledger[ロットID],$A297,tbl_ledger[イベント種類],"搬入")+SUMIFS(tbl_ledger[数量],tbl_ledger[充当先ロットID],$A297,tbl_ledger[イベント種類],"充当")-SUMIFS(tbl_ledger[数量],tbl_ledger[ロットID],$A297,tbl_ledger[イベント種類],"充当")-SUMIFS(tbl_ledger[数量],tbl_ledger[ロットID],$A297,tbl_ledger[イベント種類],"発送")-SUMIFS(tbl_ledger[数量],tbl_ledger[ロットID],$A297,tbl_ledger[イベント種類],"倉庫A戻し")-SUMIFS(tbl_ledger[数量],tbl_ledger[ロットID],$A297,tbl_ledger[イベント種類],"余剰化")-SUMIFS(tbl_ledger[数量],tbl_ledger[ロットID],$A297,tbl_ledger[イベント種類],"不良発生"))</f>
        <v/>
      </c>
      <c r="I297" s="4" t="str">
        <f>IF($A297="","",SUMIFS(tbl_ledger[数量],tbl_ledger[品番],$B297,tbl_ledger[イベント種類],"余剰化")+SUMIFS(tbl_ledger[数量],tbl_ledger[品番],$B297,tbl_ledger[イベント種類],"搬入",tbl_ledger[ロットID],"=")-SUMIFS(tbl_ledger[数量],tbl_ledger[品番],$B297,tbl_ledger[イベント種類],"充当",tbl_ledger[ロットID],"=")-SUMIFS(tbl_ledger[数量],tbl_ledger[品番],$B297,tbl_ledger[イベント種類],"発送",tbl_ledger[ロットID],"=")-SUMIFS(tbl_ledger[数量],tbl_ledger[品番],$B297,tbl_ledger[イベント種類],"倉庫A戻し",tbl_ledger[ロットID],"=")-SUMIFS(tbl_ledger[数量],tbl_ledger[品番],$B297,tbl_ledger[イベント種類],"不良発生",tbl_ledger[ロットID],"="))</f>
        <v/>
      </c>
      <c r="J297" s="4" t="str">
        <f t="shared" si="12"/>
        <v/>
      </c>
      <c r="K297" s="4" t="str">
        <f t="shared" si="13"/>
        <v/>
      </c>
      <c r="L297" s="4" t="str">
        <f t="shared" si="14"/>
        <v/>
      </c>
      <c r="M297" s="4" t="str">
        <f>IF($A297="","",IF(INDEX(tbl_plan[計画状態],ROW()-1)="キャンセル","キャンセル",IF(K297=0,"発送済",IF(L297&gt;0,"要搬出","OK"))))</f>
        <v/>
      </c>
    </row>
    <row r="298" spans="1:13" ht="15" x14ac:dyDescent="0.25">
      <c r="A298" s="4" t="str">
        <f>IFERROR(INDEX(tbl_plan[ロットID],ROW()-1),"")</f>
        <v/>
      </c>
      <c r="B298" s="4" t="str">
        <f>IF($A298="","",INDEX(tbl_plan[品番],ROW()-1))</f>
        <v/>
      </c>
      <c r="C298" s="5" t="str">
        <f>IF($A298="","",INDEX(tbl_plan[出荷週],ROW()-1))</f>
        <v/>
      </c>
      <c r="D298" s="4" t="str">
        <f>IF($A298="","",INDEX(tbl_plan[納期先],ROW()-1)&amp;"")</f>
        <v/>
      </c>
      <c r="E298" s="4" t="str">
        <f>IF($A298="","",INDEX(tbl_plan[必要数],ROW()-1))</f>
        <v/>
      </c>
      <c r="F298" s="4" t="str">
        <f>IF($A298="","",SUMIFS(tbl_plan[必要数],tbl_plan[ロットID],$A298,tbl_plan[計画状態],"有効"))</f>
        <v/>
      </c>
      <c r="G298" s="4" t="str">
        <f>IF($A298="","",SUMIFS(tbl_ledger[数量],tbl_ledger[ロットID],$A298,tbl_ledger[イベント種類],"発送"))</f>
        <v/>
      </c>
      <c r="H298" s="4" t="str">
        <f>IF($A298="","",SUMIFS(tbl_ledger[数量],tbl_ledger[ロットID],$A298,tbl_ledger[イベント種類],"搬入")+SUMIFS(tbl_ledger[数量],tbl_ledger[充当先ロットID],$A298,tbl_ledger[イベント種類],"充当")-SUMIFS(tbl_ledger[数量],tbl_ledger[ロットID],$A298,tbl_ledger[イベント種類],"充当")-SUMIFS(tbl_ledger[数量],tbl_ledger[ロットID],$A298,tbl_ledger[イベント種類],"発送")-SUMIFS(tbl_ledger[数量],tbl_ledger[ロットID],$A298,tbl_ledger[イベント種類],"倉庫A戻し")-SUMIFS(tbl_ledger[数量],tbl_ledger[ロットID],$A298,tbl_ledger[イベント種類],"余剰化")-SUMIFS(tbl_ledger[数量],tbl_ledger[ロットID],$A298,tbl_ledger[イベント種類],"不良発生"))</f>
        <v/>
      </c>
      <c r="I298" s="4" t="str">
        <f>IF($A298="","",SUMIFS(tbl_ledger[数量],tbl_ledger[品番],$B298,tbl_ledger[イベント種類],"余剰化")+SUMIFS(tbl_ledger[数量],tbl_ledger[品番],$B298,tbl_ledger[イベント種類],"搬入",tbl_ledger[ロットID],"=")-SUMIFS(tbl_ledger[数量],tbl_ledger[品番],$B298,tbl_ledger[イベント種類],"充当",tbl_ledger[ロットID],"=")-SUMIFS(tbl_ledger[数量],tbl_ledger[品番],$B298,tbl_ledger[イベント種類],"発送",tbl_ledger[ロットID],"=")-SUMIFS(tbl_ledger[数量],tbl_ledger[品番],$B298,tbl_ledger[イベント種類],"倉庫A戻し",tbl_ledger[ロットID],"=")-SUMIFS(tbl_ledger[数量],tbl_ledger[品番],$B298,tbl_ledger[イベント種類],"不良発生",tbl_ledger[ロットID],"="))</f>
        <v/>
      </c>
      <c r="J298" s="4" t="str">
        <f t="shared" si="12"/>
        <v/>
      </c>
      <c r="K298" s="4" t="str">
        <f t="shared" si="13"/>
        <v/>
      </c>
      <c r="L298" s="4" t="str">
        <f t="shared" si="14"/>
        <v/>
      </c>
      <c r="M298" s="4" t="str">
        <f>IF($A298="","",IF(INDEX(tbl_plan[計画状態],ROW()-1)="キャンセル","キャンセル",IF(K298=0,"発送済",IF(L298&gt;0,"要搬出","OK"))))</f>
        <v/>
      </c>
    </row>
    <row r="299" spans="1:13" ht="15" x14ac:dyDescent="0.25">
      <c r="A299" s="4" t="str">
        <f>IFERROR(INDEX(tbl_plan[ロットID],ROW()-1),"")</f>
        <v/>
      </c>
      <c r="B299" s="4" t="str">
        <f>IF($A299="","",INDEX(tbl_plan[品番],ROW()-1))</f>
        <v/>
      </c>
      <c r="C299" s="5" t="str">
        <f>IF($A299="","",INDEX(tbl_plan[出荷週],ROW()-1))</f>
        <v/>
      </c>
      <c r="D299" s="4" t="str">
        <f>IF($A299="","",INDEX(tbl_plan[納期先],ROW()-1)&amp;"")</f>
        <v/>
      </c>
      <c r="E299" s="4" t="str">
        <f>IF($A299="","",INDEX(tbl_plan[必要数],ROW()-1))</f>
        <v/>
      </c>
      <c r="F299" s="4" t="str">
        <f>IF($A299="","",SUMIFS(tbl_plan[必要数],tbl_plan[ロットID],$A299,tbl_plan[計画状態],"有効"))</f>
        <v/>
      </c>
      <c r="G299" s="4" t="str">
        <f>IF($A299="","",SUMIFS(tbl_ledger[数量],tbl_ledger[ロットID],$A299,tbl_ledger[イベント種類],"発送"))</f>
        <v/>
      </c>
      <c r="H299" s="4" t="str">
        <f>IF($A299="","",SUMIFS(tbl_ledger[数量],tbl_ledger[ロットID],$A299,tbl_ledger[イベント種類],"搬入")+SUMIFS(tbl_ledger[数量],tbl_ledger[充当先ロットID],$A299,tbl_ledger[イベント種類],"充当")-SUMIFS(tbl_ledger[数量],tbl_ledger[ロットID],$A299,tbl_ledger[イベント種類],"充当")-SUMIFS(tbl_ledger[数量],tbl_ledger[ロットID],$A299,tbl_ledger[イベント種類],"発送")-SUMIFS(tbl_ledger[数量],tbl_ledger[ロットID],$A299,tbl_ledger[イベント種類],"倉庫A戻し")-SUMIFS(tbl_ledger[数量],tbl_ledger[ロットID],$A299,tbl_ledger[イベント種類],"余剰化")-SUMIFS(tbl_ledger[数量],tbl_ledger[ロットID],$A299,tbl_ledger[イベント種類],"不良発生"))</f>
        <v/>
      </c>
      <c r="I299" s="4" t="str">
        <f>IF($A299="","",SUMIFS(tbl_ledger[数量],tbl_ledger[品番],$B299,tbl_ledger[イベント種類],"余剰化")+SUMIFS(tbl_ledger[数量],tbl_ledger[品番],$B299,tbl_ledger[イベント種類],"搬入",tbl_ledger[ロットID],"=")-SUMIFS(tbl_ledger[数量],tbl_ledger[品番],$B299,tbl_ledger[イベント種類],"充当",tbl_ledger[ロットID],"=")-SUMIFS(tbl_ledger[数量],tbl_ledger[品番],$B299,tbl_ledger[イベント種類],"発送",tbl_ledger[ロットID],"=")-SUMIFS(tbl_ledger[数量],tbl_ledger[品番],$B299,tbl_ledger[イベント種類],"倉庫A戻し",tbl_ledger[ロットID],"=")-SUMIFS(tbl_ledger[数量],tbl_ledger[品番],$B299,tbl_ledger[イベント種類],"不良発生",tbl_ledger[ロットID],"="))</f>
        <v/>
      </c>
      <c r="J299" s="4" t="str">
        <f t="shared" si="12"/>
        <v/>
      </c>
      <c r="K299" s="4" t="str">
        <f t="shared" si="13"/>
        <v/>
      </c>
      <c r="L299" s="4" t="str">
        <f t="shared" si="14"/>
        <v/>
      </c>
      <c r="M299" s="4" t="str">
        <f>IF($A299="","",IF(INDEX(tbl_plan[計画状態],ROW()-1)="キャンセル","キャンセル",IF(K299=0,"発送済",IF(L299&gt;0,"要搬出","OK"))))</f>
        <v/>
      </c>
    </row>
    <row r="300" spans="1:13" ht="15" x14ac:dyDescent="0.25">
      <c r="A300" s="4" t="str">
        <f>IFERROR(INDEX(tbl_plan[ロットID],ROW()-1),"")</f>
        <v/>
      </c>
      <c r="B300" s="4" t="str">
        <f>IF($A300="","",INDEX(tbl_plan[品番],ROW()-1))</f>
        <v/>
      </c>
      <c r="C300" s="5" t="str">
        <f>IF($A300="","",INDEX(tbl_plan[出荷週],ROW()-1))</f>
        <v/>
      </c>
      <c r="D300" s="4" t="str">
        <f>IF($A300="","",INDEX(tbl_plan[納期先],ROW()-1)&amp;"")</f>
        <v/>
      </c>
      <c r="E300" s="4" t="str">
        <f>IF($A300="","",INDEX(tbl_plan[必要数],ROW()-1))</f>
        <v/>
      </c>
      <c r="F300" s="4" t="str">
        <f>IF($A300="","",SUMIFS(tbl_plan[必要数],tbl_plan[ロットID],$A300,tbl_plan[計画状態],"有効"))</f>
        <v/>
      </c>
      <c r="G300" s="4" t="str">
        <f>IF($A300="","",SUMIFS(tbl_ledger[数量],tbl_ledger[ロットID],$A300,tbl_ledger[イベント種類],"発送"))</f>
        <v/>
      </c>
      <c r="H300" s="4" t="str">
        <f>IF($A300="","",SUMIFS(tbl_ledger[数量],tbl_ledger[ロットID],$A300,tbl_ledger[イベント種類],"搬入")+SUMIFS(tbl_ledger[数量],tbl_ledger[充当先ロットID],$A300,tbl_ledger[イベント種類],"充当")-SUMIFS(tbl_ledger[数量],tbl_ledger[ロットID],$A300,tbl_ledger[イベント種類],"充当")-SUMIFS(tbl_ledger[数量],tbl_ledger[ロットID],$A300,tbl_ledger[イベント種類],"発送")-SUMIFS(tbl_ledger[数量],tbl_ledger[ロットID],$A300,tbl_ledger[イベント種類],"倉庫A戻し")-SUMIFS(tbl_ledger[数量],tbl_ledger[ロットID],$A300,tbl_ledger[イベント種類],"余剰化")-SUMIFS(tbl_ledger[数量],tbl_ledger[ロットID],$A300,tbl_ledger[イベント種類],"不良発生"))</f>
        <v/>
      </c>
      <c r="I300" s="4" t="str">
        <f>IF($A300="","",SUMIFS(tbl_ledger[数量],tbl_ledger[品番],$B300,tbl_ledger[イベント種類],"余剰化")+SUMIFS(tbl_ledger[数量],tbl_ledger[品番],$B300,tbl_ledger[イベント種類],"搬入",tbl_ledger[ロットID],"=")-SUMIFS(tbl_ledger[数量],tbl_ledger[品番],$B300,tbl_ledger[イベント種類],"充当",tbl_ledger[ロットID],"=")-SUMIFS(tbl_ledger[数量],tbl_ledger[品番],$B300,tbl_ledger[イベント種類],"発送",tbl_ledger[ロットID],"=")-SUMIFS(tbl_ledger[数量],tbl_ledger[品番],$B300,tbl_ledger[イベント種類],"倉庫A戻し",tbl_ledger[ロットID],"=")-SUMIFS(tbl_ledger[数量],tbl_ledger[品番],$B300,tbl_ledger[イベント種類],"不良発生",tbl_ledger[ロットID],"="))</f>
        <v/>
      </c>
      <c r="J300" s="4" t="str">
        <f t="shared" si="12"/>
        <v/>
      </c>
      <c r="K300" s="4" t="str">
        <f t="shared" si="13"/>
        <v/>
      </c>
      <c r="L300" s="4" t="str">
        <f t="shared" si="14"/>
        <v/>
      </c>
      <c r="M300" s="4" t="str">
        <f>IF($A300="","",IF(INDEX(tbl_plan[計画状態],ROW()-1)="キャンセル","キャンセル",IF(K300=0,"発送済",IF(L300&gt;0,"要搬出","OK"))))</f>
        <v/>
      </c>
    </row>
    <row r="301" spans="1:13" ht="15" x14ac:dyDescent="0.25">
      <c r="A301" s="4" t="str">
        <f>IFERROR(INDEX(tbl_plan[ロットID],ROW()-1),"")</f>
        <v/>
      </c>
      <c r="B301" s="4" t="str">
        <f>IF($A301="","",INDEX(tbl_plan[品番],ROW()-1))</f>
        <v/>
      </c>
      <c r="C301" s="5" t="str">
        <f>IF($A301="","",INDEX(tbl_plan[出荷週],ROW()-1))</f>
        <v/>
      </c>
      <c r="D301" s="4" t="str">
        <f>IF($A301="","",INDEX(tbl_plan[納期先],ROW()-1)&amp;"")</f>
        <v/>
      </c>
      <c r="E301" s="4" t="str">
        <f>IF($A301="","",INDEX(tbl_plan[必要数],ROW()-1))</f>
        <v/>
      </c>
      <c r="F301" s="4" t="str">
        <f>IF($A301="","",SUMIFS(tbl_plan[必要数],tbl_plan[ロットID],$A301,tbl_plan[計画状態],"有効"))</f>
        <v/>
      </c>
      <c r="G301" s="4" t="str">
        <f>IF($A301="","",SUMIFS(tbl_ledger[数量],tbl_ledger[ロットID],$A301,tbl_ledger[イベント種類],"発送"))</f>
        <v/>
      </c>
      <c r="H301" s="4" t="str">
        <f>IF($A301="","",SUMIFS(tbl_ledger[数量],tbl_ledger[ロットID],$A301,tbl_ledger[イベント種類],"搬入")+SUMIFS(tbl_ledger[数量],tbl_ledger[充当先ロットID],$A301,tbl_ledger[イベント種類],"充当")-SUMIFS(tbl_ledger[数量],tbl_ledger[ロットID],$A301,tbl_ledger[イベント種類],"充当")-SUMIFS(tbl_ledger[数量],tbl_ledger[ロットID],$A301,tbl_ledger[イベント種類],"発送")-SUMIFS(tbl_ledger[数量],tbl_ledger[ロットID],$A301,tbl_ledger[イベント種類],"倉庫A戻し")-SUMIFS(tbl_ledger[数量],tbl_ledger[ロットID],$A301,tbl_ledger[イベント種類],"余剰化")-SUMIFS(tbl_ledger[数量],tbl_ledger[ロットID],$A301,tbl_ledger[イベント種類],"不良発生"))</f>
        <v/>
      </c>
      <c r="I301" s="4" t="str">
        <f>IF($A301="","",SUMIFS(tbl_ledger[数量],tbl_ledger[品番],$B301,tbl_ledger[イベント種類],"余剰化")+SUMIFS(tbl_ledger[数量],tbl_ledger[品番],$B301,tbl_ledger[イベント種類],"搬入",tbl_ledger[ロットID],"=")-SUMIFS(tbl_ledger[数量],tbl_ledger[品番],$B301,tbl_ledger[イベント種類],"充当",tbl_ledger[ロットID],"=")-SUMIFS(tbl_ledger[数量],tbl_ledger[品番],$B301,tbl_ledger[イベント種類],"発送",tbl_ledger[ロットID],"=")-SUMIFS(tbl_ledger[数量],tbl_ledger[品番],$B301,tbl_ledger[イベント種類],"倉庫A戻し",tbl_ledger[ロットID],"=")-SUMIFS(tbl_ledger[数量],tbl_ledger[品番],$B301,tbl_ledger[イベント種類],"不良発生",tbl_ledger[ロットID],"="))</f>
        <v/>
      </c>
      <c r="J301" s="4" t="str">
        <f t="shared" si="12"/>
        <v/>
      </c>
      <c r="K301" s="4" t="str">
        <f t="shared" si="13"/>
        <v/>
      </c>
      <c r="L301" s="4" t="str">
        <f t="shared" si="14"/>
        <v/>
      </c>
      <c r="M301" s="4" t="str">
        <f>IF($A301="","",IF(INDEX(tbl_plan[計画状態],ROW()-1)="キャンセル","キャンセル",IF(K301=0,"発送済",IF(L301&gt;0,"要搬出","OK"))))</f>
        <v/>
      </c>
    </row>
  </sheetData>
  <phoneticPr fontId="4"/>
  <conditionalFormatting sqref="M2:M301">
    <cfRule type="expression" dxfId="0" priority="1">
      <formula>ISNUMBER(SEARCH("要搬出",M2))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2" width="22" customWidth="1"/>
    <col min="3" max="3" width="12" customWidth="1"/>
    <col min="4" max="4" width="10" customWidth="1"/>
    <col min="5" max="5" width="12" customWidth="1"/>
    <col min="6" max="6" width="14" customWidth="1"/>
    <col min="7" max="7" width="10" customWidth="1"/>
    <col min="8" max="8" width="13" customWidth="1"/>
    <col min="9" max="10" width="8" customWidth="1"/>
  </cols>
  <sheetData>
    <row r="1" spans="1:10" ht="15" x14ac:dyDescent="0.25">
      <c r="A1" s="3" t="s">
        <v>81</v>
      </c>
      <c r="B1" s="3" t="s">
        <v>68</v>
      </c>
      <c r="C1" s="3" t="s">
        <v>69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</row>
    <row r="2" spans="1:10" ht="15" x14ac:dyDescent="0.25">
      <c r="A2" s="4" t="str">
        <f t="shared" ref="A2:A65" si="0">IF($B2="","","ロット")</f>
        <v>ロット</v>
      </c>
      <c r="B2" s="4" t="str">
        <f>IFERROR(IF(COUNTIF($B$1:$B1,INDEX(tbl_plan[ロットID],ROW()-1))&gt;0,"",INDEX(tbl_plan[ロットID],ROW()-1)),"")</f>
        <v>PN-002_2026-07-13</v>
      </c>
      <c r="C2" s="4" t="str">
        <f>IF($B2="","",INDEX(tbl_plan[品番],ROW()-1))</f>
        <v>PN-002</v>
      </c>
      <c r="D2" s="4">
        <f>IF($B2="","",SUMIFS(tbl_ledger[数量],tbl_ledger[ロットID],$B2,tbl_ledger[イベント種類],"搬入")+SUMIFS(tbl_ledger[数量],tbl_ledger[充当先ロットID],$B2,tbl_ledger[イベント種類],"充当",tbl_ledger[元状態],D$1)-SUMIFS(tbl_ledger[数量],tbl_ledger[ロットID],$B2,tbl_ledger[元状態],D$1))</f>
        <v>0</v>
      </c>
      <c r="E2" s="4">
        <f>IF($B2="","",SUMIFS(tbl_ledger[数量],tbl_ledger[ロットID],$B2,tbl_ledger[イベント種類],"アニール完了")+SUMIFS(tbl_ledger[数量],tbl_ledger[充当先ロットID],$B2,tbl_ledger[イベント種類],"充当",tbl_ledger[元状態],E$1)-SUMIFS(tbl_ledger[数量],tbl_ledger[ロットID],$B2,tbl_ledger[元状態],E$1))</f>
        <v>0</v>
      </c>
      <c r="F2" s="4">
        <f>IF($B2="","",SUMIFS(tbl_ledger[数量],tbl_ledger[ロットID],$B2,tbl_ledger[イベント種類],"アセンブリ完了")+SUMIFS(tbl_ledger[数量],tbl_ledger[充当先ロットID],$B2,tbl_ledger[イベント種類],"充当",tbl_ledger[元状態],F$1)-SUMIFS(tbl_ledger[数量],tbl_ledger[ロットID],$B2,tbl_ledger[元状態],F$1))</f>
        <v>0</v>
      </c>
      <c r="G2" s="4">
        <f>IF($B2="","",SUMIFS(tbl_ledger[数量],tbl_ledger[ロットID],$B2,tbl_ledger[イベント種類],"梱包完了")+SUMIFS(tbl_ledger[数量],tbl_ledger[充当先ロットID],$B2,tbl_ledger[イベント種類],"充当",tbl_ledger[元状態],G$1)-SUMIFS(tbl_ledger[数量],tbl_ledger[ロットID],$B2,tbl_ledger[元状態],G$1))</f>
        <v>0</v>
      </c>
      <c r="H2" s="4">
        <f>IF($B2="","",SUMIFS(tbl_ledger[数量],tbl_ledger[ロットID],$B2,tbl_ledger[イベント種類],"発送準備完了")+SUMIFS(tbl_ledger[数量],tbl_ledger[充当先ロットID],$B2,tbl_ledger[イベント種類],"充当",tbl_ledger[元状態],H$1)-SUMIFS(tbl_ledger[数量],tbl_ledger[ロットID],$B2,tbl_ledger[元状態],H$1))</f>
        <v>0</v>
      </c>
      <c r="I2" s="4">
        <f>IF($B2="","",SUMIFS(tbl_ledger[数量],tbl_ledger[ロットID],$B2,tbl_ledger[イベント種類],"不良発生")+SUMIFS(tbl_ledger[数量],tbl_ledger[充当先ロットID],$B2,tbl_ledger[イベント種類],"充当",tbl_ledger[元状態],I$1)-SUMIFS(tbl_ledger[数量],tbl_ledger[ロットID],$B2,tbl_ledger[元状態],I$1))</f>
        <v>1</v>
      </c>
      <c r="J2" s="4">
        <f t="shared" ref="J2:J65" si="1">IF($B2="","",SUM(D2:I2))</f>
        <v>1</v>
      </c>
    </row>
    <row r="3" spans="1:10" ht="15" x14ac:dyDescent="0.25">
      <c r="A3" s="4" t="str">
        <f t="shared" si="0"/>
        <v/>
      </c>
      <c r="B3" s="4" t="str">
        <f>IFERROR(IF(COUNTIF($B$1:$B2,INDEX(tbl_plan[ロットID],ROW()-1))&gt;0,"",INDEX(tbl_plan[ロットID],ROW()-1)),"")</f>
        <v/>
      </c>
      <c r="C3" s="4" t="str">
        <f>IF($B3="","",INDEX(tbl_plan[品番],ROW()-1))</f>
        <v/>
      </c>
      <c r="D3" s="4" t="str">
        <f>IF($B3="","",SUMIFS(tbl_ledger[数量],tbl_ledger[ロットID],$B3,tbl_ledger[イベント種類],"搬入")+SUMIFS(tbl_ledger[数量],tbl_ledger[充当先ロットID],$B3,tbl_ledger[イベント種類],"充当",tbl_ledger[元状態],D$1)-SUMIFS(tbl_ledger[数量],tbl_ledger[ロットID],$B3,tbl_ledger[元状態],D$1))</f>
        <v/>
      </c>
      <c r="E3" s="4" t="str">
        <f>IF($B3="","",SUMIFS(tbl_ledger[数量],tbl_ledger[ロットID],$B3,tbl_ledger[イベント種類],"アニール完了")+SUMIFS(tbl_ledger[数量],tbl_ledger[充当先ロットID],$B3,tbl_ledger[イベント種類],"充当",tbl_ledger[元状態],E$1)-SUMIFS(tbl_ledger[数量],tbl_ledger[ロットID],$B3,tbl_ledger[元状態],E$1))</f>
        <v/>
      </c>
      <c r="F3" s="4" t="str">
        <f>IF($B3="","",SUMIFS(tbl_ledger[数量],tbl_ledger[ロットID],$B3,tbl_ledger[イベント種類],"アセンブリ完了")+SUMIFS(tbl_ledger[数量],tbl_ledger[充当先ロットID],$B3,tbl_ledger[イベント種類],"充当",tbl_ledger[元状態],F$1)-SUMIFS(tbl_ledger[数量],tbl_ledger[ロットID],$B3,tbl_ledger[元状態],F$1))</f>
        <v/>
      </c>
      <c r="G3" s="4" t="str">
        <f>IF($B3="","",SUMIFS(tbl_ledger[数量],tbl_ledger[ロットID],$B3,tbl_ledger[イベント種類],"梱包完了")+SUMIFS(tbl_ledger[数量],tbl_ledger[充当先ロットID],$B3,tbl_ledger[イベント種類],"充当",tbl_ledger[元状態],G$1)-SUMIFS(tbl_ledger[数量],tbl_ledger[ロットID],$B3,tbl_ledger[元状態],G$1))</f>
        <v/>
      </c>
      <c r="H3" s="4" t="str">
        <f>IF($B3="","",SUMIFS(tbl_ledger[数量],tbl_ledger[ロットID],$B3,tbl_ledger[イベント種類],"発送準備完了")+SUMIFS(tbl_ledger[数量],tbl_ledger[充当先ロットID],$B3,tbl_ledger[イベント種類],"充当",tbl_ledger[元状態],H$1)-SUMIFS(tbl_ledger[数量],tbl_ledger[ロットID],$B3,tbl_ledger[元状態],H$1))</f>
        <v/>
      </c>
      <c r="I3" s="4" t="str">
        <f>IF($B3="","",SUMIFS(tbl_ledger[数量],tbl_ledger[ロットID],$B3,tbl_ledger[イベント種類],"不良発生")+SUMIFS(tbl_ledger[数量],tbl_ledger[充当先ロットID],$B3,tbl_ledger[イベント種類],"充当",tbl_ledger[元状態],I$1)-SUMIFS(tbl_ledger[数量],tbl_ledger[ロットID],$B3,tbl_ledger[元状態],I$1))</f>
        <v/>
      </c>
      <c r="J3" s="4" t="str">
        <f t="shared" si="1"/>
        <v/>
      </c>
    </row>
    <row r="4" spans="1:10" ht="15" x14ac:dyDescent="0.25">
      <c r="A4" s="4" t="str">
        <f t="shared" si="0"/>
        <v>ロット</v>
      </c>
      <c r="B4" s="4" t="str">
        <f>IFERROR(IF(COUNTIF($B$1:$B3,INDEX(tbl_plan[ロットID],ROW()-1))&gt;0,"",INDEX(tbl_plan[ロットID],ROW()-1)),"")</f>
        <v>PN-001_2026-07-20</v>
      </c>
      <c r="C4" s="4" t="str">
        <f>IF($B4="","",INDEX(tbl_plan[品番],ROW()-1))</f>
        <v>PN-001</v>
      </c>
      <c r="D4" s="4">
        <f>IF($B4="","",SUMIFS(tbl_ledger[数量],tbl_ledger[ロットID],$B4,tbl_ledger[イベント種類],"搬入")+SUMIFS(tbl_ledger[数量],tbl_ledger[充当先ロットID],$B4,tbl_ledger[イベント種類],"充当",tbl_ledger[元状態],D$1)-SUMIFS(tbl_ledger[数量],tbl_ledger[ロットID],$B4,tbl_ledger[元状態],D$1))</f>
        <v>12</v>
      </c>
      <c r="E4" s="4">
        <f>IF($B4="","",SUMIFS(tbl_ledger[数量],tbl_ledger[ロットID],$B4,tbl_ledger[イベント種類],"アニール完了")+SUMIFS(tbl_ledger[数量],tbl_ledger[充当先ロットID],$B4,tbl_ledger[イベント種類],"充当",tbl_ledger[元状態],E$1)-SUMIFS(tbl_ledger[数量],tbl_ledger[ロットID],$B4,tbl_ledger[元状態],E$1))</f>
        <v>0</v>
      </c>
      <c r="F4" s="4">
        <f>IF($B4="","",SUMIFS(tbl_ledger[数量],tbl_ledger[ロットID],$B4,tbl_ledger[イベント種類],"アセンブリ完了")+SUMIFS(tbl_ledger[数量],tbl_ledger[充当先ロットID],$B4,tbl_ledger[イベント種類],"充当",tbl_ledger[元状態],F$1)-SUMIFS(tbl_ledger[数量],tbl_ledger[ロットID],$B4,tbl_ledger[元状態],F$1))</f>
        <v>0</v>
      </c>
      <c r="G4" s="4">
        <f>IF($B4="","",SUMIFS(tbl_ledger[数量],tbl_ledger[ロットID],$B4,tbl_ledger[イベント種類],"梱包完了")+SUMIFS(tbl_ledger[数量],tbl_ledger[充当先ロットID],$B4,tbl_ledger[イベント種類],"充当",tbl_ledger[元状態],G$1)-SUMIFS(tbl_ledger[数量],tbl_ledger[ロットID],$B4,tbl_ledger[元状態],G$1))</f>
        <v>0</v>
      </c>
      <c r="H4" s="4">
        <f>IF($B4="","",SUMIFS(tbl_ledger[数量],tbl_ledger[ロットID],$B4,tbl_ledger[イベント種類],"発送準備完了")+SUMIFS(tbl_ledger[数量],tbl_ledger[充当先ロットID],$B4,tbl_ledger[イベント種類],"充当",tbl_ledger[元状態],H$1)-SUMIFS(tbl_ledger[数量],tbl_ledger[ロットID],$B4,tbl_ledger[元状態],H$1))</f>
        <v>0</v>
      </c>
      <c r="I4" s="4">
        <f>IF($B4="","",SUMIFS(tbl_ledger[数量],tbl_ledger[ロットID],$B4,tbl_ledger[イベント種類],"不良発生")+SUMIFS(tbl_ledger[数量],tbl_ledger[充当先ロットID],$B4,tbl_ledger[イベント種類],"充当",tbl_ledger[元状態],I$1)-SUMIFS(tbl_ledger[数量],tbl_ledger[ロットID],$B4,tbl_ledger[元状態],I$1))</f>
        <v>0</v>
      </c>
      <c r="J4" s="4">
        <f t="shared" si="1"/>
        <v>12</v>
      </c>
    </row>
    <row r="5" spans="1:10" ht="15" x14ac:dyDescent="0.25">
      <c r="A5" s="4" t="str">
        <f t="shared" si="0"/>
        <v>ロット</v>
      </c>
      <c r="B5" s="4" t="str">
        <f>IFERROR(IF(COUNTIF($B$1:$B4,INDEX(tbl_plan[ロットID],ROW()-1))&gt;0,"",INDEX(tbl_plan[ロットID],ROW()-1)),"")</f>
        <v>PN-003_2026-07-20</v>
      </c>
      <c r="C5" s="4" t="str">
        <f>IF($B5="","",INDEX(tbl_plan[品番],ROW()-1))</f>
        <v>PN-003</v>
      </c>
      <c r="D5" s="4">
        <f>IF($B5="","",SUMIFS(tbl_ledger[数量],tbl_ledger[ロットID],$B5,tbl_ledger[イベント種類],"搬入")+SUMIFS(tbl_ledger[数量],tbl_ledger[充当先ロットID],$B5,tbl_ledger[イベント種類],"充当",tbl_ledger[元状態],D$1)-SUMIFS(tbl_ledger[数量],tbl_ledger[ロットID],$B5,tbl_ledger[元状態],D$1))</f>
        <v>0</v>
      </c>
      <c r="E5" s="4">
        <f>IF($B5="","",SUMIFS(tbl_ledger[数量],tbl_ledger[ロットID],$B5,tbl_ledger[イベント種類],"アニール完了")+SUMIFS(tbl_ledger[数量],tbl_ledger[充当先ロットID],$B5,tbl_ledger[イベント種類],"充当",tbl_ledger[元状態],E$1)-SUMIFS(tbl_ledger[数量],tbl_ledger[ロットID],$B5,tbl_ledger[元状態],E$1))</f>
        <v>0</v>
      </c>
      <c r="F5" s="4">
        <f>IF($B5="","",SUMIFS(tbl_ledger[数量],tbl_ledger[ロットID],$B5,tbl_ledger[イベント種類],"アセンブリ完了")+SUMIFS(tbl_ledger[数量],tbl_ledger[充当先ロットID],$B5,tbl_ledger[イベント種類],"充当",tbl_ledger[元状態],F$1)-SUMIFS(tbl_ledger[数量],tbl_ledger[ロットID],$B5,tbl_ledger[元状態],F$1))</f>
        <v>0</v>
      </c>
      <c r="G5" s="4">
        <f>IF($B5="","",SUMIFS(tbl_ledger[数量],tbl_ledger[ロットID],$B5,tbl_ledger[イベント種類],"梱包完了")+SUMIFS(tbl_ledger[数量],tbl_ledger[充当先ロットID],$B5,tbl_ledger[イベント種類],"充当",tbl_ledger[元状態],G$1)-SUMIFS(tbl_ledger[数量],tbl_ledger[ロットID],$B5,tbl_ledger[元状態],G$1))</f>
        <v>0</v>
      </c>
      <c r="H5" s="4">
        <f>IF($B5="","",SUMIFS(tbl_ledger[数量],tbl_ledger[ロットID],$B5,tbl_ledger[イベント種類],"発送準備完了")+SUMIFS(tbl_ledger[数量],tbl_ledger[充当先ロットID],$B5,tbl_ledger[イベント種類],"充当",tbl_ledger[元状態],H$1)-SUMIFS(tbl_ledger[数量],tbl_ledger[ロットID],$B5,tbl_ledger[元状態],H$1))</f>
        <v>0</v>
      </c>
      <c r="I5" s="4">
        <f>IF($B5="","",SUMIFS(tbl_ledger[数量],tbl_ledger[ロットID],$B5,tbl_ledger[イベント種類],"不良発生")+SUMIFS(tbl_ledger[数量],tbl_ledger[充当先ロットID],$B5,tbl_ledger[イベント種類],"充当",tbl_ledger[元状態],I$1)-SUMIFS(tbl_ledger[数量],tbl_ledger[ロットID],$B5,tbl_ledger[元状態],I$1))</f>
        <v>0</v>
      </c>
      <c r="J5" s="4">
        <f t="shared" si="1"/>
        <v>0</v>
      </c>
    </row>
    <row r="6" spans="1:10" ht="15" x14ac:dyDescent="0.25">
      <c r="A6" s="4" t="str">
        <f t="shared" si="0"/>
        <v/>
      </c>
      <c r="B6" s="4" t="str">
        <f>IFERROR(IF(COUNTIF($B$1:$B5,INDEX(tbl_plan[ロットID],ROW()-1))&gt;0,"",INDEX(tbl_plan[ロットID],ROW()-1)),"")</f>
        <v/>
      </c>
      <c r="C6" s="4" t="str">
        <f>IF($B6="","",INDEX(tbl_plan[品番],ROW()-1))</f>
        <v/>
      </c>
      <c r="D6" s="4" t="str">
        <f>IF($B6="","",SUMIFS(tbl_ledger[数量],tbl_ledger[ロットID],$B6,tbl_ledger[イベント種類],"搬入")+SUMIFS(tbl_ledger[数量],tbl_ledger[充当先ロットID],$B6,tbl_ledger[イベント種類],"充当",tbl_ledger[元状態],D$1)-SUMIFS(tbl_ledger[数量],tbl_ledger[ロットID],$B6,tbl_ledger[元状態],D$1))</f>
        <v/>
      </c>
      <c r="E6" s="4" t="str">
        <f>IF($B6="","",SUMIFS(tbl_ledger[数量],tbl_ledger[ロットID],$B6,tbl_ledger[イベント種類],"アニール完了")+SUMIFS(tbl_ledger[数量],tbl_ledger[充当先ロットID],$B6,tbl_ledger[イベント種類],"充当",tbl_ledger[元状態],E$1)-SUMIFS(tbl_ledger[数量],tbl_ledger[ロットID],$B6,tbl_ledger[元状態],E$1))</f>
        <v/>
      </c>
      <c r="F6" s="4" t="str">
        <f>IF($B6="","",SUMIFS(tbl_ledger[数量],tbl_ledger[ロットID],$B6,tbl_ledger[イベント種類],"アセンブリ完了")+SUMIFS(tbl_ledger[数量],tbl_ledger[充当先ロットID],$B6,tbl_ledger[イベント種類],"充当",tbl_ledger[元状態],F$1)-SUMIFS(tbl_ledger[数量],tbl_ledger[ロットID],$B6,tbl_ledger[元状態],F$1))</f>
        <v/>
      </c>
      <c r="G6" s="4" t="str">
        <f>IF($B6="","",SUMIFS(tbl_ledger[数量],tbl_ledger[ロットID],$B6,tbl_ledger[イベント種類],"梱包完了")+SUMIFS(tbl_ledger[数量],tbl_ledger[充当先ロットID],$B6,tbl_ledger[イベント種類],"充当",tbl_ledger[元状態],G$1)-SUMIFS(tbl_ledger[数量],tbl_ledger[ロットID],$B6,tbl_ledger[元状態],G$1))</f>
        <v/>
      </c>
      <c r="H6" s="4" t="str">
        <f>IF($B6="","",SUMIFS(tbl_ledger[数量],tbl_ledger[ロットID],$B6,tbl_ledger[イベント種類],"発送準備完了")+SUMIFS(tbl_ledger[数量],tbl_ledger[充当先ロットID],$B6,tbl_ledger[イベント種類],"充当",tbl_ledger[元状態],H$1)-SUMIFS(tbl_ledger[数量],tbl_ledger[ロットID],$B6,tbl_ledger[元状態],H$1))</f>
        <v/>
      </c>
      <c r="I6" s="4" t="str">
        <f>IF($B6="","",SUMIFS(tbl_ledger[数量],tbl_ledger[ロットID],$B6,tbl_ledger[イベント種類],"不良発生")+SUMIFS(tbl_ledger[数量],tbl_ledger[充当先ロットID],$B6,tbl_ledger[イベント種類],"充当",tbl_ledger[元状態],I$1)-SUMIFS(tbl_ledger[数量],tbl_ledger[ロットID],$B6,tbl_ledger[元状態],I$1))</f>
        <v/>
      </c>
      <c r="J6" s="4" t="str">
        <f t="shared" si="1"/>
        <v/>
      </c>
    </row>
    <row r="7" spans="1:10" ht="15" x14ac:dyDescent="0.25">
      <c r="A7" s="4" t="str">
        <f t="shared" si="0"/>
        <v/>
      </c>
      <c r="B7" s="4" t="str">
        <f>IFERROR(IF(COUNTIF($B$1:$B6,INDEX(tbl_plan[ロットID],ROW()-1))&gt;0,"",INDEX(tbl_plan[ロットID],ROW()-1)),"")</f>
        <v/>
      </c>
      <c r="C7" s="4" t="str">
        <f>IF($B7="","",INDEX(tbl_plan[品番],ROW()-1))</f>
        <v/>
      </c>
      <c r="D7" s="4" t="str">
        <f>IF($B7="","",SUMIFS(tbl_ledger[数量],tbl_ledger[ロットID],$B7,tbl_ledger[イベント種類],"搬入")+SUMIFS(tbl_ledger[数量],tbl_ledger[充当先ロットID],$B7,tbl_ledger[イベント種類],"充当",tbl_ledger[元状態],D$1)-SUMIFS(tbl_ledger[数量],tbl_ledger[ロットID],$B7,tbl_ledger[元状態],D$1))</f>
        <v/>
      </c>
      <c r="E7" s="4" t="str">
        <f>IF($B7="","",SUMIFS(tbl_ledger[数量],tbl_ledger[ロットID],$B7,tbl_ledger[イベント種類],"アニール完了")+SUMIFS(tbl_ledger[数量],tbl_ledger[充当先ロットID],$B7,tbl_ledger[イベント種類],"充当",tbl_ledger[元状態],E$1)-SUMIFS(tbl_ledger[数量],tbl_ledger[ロットID],$B7,tbl_ledger[元状態],E$1))</f>
        <v/>
      </c>
      <c r="F7" s="4" t="str">
        <f>IF($B7="","",SUMIFS(tbl_ledger[数量],tbl_ledger[ロットID],$B7,tbl_ledger[イベント種類],"アセンブリ完了")+SUMIFS(tbl_ledger[数量],tbl_ledger[充当先ロットID],$B7,tbl_ledger[イベント種類],"充当",tbl_ledger[元状態],F$1)-SUMIFS(tbl_ledger[数量],tbl_ledger[ロットID],$B7,tbl_ledger[元状態],F$1))</f>
        <v/>
      </c>
      <c r="G7" s="4" t="str">
        <f>IF($B7="","",SUMIFS(tbl_ledger[数量],tbl_ledger[ロットID],$B7,tbl_ledger[イベント種類],"梱包完了")+SUMIFS(tbl_ledger[数量],tbl_ledger[充当先ロットID],$B7,tbl_ledger[イベント種類],"充当",tbl_ledger[元状態],G$1)-SUMIFS(tbl_ledger[数量],tbl_ledger[ロットID],$B7,tbl_ledger[元状態],G$1))</f>
        <v/>
      </c>
      <c r="H7" s="4" t="str">
        <f>IF($B7="","",SUMIFS(tbl_ledger[数量],tbl_ledger[ロットID],$B7,tbl_ledger[イベント種類],"発送準備完了")+SUMIFS(tbl_ledger[数量],tbl_ledger[充当先ロットID],$B7,tbl_ledger[イベント種類],"充当",tbl_ledger[元状態],H$1)-SUMIFS(tbl_ledger[数量],tbl_ledger[ロットID],$B7,tbl_ledger[元状態],H$1))</f>
        <v/>
      </c>
      <c r="I7" s="4" t="str">
        <f>IF($B7="","",SUMIFS(tbl_ledger[数量],tbl_ledger[ロットID],$B7,tbl_ledger[イベント種類],"不良発生")+SUMIFS(tbl_ledger[数量],tbl_ledger[充当先ロットID],$B7,tbl_ledger[イベント種類],"充当",tbl_ledger[元状態],I$1)-SUMIFS(tbl_ledger[数量],tbl_ledger[ロットID],$B7,tbl_ledger[元状態],I$1))</f>
        <v/>
      </c>
      <c r="J7" s="4" t="str">
        <f t="shared" si="1"/>
        <v/>
      </c>
    </row>
    <row r="8" spans="1:10" ht="15" x14ac:dyDescent="0.25">
      <c r="A8" s="4" t="str">
        <f t="shared" si="0"/>
        <v/>
      </c>
      <c r="B8" s="4" t="str">
        <f>IFERROR(IF(COUNTIF($B$1:$B7,INDEX(tbl_plan[ロットID],ROW()-1))&gt;0,"",INDEX(tbl_plan[ロットID],ROW()-1)),"")</f>
        <v/>
      </c>
      <c r="C8" s="4" t="str">
        <f>IF($B8="","",INDEX(tbl_plan[品番],ROW()-1))</f>
        <v/>
      </c>
      <c r="D8" s="4" t="str">
        <f>IF($B8="","",SUMIFS(tbl_ledger[数量],tbl_ledger[ロットID],$B8,tbl_ledger[イベント種類],"搬入")+SUMIFS(tbl_ledger[数量],tbl_ledger[充当先ロットID],$B8,tbl_ledger[イベント種類],"充当",tbl_ledger[元状態],D$1)-SUMIFS(tbl_ledger[数量],tbl_ledger[ロットID],$B8,tbl_ledger[元状態],D$1))</f>
        <v/>
      </c>
      <c r="E8" s="4" t="str">
        <f>IF($B8="","",SUMIFS(tbl_ledger[数量],tbl_ledger[ロットID],$B8,tbl_ledger[イベント種類],"アニール完了")+SUMIFS(tbl_ledger[数量],tbl_ledger[充当先ロットID],$B8,tbl_ledger[イベント種類],"充当",tbl_ledger[元状態],E$1)-SUMIFS(tbl_ledger[数量],tbl_ledger[ロットID],$B8,tbl_ledger[元状態],E$1))</f>
        <v/>
      </c>
      <c r="F8" s="4" t="str">
        <f>IF($B8="","",SUMIFS(tbl_ledger[数量],tbl_ledger[ロットID],$B8,tbl_ledger[イベント種類],"アセンブリ完了")+SUMIFS(tbl_ledger[数量],tbl_ledger[充当先ロットID],$B8,tbl_ledger[イベント種類],"充当",tbl_ledger[元状態],F$1)-SUMIFS(tbl_ledger[数量],tbl_ledger[ロットID],$B8,tbl_ledger[元状態],F$1))</f>
        <v/>
      </c>
      <c r="G8" s="4" t="str">
        <f>IF($B8="","",SUMIFS(tbl_ledger[数量],tbl_ledger[ロットID],$B8,tbl_ledger[イベント種類],"梱包完了")+SUMIFS(tbl_ledger[数量],tbl_ledger[充当先ロットID],$B8,tbl_ledger[イベント種類],"充当",tbl_ledger[元状態],G$1)-SUMIFS(tbl_ledger[数量],tbl_ledger[ロットID],$B8,tbl_ledger[元状態],G$1))</f>
        <v/>
      </c>
      <c r="H8" s="4" t="str">
        <f>IF($B8="","",SUMIFS(tbl_ledger[数量],tbl_ledger[ロットID],$B8,tbl_ledger[イベント種類],"発送準備完了")+SUMIFS(tbl_ledger[数量],tbl_ledger[充当先ロットID],$B8,tbl_ledger[イベント種類],"充当",tbl_ledger[元状態],H$1)-SUMIFS(tbl_ledger[数量],tbl_ledger[ロットID],$B8,tbl_ledger[元状態],H$1))</f>
        <v/>
      </c>
      <c r="I8" s="4" t="str">
        <f>IF($B8="","",SUMIFS(tbl_ledger[数量],tbl_ledger[ロットID],$B8,tbl_ledger[イベント種類],"不良発生")+SUMIFS(tbl_ledger[数量],tbl_ledger[充当先ロットID],$B8,tbl_ledger[イベント種類],"充当",tbl_ledger[元状態],I$1)-SUMIFS(tbl_ledger[数量],tbl_ledger[ロットID],$B8,tbl_ledger[元状態],I$1))</f>
        <v/>
      </c>
      <c r="J8" s="4" t="str">
        <f t="shared" si="1"/>
        <v/>
      </c>
    </row>
    <row r="9" spans="1:10" ht="15" x14ac:dyDescent="0.25">
      <c r="A9" s="4" t="str">
        <f t="shared" si="0"/>
        <v/>
      </c>
      <c r="B9" s="4" t="str">
        <f>IFERROR(IF(COUNTIF($B$1:$B8,INDEX(tbl_plan[ロットID],ROW()-1))&gt;0,"",INDEX(tbl_plan[ロットID],ROW()-1)),"")</f>
        <v/>
      </c>
      <c r="C9" s="4" t="str">
        <f>IF($B9="","",INDEX(tbl_plan[品番],ROW()-1))</f>
        <v/>
      </c>
      <c r="D9" s="4" t="str">
        <f>IF($B9="","",SUMIFS(tbl_ledger[数量],tbl_ledger[ロットID],$B9,tbl_ledger[イベント種類],"搬入")+SUMIFS(tbl_ledger[数量],tbl_ledger[充当先ロットID],$B9,tbl_ledger[イベント種類],"充当",tbl_ledger[元状態],D$1)-SUMIFS(tbl_ledger[数量],tbl_ledger[ロットID],$B9,tbl_ledger[元状態],D$1))</f>
        <v/>
      </c>
      <c r="E9" s="4" t="str">
        <f>IF($B9="","",SUMIFS(tbl_ledger[数量],tbl_ledger[ロットID],$B9,tbl_ledger[イベント種類],"アニール完了")+SUMIFS(tbl_ledger[数量],tbl_ledger[充当先ロットID],$B9,tbl_ledger[イベント種類],"充当",tbl_ledger[元状態],E$1)-SUMIFS(tbl_ledger[数量],tbl_ledger[ロットID],$B9,tbl_ledger[元状態],E$1))</f>
        <v/>
      </c>
      <c r="F9" s="4" t="str">
        <f>IF($B9="","",SUMIFS(tbl_ledger[数量],tbl_ledger[ロットID],$B9,tbl_ledger[イベント種類],"アセンブリ完了")+SUMIFS(tbl_ledger[数量],tbl_ledger[充当先ロットID],$B9,tbl_ledger[イベント種類],"充当",tbl_ledger[元状態],F$1)-SUMIFS(tbl_ledger[数量],tbl_ledger[ロットID],$B9,tbl_ledger[元状態],F$1))</f>
        <v/>
      </c>
      <c r="G9" s="4" t="str">
        <f>IF($B9="","",SUMIFS(tbl_ledger[数量],tbl_ledger[ロットID],$B9,tbl_ledger[イベント種類],"梱包完了")+SUMIFS(tbl_ledger[数量],tbl_ledger[充当先ロットID],$B9,tbl_ledger[イベント種類],"充当",tbl_ledger[元状態],G$1)-SUMIFS(tbl_ledger[数量],tbl_ledger[ロットID],$B9,tbl_ledger[元状態],G$1))</f>
        <v/>
      </c>
      <c r="H9" s="4" t="str">
        <f>IF($B9="","",SUMIFS(tbl_ledger[数量],tbl_ledger[ロットID],$B9,tbl_ledger[イベント種類],"発送準備完了")+SUMIFS(tbl_ledger[数量],tbl_ledger[充当先ロットID],$B9,tbl_ledger[イベント種類],"充当",tbl_ledger[元状態],H$1)-SUMIFS(tbl_ledger[数量],tbl_ledger[ロットID],$B9,tbl_ledger[元状態],H$1))</f>
        <v/>
      </c>
      <c r="I9" s="4" t="str">
        <f>IF($B9="","",SUMIFS(tbl_ledger[数量],tbl_ledger[ロットID],$B9,tbl_ledger[イベント種類],"不良発生")+SUMIFS(tbl_ledger[数量],tbl_ledger[充当先ロットID],$B9,tbl_ledger[イベント種類],"充当",tbl_ledger[元状態],I$1)-SUMIFS(tbl_ledger[数量],tbl_ledger[ロットID],$B9,tbl_ledger[元状態],I$1))</f>
        <v/>
      </c>
      <c r="J9" s="4" t="str">
        <f t="shared" si="1"/>
        <v/>
      </c>
    </row>
    <row r="10" spans="1:10" ht="15" x14ac:dyDescent="0.25">
      <c r="A10" s="4" t="str">
        <f t="shared" si="0"/>
        <v/>
      </c>
      <c r="B10" s="4" t="str">
        <f>IFERROR(IF(COUNTIF($B$1:$B9,INDEX(tbl_plan[ロットID],ROW()-1))&gt;0,"",INDEX(tbl_plan[ロットID],ROW()-1)),"")</f>
        <v/>
      </c>
      <c r="C10" s="4" t="str">
        <f>IF($B10="","",INDEX(tbl_plan[品番],ROW()-1))</f>
        <v/>
      </c>
      <c r="D10" s="4" t="str">
        <f>IF($B10="","",SUMIFS(tbl_ledger[数量],tbl_ledger[ロットID],$B10,tbl_ledger[イベント種類],"搬入")+SUMIFS(tbl_ledger[数量],tbl_ledger[充当先ロットID],$B10,tbl_ledger[イベント種類],"充当",tbl_ledger[元状態],D$1)-SUMIFS(tbl_ledger[数量],tbl_ledger[ロットID],$B10,tbl_ledger[元状態],D$1))</f>
        <v/>
      </c>
      <c r="E10" s="4" t="str">
        <f>IF($B10="","",SUMIFS(tbl_ledger[数量],tbl_ledger[ロットID],$B10,tbl_ledger[イベント種類],"アニール完了")+SUMIFS(tbl_ledger[数量],tbl_ledger[充当先ロットID],$B10,tbl_ledger[イベント種類],"充当",tbl_ledger[元状態],E$1)-SUMIFS(tbl_ledger[数量],tbl_ledger[ロットID],$B10,tbl_ledger[元状態],E$1))</f>
        <v/>
      </c>
      <c r="F10" s="4" t="str">
        <f>IF($B10="","",SUMIFS(tbl_ledger[数量],tbl_ledger[ロットID],$B10,tbl_ledger[イベント種類],"アセンブリ完了")+SUMIFS(tbl_ledger[数量],tbl_ledger[充当先ロットID],$B10,tbl_ledger[イベント種類],"充当",tbl_ledger[元状態],F$1)-SUMIFS(tbl_ledger[数量],tbl_ledger[ロットID],$B10,tbl_ledger[元状態],F$1))</f>
        <v/>
      </c>
      <c r="G10" s="4" t="str">
        <f>IF($B10="","",SUMIFS(tbl_ledger[数量],tbl_ledger[ロットID],$B10,tbl_ledger[イベント種類],"梱包完了")+SUMIFS(tbl_ledger[数量],tbl_ledger[充当先ロットID],$B10,tbl_ledger[イベント種類],"充当",tbl_ledger[元状態],G$1)-SUMIFS(tbl_ledger[数量],tbl_ledger[ロットID],$B10,tbl_ledger[元状態],G$1))</f>
        <v/>
      </c>
      <c r="H10" s="4" t="str">
        <f>IF($B10="","",SUMIFS(tbl_ledger[数量],tbl_ledger[ロットID],$B10,tbl_ledger[イベント種類],"発送準備完了")+SUMIFS(tbl_ledger[数量],tbl_ledger[充当先ロットID],$B10,tbl_ledger[イベント種類],"充当",tbl_ledger[元状態],H$1)-SUMIFS(tbl_ledger[数量],tbl_ledger[ロットID],$B10,tbl_ledger[元状態],H$1))</f>
        <v/>
      </c>
      <c r="I10" s="4" t="str">
        <f>IF($B10="","",SUMIFS(tbl_ledger[数量],tbl_ledger[ロットID],$B10,tbl_ledger[イベント種類],"不良発生")+SUMIFS(tbl_ledger[数量],tbl_ledger[充当先ロットID],$B10,tbl_ledger[イベント種類],"充当",tbl_ledger[元状態],I$1)-SUMIFS(tbl_ledger[数量],tbl_ledger[ロットID],$B10,tbl_ledger[元状態],I$1))</f>
        <v/>
      </c>
      <c r="J10" s="4" t="str">
        <f t="shared" si="1"/>
        <v/>
      </c>
    </row>
    <row r="11" spans="1:10" ht="15" x14ac:dyDescent="0.25">
      <c r="A11" s="4" t="str">
        <f t="shared" si="0"/>
        <v/>
      </c>
      <c r="B11" s="4" t="str">
        <f>IFERROR(IF(COUNTIF($B$1:$B10,INDEX(tbl_plan[ロットID],ROW()-1))&gt;0,"",INDEX(tbl_plan[ロットID],ROW()-1)),"")</f>
        <v/>
      </c>
      <c r="C11" s="4" t="str">
        <f>IF($B11="","",INDEX(tbl_plan[品番],ROW()-1))</f>
        <v/>
      </c>
      <c r="D11" s="4" t="str">
        <f>IF($B11="","",SUMIFS(tbl_ledger[数量],tbl_ledger[ロットID],$B11,tbl_ledger[イベント種類],"搬入")+SUMIFS(tbl_ledger[数量],tbl_ledger[充当先ロットID],$B11,tbl_ledger[イベント種類],"充当",tbl_ledger[元状態],D$1)-SUMIFS(tbl_ledger[数量],tbl_ledger[ロットID],$B11,tbl_ledger[元状態],D$1))</f>
        <v/>
      </c>
      <c r="E11" s="4" t="str">
        <f>IF($B11="","",SUMIFS(tbl_ledger[数量],tbl_ledger[ロットID],$B11,tbl_ledger[イベント種類],"アニール完了")+SUMIFS(tbl_ledger[数量],tbl_ledger[充当先ロットID],$B11,tbl_ledger[イベント種類],"充当",tbl_ledger[元状態],E$1)-SUMIFS(tbl_ledger[数量],tbl_ledger[ロットID],$B11,tbl_ledger[元状態],E$1))</f>
        <v/>
      </c>
      <c r="F11" s="4" t="str">
        <f>IF($B11="","",SUMIFS(tbl_ledger[数量],tbl_ledger[ロットID],$B11,tbl_ledger[イベント種類],"アセンブリ完了")+SUMIFS(tbl_ledger[数量],tbl_ledger[充当先ロットID],$B11,tbl_ledger[イベント種類],"充当",tbl_ledger[元状態],F$1)-SUMIFS(tbl_ledger[数量],tbl_ledger[ロットID],$B11,tbl_ledger[元状態],F$1))</f>
        <v/>
      </c>
      <c r="G11" s="4" t="str">
        <f>IF($B11="","",SUMIFS(tbl_ledger[数量],tbl_ledger[ロットID],$B11,tbl_ledger[イベント種類],"梱包完了")+SUMIFS(tbl_ledger[数量],tbl_ledger[充当先ロットID],$B11,tbl_ledger[イベント種類],"充当",tbl_ledger[元状態],G$1)-SUMIFS(tbl_ledger[数量],tbl_ledger[ロットID],$B11,tbl_ledger[元状態],G$1))</f>
        <v/>
      </c>
      <c r="H11" s="4" t="str">
        <f>IF($B11="","",SUMIFS(tbl_ledger[数量],tbl_ledger[ロットID],$B11,tbl_ledger[イベント種類],"発送準備完了")+SUMIFS(tbl_ledger[数量],tbl_ledger[充当先ロットID],$B11,tbl_ledger[イベント種類],"充当",tbl_ledger[元状態],H$1)-SUMIFS(tbl_ledger[数量],tbl_ledger[ロットID],$B11,tbl_ledger[元状態],H$1))</f>
        <v/>
      </c>
      <c r="I11" s="4" t="str">
        <f>IF($B11="","",SUMIFS(tbl_ledger[数量],tbl_ledger[ロットID],$B11,tbl_ledger[イベント種類],"不良発生")+SUMIFS(tbl_ledger[数量],tbl_ledger[充当先ロットID],$B11,tbl_ledger[イベント種類],"充当",tbl_ledger[元状態],I$1)-SUMIFS(tbl_ledger[数量],tbl_ledger[ロットID],$B11,tbl_ledger[元状態],I$1))</f>
        <v/>
      </c>
      <c r="J11" s="4" t="str">
        <f t="shared" si="1"/>
        <v/>
      </c>
    </row>
    <row r="12" spans="1:10" ht="15" x14ac:dyDescent="0.25">
      <c r="A12" s="4" t="str">
        <f t="shared" si="0"/>
        <v/>
      </c>
      <c r="B12" s="4" t="str">
        <f>IFERROR(IF(COUNTIF($B$1:$B11,INDEX(tbl_plan[ロットID],ROW()-1))&gt;0,"",INDEX(tbl_plan[ロットID],ROW()-1)),"")</f>
        <v/>
      </c>
      <c r="C12" s="4" t="str">
        <f>IF($B12="","",INDEX(tbl_plan[品番],ROW()-1))</f>
        <v/>
      </c>
      <c r="D12" s="4" t="str">
        <f>IF($B12="","",SUMIFS(tbl_ledger[数量],tbl_ledger[ロットID],$B12,tbl_ledger[イベント種類],"搬入")+SUMIFS(tbl_ledger[数量],tbl_ledger[充当先ロットID],$B12,tbl_ledger[イベント種類],"充当",tbl_ledger[元状態],D$1)-SUMIFS(tbl_ledger[数量],tbl_ledger[ロットID],$B12,tbl_ledger[元状態],D$1))</f>
        <v/>
      </c>
      <c r="E12" s="4" t="str">
        <f>IF($B12="","",SUMIFS(tbl_ledger[数量],tbl_ledger[ロットID],$B12,tbl_ledger[イベント種類],"アニール完了")+SUMIFS(tbl_ledger[数量],tbl_ledger[充当先ロットID],$B12,tbl_ledger[イベント種類],"充当",tbl_ledger[元状態],E$1)-SUMIFS(tbl_ledger[数量],tbl_ledger[ロットID],$B12,tbl_ledger[元状態],E$1))</f>
        <v/>
      </c>
      <c r="F12" s="4" t="str">
        <f>IF($B12="","",SUMIFS(tbl_ledger[数量],tbl_ledger[ロットID],$B12,tbl_ledger[イベント種類],"アセンブリ完了")+SUMIFS(tbl_ledger[数量],tbl_ledger[充当先ロットID],$B12,tbl_ledger[イベント種類],"充当",tbl_ledger[元状態],F$1)-SUMIFS(tbl_ledger[数量],tbl_ledger[ロットID],$B12,tbl_ledger[元状態],F$1))</f>
        <v/>
      </c>
      <c r="G12" s="4" t="str">
        <f>IF($B12="","",SUMIFS(tbl_ledger[数量],tbl_ledger[ロットID],$B12,tbl_ledger[イベント種類],"梱包完了")+SUMIFS(tbl_ledger[数量],tbl_ledger[充当先ロットID],$B12,tbl_ledger[イベント種類],"充当",tbl_ledger[元状態],G$1)-SUMIFS(tbl_ledger[数量],tbl_ledger[ロットID],$B12,tbl_ledger[元状態],G$1))</f>
        <v/>
      </c>
      <c r="H12" s="4" t="str">
        <f>IF($B12="","",SUMIFS(tbl_ledger[数量],tbl_ledger[ロットID],$B12,tbl_ledger[イベント種類],"発送準備完了")+SUMIFS(tbl_ledger[数量],tbl_ledger[充当先ロットID],$B12,tbl_ledger[イベント種類],"充当",tbl_ledger[元状態],H$1)-SUMIFS(tbl_ledger[数量],tbl_ledger[ロットID],$B12,tbl_ledger[元状態],H$1))</f>
        <v/>
      </c>
      <c r="I12" s="4" t="str">
        <f>IF($B12="","",SUMIFS(tbl_ledger[数量],tbl_ledger[ロットID],$B12,tbl_ledger[イベント種類],"不良発生")+SUMIFS(tbl_ledger[数量],tbl_ledger[充当先ロットID],$B12,tbl_ledger[イベント種類],"充当",tbl_ledger[元状態],I$1)-SUMIFS(tbl_ledger[数量],tbl_ledger[ロットID],$B12,tbl_ledger[元状態],I$1))</f>
        <v/>
      </c>
      <c r="J12" s="4" t="str">
        <f t="shared" si="1"/>
        <v/>
      </c>
    </row>
    <row r="13" spans="1:10" ht="15" x14ac:dyDescent="0.25">
      <c r="A13" s="4" t="str">
        <f t="shared" si="0"/>
        <v/>
      </c>
      <c r="B13" s="4" t="str">
        <f>IFERROR(IF(COUNTIF($B$1:$B12,INDEX(tbl_plan[ロットID],ROW()-1))&gt;0,"",INDEX(tbl_plan[ロットID],ROW()-1)),"")</f>
        <v/>
      </c>
      <c r="C13" s="4" t="str">
        <f>IF($B13="","",INDEX(tbl_plan[品番],ROW()-1))</f>
        <v/>
      </c>
      <c r="D13" s="4" t="str">
        <f>IF($B13="","",SUMIFS(tbl_ledger[数量],tbl_ledger[ロットID],$B13,tbl_ledger[イベント種類],"搬入")+SUMIFS(tbl_ledger[数量],tbl_ledger[充当先ロットID],$B13,tbl_ledger[イベント種類],"充当",tbl_ledger[元状態],D$1)-SUMIFS(tbl_ledger[数量],tbl_ledger[ロットID],$B13,tbl_ledger[元状態],D$1))</f>
        <v/>
      </c>
      <c r="E13" s="4" t="str">
        <f>IF($B13="","",SUMIFS(tbl_ledger[数量],tbl_ledger[ロットID],$B13,tbl_ledger[イベント種類],"アニール完了")+SUMIFS(tbl_ledger[数量],tbl_ledger[充当先ロットID],$B13,tbl_ledger[イベント種類],"充当",tbl_ledger[元状態],E$1)-SUMIFS(tbl_ledger[数量],tbl_ledger[ロットID],$B13,tbl_ledger[元状態],E$1))</f>
        <v/>
      </c>
      <c r="F13" s="4" t="str">
        <f>IF($B13="","",SUMIFS(tbl_ledger[数量],tbl_ledger[ロットID],$B13,tbl_ledger[イベント種類],"アセンブリ完了")+SUMIFS(tbl_ledger[数量],tbl_ledger[充当先ロットID],$B13,tbl_ledger[イベント種類],"充当",tbl_ledger[元状態],F$1)-SUMIFS(tbl_ledger[数量],tbl_ledger[ロットID],$B13,tbl_ledger[元状態],F$1))</f>
        <v/>
      </c>
      <c r="G13" s="4" t="str">
        <f>IF($B13="","",SUMIFS(tbl_ledger[数量],tbl_ledger[ロットID],$B13,tbl_ledger[イベント種類],"梱包完了")+SUMIFS(tbl_ledger[数量],tbl_ledger[充当先ロットID],$B13,tbl_ledger[イベント種類],"充当",tbl_ledger[元状態],G$1)-SUMIFS(tbl_ledger[数量],tbl_ledger[ロットID],$B13,tbl_ledger[元状態],G$1))</f>
        <v/>
      </c>
      <c r="H13" s="4" t="str">
        <f>IF($B13="","",SUMIFS(tbl_ledger[数量],tbl_ledger[ロットID],$B13,tbl_ledger[イベント種類],"発送準備完了")+SUMIFS(tbl_ledger[数量],tbl_ledger[充当先ロットID],$B13,tbl_ledger[イベント種類],"充当",tbl_ledger[元状態],H$1)-SUMIFS(tbl_ledger[数量],tbl_ledger[ロットID],$B13,tbl_ledger[元状態],H$1))</f>
        <v/>
      </c>
      <c r="I13" s="4" t="str">
        <f>IF($B13="","",SUMIFS(tbl_ledger[数量],tbl_ledger[ロットID],$B13,tbl_ledger[イベント種類],"不良発生")+SUMIFS(tbl_ledger[数量],tbl_ledger[充当先ロットID],$B13,tbl_ledger[イベント種類],"充当",tbl_ledger[元状態],I$1)-SUMIFS(tbl_ledger[数量],tbl_ledger[ロットID],$B13,tbl_ledger[元状態],I$1))</f>
        <v/>
      </c>
      <c r="J13" s="4" t="str">
        <f t="shared" si="1"/>
        <v/>
      </c>
    </row>
    <row r="14" spans="1:10" ht="15" x14ac:dyDescent="0.25">
      <c r="A14" s="4" t="str">
        <f t="shared" si="0"/>
        <v/>
      </c>
      <c r="B14" s="4" t="str">
        <f>IFERROR(IF(COUNTIF($B$1:$B13,INDEX(tbl_plan[ロットID],ROW()-1))&gt;0,"",INDEX(tbl_plan[ロットID],ROW()-1)),"")</f>
        <v/>
      </c>
      <c r="C14" s="4" t="str">
        <f>IF($B14="","",INDEX(tbl_plan[品番],ROW()-1))</f>
        <v/>
      </c>
      <c r="D14" s="4" t="str">
        <f>IF($B14="","",SUMIFS(tbl_ledger[数量],tbl_ledger[ロットID],$B14,tbl_ledger[イベント種類],"搬入")+SUMIFS(tbl_ledger[数量],tbl_ledger[充当先ロットID],$B14,tbl_ledger[イベント種類],"充当",tbl_ledger[元状態],D$1)-SUMIFS(tbl_ledger[数量],tbl_ledger[ロットID],$B14,tbl_ledger[元状態],D$1))</f>
        <v/>
      </c>
      <c r="E14" s="4" t="str">
        <f>IF($B14="","",SUMIFS(tbl_ledger[数量],tbl_ledger[ロットID],$B14,tbl_ledger[イベント種類],"アニール完了")+SUMIFS(tbl_ledger[数量],tbl_ledger[充当先ロットID],$B14,tbl_ledger[イベント種類],"充当",tbl_ledger[元状態],E$1)-SUMIFS(tbl_ledger[数量],tbl_ledger[ロットID],$B14,tbl_ledger[元状態],E$1))</f>
        <v/>
      </c>
      <c r="F14" s="4" t="str">
        <f>IF($B14="","",SUMIFS(tbl_ledger[数量],tbl_ledger[ロットID],$B14,tbl_ledger[イベント種類],"アセンブリ完了")+SUMIFS(tbl_ledger[数量],tbl_ledger[充当先ロットID],$B14,tbl_ledger[イベント種類],"充当",tbl_ledger[元状態],F$1)-SUMIFS(tbl_ledger[数量],tbl_ledger[ロットID],$B14,tbl_ledger[元状態],F$1))</f>
        <v/>
      </c>
      <c r="G14" s="4" t="str">
        <f>IF($B14="","",SUMIFS(tbl_ledger[数量],tbl_ledger[ロットID],$B14,tbl_ledger[イベント種類],"梱包完了")+SUMIFS(tbl_ledger[数量],tbl_ledger[充当先ロットID],$B14,tbl_ledger[イベント種類],"充当",tbl_ledger[元状態],G$1)-SUMIFS(tbl_ledger[数量],tbl_ledger[ロットID],$B14,tbl_ledger[元状態],G$1))</f>
        <v/>
      </c>
      <c r="H14" s="4" t="str">
        <f>IF($B14="","",SUMIFS(tbl_ledger[数量],tbl_ledger[ロットID],$B14,tbl_ledger[イベント種類],"発送準備完了")+SUMIFS(tbl_ledger[数量],tbl_ledger[充当先ロットID],$B14,tbl_ledger[イベント種類],"充当",tbl_ledger[元状態],H$1)-SUMIFS(tbl_ledger[数量],tbl_ledger[ロットID],$B14,tbl_ledger[元状態],H$1))</f>
        <v/>
      </c>
      <c r="I14" s="4" t="str">
        <f>IF($B14="","",SUMIFS(tbl_ledger[数量],tbl_ledger[ロットID],$B14,tbl_ledger[イベント種類],"不良発生")+SUMIFS(tbl_ledger[数量],tbl_ledger[充当先ロットID],$B14,tbl_ledger[イベント種類],"充当",tbl_ledger[元状態],I$1)-SUMIFS(tbl_ledger[数量],tbl_ledger[ロットID],$B14,tbl_ledger[元状態],I$1))</f>
        <v/>
      </c>
      <c r="J14" s="4" t="str">
        <f t="shared" si="1"/>
        <v/>
      </c>
    </row>
    <row r="15" spans="1:10" ht="15" x14ac:dyDescent="0.25">
      <c r="A15" s="4" t="str">
        <f t="shared" si="0"/>
        <v/>
      </c>
      <c r="B15" s="4" t="str">
        <f>IFERROR(IF(COUNTIF($B$1:$B14,INDEX(tbl_plan[ロットID],ROW()-1))&gt;0,"",INDEX(tbl_plan[ロットID],ROW()-1)),"")</f>
        <v/>
      </c>
      <c r="C15" s="4" t="str">
        <f>IF($B15="","",INDEX(tbl_plan[品番],ROW()-1))</f>
        <v/>
      </c>
      <c r="D15" s="4" t="str">
        <f>IF($B15="","",SUMIFS(tbl_ledger[数量],tbl_ledger[ロットID],$B15,tbl_ledger[イベント種類],"搬入")+SUMIFS(tbl_ledger[数量],tbl_ledger[充当先ロットID],$B15,tbl_ledger[イベント種類],"充当",tbl_ledger[元状態],D$1)-SUMIFS(tbl_ledger[数量],tbl_ledger[ロットID],$B15,tbl_ledger[元状態],D$1))</f>
        <v/>
      </c>
      <c r="E15" s="4" t="str">
        <f>IF($B15="","",SUMIFS(tbl_ledger[数量],tbl_ledger[ロットID],$B15,tbl_ledger[イベント種類],"アニール完了")+SUMIFS(tbl_ledger[数量],tbl_ledger[充当先ロットID],$B15,tbl_ledger[イベント種類],"充当",tbl_ledger[元状態],E$1)-SUMIFS(tbl_ledger[数量],tbl_ledger[ロットID],$B15,tbl_ledger[元状態],E$1))</f>
        <v/>
      </c>
      <c r="F15" s="4" t="str">
        <f>IF($B15="","",SUMIFS(tbl_ledger[数量],tbl_ledger[ロットID],$B15,tbl_ledger[イベント種類],"アセンブリ完了")+SUMIFS(tbl_ledger[数量],tbl_ledger[充当先ロットID],$B15,tbl_ledger[イベント種類],"充当",tbl_ledger[元状態],F$1)-SUMIFS(tbl_ledger[数量],tbl_ledger[ロットID],$B15,tbl_ledger[元状態],F$1))</f>
        <v/>
      </c>
      <c r="G15" s="4" t="str">
        <f>IF($B15="","",SUMIFS(tbl_ledger[数量],tbl_ledger[ロットID],$B15,tbl_ledger[イベント種類],"梱包完了")+SUMIFS(tbl_ledger[数量],tbl_ledger[充当先ロットID],$B15,tbl_ledger[イベント種類],"充当",tbl_ledger[元状態],G$1)-SUMIFS(tbl_ledger[数量],tbl_ledger[ロットID],$B15,tbl_ledger[元状態],G$1))</f>
        <v/>
      </c>
      <c r="H15" s="4" t="str">
        <f>IF($B15="","",SUMIFS(tbl_ledger[数量],tbl_ledger[ロットID],$B15,tbl_ledger[イベント種類],"発送準備完了")+SUMIFS(tbl_ledger[数量],tbl_ledger[充当先ロットID],$B15,tbl_ledger[イベント種類],"充当",tbl_ledger[元状態],H$1)-SUMIFS(tbl_ledger[数量],tbl_ledger[ロットID],$B15,tbl_ledger[元状態],H$1))</f>
        <v/>
      </c>
      <c r="I15" s="4" t="str">
        <f>IF($B15="","",SUMIFS(tbl_ledger[数量],tbl_ledger[ロットID],$B15,tbl_ledger[イベント種類],"不良発生")+SUMIFS(tbl_ledger[数量],tbl_ledger[充当先ロットID],$B15,tbl_ledger[イベント種類],"充当",tbl_ledger[元状態],I$1)-SUMIFS(tbl_ledger[数量],tbl_ledger[ロットID],$B15,tbl_ledger[元状態],I$1))</f>
        <v/>
      </c>
      <c r="J15" s="4" t="str">
        <f t="shared" si="1"/>
        <v/>
      </c>
    </row>
    <row r="16" spans="1:10" ht="15" x14ac:dyDescent="0.25">
      <c r="A16" s="4" t="str">
        <f t="shared" si="0"/>
        <v/>
      </c>
      <c r="B16" s="4" t="str">
        <f>IFERROR(IF(COUNTIF($B$1:$B15,INDEX(tbl_plan[ロットID],ROW()-1))&gt;0,"",INDEX(tbl_plan[ロットID],ROW()-1)),"")</f>
        <v/>
      </c>
      <c r="C16" s="4" t="str">
        <f>IF($B16="","",INDEX(tbl_plan[品番],ROW()-1))</f>
        <v/>
      </c>
      <c r="D16" s="4" t="str">
        <f>IF($B16="","",SUMIFS(tbl_ledger[数量],tbl_ledger[ロットID],$B16,tbl_ledger[イベント種類],"搬入")+SUMIFS(tbl_ledger[数量],tbl_ledger[充当先ロットID],$B16,tbl_ledger[イベント種類],"充当",tbl_ledger[元状態],D$1)-SUMIFS(tbl_ledger[数量],tbl_ledger[ロットID],$B16,tbl_ledger[元状態],D$1))</f>
        <v/>
      </c>
      <c r="E16" s="4" t="str">
        <f>IF($B16="","",SUMIFS(tbl_ledger[数量],tbl_ledger[ロットID],$B16,tbl_ledger[イベント種類],"アニール完了")+SUMIFS(tbl_ledger[数量],tbl_ledger[充当先ロットID],$B16,tbl_ledger[イベント種類],"充当",tbl_ledger[元状態],E$1)-SUMIFS(tbl_ledger[数量],tbl_ledger[ロットID],$B16,tbl_ledger[元状態],E$1))</f>
        <v/>
      </c>
      <c r="F16" s="4" t="str">
        <f>IF($B16="","",SUMIFS(tbl_ledger[数量],tbl_ledger[ロットID],$B16,tbl_ledger[イベント種類],"アセンブリ完了")+SUMIFS(tbl_ledger[数量],tbl_ledger[充当先ロットID],$B16,tbl_ledger[イベント種類],"充当",tbl_ledger[元状態],F$1)-SUMIFS(tbl_ledger[数量],tbl_ledger[ロットID],$B16,tbl_ledger[元状態],F$1))</f>
        <v/>
      </c>
      <c r="G16" s="4" t="str">
        <f>IF($B16="","",SUMIFS(tbl_ledger[数量],tbl_ledger[ロットID],$B16,tbl_ledger[イベント種類],"梱包完了")+SUMIFS(tbl_ledger[数量],tbl_ledger[充当先ロットID],$B16,tbl_ledger[イベント種類],"充当",tbl_ledger[元状態],G$1)-SUMIFS(tbl_ledger[数量],tbl_ledger[ロットID],$B16,tbl_ledger[元状態],G$1))</f>
        <v/>
      </c>
      <c r="H16" s="4" t="str">
        <f>IF($B16="","",SUMIFS(tbl_ledger[数量],tbl_ledger[ロットID],$B16,tbl_ledger[イベント種類],"発送準備完了")+SUMIFS(tbl_ledger[数量],tbl_ledger[充当先ロットID],$B16,tbl_ledger[イベント種類],"充当",tbl_ledger[元状態],H$1)-SUMIFS(tbl_ledger[数量],tbl_ledger[ロットID],$B16,tbl_ledger[元状態],H$1))</f>
        <v/>
      </c>
      <c r="I16" s="4" t="str">
        <f>IF($B16="","",SUMIFS(tbl_ledger[数量],tbl_ledger[ロットID],$B16,tbl_ledger[イベント種類],"不良発生")+SUMIFS(tbl_ledger[数量],tbl_ledger[充当先ロットID],$B16,tbl_ledger[イベント種類],"充当",tbl_ledger[元状態],I$1)-SUMIFS(tbl_ledger[数量],tbl_ledger[ロットID],$B16,tbl_ledger[元状態],I$1))</f>
        <v/>
      </c>
      <c r="J16" s="4" t="str">
        <f t="shared" si="1"/>
        <v/>
      </c>
    </row>
    <row r="17" spans="1:10" ht="15" x14ac:dyDescent="0.25">
      <c r="A17" s="4" t="str">
        <f t="shared" si="0"/>
        <v/>
      </c>
      <c r="B17" s="4" t="str">
        <f>IFERROR(IF(COUNTIF($B$1:$B16,INDEX(tbl_plan[ロットID],ROW()-1))&gt;0,"",INDEX(tbl_plan[ロットID],ROW()-1)),"")</f>
        <v/>
      </c>
      <c r="C17" s="4" t="str">
        <f>IF($B17="","",INDEX(tbl_plan[品番],ROW()-1))</f>
        <v/>
      </c>
      <c r="D17" s="4" t="str">
        <f>IF($B17="","",SUMIFS(tbl_ledger[数量],tbl_ledger[ロットID],$B17,tbl_ledger[イベント種類],"搬入")+SUMIFS(tbl_ledger[数量],tbl_ledger[充当先ロットID],$B17,tbl_ledger[イベント種類],"充当",tbl_ledger[元状態],D$1)-SUMIFS(tbl_ledger[数量],tbl_ledger[ロットID],$B17,tbl_ledger[元状態],D$1))</f>
        <v/>
      </c>
      <c r="E17" s="4" t="str">
        <f>IF($B17="","",SUMIFS(tbl_ledger[数量],tbl_ledger[ロットID],$B17,tbl_ledger[イベント種類],"アニール完了")+SUMIFS(tbl_ledger[数量],tbl_ledger[充当先ロットID],$B17,tbl_ledger[イベント種類],"充当",tbl_ledger[元状態],E$1)-SUMIFS(tbl_ledger[数量],tbl_ledger[ロットID],$B17,tbl_ledger[元状態],E$1))</f>
        <v/>
      </c>
      <c r="F17" s="4" t="str">
        <f>IF($B17="","",SUMIFS(tbl_ledger[数量],tbl_ledger[ロットID],$B17,tbl_ledger[イベント種類],"アセンブリ完了")+SUMIFS(tbl_ledger[数量],tbl_ledger[充当先ロットID],$B17,tbl_ledger[イベント種類],"充当",tbl_ledger[元状態],F$1)-SUMIFS(tbl_ledger[数量],tbl_ledger[ロットID],$B17,tbl_ledger[元状態],F$1))</f>
        <v/>
      </c>
      <c r="G17" s="4" t="str">
        <f>IF($B17="","",SUMIFS(tbl_ledger[数量],tbl_ledger[ロットID],$B17,tbl_ledger[イベント種類],"梱包完了")+SUMIFS(tbl_ledger[数量],tbl_ledger[充当先ロットID],$B17,tbl_ledger[イベント種類],"充当",tbl_ledger[元状態],G$1)-SUMIFS(tbl_ledger[数量],tbl_ledger[ロットID],$B17,tbl_ledger[元状態],G$1))</f>
        <v/>
      </c>
      <c r="H17" s="4" t="str">
        <f>IF($B17="","",SUMIFS(tbl_ledger[数量],tbl_ledger[ロットID],$B17,tbl_ledger[イベント種類],"発送準備完了")+SUMIFS(tbl_ledger[数量],tbl_ledger[充当先ロットID],$B17,tbl_ledger[イベント種類],"充当",tbl_ledger[元状態],H$1)-SUMIFS(tbl_ledger[数量],tbl_ledger[ロットID],$B17,tbl_ledger[元状態],H$1))</f>
        <v/>
      </c>
      <c r="I17" s="4" t="str">
        <f>IF($B17="","",SUMIFS(tbl_ledger[数量],tbl_ledger[ロットID],$B17,tbl_ledger[イベント種類],"不良発生")+SUMIFS(tbl_ledger[数量],tbl_ledger[充当先ロットID],$B17,tbl_ledger[イベント種類],"充当",tbl_ledger[元状態],I$1)-SUMIFS(tbl_ledger[数量],tbl_ledger[ロットID],$B17,tbl_ledger[元状態],I$1))</f>
        <v/>
      </c>
      <c r="J17" s="4" t="str">
        <f t="shared" si="1"/>
        <v/>
      </c>
    </row>
    <row r="18" spans="1:10" ht="15" x14ac:dyDescent="0.25">
      <c r="A18" s="4" t="str">
        <f t="shared" si="0"/>
        <v/>
      </c>
      <c r="B18" s="4" t="str">
        <f>IFERROR(IF(COUNTIF($B$1:$B17,INDEX(tbl_plan[ロットID],ROW()-1))&gt;0,"",INDEX(tbl_plan[ロットID],ROW()-1)),"")</f>
        <v/>
      </c>
      <c r="C18" s="4" t="str">
        <f>IF($B18="","",INDEX(tbl_plan[品番],ROW()-1))</f>
        <v/>
      </c>
      <c r="D18" s="4" t="str">
        <f>IF($B18="","",SUMIFS(tbl_ledger[数量],tbl_ledger[ロットID],$B18,tbl_ledger[イベント種類],"搬入")+SUMIFS(tbl_ledger[数量],tbl_ledger[充当先ロットID],$B18,tbl_ledger[イベント種類],"充当",tbl_ledger[元状態],D$1)-SUMIFS(tbl_ledger[数量],tbl_ledger[ロットID],$B18,tbl_ledger[元状態],D$1))</f>
        <v/>
      </c>
      <c r="E18" s="4" t="str">
        <f>IF($B18="","",SUMIFS(tbl_ledger[数量],tbl_ledger[ロットID],$B18,tbl_ledger[イベント種類],"アニール完了")+SUMIFS(tbl_ledger[数量],tbl_ledger[充当先ロットID],$B18,tbl_ledger[イベント種類],"充当",tbl_ledger[元状態],E$1)-SUMIFS(tbl_ledger[数量],tbl_ledger[ロットID],$B18,tbl_ledger[元状態],E$1))</f>
        <v/>
      </c>
      <c r="F18" s="4" t="str">
        <f>IF($B18="","",SUMIFS(tbl_ledger[数量],tbl_ledger[ロットID],$B18,tbl_ledger[イベント種類],"アセンブリ完了")+SUMIFS(tbl_ledger[数量],tbl_ledger[充当先ロットID],$B18,tbl_ledger[イベント種類],"充当",tbl_ledger[元状態],F$1)-SUMIFS(tbl_ledger[数量],tbl_ledger[ロットID],$B18,tbl_ledger[元状態],F$1))</f>
        <v/>
      </c>
      <c r="G18" s="4" t="str">
        <f>IF($B18="","",SUMIFS(tbl_ledger[数量],tbl_ledger[ロットID],$B18,tbl_ledger[イベント種類],"梱包完了")+SUMIFS(tbl_ledger[数量],tbl_ledger[充当先ロットID],$B18,tbl_ledger[イベント種類],"充当",tbl_ledger[元状態],G$1)-SUMIFS(tbl_ledger[数量],tbl_ledger[ロットID],$B18,tbl_ledger[元状態],G$1))</f>
        <v/>
      </c>
      <c r="H18" s="4" t="str">
        <f>IF($B18="","",SUMIFS(tbl_ledger[数量],tbl_ledger[ロットID],$B18,tbl_ledger[イベント種類],"発送準備完了")+SUMIFS(tbl_ledger[数量],tbl_ledger[充当先ロットID],$B18,tbl_ledger[イベント種類],"充当",tbl_ledger[元状態],H$1)-SUMIFS(tbl_ledger[数量],tbl_ledger[ロットID],$B18,tbl_ledger[元状態],H$1))</f>
        <v/>
      </c>
      <c r="I18" s="4" t="str">
        <f>IF($B18="","",SUMIFS(tbl_ledger[数量],tbl_ledger[ロットID],$B18,tbl_ledger[イベント種類],"不良発生")+SUMIFS(tbl_ledger[数量],tbl_ledger[充当先ロットID],$B18,tbl_ledger[イベント種類],"充当",tbl_ledger[元状態],I$1)-SUMIFS(tbl_ledger[数量],tbl_ledger[ロットID],$B18,tbl_ledger[元状態],I$1))</f>
        <v/>
      </c>
      <c r="J18" s="4" t="str">
        <f t="shared" si="1"/>
        <v/>
      </c>
    </row>
    <row r="19" spans="1:10" ht="15" x14ac:dyDescent="0.25">
      <c r="A19" s="4" t="str">
        <f t="shared" si="0"/>
        <v/>
      </c>
      <c r="B19" s="4" t="str">
        <f>IFERROR(IF(COUNTIF($B$1:$B18,INDEX(tbl_plan[ロットID],ROW()-1))&gt;0,"",INDEX(tbl_plan[ロットID],ROW()-1)),"")</f>
        <v/>
      </c>
      <c r="C19" s="4" t="str">
        <f>IF($B19="","",INDEX(tbl_plan[品番],ROW()-1))</f>
        <v/>
      </c>
      <c r="D19" s="4" t="str">
        <f>IF($B19="","",SUMIFS(tbl_ledger[数量],tbl_ledger[ロットID],$B19,tbl_ledger[イベント種類],"搬入")+SUMIFS(tbl_ledger[数量],tbl_ledger[充当先ロットID],$B19,tbl_ledger[イベント種類],"充当",tbl_ledger[元状態],D$1)-SUMIFS(tbl_ledger[数量],tbl_ledger[ロットID],$B19,tbl_ledger[元状態],D$1))</f>
        <v/>
      </c>
      <c r="E19" s="4" t="str">
        <f>IF($B19="","",SUMIFS(tbl_ledger[数量],tbl_ledger[ロットID],$B19,tbl_ledger[イベント種類],"アニール完了")+SUMIFS(tbl_ledger[数量],tbl_ledger[充当先ロットID],$B19,tbl_ledger[イベント種類],"充当",tbl_ledger[元状態],E$1)-SUMIFS(tbl_ledger[数量],tbl_ledger[ロットID],$B19,tbl_ledger[元状態],E$1))</f>
        <v/>
      </c>
      <c r="F19" s="4" t="str">
        <f>IF($B19="","",SUMIFS(tbl_ledger[数量],tbl_ledger[ロットID],$B19,tbl_ledger[イベント種類],"アセンブリ完了")+SUMIFS(tbl_ledger[数量],tbl_ledger[充当先ロットID],$B19,tbl_ledger[イベント種類],"充当",tbl_ledger[元状態],F$1)-SUMIFS(tbl_ledger[数量],tbl_ledger[ロットID],$B19,tbl_ledger[元状態],F$1))</f>
        <v/>
      </c>
      <c r="G19" s="4" t="str">
        <f>IF($B19="","",SUMIFS(tbl_ledger[数量],tbl_ledger[ロットID],$B19,tbl_ledger[イベント種類],"梱包完了")+SUMIFS(tbl_ledger[数量],tbl_ledger[充当先ロットID],$B19,tbl_ledger[イベント種類],"充当",tbl_ledger[元状態],G$1)-SUMIFS(tbl_ledger[数量],tbl_ledger[ロットID],$B19,tbl_ledger[元状態],G$1))</f>
        <v/>
      </c>
      <c r="H19" s="4" t="str">
        <f>IF($B19="","",SUMIFS(tbl_ledger[数量],tbl_ledger[ロットID],$B19,tbl_ledger[イベント種類],"発送準備完了")+SUMIFS(tbl_ledger[数量],tbl_ledger[充当先ロットID],$B19,tbl_ledger[イベント種類],"充当",tbl_ledger[元状態],H$1)-SUMIFS(tbl_ledger[数量],tbl_ledger[ロットID],$B19,tbl_ledger[元状態],H$1))</f>
        <v/>
      </c>
      <c r="I19" s="4" t="str">
        <f>IF($B19="","",SUMIFS(tbl_ledger[数量],tbl_ledger[ロットID],$B19,tbl_ledger[イベント種類],"不良発生")+SUMIFS(tbl_ledger[数量],tbl_ledger[充当先ロットID],$B19,tbl_ledger[イベント種類],"充当",tbl_ledger[元状態],I$1)-SUMIFS(tbl_ledger[数量],tbl_ledger[ロットID],$B19,tbl_ledger[元状態],I$1))</f>
        <v/>
      </c>
      <c r="J19" s="4" t="str">
        <f t="shared" si="1"/>
        <v/>
      </c>
    </row>
    <row r="20" spans="1:10" ht="15" x14ac:dyDescent="0.25">
      <c r="A20" s="4" t="str">
        <f t="shared" si="0"/>
        <v/>
      </c>
      <c r="B20" s="4" t="str">
        <f>IFERROR(IF(COUNTIF($B$1:$B19,INDEX(tbl_plan[ロットID],ROW()-1))&gt;0,"",INDEX(tbl_plan[ロットID],ROW()-1)),"")</f>
        <v/>
      </c>
      <c r="C20" s="4" t="str">
        <f>IF($B20="","",INDEX(tbl_plan[品番],ROW()-1))</f>
        <v/>
      </c>
      <c r="D20" s="4" t="str">
        <f>IF($B20="","",SUMIFS(tbl_ledger[数量],tbl_ledger[ロットID],$B20,tbl_ledger[イベント種類],"搬入")+SUMIFS(tbl_ledger[数量],tbl_ledger[充当先ロットID],$B20,tbl_ledger[イベント種類],"充当",tbl_ledger[元状態],D$1)-SUMIFS(tbl_ledger[数量],tbl_ledger[ロットID],$B20,tbl_ledger[元状態],D$1))</f>
        <v/>
      </c>
      <c r="E20" s="4" t="str">
        <f>IF($B20="","",SUMIFS(tbl_ledger[数量],tbl_ledger[ロットID],$B20,tbl_ledger[イベント種類],"アニール完了")+SUMIFS(tbl_ledger[数量],tbl_ledger[充当先ロットID],$B20,tbl_ledger[イベント種類],"充当",tbl_ledger[元状態],E$1)-SUMIFS(tbl_ledger[数量],tbl_ledger[ロットID],$B20,tbl_ledger[元状態],E$1))</f>
        <v/>
      </c>
      <c r="F20" s="4" t="str">
        <f>IF($B20="","",SUMIFS(tbl_ledger[数量],tbl_ledger[ロットID],$B20,tbl_ledger[イベント種類],"アセンブリ完了")+SUMIFS(tbl_ledger[数量],tbl_ledger[充当先ロットID],$B20,tbl_ledger[イベント種類],"充当",tbl_ledger[元状態],F$1)-SUMIFS(tbl_ledger[数量],tbl_ledger[ロットID],$B20,tbl_ledger[元状態],F$1))</f>
        <v/>
      </c>
      <c r="G20" s="4" t="str">
        <f>IF($B20="","",SUMIFS(tbl_ledger[数量],tbl_ledger[ロットID],$B20,tbl_ledger[イベント種類],"梱包完了")+SUMIFS(tbl_ledger[数量],tbl_ledger[充当先ロットID],$B20,tbl_ledger[イベント種類],"充当",tbl_ledger[元状態],G$1)-SUMIFS(tbl_ledger[数量],tbl_ledger[ロットID],$B20,tbl_ledger[元状態],G$1))</f>
        <v/>
      </c>
      <c r="H20" s="4" t="str">
        <f>IF($B20="","",SUMIFS(tbl_ledger[数量],tbl_ledger[ロットID],$B20,tbl_ledger[イベント種類],"発送準備完了")+SUMIFS(tbl_ledger[数量],tbl_ledger[充当先ロットID],$B20,tbl_ledger[イベント種類],"充当",tbl_ledger[元状態],H$1)-SUMIFS(tbl_ledger[数量],tbl_ledger[ロットID],$B20,tbl_ledger[元状態],H$1))</f>
        <v/>
      </c>
      <c r="I20" s="4" t="str">
        <f>IF($B20="","",SUMIFS(tbl_ledger[数量],tbl_ledger[ロットID],$B20,tbl_ledger[イベント種類],"不良発生")+SUMIFS(tbl_ledger[数量],tbl_ledger[充当先ロットID],$B20,tbl_ledger[イベント種類],"充当",tbl_ledger[元状態],I$1)-SUMIFS(tbl_ledger[数量],tbl_ledger[ロットID],$B20,tbl_ledger[元状態],I$1))</f>
        <v/>
      </c>
      <c r="J20" s="4" t="str">
        <f t="shared" si="1"/>
        <v/>
      </c>
    </row>
    <row r="21" spans="1:10" ht="15" x14ac:dyDescent="0.25">
      <c r="A21" s="4" t="str">
        <f t="shared" si="0"/>
        <v/>
      </c>
      <c r="B21" s="4" t="str">
        <f>IFERROR(IF(COUNTIF($B$1:$B20,INDEX(tbl_plan[ロットID],ROW()-1))&gt;0,"",INDEX(tbl_plan[ロットID],ROW()-1)),"")</f>
        <v/>
      </c>
      <c r="C21" s="4" t="str">
        <f>IF($B21="","",INDEX(tbl_plan[品番],ROW()-1))</f>
        <v/>
      </c>
      <c r="D21" s="4" t="str">
        <f>IF($B21="","",SUMIFS(tbl_ledger[数量],tbl_ledger[ロットID],$B21,tbl_ledger[イベント種類],"搬入")+SUMIFS(tbl_ledger[数量],tbl_ledger[充当先ロットID],$B21,tbl_ledger[イベント種類],"充当",tbl_ledger[元状態],D$1)-SUMIFS(tbl_ledger[数量],tbl_ledger[ロットID],$B21,tbl_ledger[元状態],D$1))</f>
        <v/>
      </c>
      <c r="E21" s="4" t="str">
        <f>IF($B21="","",SUMIFS(tbl_ledger[数量],tbl_ledger[ロットID],$B21,tbl_ledger[イベント種類],"アニール完了")+SUMIFS(tbl_ledger[数量],tbl_ledger[充当先ロットID],$B21,tbl_ledger[イベント種類],"充当",tbl_ledger[元状態],E$1)-SUMIFS(tbl_ledger[数量],tbl_ledger[ロットID],$B21,tbl_ledger[元状態],E$1))</f>
        <v/>
      </c>
      <c r="F21" s="4" t="str">
        <f>IF($B21="","",SUMIFS(tbl_ledger[数量],tbl_ledger[ロットID],$B21,tbl_ledger[イベント種類],"アセンブリ完了")+SUMIFS(tbl_ledger[数量],tbl_ledger[充当先ロットID],$B21,tbl_ledger[イベント種類],"充当",tbl_ledger[元状態],F$1)-SUMIFS(tbl_ledger[数量],tbl_ledger[ロットID],$B21,tbl_ledger[元状態],F$1))</f>
        <v/>
      </c>
      <c r="G21" s="4" t="str">
        <f>IF($B21="","",SUMIFS(tbl_ledger[数量],tbl_ledger[ロットID],$B21,tbl_ledger[イベント種類],"梱包完了")+SUMIFS(tbl_ledger[数量],tbl_ledger[充当先ロットID],$B21,tbl_ledger[イベント種類],"充当",tbl_ledger[元状態],G$1)-SUMIFS(tbl_ledger[数量],tbl_ledger[ロットID],$B21,tbl_ledger[元状態],G$1))</f>
        <v/>
      </c>
      <c r="H21" s="4" t="str">
        <f>IF($B21="","",SUMIFS(tbl_ledger[数量],tbl_ledger[ロットID],$B21,tbl_ledger[イベント種類],"発送準備完了")+SUMIFS(tbl_ledger[数量],tbl_ledger[充当先ロットID],$B21,tbl_ledger[イベント種類],"充当",tbl_ledger[元状態],H$1)-SUMIFS(tbl_ledger[数量],tbl_ledger[ロットID],$B21,tbl_ledger[元状態],H$1))</f>
        <v/>
      </c>
      <c r="I21" s="4" t="str">
        <f>IF($B21="","",SUMIFS(tbl_ledger[数量],tbl_ledger[ロットID],$B21,tbl_ledger[イベント種類],"不良発生")+SUMIFS(tbl_ledger[数量],tbl_ledger[充当先ロットID],$B21,tbl_ledger[イベント種類],"充当",tbl_ledger[元状態],I$1)-SUMIFS(tbl_ledger[数量],tbl_ledger[ロットID],$B21,tbl_ledger[元状態],I$1))</f>
        <v/>
      </c>
      <c r="J21" s="4" t="str">
        <f t="shared" si="1"/>
        <v/>
      </c>
    </row>
    <row r="22" spans="1:10" ht="15" x14ac:dyDescent="0.25">
      <c r="A22" s="4" t="str">
        <f t="shared" si="0"/>
        <v/>
      </c>
      <c r="B22" s="4" t="str">
        <f>IFERROR(IF(COUNTIF($B$1:$B21,INDEX(tbl_plan[ロットID],ROW()-1))&gt;0,"",INDEX(tbl_plan[ロットID],ROW()-1)),"")</f>
        <v/>
      </c>
      <c r="C22" s="4" t="str">
        <f>IF($B22="","",INDEX(tbl_plan[品番],ROW()-1))</f>
        <v/>
      </c>
      <c r="D22" s="4" t="str">
        <f>IF($B22="","",SUMIFS(tbl_ledger[数量],tbl_ledger[ロットID],$B22,tbl_ledger[イベント種類],"搬入")+SUMIFS(tbl_ledger[数量],tbl_ledger[充当先ロットID],$B22,tbl_ledger[イベント種類],"充当",tbl_ledger[元状態],D$1)-SUMIFS(tbl_ledger[数量],tbl_ledger[ロットID],$B22,tbl_ledger[元状態],D$1))</f>
        <v/>
      </c>
      <c r="E22" s="4" t="str">
        <f>IF($B22="","",SUMIFS(tbl_ledger[数量],tbl_ledger[ロットID],$B22,tbl_ledger[イベント種類],"アニール完了")+SUMIFS(tbl_ledger[数量],tbl_ledger[充当先ロットID],$B22,tbl_ledger[イベント種類],"充当",tbl_ledger[元状態],E$1)-SUMIFS(tbl_ledger[数量],tbl_ledger[ロットID],$B22,tbl_ledger[元状態],E$1))</f>
        <v/>
      </c>
      <c r="F22" s="4" t="str">
        <f>IF($B22="","",SUMIFS(tbl_ledger[数量],tbl_ledger[ロットID],$B22,tbl_ledger[イベント種類],"アセンブリ完了")+SUMIFS(tbl_ledger[数量],tbl_ledger[充当先ロットID],$B22,tbl_ledger[イベント種類],"充当",tbl_ledger[元状態],F$1)-SUMIFS(tbl_ledger[数量],tbl_ledger[ロットID],$B22,tbl_ledger[元状態],F$1))</f>
        <v/>
      </c>
      <c r="G22" s="4" t="str">
        <f>IF($B22="","",SUMIFS(tbl_ledger[数量],tbl_ledger[ロットID],$B22,tbl_ledger[イベント種類],"梱包完了")+SUMIFS(tbl_ledger[数量],tbl_ledger[充当先ロットID],$B22,tbl_ledger[イベント種類],"充当",tbl_ledger[元状態],G$1)-SUMIFS(tbl_ledger[数量],tbl_ledger[ロットID],$B22,tbl_ledger[元状態],G$1))</f>
        <v/>
      </c>
      <c r="H22" s="4" t="str">
        <f>IF($B22="","",SUMIFS(tbl_ledger[数量],tbl_ledger[ロットID],$B22,tbl_ledger[イベント種類],"発送準備完了")+SUMIFS(tbl_ledger[数量],tbl_ledger[充当先ロットID],$B22,tbl_ledger[イベント種類],"充当",tbl_ledger[元状態],H$1)-SUMIFS(tbl_ledger[数量],tbl_ledger[ロットID],$B22,tbl_ledger[元状態],H$1))</f>
        <v/>
      </c>
      <c r="I22" s="4" t="str">
        <f>IF($B22="","",SUMIFS(tbl_ledger[数量],tbl_ledger[ロットID],$B22,tbl_ledger[イベント種類],"不良発生")+SUMIFS(tbl_ledger[数量],tbl_ledger[充当先ロットID],$B22,tbl_ledger[イベント種類],"充当",tbl_ledger[元状態],I$1)-SUMIFS(tbl_ledger[数量],tbl_ledger[ロットID],$B22,tbl_ledger[元状態],I$1))</f>
        <v/>
      </c>
      <c r="J22" s="4" t="str">
        <f t="shared" si="1"/>
        <v/>
      </c>
    </row>
    <row r="23" spans="1:10" ht="15" x14ac:dyDescent="0.25">
      <c r="A23" s="4" t="str">
        <f t="shared" si="0"/>
        <v/>
      </c>
      <c r="B23" s="4" t="str">
        <f>IFERROR(IF(COUNTIF($B$1:$B22,INDEX(tbl_plan[ロットID],ROW()-1))&gt;0,"",INDEX(tbl_plan[ロットID],ROW()-1)),"")</f>
        <v/>
      </c>
      <c r="C23" s="4" t="str">
        <f>IF($B23="","",INDEX(tbl_plan[品番],ROW()-1))</f>
        <v/>
      </c>
      <c r="D23" s="4" t="str">
        <f>IF($B23="","",SUMIFS(tbl_ledger[数量],tbl_ledger[ロットID],$B23,tbl_ledger[イベント種類],"搬入")+SUMIFS(tbl_ledger[数量],tbl_ledger[充当先ロットID],$B23,tbl_ledger[イベント種類],"充当",tbl_ledger[元状態],D$1)-SUMIFS(tbl_ledger[数量],tbl_ledger[ロットID],$B23,tbl_ledger[元状態],D$1))</f>
        <v/>
      </c>
      <c r="E23" s="4" t="str">
        <f>IF($B23="","",SUMIFS(tbl_ledger[数量],tbl_ledger[ロットID],$B23,tbl_ledger[イベント種類],"アニール完了")+SUMIFS(tbl_ledger[数量],tbl_ledger[充当先ロットID],$B23,tbl_ledger[イベント種類],"充当",tbl_ledger[元状態],E$1)-SUMIFS(tbl_ledger[数量],tbl_ledger[ロットID],$B23,tbl_ledger[元状態],E$1))</f>
        <v/>
      </c>
      <c r="F23" s="4" t="str">
        <f>IF($B23="","",SUMIFS(tbl_ledger[数量],tbl_ledger[ロットID],$B23,tbl_ledger[イベント種類],"アセンブリ完了")+SUMIFS(tbl_ledger[数量],tbl_ledger[充当先ロットID],$B23,tbl_ledger[イベント種類],"充当",tbl_ledger[元状態],F$1)-SUMIFS(tbl_ledger[数量],tbl_ledger[ロットID],$B23,tbl_ledger[元状態],F$1))</f>
        <v/>
      </c>
      <c r="G23" s="4" t="str">
        <f>IF($B23="","",SUMIFS(tbl_ledger[数量],tbl_ledger[ロットID],$B23,tbl_ledger[イベント種類],"梱包完了")+SUMIFS(tbl_ledger[数量],tbl_ledger[充当先ロットID],$B23,tbl_ledger[イベント種類],"充当",tbl_ledger[元状態],G$1)-SUMIFS(tbl_ledger[数量],tbl_ledger[ロットID],$B23,tbl_ledger[元状態],G$1))</f>
        <v/>
      </c>
      <c r="H23" s="4" t="str">
        <f>IF($B23="","",SUMIFS(tbl_ledger[数量],tbl_ledger[ロットID],$B23,tbl_ledger[イベント種類],"発送準備完了")+SUMIFS(tbl_ledger[数量],tbl_ledger[充当先ロットID],$B23,tbl_ledger[イベント種類],"充当",tbl_ledger[元状態],H$1)-SUMIFS(tbl_ledger[数量],tbl_ledger[ロットID],$B23,tbl_ledger[元状態],H$1))</f>
        <v/>
      </c>
      <c r="I23" s="4" t="str">
        <f>IF($B23="","",SUMIFS(tbl_ledger[数量],tbl_ledger[ロットID],$B23,tbl_ledger[イベント種類],"不良発生")+SUMIFS(tbl_ledger[数量],tbl_ledger[充当先ロットID],$B23,tbl_ledger[イベント種類],"充当",tbl_ledger[元状態],I$1)-SUMIFS(tbl_ledger[数量],tbl_ledger[ロットID],$B23,tbl_ledger[元状態],I$1))</f>
        <v/>
      </c>
      <c r="J23" s="4" t="str">
        <f t="shared" si="1"/>
        <v/>
      </c>
    </row>
    <row r="24" spans="1:10" ht="15" x14ac:dyDescent="0.25">
      <c r="A24" s="4" t="str">
        <f t="shared" si="0"/>
        <v/>
      </c>
      <c r="B24" s="4" t="str">
        <f>IFERROR(IF(COUNTIF($B$1:$B23,INDEX(tbl_plan[ロットID],ROW()-1))&gt;0,"",INDEX(tbl_plan[ロットID],ROW()-1)),"")</f>
        <v/>
      </c>
      <c r="C24" s="4" t="str">
        <f>IF($B24="","",INDEX(tbl_plan[品番],ROW()-1))</f>
        <v/>
      </c>
      <c r="D24" s="4" t="str">
        <f>IF($B24="","",SUMIFS(tbl_ledger[数量],tbl_ledger[ロットID],$B24,tbl_ledger[イベント種類],"搬入")+SUMIFS(tbl_ledger[数量],tbl_ledger[充当先ロットID],$B24,tbl_ledger[イベント種類],"充当",tbl_ledger[元状態],D$1)-SUMIFS(tbl_ledger[数量],tbl_ledger[ロットID],$B24,tbl_ledger[元状態],D$1))</f>
        <v/>
      </c>
      <c r="E24" s="4" t="str">
        <f>IF($B24="","",SUMIFS(tbl_ledger[数量],tbl_ledger[ロットID],$B24,tbl_ledger[イベント種類],"アニール完了")+SUMIFS(tbl_ledger[数量],tbl_ledger[充当先ロットID],$B24,tbl_ledger[イベント種類],"充当",tbl_ledger[元状態],E$1)-SUMIFS(tbl_ledger[数量],tbl_ledger[ロットID],$B24,tbl_ledger[元状態],E$1))</f>
        <v/>
      </c>
      <c r="F24" s="4" t="str">
        <f>IF($B24="","",SUMIFS(tbl_ledger[数量],tbl_ledger[ロットID],$B24,tbl_ledger[イベント種類],"アセンブリ完了")+SUMIFS(tbl_ledger[数量],tbl_ledger[充当先ロットID],$B24,tbl_ledger[イベント種類],"充当",tbl_ledger[元状態],F$1)-SUMIFS(tbl_ledger[数量],tbl_ledger[ロットID],$B24,tbl_ledger[元状態],F$1))</f>
        <v/>
      </c>
      <c r="G24" s="4" t="str">
        <f>IF($B24="","",SUMIFS(tbl_ledger[数量],tbl_ledger[ロットID],$B24,tbl_ledger[イベント種類],"梱包完了")+SUMIFS(tbl_ledger[数量],tbl_ledger[充当先ロットID],$B24,tbl_ledger[イベント種類],"充当",tbl_ledger[元状態],G$1)-SUMIFS(tbl_ledger[数量],tbl_ledger[ロットID],$B24,tbl_ledger[元状態],G$1))</f>
        <v/>
      </c>
      <c r="H24" s="4" t="str">
        <f>IF($B24="","",SUMIFS(tbl_ledger[数量],tbl_ledger[ロットID],$B24,tbl_ledger[イベント種類],"発送準備完了")+SUMIFS(tbl_ledger[数量],tbl_ledger[充当先ロットID],$B24,tbl_ledger[イベント種類],"充当",tbl_ledger[元状態],H$1)-SUMIFS(tbl_ledger[数量],tbl_ledger[ロットID],$B24,tbl_ledger[元状態],H$1))</f>
        <v/>
      </c>
      <c r="I24" s="4" t="str">
        <f>IF($B24="","",SUMIFS(tbl_ledger[数量],tbl_ledger[ロットID],$B24,tbl_ledger[イベント種類],"不良発生")+SUMIFS(tbl_ledger[数量],tbl_ledger[充当先ロットID],$B24,tbl_ledger[イベント種類],"充当",tbl_ledger[元状態],I$1)-SUMIFS(tbl_ledger[数量],tbl_ledger[ロットID],$B24,tbl_ledger[元状態],I$1))</f>
        <v/>
      </c>
      <c r="J24" s="4" t="str">
        <f t="shared" si="1"/>
        <v/>
      </c>
    </row>
    <row r="25" spans="1:10" ht="15" x14ac:dyDescent="0.25">
      <c r="A25" s="4" t="str">
        <f t="shared" si="0"/>
        <v/>
      </c>
      <c r="B25" s="4" t="str">
        <f>IFERROR(IF(COUNTIF($B$1:$B24,INDEX(tbl_plan[ロットID],ROW()-1))&gt;0,"",INDEX(tbl_plan[ロットID],ROW()-1)),"")</f>
        <v/>
      </c>
      <c r="C25" s="4" t="str">
        <f>IF($B25="","",INDEX(tbl_plan[品番],ROW()-1))</f>
        <v/>
      </c>
      <c r="D25" s="4" t="str">
        <f>IF($B25="","",SUMIFS(tbl_ledger[数量],tbl_ledger[ロットID],$B25,tbl_ledger[イベント種類],"搬入")+SUMIFS(tbl_ledger[数量],tbl_ledger[充当先ロットID],$B25,tbl_ledger[イベント種類],"充当",tbl_ledger[元状態],D$1)-SUMIFS(tbl_ledger[数量],tbl_ledger[ロットID],$B25,tbl_ledger[元状態],D$1))</f>
        <v/>
      </c>
      <c r="E25" s="4" t="str">
        <f>IF($B25="","",SUMIFS(tbl_ledger[数量],tbl_ledger[ロットID],$B25,tbl_ledger[イベント種類],"アニール完了")+SUMIFS(tbl_ledger[数量],tbl_ledger[充当先ロットID],$B25,tbl_ledger[イベント種類],"充当",tbl_ledger[元状態],E$1)-SUMIFS(tbl_ledger[数量],tbl_ledger[ロットID],$B25,tbl_ledger[元状態],E$1))</f>
        <v/>
      </c>
      <c r="F25" s="4" t="str">
        <f>IF($B25="","",SUMIFS(tbl_ledger[数量],tbl_ledger[ロットID],$B25,tbl_ledger[イベント種類],"アセンブリ完了")+SUMIFS(tbl_ledger[数量],tbl_ledger[充当先ロットID],$B25,tbl_ledger[イベント種類],"充当",tbl_ledger[元状態],F$1)-SUMIFS(tbl_ledger[数量],tbl_ledger[ロットID],$B25,tbl_ledger[元状態],F$1))</f>
        <v/>
      </c>
      <c r="G25" s="4" t="str">
        <f>IF($B25="","",SUMIFS(tbl_ledger[数量],tbl_ledger[ロットID],$B25,tbl_ledger[イベント種類],"梱包完了")+SUMIFS(tbl_ledger[数量],tbl_ledger[充当先ロットID],$B25,tbl_ledger[イベント種類],"充当",tbl_ledger[元状態],G$1)-SUMIFS(tbl_ledger[数量],tbl_ledger[ロットID],$B25,tbl_ledger[元状態],G$1))</f>
        <v/>
      </c>
      <c r="H25" s="4" t="str">
        <f>IF($B25="","",SUMIFS(tbl_ledger[数量],tbl_ledger[ロットID],$B25,tbl_ledger[イベント種類],"発送準備完了")+SUMIFS(tbl_ledger[数量],tbl_ledger[充当先ロットID],$B25,tbl_ledger[イベント種類],"充当",tbl_ledger[元状態],H$1)-SUMIFS(tbl_ledger[数量],tbl_ledger[ロットID],$B25,tbl_ledger[元状態],H$1))</f>
        <v/>
      </c>
      <c r="I25" s="4" t="str">
        <f>IF($B25="","",SUMIFS(tbl_ledger[数量],tbl_ledger[ロットID],$B25,tbl_ledger[イベント種類],"不良発生")+SUMIFS(tbl_ledger[数量],tbl_ledger[充当先ロットID],$B25,tbl_ledger[イベント種類],"充当",tbl_ledger[元状態],I$1)-SUMIFS(tbl_ledger[数量],tbl_ledger[ロットID],$B25,tbl_ledger[元状態],I$1))</f>
        <v/>
      </c>
      <c r="J25" s="4" t="str">
        <f t="shared" si="1"/>
        <v/>
      </c>
    </row>
    <row r="26" spans="1:10" ht="15" x14ac:dyDescent="0.25">
      <c r="A26" s="4" t="str">
        <f t="shared" si="0"/>
        <v/>
      </c>
      <c r="B26" s="4" t="str">
        <f>IFERROR(IF(COUNTIF($B$1:$B25,INDEX(tbl_plan[ロットID],ROW()-1))&gt;0,"",INDEX(tbl_plan[ロットID],ROW()-1)),"")</f>
        <v/>
      </c>
      <c r="C26" s="4" t="str">
        <f>IF($B26="","",INDEX(tbl_plan[品番],ROW()-1))</f>
        <v/>
      </c>
      <c r="D26" s="4" t="str">
        <f>IF($B26="","",SUMIFS(tbl_ledger[数量],tbl_ledger[ロットID],$B26,tbl_ledger[イベント種類],"搬入")+SUMIFS(tbl_ledger[数量],tbl_ledger[充当先ロットID],$B26,tbl_ledger[イベント種類],"充当",tbl_ledger[元状態],D$1)-SUMIFS(tbl_ledger[数量],tbl_ledger[ロットID],$B26,tbl_ledger[元状態],D$1))</f>
        <v/>
      </c>
      <c r="E26" s="4" t="str">
        <f>IF($B26="","",SUMIFS(tbl_ledger[数量],tbl_ledger[ロットID],$B26,tbl_ledger[イベント種類],"アニール完了")+SUMIFS(tbl_ledger[数量],tbl_ledger[充当先ロットID],$B26,tbl_ledger[イベント種類],"充当",tbl_ledger[元状態],E$1)-SUMIFS(tbl_ledger[数量],tbl_ledger[ロットID],$B26,tbl_ledger[元状態],E$1))</f>
        <v/>
      </c>
      <c r="F26" s="4" t="str">
        <f>IF($B26="","",SUMIFS(tbl_ledger[数量],tbl_ledger[ロットID],$B26,tbl_ledger[イベント種類],"アセンブリ完了")+SUMIFS(tbl_ledger[数量],tbl_ledger[充当先ロットID],$B26,tbl_ledger[イベント種類],"充当",tbl_ledger[元状態],F$1)-SUMIFS(tbl_ledger[数量],tbl_ledger[ロットID],$B26,tbl_ledger[元状態],F$1))</f>
        <v/>
      </c>
      <c r="G26" s="4" t="str">
        <f>IF($B26="","",SUMIFS(tbl_ledger[数量],tbl_ledger[ロットID],$B26,tbl_ledger[イベント種類],"梱包完了")+SUMIFS(tbl_ledger[数量],tbl_ledger[充当先ロットID],$B26,tbl_ledger[イベント種類],"充当",tbl_ledger[元状態],G$1)-SUMIFS(tbl_ledger[数量],tbl_ledger[ロットID],$B26,tbl_ledger[元状態],G$1))</f>
        <v/>
      </c>
      <c r="H26" s="4" t="str">
        <f>IF($B26="","",SUMIFS(tbl_ledger[数量],tbl_ledger[ロットID],$B26,tbl_ledger[イベント種類],"発送準備完了")+SUMIFS(tbl_ledger[数量],tbl_ledger[充当先ロットID],$B26,tbl_ledger[イベント種類],"充当",tbl_ledger[元状態],H$1)-SUMIFS(tbl_ledger[数量],tbl_ledger[ロットID],$B26,tbl_ledger[元状態],H$1))</f>
        <v/>
      </c>
      <c r="I26" s="4" t="str">
        <f>IF($B26="","",SUMIFS(tbl_ledger[数量],tbl_ledger[ロットID],$B26,tbl_ledger[イベント種類],"不良発生")+SUMIFS(tbl_ledger[数量],tbl_ledger[充当先ロットID],$B26,tbl_ledger[イベント種類],"充当",tbl_ledger[元状態],I$1)-SUMIFS(tbl_ledger[数量],tbl_ledger[ロットID],$B26,tbl_ledger[元状態],I$1))</f>
        <v/>
      </c>
      <c r="J26" s="4" t="str">
        <f t="shared" si="1"/>
        <v/>
      </c>
    </row>
    <row r="27" spans="1:10" ht="15" x14ac:dyDescent="0.25">
      <c r="A27" s="4" t="str">
        <f t="shared" si="0"/>
        <v/>
      </c>
      <c r="B27" s="4" t="str">
        <f>IFERROR(IF(COUNTIF($B$1:$B26,INDEX(tbl_plan[ロットID],ROW()-1))&gt;0,"",INDEX(tbl_plan[ロットID],ROW()-1)),"")</f>
        <v/>
      </c>
      <c r="C27" s="4" t="str">
        <f>IF($B27="","",INDEX(tbl_plan[品番],ROW()-1))</f>
        <v/>
      </c>
      <c r="D27" s="4" t="str">
        <f>IF($B27="","",SUMIFS(tbl_ledger[数量],tbl_ledger[ロットID],$B27,tbl_ledger[イベント種類],"搬入")+SUMIFS(tbl_ledger[数量],tbl_ledger[充当先ロットID],$B27,tbl_ledger[イベント種類],"充当",tbl_ledger[元状態],D$1)-SUMIFS(tbl_ledger[数量],tbl_ledger[ロットID],$B27,tbl_ledger[元状態],D$1))</f>
        <v/>
      </c>
      <c r="E27" s="4" t="str">
        <f>IF($B27="","",SUMIFS(tbl_ledger[数量],tbl_ledger[ロットID],$B27,tbl_ledger[イベント種類],"アニール完了")+SUMIFS(tbl_ledger[数量],tbl_ledger[充当先ロットID],$B27,tbl_ledger[イベント種類],"充当",tbl_ledger[元状態],E$1)-SUMIFS(tbl_ledger[数量],tbl_ledger[ロットID],$B27,tbl_ledger[元状態],E$1))</f>
        <v/>
      </c>
      <c r="F27" s="4" t="str">
        <f>IF($B27="","",SUMIFS(tbl_ledger[数量],tbl_ledger[ロットID],$B27,tbl_ledger[イベント種類],"アセンブリ完了")+SUMIFS(tbl_ledger[数量],tbl_ledger[充当先ロットID],$B27,tbl_ledger[イベント種類],"充当",tbl_ledger[元状態],F$1)-SUMIFS(tbl_ledger[数量],tbl_ledger[ロットID],$B27,tbl_ledger[元状態],F$1))</f>
        <v/>
      </c>
      <c r="G27" s="4" t="str">
        <f>IF($B27="","",SUMIFS(tbl_ledger[数量],tbl_ledger[ロットID],$B27,tbl_ledger[イベント種類],"梱包完了")+SUMIFS(tbl_ledger[数量],tbl_ledger[充当先ロットID],$B27,tbl_ledger[イベント種類],"充当",tbl_ledger[元状態],G$1)-SUMIFS(tbl_ledger[数量],tbl_ledger[ロットID],$B27,tbl_ledger[元状態],G$1))</f>
        <v/>
      </c>
      <c r="H27" s="4" t="str">
        <f>IF($B27="","",SUMIFS(tbl_ledger[数量],tbl_ledger[ロットID],$B27,tbl_ledger[イベント種類],"発送準備完了")+SUMIFS(tbl_ledger[数量],tbl_ledger[充当先ロットID],$B27,tbl_ledger[イベント種類],"充当",tbl_ledger[元状態],H$1)-SUMIFS(tbl_ledger[数量],tbl_ledger[ロットID],$B27,tbl_ledger[元状態],H$1))</f>
        <v/>
      </c>
      <c r="I27" s="4" t="str">
        <f>IF($B27="","",SUMIFS(tbl_ledger[数量],tbl_ledger[ロットID],$B27,tbl_ledger[イベント種類],"不良発生")+SUMIFS(tbl_ledger[数量],tbl_ledger[充当先ロットID],$B27,tbl_ledger[イベント種類],"充当",tbl_ledger[元状態],I$1)-SUMIFS(tbl_ledger[数量],tbl_ledger[ロットID],$B27,tbl_ledger[元状態],I$1))</f>
        <v/>
      </c>
      <c r="J27" s="4" t="str">
        <f t="shared" si="1"/>
        <v/>
      </c>
    </row>
    <row r="28" spans="1:10" ht="15" x14ac:dyDescent="0.25">
      <c r="A28" s="4" t="str">
        <f t="shared" si="0"/>
        <v/>
      </c>
      <c r="B28" s="4" t="str">
        <f>IFERROR(IF(COUNTIF($B$1:$B27,INDEX(tbl_plan[ロットID],ROW()-1))&gt;0,"",INDEX(tbl_plan[ロットID],ROW()-1)),"")</f>
        <v/>
      </c>
      <c r="C28" s="4" t="str">
        <f>IF($B28="","",INDEX(tbl_plan[品番],ROW()-1))</f>
        <v/>
      </c>
      <c r="D28" s="4" t="str">
        <f>IF($B28="","",SUMIFS(tbl_ledger[数量],tbl_ledger[ロットID],$B28,tbl_ledger[イベント種類],"搬入")+SUMIFS(tbl_ledger[数量],tbl_ledger[充当先ロットID],$B28,tbl_ledger[イベント種類],"充当",tbl_ledger[元状態],D$1)-SUMIFS(tbl_ledger[数量],tbl_ledger[ロットID],$B28,tbl_ledger[元状態],D$1))</f>
        <v/>
      </c>
      <c r="E28" s="4" t="str">
        <f>IF($B28="","",SUMIFS(tbl_ledger[数量],tbl_ledger[ロットID],$B28,tbl_ledger[イベント種類],"アニール完了")+SUMIFS(tbl_ledger[数量],tbl_ledger[充当先ロットID],$B28,tbl_ledger[イベント種類],"充当",tbl_ledger[元状態],E$1)-SUMIFS(tbl_ledger[数量],tbl_ledger[ロットID],$B28,tbl_ledger[元状態],E$1))</f>
        <v/>
      </c>
      <c r="F28" s="4" t="str">
        <f>IF($B28="","",SUMIFS(tbl_ledger[数量],tbl_ledger[ロットID],$B28,tbl_ledger[イベント種類],"アセンブリ完了")+SUMIFS(tbl_ledger[数量],tbl_ledger[充当先ロットID],$B28,tbl_ledger[イベント種類],"充当",tbl_ledger[元状態],F$1)-SUMIFS(tbl_ledger[数量],tbl_ledger[ロットID],$B28,tbl_ledger[元状態],F$1))</f>
        <v/>
      </c>
      <c r="G28" s="4" t="str">
        <f>IF($B28="","",SUMIFS(tbl_ledger[数量],tbl_ledger[ロットID],$B28,tbl_ledger[イベント種類],"梱包完了")+SUMIFS(tbl_ledger[数量],tbl_ledger[充当先ロットID],$B28,tbl_ledger[イベント種類],"充当",tbl_ledger[元状態],G$1)-SUMIFS(tbl_ledger[数量],tbl_ledger[ロットID],$B28,tbl_ledger[元状態],G$1))</f>
        <v/>
      </c>
      <c r="H28" s="4" t="str">
        <f>IF($B28="","",SUMIFS(tbl_ledger[数量],tbl_ledger[ロットID],$B28,tbl_ledger[イベント種類],"発送準備完了")+SUMIFS(tbl_ledger[数量],tbl_ledger[充当先ロットID],$B28,tbl_ledger[イベント種類],"充当",tbl_ledger[元状態],H$1)-SUMIFS(tbl_ledger[数量],tbl_ledger[ロットID],$B28,tbl_ledger[元状態],H$1))</f>
        <v/>
      </c>
      <c r="I28" s="4" t="str">
        <f>IF($B28="","",SUMIFS(tbl_ledger[数量],tbl_ledger[ロットID],$B28,tbl_ledger[イベント種類],"不良発生")+SUMIFS(tbl_ledger[数量],tbl_ledger[充当先ロットID],$B28,tbl_ledger[イベント種類],"充当",tbl_ledger[元状態],I$1)-SUMIFS(tbl_ledger[数量],tbl_ledger[ロットID],$B28,tbl_ledger[元状態],I$1))</f>
        <v/>
      </c>
      <c r="J28" s="4" t="str">
        <f t="shared" si="1"/>
        <v/>
      </c>
    </row>
    <row r="29" spans="1:10" ht="15" x14ac:dyDescent="0.25">
      <c r="A29" s="4" t="str">
        <f t="shared" si="0"/>
        <v/>
      </c>
      <c r="B29" s="4" t="str">
        <f>IFERROR(IF(COUNTIF($B$1:$B28,INDEX(tbl_plan[ロットID],ROW()-1))&gt;0,"",INDEX(tbl_plan[ロットID],ROW()-1)),"")</f>
        <v/>
      </c>
      <c r="C29" s="4" t="str">
        <f>IF($B29="","",INDEX(tbl_plan[品番],ROW()-1))</f>
        <v/>
      </c>
      <c r="D29" s="4" t="str">
        <f>IF($B29="","",SUMIFS(tbl_ledger[数量],tbl_ledger[ロットID],$B29,tbl_ledger[イベント種類],"搬入")+SUMIFS(tbl_ledger[数量],tbl_ledger[充当先ロットID],$B29,tbl_ledger[イベント種類],"充当",tbl_ledger[元状態],D$1)-SUMIFS(tbl_ledger[数量],tbl_ledger[ロットID],$B29,tbl_ledger[元状態],D$1))</f>
        <v/>
      </c>
      <c r="E29" s="4" t="str">
        <f>IF($B29="","",SUMIFS(tbl_ledger[数量],tbl_ledger[ロットID],$B29,tbl_ledger[イベント種類],"アニール完了")+SUMIFS(tbl_ledger[数量],tbl_ledger[充当先ロットID],$B29,tbl_ledger[イベント種類],"充当",tbl_ledger[元状態],E$1)-SUMIFS(tbl_ledger[数量],tbl_ledger[ロットID],$B29,tbl_ledger[元状態],E$1))</f>
        <v/>
      </c>
      <c r="F29" s="4" t="str">
        <f>IF($B29="","",SUMIFS(tbl_ledger[数量],tbl_ledger[ロットID],$B29,tbl_ledger[イベント種類],"アセンブリ完了")+SUMIFS(tbl_ledger[数量],tbl_ledger[充当先ロットID],$B29,tbl_ledger[イベント種類],"充当",tbl_ledger[元状態],F$1)-SUMIFS(tbl_ledger[数量],tbl_ledger[ロットID],$B29,tbl_ledger[元状態],F$1))</f>
        <v/>
      </c>
      <c r="G29" s="4" t="str">
        <f>IF($B29="","",SUMIFS(tbl_ledger[数量],tbl_ledger[ロットID],$B29,tbl_ledger[イベント種類],"梱包完了")+SUMIFS(tbl_ledger[数量],tbl_ledger[充当先ロットID],$B29,tbl_ledger[イベント種類],"充当",tbl_ledger[元状態],G$1)-SUMIFS(tbl_ledger[数量],tbl_ledger[ロットID],$B29,tbl_ledger[元状態],G$1))</f>
        <v/>
      </c>
      <c r="H29" s="4" t="str">
        <f>IF($B29="","",SUMIFS(tbl_ledger[数量],tbl_ledger[ロットID],$B29,tbl_ledger[イベント種類],"発送準備完了")+SUMIFS(tbl_ledger[数量],tbl_ledger[充当先ロットID],$B29,tbl_ledger[イベント種類],"充当",tbl_ledger[元状態],H$1)-SUMIFS(tbl_ledger[数量],tbl_ledger[ロットID],$B29,tbl_ledger[元状態],H$1))</f>
        <v/>
      </c>
      <c r="I29" s="4" t="str">
        <f>IF($B29="","",SUMIFS(tbl_ledger[数量],tbl_ledger[ロットID],$B29,tbl_ledger[イベント種類],"不良発生")+SUMIFS(tbl_ledger[数量],tbl_ledger[充当先ロットID],$B29,tbl_ledger[イベント種類],"充当",tbl_ledger[元状態],I$1)-SUMIFS(tbl_ledger[数量],tbl_ledger[ロットID],$B29,tbl_ledger[元状態],I$1))</f>
        <v/>
      </c>
      <c r="J29" s="4" t="str">
        <f t="shared" si="1"/>
        <v/>
      </c>
    </row>
    <row r="30" spans="1:10" ht="15" x14ac:dyDescent="0.25">
      <c r="A30" s="4" t="str">
        <f t="shared" si="0"/>
        <v/>
      </c>
      <c r="B30" s="4" t="str">
        <f>IFERROR(IF(COUNTIF($B$1:$B29,INDEX(tbl_plan[ロットID],ROW()-1))&gt;0,"",INDEX(tbl_plan[ロットID],ROW()-1)),"")</f>
        <v/>
      </c>
      <c r="C30" s="4" t="str">
        <f>IF($B30="","",INDEX(tbl_plan[品番],ROW()-1))</f>
        <v/>
      </c>
      <c r="D30" s="4" t="str">
        <f>IF($B30="","",SUMIFS(tbl_ledger[数量],tbl_ledger[ロットID],$B30,tbl_ledger[イベント種類],"搬入")+SUMIFS(tbl_ledger[数量],tbl_ledger[充当先ロットID],$B30,tbl_ledger[イベント種類],"充当",tbl_ledger[元状態],D$1)-SUMIFS(tbl_ledger[数量],tbl_ledger[ロットID],$B30,tbl_ledger[元状態],D$1))</f>
        <v/>
      </c>
      <c r="E30" s="4" t="str">
        <f>IF($B30="","",SUMIFS(tbl_ledger[数量],tbl_ledger[ロットID],$B30,tbl_ledger[イベント種類],"アニール完了")+SUMIFS(tbl_ledger[数量],tbl_ledger[充当先ロットID],$B30,tbl_ledger[イベント種類],"充当",tbl_ledger[元状態],E$1)-SUMIFS(tbl_ledger[数量],tbl_ledger[ロットID],$B30,tbl_ledger[元状態],E$1))</f>
        <v/>
      </c>
      <c r="F30" s="4" t="str">
        <f>IF($B30="","",SUMIFS(tbl_ledger[数量],tbl_ledger[ロットID],$B30,tbl_ledger[イベント種類],"アセンブリ完了")+SUMIFS(tbl_ledger[数量],tbl_ledger[充当先ロットID],$B30,tbl_ledger[イベント種類],"充当",tbl_ledger[元状態],F$1)-SUMIFS(tbl_ledger[数量],tbl_ledger[ロットID],$B30,tbl_ledger[元状態],F$1))</f>
        <v/>
      </c>
      <c r="G30" s="4" t="str">
        <f>IF($B30="","",SUMIFS(tbl_ledger[数量],tbl_ledger[ロットID],$B30,tbl_ledger[イベント種類],"梱包完了")+SUMIFS(tbl_ledger[数量],tbl_ledger[充当先ロットID],$B30,tbl_ledger[イベント種類],"充当",tbl_ledger[元状態],G$1)-SUMIFS(tbl_ledger[数量],tbl_ledger[ロットID],$B30,tbl_ledger[元状態],G$1))</f>
        <v/>
      </c>
      <c r="H30" s="4" t="str">
        <f>IF($B30="","",SUMIFS(tbl_ledger[数量],tbl_ledger[ロットID],$B30,tbl_ledger[イベント種類],"発送準備完了")+SUMIFS(tbl_ledger[数量],tbl_ledger[充当先ロットID],$B30,tbl_ledger[イベント種類],"充当",tbl_ledger[元状態],H$1)-SUMIFS(tbl_ledger[数量],tbl_ledger[ロットID],$B30,tbl_ledger[元状態],H$1))</f>
        <v/>
      </c>
      <c r="I30" s="4" t="str">
        <f>IF($B30="","",SUMIFS(tbl_ledger[数量],tbl_ledger[ロットID],$B30,tbl_ledger[イベント種類],"不良発生")+SUMIFS(tbl_ledger[数量],tbl_ledger[充当先ロットID],$B30,tbl_ledger[イベント種類],"充当",tbl_ledger[元状態],I$1)-SUMIFS(tbl_ledger[数量],tbl_ledger[ロットID],$B30,tbl_ledger[元状態],I$1))</f>
        <v/>
      </c>
      <c r="J30" s="4" t="str">
        <f t="shared" si="1"/>
        <v/>
      </c>
    </row>
    <row r="31" spans="1:10" ht="15" x14ac:dyDescent="0.25">
      <c r="A31" s="4" t="str">
        <f t="shared" si="0"/>
        <v/>
      </c>
      <c r="B31" s="4" t="str">
        <f>IFERROR(IF(COUNTIF($B$1:$B30,INDEX(tbl_plan[ロットID],ROW()-1))&gt;0,"",INDEX(tbl_plan[ロットID],ROW()-1)),"")</f>
        <v/>
      </c>
      <c r="C31" s="4" t="str">
        <f>IF($B31="","",INDEX(tbl_plan[品番],ROW()-1))</f>
        <v/>
      </c>
      <c r="D31" s="4" t="str">
        <f>IF($B31="","",SUMIFS(tbl_ledger[数量],tbl_ledger[ロットID],$B31,tbl_ledger[イベント種類],"搬入")+SUMIFS(tbl_ledger[数量],tbl_ledger[充当先ロットID],$B31,tbl_ledger[イベント種類],"充当",tbl_ledger[元状態],D$1)-SUMIFS(tbl_ledger[数量],tbl_ledger[ロットID],$B31,tbl_ledger[元状態],D$1))</f>
        <v/>
      </c>
      <c r="E31" s="4" t="str">
        <f>IF($B31="","",SUMIFS(tbl_ledger[数量],tbl_ledger[ロットID],$B31,tbl_ledger[イベント種類],"アニール完了")+SUMIFS(tbl_ledger[数量],tbl_ledger[充当先ロットID],$B31,tbl_ledger[イベント種類],"充当",tbl_ledger[元状態],E$1)-SUMIFS(tbl_ledger[数量],tbl_ledger[ロットID],$B31,tbl_ledger[元状態],E$1))</f>
        <v/>
      </c>
      <c r="F31" s="4" t="str">
        <f>IF($B31="","",SUMIFS(tbl_ledger[数量],tbl_ledger[ロットID],$B31,tbl_ledger[イベント種類],"アセンブリ完了")+SUMIFS(tbl_ledger[数量],tbl_ledger[充当先ロットID],$B31,tbl_ledger[イベント種類],"充当",tbl_ledger[元状態],F$1)-SUMIFS(tbl_ledger[数量],tbl_ledger[ロットID],$B31,tbl_ledger[元状態],F$1))</f>
        <v/>
      </c>
      <c r="G31" s="4" t="str">
        <f>IF($B31="","",SUMIFS(tbl_ledger[数量],tbl_ledger[ロットID],$B31,tbl_ledger[イベント種類],"梱包完了")+SUMIFS(tbl_ledger[数量],tbl_ledger[充当先ロットID],$B31,tbl_ledger[イベント種類],"充当",tbl_ledger[元状態],G$1)-SUMIFS(tbl_ledger[数量],tbl_ledger[ロットID],$B31,tbl_ledger[元状態],G$1))</f>
        <v/>
      </c>
      <c r="H31" s="4" t="str">
        <f>IF($B31="","",SUMIFS(tbl_ledger[数量],tbl_ledger[ロットID],$B31,tbl_ledger[イベント種類],"発送準備完了")+SUMIFS(tbl_ledger[数量],tbl_ledger[充当先ロットID],$B31,tbl_ledger[イベント種類],"充当",tbl_ledger[元状態],H$1)-SUMIFS(tbl_ledger[数量],tbl_ledger[ロットID],$B31,tbl_ledger[元状態],H$1))</f>
        <v/>
      </c>
      <c r="I31" s="4" t="str">
        <f>IF($B31="","",SUMIFS(tbl_ledger[数量],tbl_ledger[ロットID],$B31,tbl_ledger[イベント種類],"不良発生")+SUMIFS(tbl_ledger[数量],tbl_ledger[充当先ロットID],$B31,tbl_ledger[イベント種類],"充当",tbl_ledger[元状態],I$1)-SUMIFS(tbl_ledger[数量],tbl_ledger[ロットID],$B31,tbl_ledger[元状態],I$1))</f>
        <v/>
      </c>
      <c r="J31" s="4" t="str">
        <f t="shared" si="1"/>
        <v/>
      </c>
    </row>
    <row r="32" spans="1:10" ht="15" x14ac:dyDescent="0.25">
      <c r="A32" s="4" t="str">
        <f t="shared" si="0"/>
        <v/>
      </c>
      <c r="B32" s="4" t="str">
        <f>IFERROR(IF(COUNTIF($B$1:$B31,INDEX(tbl_plan[ロットID],ROW()-1))&gt;0,"",INDEX(tbl_plan[ロットID],ROW()-1)),"")</f>
        <v/>
      </c>
      <c r="C32" s="4" t="str">
        <f>IF($B32="","",INDEX(tbl_plan[品番],ROW()-1))</f>
        <v/>
      </c>
      <c r="D32" s="4" t="str">
        <f>IF($B32="","",SUMIFS(tbl_ledger[数量],tbl_ledger[ロットID],$B32,tbl_ledger[イベント種類],"搬入")+SUMIFS(tbl_ledger[数量],tbl_ledger[充当先ロットID],$B32,tbl_ledger[イベント種類],"充当",tbl_ledger[元状態],D$1)-SUMIFS(tbl_ledger[数量],tbl_ledger[ロットID],$B32,tbl_ledger[元状態],D$1))</f>
        <v/>
      </c>
      <c r="E32" s="4" t="str">
        <f>IF($B32="","",SUMIFS(tbl_ledger[数量],tbl_ledger[ロットID],$B32,tbl_ledger[イベント種類],"アニール完了")+SUMIFS(tbl_ledger[数量],tbl_ledger[充当先ロットID],$B32,tbl_ledger[イベント種類],"充当",tbl_ledger[元状態],E$1)-SUMIFS(tbl_ledger[数量],tbl_ledger[ロットID],$B32,tbl_ledger[元状態],E$1))</f>
        <v/>
      </c>
      <c r="F32" s="4" t="str">
        <f>IF($B32="","",SUMIFS(tbl_ledger[数量],tbl_ledger[ロットID],$B32,tbl_ledger[イベント種類],"アセンブリ完了")+SUMIFS(tbl_ledger[数量],tbl_ledger[充当先ロットID],$B32,tbl_ledger[イベント種類],"充当",tbl_ledger[元状態],F$1)-SUMIFS(tbl_ledger[数量],tbl_ledger[ロットID],$B32,tbl_ledger[元状態],F$1))</f>
        <v/>
      </c>
      <c r="G32" s="4" t="str">
        <f>IF($B32="","",SUMIFS(tbl_ledger[数量],tbl_ledger[ロットID],$B32,tbl_ledger[イベント種類],"梱包完了")+SUMIFS(tbl_ledger[数量],tbl_ledger[充当先ロットID],$B32,tbl_ledger[イベント種類],"充当",tbl_ledger[元状態],G$1)-SUMIFS(tbl_ledger[数量],tbl_ledger[ロットID],$B32,tbl_ledger[元状態],G$1))</f>
        <v/>
      </c>
      <c r="H32" s="4" t="str">
        <f>IF($B32="","",SUMIFS(tbl_ledger[数量],tbl_ledger[ロットID],$B32,tbl_ledger[イベント種類],"発送準備完了")+SUMIFS(tbl_ledger[数量],tbl_ledger[充当先ロットID],$B32,tbl_ledger[イベント種類],"充当",tbl_ledger[元状態],H$1)-SUMIFS(tbl_ledger[数量],tbl_ledger[ロットID],$B32,tbl_ledger[元状態],H$1))</f>
        <v/>
      </c>
      <c r="I32" s="4" t="str">
        <f>IF($B32="","",SUMIFS(tbl_ledger[数量],tbl_ledger[ロットID],$B32,tbl_ledger[イベント種類],"不良発生")+SUMIFS(tbl_ledger[数量],tbl_ledger[充当先ロットID],$B32,tbl_ledger[イベント種類],"充当",tbl_ledger[元状態],I$1)-SUMIFS(tbl_ledger[数量],tbl_ledger[ロットID],$B32,tbl_ledger[元状態],I$1))</f>
        <v/>
      </c>
      <c r="J32" s="4" t="str">
        <f t="shared" si="1"/>
        <v/>
      </c>
    </row>
    <row r="33" spans="1:10" ht="15" x14ac:dyDescent="0.25">
      <c r="A33" s="4" t="str">
        <f t="shared" si="0"/>
        <v/>
      </c>
      <c r="B33" s="4" t="str">
        <f>IFERROR(IF(COUNTIF($B$1:$B32,INDEX(tbl_plan[ロットID],ROW()-1))&gt;0,"",INDEX(tbl_plan[ロットID],ROW()-1)),"")</f>
        <v/>
      </c>
      <c r="C33" s="4" t="str">
        <f>IF($B33="","",INDEX(tbl_plan[品番],ROW()-1))</f>
        <v/>
      </c>
      <c r="D33" s="4" t="str">
        <f>IF($B33="","",SUMIFS(tbl_ledger[数量],tbl_ledger[ロットID],$B33,tbl_ledger[イベント種類],"搬入")+SUMIFS(tbl_ledger[数量],tbl_ledger[充当先ロットID],$B33,tbl_ledger[イベント種類],"充当",tbl_ledger[元状態],D$1)-SUMIFS(tbl_ledger[数量],tbl_ledger[ロットID],$B33,tbl_ledger[元状態],D$1))</f>
        <v/>
      </c>
      <c r="E33" s="4" t="str">
        <f>IF($B33="","",SUMIFS(tbl_ledger[数量],tbl_ledger[ロットID],$B33,tbl_ledger[イベント種類],"アニール完了")+SUMIFS(tbl_ledger[数量],tbl_ledger[充当先ロットID],$B33,tbl_ledger[イベント種類],"充当",tbl_ledger[元状態],E$1)-SUMIFS(tbl_ledger[数量],tbl_ledger[ロットID],$B33,tbl_ledger[元状態],E$1))</f>
        <v/>
      </c>
      <c r="F33" s="4" t="str">
        <f>IF($B33="","",SUMIFS(tbl_ledger[数量],tbl_ledger[ロットID],$B33,tbl_ledger[イベント種類],"アセンブリ完了")+SUMIFS(tbl_ledger[数量],tbl_ledger[充当先ロットID],$B33,tbl_ledger[イベント種類],"充当",tbl_ledger[元状態],F$1)-SUMIFS(tbl_ledger[数量],tbl_ledger[ロットID],$B33,tbl_ledger[元状態],F$1))</f>
        <v/>
      </c>
      <c r="G33" s="4" t="str">
        <f>IF($B33="","",SUMIFS(tbl_ledger[数量],tbl_ledger[ロットID],$B33,tbl_ledger[イベント種類],"梱包完了")+SUMIFS(tbl_ledger[数量],tbl_ledger[充当先ロットID],$B33,tbl_ledger[イベント種類],"充当",tbl_ledger[元状態],G$1)-SUMIFS(tbl_ledger[数量],tbl_ledger[ロットID],$B33,tbl_ledger[元状態],G$1))</f>
        <v/>
      </c>
      <c r="H33" s="4" t="str">
        <f>IF($B33="","",SUMIFS(tbl_ledger[数量],tbl_ledger[ロットID],$B33,tbl_ledger[イベント種類],"発送準備完了")+SUMIFS(tbl_ledger[数量],tbl_ledger[充当先ロットID],$B33,tbl_ledger[イベント種類],"充当",tbl_ledger[元状態],H$1)-SUMIFS(tbl_ledger[数量],tbl_ledger[ロットID],$B33,tbl_ledger[元状態],H$1))</f>
        <v/>
      </c>
      <c r="I33" s="4" t="str">
        <f>IF($B33="","",SUMIFS(tbl_ledger[数量],tbl_ledger[ロットID],$B33,tbl_ledger[イベント種類],"不良発生")+SUMIFS(tbl_ledger[数量],tbl_ledger[充当先ロットID],$B33,tbl_ledger[イベント種類],"充当",tbl_ledger[元状態],I$1)-SUMIFS(tbl_ledger[数量],tbl_ledger[ロットID],$B33,tbl_ledger[元状態],I$1))</f>
        <v/>
      </c>
      <c r="J33" s="4" t="str">
        <f t="shared" si="1"/>
        <v/>
      </c>
    </row>
    <row r="34" spans="1:10" ht="15" x14ac:dyDescent="0.25">
      <c r="A34" s="4" t="str">
        <f t="shared" si="0"/>
        <v/>
      </c>
      <c r="B34" s="4" t="str">
        <f>IFERROR(IF(COUNTIF($B$1:$B33,INDEX(tbl_plan[ロットID],ROW()-1))&gt;0,"",INDEX(tbl_plan[ロットID],ROW()-1)),"")</f>
        <v/>
      </c>
      <c r="C34" s="4" t="str">
        <f>IF($B34="","",INDEX(tbl_plan[品番],ROW()-1))</f>
        <v/>
      </c>
      <c r="D34" s="4" t="str">
        <f>IF($B34="","",SUMIFS(tbl_ledger[数量],tbl_ledger[ロットID],$B34,tbl_ledger[イベント種類],"搬入")+SUMIFS(tbl_ledger[数量],tbl_ledger[充当先ロットID],$B34,tbl_ledger[イベント種類],"充当",tbl_ledger[元状態],D$1)-SUMIFS(tbl_ledger[数量],tbl_ledger[ロットID],$B34,tbl_ledger[元状態],D$1))</f>
        <v/>
      </c>
      <c r="E34" s="4" t="str">
        <f>IF($B34="","",SUMIFS(tbl_ledger[数量],tbl_ledger[ロットID],$B34,tbl_ledger[イベント種類],"アニール完了")+SUMIFS(tbl_ledger[数量],tbl_ledger[充当先ロットID],$B34,tbl_ledger[イベント種類],"充当",tbl_ledger[元状態],E$1)-SUMIFS(tbl_ledger[数量],tbl_ledger[ロットID],$B34,tbl_ledger[元状態],E$1))</f>
        <v/>
      </c>
      <c r="F34" s="4" t="str">
        <f>IF($B34="","",SUMIFS(tbl_ledger[数量],tbl_ledger[ロットID],$B34,tbl_ledger[イベント種類],"アセンブリ完了")+SUMIFS(tbl_ledger[数量],tbl_ledger[充当先ロットID],$B34,tbl_ledger[イベント種類],"充当",tbl_ledger[元状態],F$1)-SUMIFS(tbl_ledger[数量],tbl_ledger[ロットID],$B34,tbl_ledger[元状態],F$1))</f>
        <v/>
      </c>
      <c r="G34" s="4" t="str">
        <f>IF($B34="","",SUMIFS(tbl_ledger[数量],tbl_ledger[ロットID],$B34,tbl_ledger[イベント種類],"梱包完了")+SUMIFS(tbl_ledger[数量],tbl_ledger[充当先ロットID],$B34,tbl_ledger[イベント種類],"充当",tbl_ledger[元状態],G$1)-SUMIFS(tbl_ledger[数量],tbl_ledger[ロットID],$B34,tbl_ledger[元状態],G$1))</f>
        <v/>
      </c>
      <c r="H34" s="4" t="str">
        <f>IF($B34="","",SUMIFS(tbl_ledger[数量],tbl_ledger[ロットID],$B34,tbl_ledger[イベント種類],"発送準備完了")+SUMIFS(tbl_ledger[数量],tbl_ledger[充当先ロットID],$B34,tbl_ledger[イベント種類],"充当",tbl_ledger[元状態],H$1)-SUMIFS(tbl_ledger[数量],tbl_ledger[ロットID],$B34,tbl_ledger[元状態],H$1))</f>
        <v/>
      </c>
      <c r="I34" s="4" t="str">
        <f>IF($B34="","",SUMIFS(tbl_ledger[数量],tbl_ledger[ロットID],$B34,tbl_ledger[イベント種類],"不良発生")+SUMIFS(tbl_ledger[数量],tbl_ledger[充当先ロットID],$B34,tbl_ledger[イベント種類],"充当",tbl_ledger[元状態],I$1)-SUMIFS(tbl_ledger[数量],tbl_ledger[ロットID],$B34,tbl_ledger[元状態],I$1))</f>
        <v/>
      </c>
      <c r="J34" s="4" t="str">
        <f t="shared" si="1"/>
        <v/>
      </c>
    </row>
    <row r="35" spans="1:10" ht="15" x14ac:dyDescent="0.25">
      <c r="A35" s="4" t="str">
        <f t="shared" si="0"/>
        <v/>
      </c>
      <c r="B35" s="4" t="str">
        <f>IFERROR(IF(COUNTIF($B$1:$B34,INDEX(tbl_plan[ロットID],ROW()-1))&gt;0,"",INDEX(tbl_plan[ロットID],ROW()-1)),"")</f>
        <v/>
      </c>
      <c r="C35" s="4" t="str">
        <f>IF($B35="","",INDEX(tbl_plan[品番],ROW()-1))</f>
        <v/>
      </c>
      <c r="D35" s="4" t="str">
        <f>IF($B35="","",SUMIFS(tbl_ledger[数量],tbl_ledger[ロットID],$B35,tbl_ledger[イベント種類],"搬入")+SUMIFS(tbl_ledger[数量],tbl_ledger[充当先ロットID],$B35,tbl_ledger[イベント種類],"充当",tbl_ledger[元状態],D$1)-SUMIFS(tbl_ledger[数量],tbl_ledger[ロットID],$B35,tbl_ledger[元状態],D$1))</f>
        <v/>
      </c>
      <c r="E35" s="4" t="str">
        <f>IF($B35="","",SUMIFS(tbl_ledger[数量],tbl_ledger[ロットID],$B35,tbl_ledger[イベント種類],"アニール完了")+SUMIFS(tbl_ledger[数量],tbl_ledger[充当先ロットID],$B35,tbl_ledger[イベント種類],"充当",tbl_ledger[元状態],E$1)-SUMIFS(tbl_ledger[数量],tbl_ledger[ロットID],$B35,tbl_ledger[元状態],E$1))</f>
        <v/>
      </c>
      <c r="F35" s="4" t="str">
        <f>IF($B35="","",SUMIFS(tbl_ledger[数量],tbl_ledger[ロットID],$B35,tbl_ledger[イベント種類],"アセンブリ完了")+SUMIFS(tbl_ledger[数量],tbl_ledger[充当先ロットID],$B35,tbl_ledger[イベント種類],"充当",tbl_ledger[元状態],F$1)-SUMIFS(tbl_ledger[数量],tbl_ledger[ロットID],$B35,tbl_ledger[元状態],F$1))</f>
        <v/>
      </c>
      <c r="G35" s="4" t="str">
        <f>IF($B35="","",SUMIFS(tbl_ledger[数量],tbl_ledger[ロットID],$B35,tbl_ledger[イベント種類],"梱包完了")+SUMIFS(tbl_ledger[数量],tbl_ledger[充当先ロットID],$B35,tbl_ledger[イベント種類],"充当",tbl_ledger[元状態],G$1)-SUMIFS(tbl_ledger[数量],tbl_ledger[ロットID],$B35,tbl_ledger[元状態],G$1))</f>
        <v/>
      </c>
      <c r="H35" s="4" t="str">
        <f>IF($B35="","",SUMIFS(tbl_ledger[数量],tbl_ledger[ロットID],$B35,tbl_ledger[イベント種類],"発送準備完了")+SUMIFS(tbl_ledger[数量],tbl_ledger[充当先ロットID],$B35,tbl_ledger[イベント種類],"充当",tbl_ledger[元状態],H$1)-SUMIFS(tbl_ledger[数量],tbl_ledger[ロットID],$B35,tbl_ledger[元状態],H$1))</f>
        <v/>
      </c>
      <c r="I35" s="4" t="str">
        <f>IF($B35="","",SUMIFS(tbl_ledger[数量],tbl_ledger[ロットID],$B35,tbl_ledger[イベント種類],"不良発生")+SUMIFS(tbl_ledger[数量],tbl_ledger[充当先ロットID],$B35,tbl_ledger[イベント種類],"充当",tbl_ledger[元状態],I$1)-SUMIFS(tbl_ledger[数量],tbl_ledger[ロットID],$B35,tbl_ledger[元状態],I$1))</f>
        <v/>
      </c>
      <c r="J35" s="4" t="str">
        <f t="shared" si="1"/>
        <v/>
      </c>
    </row>
    <row r="36" spans="1:10" ht="15" x14ac:dyDescent="0.25">
      <c r="A36" s="4" t="str">
        <f t="shared" si="0"/>
        <v/>
      </c>
      <c r="B36" s="4" t="str">
        <f>IFERROR(IF(COUNTIF($B$1:$B35,INDEX(tbl_plan[ロットID],ROW()-1))&gt;0,"",INDEX(tbl_plan[ロットID],ROW()-1)),"")</f>
        <v/>
      </c>
      <c r="C36" s="4" t="str">
        <f>IF($B36="","",INDEX(tbl_plan[品番],ROW()-1))</f>
        <v/>
      </c>
      <c r="D36" s="4" t="str">
        <f>IF($B36="","",SUMIFS(tbl_ledger[数量],tbl_ledger[ロットID],$B36,tbl_ledger[イベント種類],"搬入")+SUMIFS(tbl_ledger[数量],tbl_ledger[充当先ロットID],$B36,tbl_ledger[イベント種類],"充当",tbl_ledger[元状態],D$1)-SUMIFS(tbl_ledger[数量],tbl_ledger[ロットID],$B36,tbl_ledger[元状態],D$1))</f>
        <v/>
      </c>
      <c r="E36" s="4" t="str">
        <f>IF($B36="","",SUMIFS(tbl_ledger[数量],tbl_ledger[ロットID],$B36,tbl_ledger[イベント種類],"アニール完了")+SUMIFS(tbl_ledger[数量],tbl_ledger[充当先ロットID],$B36,tbl_ledger[イベント種類],"充当",tbl_ledger[元状態],E$1)-SUMIFS(tbl_ledger[数量],tbl_ledger[ロットID],$B36,tbl_ledger[元状態],E$1))</f>
        <v/>
      </c>
      <c r="F36" s="4" t="str">
        <f>IF($B36="","",SUMIFS(tbl_ledger[数量],tbl_ledger[ロットID],$B36,tbl_ledger[イベント種類],"アセンブリ完了")+SUMIFS(tbl_ledger[数量],tbl_ledger[充当先ロットID],$B36,tbl_ledger[イベント種類],"充当",tbl_ledger[元状態],F$1)-SUMIFS(tbl_ledger[数量],tbl_ledger[ロットID],$B36,tbl_ledger[元状態],F$1))</f>
        <v/>
      </c>
      <c r="G36" s="4" t="str">
        <f>IF($B36="","",SUMIFS(tbl_ledger[数量],tbl_ledger[ロットID],$B36,tbl_ledger[イベント種類],"梱包完了")+SUMIFS(tbl_ledger[数量],tbl_ledger[充当先ロットID],$B36,tbl_ledger[イベント種類],"充当",tbl_ledger[元状態],G$1)-SUMIFS(tbl_ledger[数量],tbl_ledger[ロットID],$B36,tbl_ledger[元状態],G$1))</f>
        <v/>
      </c>
      <c r="H36" s="4" t="str">
        <f>IF($B36="","",SUMIFS(tbl_ledger[数量],tbl_ledger[ロットID],$B36,tbl_ledger[イベント種類],"発送準備完了")+SUMIFS(tbl_ledger[数量],tbl_ledger[充当先ロットID],$B36,tbl_ledger[イベント種類],"充当",tbl_ledger[元状態],H$1)-SUMIFS(tbl_ledger[数量],tbl_ledger[ロットID],$B36,tbl_ledger[元状態],H$1))</f>
        <v/>
      </c>
      <c r="I36" s="4" t="str">
        <f>IF($B36="","",SUMIFS(tbl_ledger[数量],tbl_ledger[ロットID],$B36,tbl_ledger[イベント種類],"不良発生")+SUMIFS(tbl_ledger[数量],tbl_ledger[充当先ロットID],$B36,tbl_ledger[イベント種類],"充当",tbl_ledger[元状態],I$1)-SUMIFS(tbl_ledger[数量],tbl_ledger[ロットID],$B36,tbl_ledger[元状態],I$1))</f>
        <v/>
      </c>
      <c r="J36" s="4" t="str">
        <f t="shared" si="1"/>
        <v/>
      </c>
    </row>
    <row r="37" spans="1:10" ht="15" x14ac:dyDescent="0.25">
      <c r="A37" s="4" t="str">
        <f t="shared" si="0"/>
        <v/>
      </c>
      <c r="B37" s="4" t="str">
        <f>IFERROR(IF(COUNTIF($B$1:$B36,INDEX(tbl_plan[ロットID],ROW()-1))&gt;0,"",INDEX(tbl_plan[ロットID],ROW()-1)),"")</f>
        <v/>
      </c>
      <c r="C37" s="4" t="str">
        <f>IF($B37="","",INDEX(tbl_plan[品番],ROW()-1))</f>
        <v/>
      </c>
      <c r="D37" s="4" t="str">
        <f>IF($B37="","",SUMIFS(tbl_ledger[数量],tbl_ledger[ロットID],$B37,tbl_ledger[イベント種類],"搬入")+SUMIFS(tbl_ledger[数量],tbl_ledger[充当先ロットID],$B37,tbl_ledger[イベント種類],"充当",tbl_ledger[元状態],D$1)-SUMIFS(tbl_ledger[数量],tbl_ledger[ロットID],$B37,tbl_ledger[元状態],D$1))</f>
        <v/>
      </c>
      <c r="E37" s="4" t="str">
        <f>IF($B37="","",SUMIFS(tbl_ledger[数量],tbl_ledger[ロットID],$B37,tbl_ledger[イベント種類],"アニール完了")+SUMIFS(tbl_ledger[数量],tbl_ledger[充当先ロットID],$B37,tbl_ledger[イベント種類],"充当",tbl_ledger[元状態],E$1)-SUMIFS(tbl_ledger[数量],tbl_ledger[ロットID],$B37,tbl_ledger[元状態],E$1))</f>
        <v/>
      </c>
      <c r="F37" s="4" t="str">
        <f>IF($B37="","",SUMIFS(tbl_ledger[数量],tbl_ledger[ロットID],$B37,tbl_ledger[イベント種類],"アセンブリ完了")+SUMIFS(tbl_ledger[数量],tbl_ledger[充当先ロットID],$B37,tbl_ledger[イベント種類],"充当",tbl_ledger[元状態],F$1)-SUMIFS(tbl_ledger[数量],tbl_ledger[ロットID],$B37,tbl_ledger[元状態],F$1))</f>
        <v/>
      </c>
      <c r="G37" s="4" t="str">
        <f>IF($B37="","",SUMIFS(tbl_ledger[数量],tbl_ledger[ロットID],$B37,tbl_ledger[イベント種類],"梱包完了")+SUMIFS(tbl_ledger[数量],tbl_ledger[充当先ロットID],$B37,tbl_ledger[イベント種類],"充当",tbl_ledger[元状態],G$1)-SUMIFS(tbl_ledger[数量],tbl_ledger[ロットID],$B37,tbl_ledger[元状態],G$1))</f>
        <v/>
      </c>
      <c r="H37" s="4" t="str">
        <f>IF($B37="","",SUMIFS(tbl_ledger[数量],tbl_ledger[ロットID],$B37,tbl_ledger[イベント種類],"発送準備完了")+SUMIFS(tbl_ledger[数量],tbl_ledger[充当先ロットID],$B37,tbl_ledger[イベント種類],"充当",tbl_ledger[元状態],H$1)-SUMIFS(tbl_ledger[数量],tbl_ledger[ロットID],$B37,tbl_ledger[元状態],H$1))</f>
        <v/>
      </c>
      <c r="I37" s="4" t="str">
        <f>IF($B37="","",SUMIFS(tbl_ledger[数量],tbl_ledger[ロットID],$B37,tbl_ledger[イベント種類],"不良発生")+SUMIFS(tbl_ledger[数量],tbl_ledger[充当先ロットID],$B37,tbl_ledger[イベント種類],"充当",tbl_ledger[元状態],I$1)-SUMIFS(tbl_ledger[数量],tbl_ledger[ロットID],$B37,tbl_ledger[元状態],I$1))</f>
        <v/>
      </c>
      <c r="J37" s="4" t="str">
        <f t="shared" si="1"/>
        <v/>
      </c>
    </row>
    <row r="38" spans="1:10" ht="15" x14ac:dyDescent="0.25">
      <c r="A38" s="4" t="str">
        <f t="shared" si="0"/>
        <v/>
      </c>
      <c r="B38" s="4" t="str">
        <f>IFERROR(IF(COUNTIF($B$1:$B37,INDEX(tbl_plan[ロットID],ROW()-1))&gt;0,"",INDEX(tbl_plan[ロットID],ROW()-1)),"")</f>
        <v/>
      </c>
      <c r="C38" s="4" t="str">
        <f>IF($B38="","",INDEX(tbl_plan[品番],ROW()-1))</f>
        <v/>
      </c>
      <c r="D38" s="4" t="str">
        <f>IF($B38="","",SUMIFS(tbl_ledger[数量],tbl_ledger[ロットID],$B38,tbl_ledger[イベント種類],"搬入")+SUMIFS(tbl_ledger[数量],tbl_ledger[充当先ロットID],$B38,tbl_ledger[イベント種類],"充当",tbl_ledger[元状態],D$1)-SUMIFS(tbl_ledger[数量],tbl_ledger[ロットID],$B38,tbl_ledger[元状態],D$1))</f>
        <v/>
      </c>
      <c r="E38" s="4" t="str">
        <f>IF($B38="","",SUMIFS(tbl_ledger[数量],tbl_ledger[ロットID],$B38,tbl_ledger[イベント種類],"アニール完了")+SUMIFS(tbl_ledger[数量],tbl_ledger[充当先ロットID],$B38,tbl_ledger[イベント種類],"充当",tbl_ledger[元状態],E$1)-SUMIFS(tbl_ledger[数量],tbl_ledger[ロットID],$B38,tbl_ledger[元状態],E$1))</f>
        <v/>
      </c>
      <c r="F38" s="4" t="str">
        <f>IF($B38="","",SUMIFS(tbl_ledger[数量],tbl_ledger[ロットID],$B38,tbl_ledger[イベント種類],"アセンブリ完了")+SUMIFS(tbl_ledger[数量],tbl_ledger[充当先ロットID],$B38,tbl_ledger[イベント種類],"充当",tbl_ledger[元状態],F$1)-SUMIFS(tbl_ledger[数量],tbl_ledger[ロットID],$B38,tbl_ledger[元状態],F$1))</f>
        <v/>
      </c>
      <c r="G38" s="4" t="str">
        <f>IF($B38="","",SUMIFS(tbl_ledger[数量],tbl_ledger[ロットID],$B38,tbl_ledger[イベント種類],"梱包完了")+SUMIFS(tbl_ledger[数量],tbl_ledger[充当先ロットID],$B38,tbl_ledger[イベント種類],"充当",tbl_ledger[元状態],G$1)-SUMIFS(tbl_ledger[数量],tbl_ledger[ロットID],$B38,tbl_ledger[元状態],G$1))</f>
        <v/>
      </c>
      <c r="H38" s="4" t="str">
        <f>IF($B38="","",SUMIFS(tbl_ledger[数量],tbl_ledger[ロットID],$B38,tbl_ledger[イベント種類],"発送準備完了")+SUMIFS(tbl_ledger[数量],tbl_ledger[充当先ロットID],$B38,tbl_ledger[イベント種類],"充当",tbl_ledger[元状態],H$1)-SUMIFS(tbl_ledger[数量],tbl_ledger[ロットID],$B38,tbl_ledger[元状態],H$1))</f>
        <v/>
      </c>
      <c r="I38" s="4" t="str">
        <f>IF($B38="","",SUMIFS(tbl_ledger[数量],tbl_ledger[ロットID],$B38,tbl_ledger[イベント種類],"不良発生")+SUMIFS(tbl_ledger[数量],tbl_ledger[充当先ロットID],$B38,tbl_ledger[イベント種類],"充当",tbl_ledger[元状態],I$1)-SUMIFS(tbl_ledger[数量],tbl_ledger[ロットID],$B38,tbl_ledger[元状態],I$1))</f>
        <v/>
      </c>
      <c r="J38" s="4" t="str">
        <f t="shared" si="1"/>
        <v/>
      </c>
    </row>
    <row r="39" spans="1:10" ht="15" x14ac:dyDescent="0.25">
      <c r="A39" s="4" t="str">
        <f t="shared" si="0"/>
        <v/>
      </c>
      <c r="B39" s="4" t="str">
        <f>IFERROR(IF(COUNTIF($B$1:$B38,INDEX(tbl_plan[ロットID],ROW()-1))&gt;0,"",INDEX(tbl_plan[ロットID],ROW()-1)),"")</f>
        <v/>
      </c>
      <c r="C39" s="4" t="str">
        <f>IF($B39="","",INDEX(tbl_plan[品番],ROW()-1))</f>
        <v/>
      </c>
      <c r="D39" s="4" t="str">
        <f>IF($B39="","",SUMIFS(tbl_ledger[数量],tbl_ledger[ロットID],$B39,tbl_ledger[イベント種類],"搬入")+SUMIFS(tbl_ledger[数量],tbl_ledger[充当先ロットID],$B39,tbl_ledger[イベント種類],"充当",tbl_ledger[元状態],D$1)-SUMIFS(tbl_ledger[数量],tbl_ledger[ロットID],$B39,tbl_ledger[元状態],D$1))</f>
        <v/>
      </c>
      <c r="E39" s="4" t="str">
        <f>IF($B39="","",SUMIFS(tbl_ledger[数量],tbl_ledger[ロットID],$B39,tbl_ledger[イベント種類],"アニール完了")+SUMIFS(tbl_ledger[数量],tbl_ledger[充当先ロットID],$B39,tbl_ledger[イベント種類],"充当",tbl_ledger[元状態],E$1)-SUMIFS(tbl_ledger[数量],tbl_ledger[ロットID],$B39,tbl_ledger[元状態],E$1))</f>
        <v/>
      </c>
      <c r="F39" s="4" t="str">
        <f>IF($B39="","",SUMIFS(tbl_ledger[数量],tbl_ledger[ロットID],$B39,tbl_ledger[イベント種類],"アセンブリ完了")+SUMIFS(tbl_ledger[数量],tbl_ledger[充当先ロットID],$B39,tbl_ledger[イベント種類],"充当",tbl_ledger[元状態],F$1)-SUMIFS(tbl_ledger[数量],tbl_ledger[ロットID],$B39,tbl_ledger[元状態],F$1))</f>
        <v/>
      </c>
      <c r="G39" s="4" t="str">
        <f>IF($B39="","",SUMIFS(tbl_ledger[数量],tbl_ledger[ロットID],$B39,tbl_ledger[イベント種類],"梱包完了")+SUMIFS(tbl_ledger[数量],tbl_ledger[充当先ロットID],$B39,tbl_ledger[イベント種類],"充当",tbl_ledger[元状態],G$1)-SUMIFS(tbl_ledger[数量],tbl_ledger[ロットID],$B39,tbl_ledger[元状態],G$1))</f>
        <v/>
      </c>
      <c r="H39" s="4" t="str">
        <f>IF($B39="","",SUMIFS(tbl_ledger[数量],tbl_ledger[ロットID],$B39,tbl_ledger[イベント種類],"発送準備完了")+SUMIFS(tbl_ledger[数量],tbl_ledger[充当先ロットID],$B39,tbl_ledger[イベント種類],"充当",tbl_ledger[元状態],H$1)-SUMIFS(tbl_ledger[数量],tbl_ledger[ロットID],$B39,tbl_ledger[元状態],H$1))</f>
        <v/>
      </c>
      <c r="I39" s="4" t="str">
        <f>IF($B39="","",SUMIFS(tbl_ledger[数量],tbl_ledger[ロットID],$B39,tbl_ledger[イベント種類],"不良発生")+SUMIFS(tbl_ledger[数量],tbl_ledger[充当先ロットID],$B39,tbl_ledger[イベント種類],"充当",tbl_ledger[元状態],I$1)-SUMIFS(tbl_ledger[数量],tbl_ledger[ロットID],$B39,tbl_ledger[元状態],I$1))</f>
        <v/>
      </c>
      <c r="J39" s="4" t="str">
        <f t="shared" si="1"/>
        <v/>
      </c>
    </row>
    <row r="40" spans="1:10" ht="15" x14ac:dyDescent="0.25">
      <c r="A40" s="4" t="str">
        <f t="shared" si="0"/>
        <v/>
      </c>
      <c r="B40" s="4" t="str">
        <f>IFERROR(IF(COUNTIF($B$1:$B39,INDEX(tbl_plan[ロットID],ROW()-1))&gt;0,"",INDEX(tbl_plan[ロットID],ROW()-1)),"")</f>
        <v/>
      </c>
      <c r="C40" s="4" t="str">
        <f>IF($B40="","",INDEX(tbl_plan[品番],ROW()-1))</f>
        <v/>
      </c>
      <c r="D40" s="4" t="str">
        <f>IF($B40="","",SUMIFS(tbl_ledger[数量],tbl_ledger[ロットID],$B40,tbl_ledger[イベント種類],"搬入")+SUMIFS(tbl_ledger[数量],tbl_ledger[充当先ロットID],$B40,tbl_ledger[イベント種類],"充当",tbl_ledger[元状態],D$1)-SUMIFS(tbl_ledger[数量],tbl_ledger[ロットID],$B40,tbl_ledger[元状態],D$1))</f>
        <v/>
      </c>
      <c r="E40" s="4" t="str">
        <f>IF($B40="","",SUMIFS(tbl_ledger[数量],tbl_ledger[ロットID],$B40,tbl_ledger[イベント種類],"アニール完了")+SUMIFS(tbl_ledger[数量],tbl_ledger[充当先ロットID],$B40,tbl_ledger[イベント種類],"充当",tbl_ledger[元状態],E$1)-SUMIFS(tbl_ledger[数量],tbl_ledger[ロットID],$B40,tbl_ledger[元状態],E$1))</f>
        <v/>
      </c>
      <c r="F40" s="4" t="str">
        <f>IF($B40="","",SUMIFS(tbl_ledger[数量],tbl_ledger[ロットID],$B40,tbl_ledger[イベント種類],"アセンブリ完了")+SUMIFS(tbl_ledger[数量],tbl_ledger[充当先ロットID],$B40,tbl_ledger[イベント種類],"充当",tbl_ledger[元状態],F$1)-SUMIFS(tbl_ledger[数量],tbl_ledger[ロットID],$B40,tbl_ledger[元状態],F$1))</f>
        <v/>
      </c>
      <c r="G40" s="4" t="str">
        <f>IF($B40="","",SUMIFS(tbl_ledger[数量],tbl_ledger[ロットID],$B40,tbl_ledger[イベント種類],"梱包完了")+SUMIFS(tbl_ledger[数量],tbl_ledger[充当先ロットID],$B40,tbl_ledger[イベント種類],"充当",tbl_ledger[元状態],G$1)-SUMIFS(tbl_ledger[数量],tbl_ledger[ロットID],$B40,tbl_ledger[元状態],G$1))</f>
        <v/>
      </c>
      <c r="H40" s="4" t="str">
        <f>IF($B40="","",SUMIFS(tbl_ledger[数量],tbl_ledger[ロットID],$B40,tbl_ledger[イベント種類],"発送準備完了")+SUMIFS(tbl_ledger[数量],tbl_ledger[充当先ロットID],$B40,tbl_ledger[イベント種類],"充当",tbl_ledger[元状態],H$1)-SUMIFS(tbl_ledger[数量],tbl_ledger[ロットID],$B40,tbl_ledger[元状態],H$1))</f>
        <v/>
      </c>
      <c r="I40" s="4" t="str">
        <f>IF($B40="","",SUMIFS(tbl_ledger[数量],tbl_ledger[ロットID],$B40,tbl_ledger[イベント種類],"不良発生")+SUMIFS(tbl_ledger[数量],tbl_ledger[充当先ロットID],$B40,tbl_ledger[イベント種類],"充当",tbl_ledger[元状態],I$1)-SUMIFS(tbl_ledger[数量],tbl_ledger[ロットID],$B40,tbl_ledger[元状態],I$1))</f>
        <v/>
      </c>
      <c r="J40" s="4" t="str">
        <f t="shared" si="1"/>
        <v/>
      </c>
    </row>
    <row r="41" spans="1:10" ht="15" x14ac:dyDescent="0.25">
      <c r="A41" s="4" t="str">
        <f t="shared" si="0"/>
        <v/>
      </c>
      <c r="B41" s="4" t="str">
        <f>IFERROR(IF(COUNTIF($B$1:$B40,INDEX(tbl_plan[ロットID],ROW()-1))&gt;0,"",INDEX(tbl_plan[ロットID],ROW()-1)),"")</f>
        <v/>
      </c>
      <c r="C41" s="4" t="str">
        <f>IF($B41="","",INDEX(tbl_plan[品番],ROW()-1))</f>
        <v/>
      </c>
      <c r="D41" s="4" t="str">
        <f>IF($B41="","",SUMIFS(tbl_ledger[数量],tbl_ledger[ロットID],$B41,tbl_ledger[イベント種類],"搬入")+SUMIFS(tbl_ledger[数量],tbl_ledger[充当先ロットID],$B41,tbl_ledger[イベント種類],"充当",tbl_ledger[元状態],D$1)-SUMIFS(tbl_ledger[数量],tbl_ledger[ロットID],$B41,tbl_ledger[元状態],D$1))</f>
        <v/>
      </c>
      <c r="E41" s="4" t="str">
        <f>IF($B41="","",SUMIFS(tbl_ledger[数量],tbl_ledger[ロットID],$B41,tbl_ledger[イベント種類],"アニール完了")+SUMIFS(tbl_ledger[数量],tbl_ledger[充当先ロットID],$B41,tbl_ledger[イベント種類],"充当",tbl_ledger[元状態],E$1)-SUMIFS(tbl_ledger[数量],tbl_ledger[ロットID],$B41,tbl_ledger[元状態],E$1))</f>
        <v/>
      </c>
      <c r="F41" s="4" t="str">
        <f>IF($B41="","",SUMIFS(tbl_ledger[数量],tbl_ledger[ロットID],$B41,tbl_ledger[イベント種類],"アセンブリ完了")+SUMIFS(tbl_ledger[数量],tbl_ledger[充当先ロットID],$B41,tbl_ledger[イベント種類],"充当",tbl_ledger[元状態],F$1)-SUMIFS(tbl_ledger[数量],tbl_ledger[ロットID],$B41,tbl_ledger[元状態],F$1))</f>
        <v/>
      </c>
      <c r="G41" s="4" t="str">
        <f>IF($B41="","",SUMIFS(tbl_ledger[数量],tbl_ledger[ロットID],$B41,tbl_ledger[イベント種類],"梱包完了")+SUMIFS(tbl_ledger[数量],tbl_ledger[充当先ロットID],$B41,tbl_ledger[イベント種類],"充当",tbl_ledger[元状態],G$1)-SUMIFS(tbl_ledger[数量],tbl_ledger[ロットID],$B41,tbl_ledger[元状態],G$1))</f>
        <v/>
      </c>
      <c r="H41" s="4" t="str">
        <f>IF($B41="","",SUMIFS(tbl_ledger[数量],tbl_ledger[ロットID],$B41,tbl_ledger[イベント種類],"発送準備完了")+SUMIFS(tbl_ledger[数量],tbl_ledger[充当先ロットID],$B41,tbl_ledger[イベント種類],"充当",tbl_ledger[元状態],H$1)-SUMIFS(tbl_ledger[数量],tbl_ledger[ロットID],$B41,tbl_ledger[元状態],H$1))</f>
        <v/>
      </c>
      <c r="I41" s="4" t="str">
        <f>IF($B41="","",SUMIFS(tbl_ledger[数量],tbl_ledger[ロットID],$B41,tbl_ledger[イベント種類],"不良発生")+SUMIFS(tbl_ledger[数量],tbl_ledger[充当先ロットID],$B41,tbl_ledger[イベント種類],"充当",tbl_ledger[元状態],I$1)-SUMIFS(tbl_ledger[数量],tbl_ledger[ロットID],$B41,tbl_ledger[元状態],I$1))</f>
        <v/>
      </c>
      <c r="J41" s="4" t="str">
        <f t="shared" si="1"/>
        <v/>
      </c>
    </row>
    <row r="42" spans="1:10" ht="15" x14ac:dyDescent="0.25">
      <c r="A42" s="4" t="str">
        <f t="shared" si="0"/>
        <v/>
      </c>
      <c r="B42" s="4" t="str">
        <f>IFERROR(IF(COUNTIF($B$1:$B41,INDEX(tbl_plan[ロットID],ROW()-1))&gt;0,"",INDEX(tbl_plan[ロットID],ROW()-1)),"")</f>
        <v/>
      </c>
      <c r="C42" s="4" t="str">
        <f>IF($B42="","",INDEX(tbl_plan[品番],ROW()-1))</f>
        <v/>
      </c>
      <c r="D42" s="4" t="str">
        <f>IF($B42="","",SUMIFS(tbl_ledger[数量],tbl_ledger[ロットID],$B42,tbl_ledger[イベント種類],"搬入")+SUMIFS(tbl_ledger[数量],tbl_ledger[充当先ロットID],$B42,tbl_ledger[イベント種類],"充当",tbl_ledger[元状態],D$1)-SUMIFS(tbl_ledger[数量],tbl_ledger[ロットID],$B42,tbl_ledger[元状態],D$1))</f>
        <v/>
      </c>
      <c r="E42" s="4" t="str">
        <f>IF($B42="","",SUMIFS(tbl_ledger[数量],tbl_ledger[ロットID],$B42,tbl_ledger[イベント種類],"アニール完了")+SUMIFS(tbl_ledger[数量],tbl_ledger[充当先ロットID],$B42,tbl_ledger[イベント種類],"充当",tbl_ledger[元状態],E$1)-SUMIFS(tbl_ledger[数量],tbl_ledger[ロットID],$B42,tbl_ledger[元状態],E$1))</f>
        <v/>
      </c>
      <c r="F42" s="4" t="str">
        <f>IF($B42="","",SUMIFS(tbl_ledger[数量],tbl_ledger[ロットID],$B42,tbl_ledger[イベント種類],"アセンブリ完了")+SUMIFS(tbl_ledger[数量],tbl_ledger[充当先ロットID],$B42,tbl_ledger[イベント種類],"充当",tbl_ledger[元状態],F$1)-SUMIFS(tbl_ledger[数量],tbl_ledger[ロットID],$B42,tbl_ledger[元状態],F$1))</f>
        <v/>
      </c>
      <c r="G42" s="4" t="str">
        <f>IF($B42="","",SUMIFS(tbl_ledger[数量],tbl_ledger[ロットID],$B42,tbl_ledger[イベント種類],"梱包完了")+SUMIFS(tbl_ledger[数量],tbl_ledger[充当先ロットID],$B42,tbl_ledger[イベント種類],"充当",tbl_ledger[元状態],G$1)-SUMIFS(tbl_ledger[数量],tbl_ledger[ロットID],$B42,tbl_ledger[元状態],G$1))</f>
        <v/>
      </c>
      <c r="H42" s="4" t="str">
        <f>IF($B42="","",SUMIFS(tbl_ledger[数量],tbl_ledger[ロットID],$B42,tbl_ledger[イベント種類],"発送準備完了")+SUMIFS(tbl_ledger[数量],tbl_ledger[充当先ロットID],$B42,tbl_ledger[イベント種類],"充当",tbl_ledger[元状態],H$1)-SUMIFS(tbl_ledger[数量],tbl_ledger[ロットID],$B42,tbl_ledger[元状態],H$1))</f>
        <v/>
      </c>
      <c r="I42" s="4" t="str">
        <f>IF($B42="","",SUMIFS(tbl_ledger[数量],tbl_ledger[ロットID],$B42,tbl_ledger[イベント種類],"不良発生")+SUMIFS(tbl_ledger[数量],tbl_ledger[充当先ロットID],$B42,tbl_ledger[イベント種類],"充当",tbl_ledger[元状態],I$1)-SUMIFS(tbl_ledger[数量],tbl_ledger[ロットID],$B42,tbl_ledger[元状態],I$1))</f>
        <v/>
      </c>
      <c r="J42" s="4" t="str">
        <f t="shared" si="1"/>
        <v/>
      </c>
    </row>
    <row r="43" spans="1:10" ht="15" x14ac:dyDescent="0.25">
      <c r="A43" s="4" t="str">
        <f t="shared" si="0"/>
        <v/>
      </c>
      <c r="B43" s="4" t="str">
        <f>IFERROR(IF(COUNTIF($B$1:$B42,INDEX(tbl_plan[ロットID],ROW()-1))&gt;0,"",INDEX(tbl_plan[ロットID],ROW()-1)),"")</f>
        <v/>
      </c>
      <c r="C43" s="4" t="str">
        <f>IF($B43="","",INDEX(tbl_plan[品番],ROW()-1))</f>
        <v/>
      </c>
      <c r="D43" s="4" t="str">
        <f>IF($B43="","",SUMIFS(tbl_ledger[数量],tbl_ledger[ロットID],$B43,tbl_ledger[イベント種類],"搬入")+SUMIFS(tbl_ledger[数量],tbl_ledger[充当先ロットID],$B43,tbl_ledger[イベント種類],"充当",tbl_ledger[元状態],D$1)-SUMIFS(tbl_ledger[数量],tbl_ledger[ロットID],$B43,tbl_ledger[元状態],D$1))</f>
        <v/>
      </c>
      <c r="E43" s="4" t="str">
        <f>IF($B43="","",SUMIFS(tbl_ledger[数量],tbl_ledger[ロットID],$B43,tbl_ledger[イベント種類],"アニール完了")+SUMIFS(tbl_ledger[数量],tbl_ledger[充当先ロットID],$B43,tbl_ledger[イベント種類],"充当",tbl_ledger[元状態],E$1)-SUMIFS(tbl_ledger[数量],tbl_ledger[ロットID],$B43,tbl_ledger[元状態],E$1))</f>
        <v/>
      </c>
      <c r="F43" s="4" t="str">
        <f>IF($B43="","",SUMIFS(tbl_ledger[数量],tbl_ledger[ロットID],$B43,tbl_ledger[イベント種類],"アセンブリ完了")+SUMIFS(tbl_ledger[数量],tbl_ledger[充当先ロットID],$B43,tbl_ledger[イベント種類],"充当",tbl_ledger[元状態],F$1)-SUMIFS(tbl_ledger[数量],tbl_ledger[ロットID],$B43,tbl_ledger[元状態],F$1))</f>
        <v/>
      </c>
      <c r="G43" s="4" t="str">
        <f>IF($B43="","",SUMIFS(tbl_ledger[数量],tbl_ledger[ロットID],$B43,tbl_ledger[イベント種類],"梱包完了")+SUMIFS(tbl_ledger[数量],tbl_ledger[充当先ロットID],$B43,tbl_ledger[イベント種類],"充当",tbl_ledger[元状態],G$1)-SUMIFS(tbl_ledger[数量],tbl_ledger[ロットID],$B43,tbl_ledger[元状態],G$1))</f>
        <v/>
      </c>
      <c r="H43" s="4" t="str">
        <f>IF($B43="","",SUMIFS(tbl_ledger[数量],tbl_ledger[ロットID],$B43,tbl_ledger[イベント種類],"発送準備完了")+SUMIFS(tbl_ledger[数量],tbl_ledger[充当先ロットID],$B43,tbl_ledger[イベント種類],"充当",tbl_ledger[元状態],H$1)-SUMIFS(tbl_ledger[数量],tbl_ledger[ロットID],$B43,tbl_ledger[元状態],H$1))</f>
        <v/>
      </c>
      <c r="I43" s="4" t="str">
        <f>IF($B43="","",SUMIFS(tbl_ledger[数量],tbl_ledger[ロットID],$B43,tbl_ledger[イベント種類],"不良発生")+SUMIFS(tbl_ledger[数量],tbl_ledger[充当先ロットID],$B43,tbl_ledger[イベント種類],"充当",tbl_ledger[元状態],I$1)-SUMIFS(tbl_ledger[数量],tbl_ledger[ロットID],$B43,tbl_ledger[元状態],I$1))</f>
        <v/>
      </c>
      <c r="J43" s="4" t="str">
        <f t="shared" si="1"/>
        <v/>
      </c>
    </row>
    <row r="44" spans="1:10" ht="15" x14ac:dyDescent="0.25">
      <c r="A44" s="4" t="str">
        <f t="shared" si="0"/>
        <v/>
      </c>
      <c r="B44" s="4" t="str">
        <f>IFERROR(IF(COUNTIF($B$1:$B43,INDEX(tbl_plan[ロットID],ROW()-1))&gt;0,"",INDEX(tbl_plan[ロットID],ROW()-1)),"")</f>
        <v/>
      </c>
      <c r="C44" s="4" t="str">
        <f>IF($B44="","",INDEX(tbl_plan[品番],ROW()-1))</f>
        <v/>
      </c>
      <c r="D44" s="4" t="str">
        <f>IF($B44="","",SUMIFS(tbl_ledger[数量],tbl_ledger[ロットID],$B44,tbl_ledger[イベント種類],"搬入")+SUMIFS(tbl_ledger[数量],tbl_ledger[充当先ロットID],$B44,tbl_ledger[イベント種類],"充当",tbl_ledger[元状態],D$1)-SUMIFS(tbl_ledger[数量],tbl_ledger[ロットID],$B44,tbl_ledger[元状態],D$1))</f>
        <v/>
      </c>
      <c r="E44" s="4" t="str">
        <f>IF($B44="","",SUMIFS(tbl_ledger[数量],tbl_ledger[ロットID],$B44,tbl_ledger[イベント種類],"アニール完了")+SUMIFS(tbl_ledger[数量],tbl_ledger[充当先ロットID],$B44,tbl_ledger[イベント種類],"充当",tbl_ledger[元状態],E$1)-SUMIFS(tbl_ledger[数量],tbl_ledger[ロットID],$B44,tbl_ledger[元状態],E$1))</f>
        <v/>
      </c>
      <c r="F44" s="4" t="str">
        <f>IF($B44="","",SUMIFS(tbl_ledger[数量],tbl_ledger[ロットID],$B44,tbl_ledger[イベント種類],"アセンブリ完了")+SUMIFS(tbl_ledger[数量],tbl_ledger[充当先ロットID],$B44,tbl_ledger[イベント種類],"充当",tbl_ledger[元状態],F$1)-SUMIFS(tbl_ledger[数量],tbl_ledger[ロットID],$B44,tbl_ledger[元状態],F$1))</f>
        <v/>
      </c>
      <c r="G44" s="4" t="str">
        <f>IF($B44="","",SUMIFS(tbl_ledger[数量],tbl_ledger[ロットID],$B44,tbl_ledger[イベント種類],"梱包完了")+SUMIFS(tbl_ledger[数量],tbl_ledger[充当先ロットID],$B44,tbl_ledger[イベント種類],"充当",tbl_ledger[元状態],G$1)-SUMIFS(tbl_ledger[数量],tbl_ledger[ロットID],$B44,tbl_ledger[元状態],G$1))</f>
        <v/>
      </c>
      <c r="H44" s="4" t="str">
        <f>IF($B44="","",SUMIFS(tbl_ledger[数量],tbl_ledger[ロットID],$B44,tbl_ledger[イベント種類],"発送準備完了")+SUMIFS(tbl_ledger[数量],tbl_ledger[充当先ロットID],$B44,tbl_ledger[イベント種類],"充当",tbl_ledger[元状態],H$1)-SUMIFS(tbl_ledger[数量],tbl_ledger[ロットID],$B44,tbl_ledger[元状態],H$1))</f>
        <v/>
      </c>
      <c r="I44" s="4" t="str">
        <f>IF($B44="","",SUMIFS(tbl_ledger[数量],tbl_ledger[ロットID],$B44,tbl_ledger[イベント種類],"不良発生")+SUMIFS(tbl_ledger[数量],tbl_ledger[充当先ロットID],$B44,tbl_ledger[イベント種類],"充当",tbl_ledger[元状態],I$1)-SUMIFS(tbl_ledger[数量],tbl_ledger[ロットID],$B44,tbl_ledger[元状態],I$1))</f>
        <v/>
      </c>
      <c r="J44" s="4" t="str">
        <f t="shared" si="1"/>
        <v/>
      </c>
    </row>
    <row r="45" spans="1:10" ht="15" x14ac:dyDescent="0.25">
      <c r="A45" s="4" t="str">
        <f t="shared" si="0"/>
        <v/>
      </c>
      <c r="B45" s="4" t="str">
        <f>IFERROR(IF(COUNTIF($B$1:$B44,INDEX(tbl_plan[ロットID],ROW()-1))&gt;0,"",INDEX(tbl_plan[ロットID],ROW()-1)),"")</f>
        <v/>
      </c>
      <c r="C45" s="4" t="str">
        <f>IF($B45="","",INDEX(tbl_plan[品番],ROW()-1))</f>
        <v/>
      </c>
      <c r="D45" s="4" t="str">
        <f>IF($B45="","",SUMIFS(tbl_ledger[数量],tbl_ledger[ロットID],$B45,tbl_ledger[イベント種類],"搬入")+SUMIFS(tbl_ledger[数量],tbl_ledger[充当先ロットID],$B45,tbl_ledger[イベント種類],"充当",tbl_ledger[元状態],D$1)-SUMIFS(tbl_ledger[数量],tbl_ledger[ロットID],$B45,tbl_ledger[元状態],D$1))</f>
        <v/>
      </c>
      <c r="E45" s="4" t="str">
        <f>IF($B45="","",SUMIFS(tbl_ledger[数量],tbl_ledger[ロットID],$B45,tbl_ledger[イベント種類],"アニール完了")+SUMIFS(tbl_ledger[数量],tbl_ledger[充当先ロットID],$B45,tbl_ledger[イベント種類],"充当",tbl_ledger[元状態],E$1)-SUMIFS(tbl_ledger[数量],tbl_ledger[ロットID],$B45,tbl_ledger[元状態],E$1))</f>
        <v/>
      </c>
      <c r="F45" s="4" t="str">
        <f>IF($B45="","",SUMIFS(tbl_ledger[数量],tbl_ledger[ロットID],$B45,tbl_ledger[イベント種類],"アセンブリ完了")+SUMIFS(tbl_ledger[数量],tbl_ledger[充当先ロットID],$B45,tbl_ledger[イベント種類],"充当",tbl_ledger[元状態],F$1)-SUMIFS(tbl_ledger[数量],tbl_ledger[ロットID],$B45,tbl_ledger[元状態],F$1))</f>
        <v/>
      </c>
      <c r="G45" s="4" t="str">
        <f>IF($B45="","",SUMIFS(tbl_ledger[数量],tbl_ledger[ロットID],$B45,tbl_ledger[イベント種類],"梱包完了")+SUMIFS(tbl_ledger[数量],tbl_ledger[充当先ロットID],$B45,tbl_ledger[イベント種類],"充当",tbl_ledger[元状態],G$1)-SUMIFS(tbl_ledger[数量],tbl_ledger[ロットID],$B45,tbl_ledger[元状態],G$1))</f>
        <v/>
      </c>
      <c r="H45" s="4" t="str">
        <f>IF($B45="","",SUMIFS(tbl_ledger[数量],tbl_ledger[ロットID],$B45,tbl_ledger[イベント種類],"発送準備完了")+SUMIFS(tbl_ledger[数量],tbl_ledger[充当先ロットID],$B45,tbl_ledger[イベント種類],"充当",tbl_ledger[元状態],H$1)-SUMIFS(tbl_ledger[数量],tbl_ledger[ロットID],$B45,tbl_ledger[元状態],H$1))</f>
        <v/>
      </c>
      <c r="I45" s="4" t="str">
        <f>IF($B45="","",SUMIFS(tbl_ledger[数量],tbl_ledger[ロットID],$B45,tbl_ledger[イベント種類],"不良発生")+SUMIFS(tbl_ledger[数量],tbl_ledger[充当先ロットID],$B45,tbl_ledger[イベント種類],"充当",tbl_ledger[元状態],I$1)-SUMIFS(tbl_ledger[数量],tbl_ledger[ロットID],$B45,tbl_ledger[元状態],I$1))</f>
        <v/>
      </c>
      <c r="J45" s="4" t="str">
        <f t="shared" si="1"/>
        <v/>
      </c>
    </row>
    <row r="46" spans="1:10" ht="15" x14ac:dyDescent="0.25">
      <c r="A46" s="4" t="str">
        <f t="shared" si="0"/>
        <v/>
      </c>
      <c r="B46" s="4" t="str">
        <f>IFERROR(IF(COUNTIF($B$1:$B45,INDEX(tbl_plan[ロットID],ROW()-1))&gt;0,"",INDEX(tbl_plan[ロットID],ROW()-1)),"")</f>
        <v/>
      </c>
      <c r="C46" s="4" t="str">
        <f>IF($B46="","",INDEX(tbl_plan[品番],ROW()-1))</f>
        <v/>
      </c>
      <c r="D46" s="4" t="str">
        <f>IF($B46="","",SUMIFS(tbl_ledger[数量],tbl_ledger[ロットID],$B46,tbl_ledger[イベント種類],"搬入")+SUMIFS(tbl_ledger[数量],tbl_ledger[充当先ロットID],$B46,tbl_ledger[イベント種類],"充当",tbl_ledger[元状態],D$1)-SUMIFS(tbl_ledger[数量],tbl_ledger[ロットID],$B46,tbl_ledger[元状態],D$1))</f>
        <v/>
      </c>
      <c r="E46" s="4" t="str">
        <f>IF($B46="","",SUMIFS(tbl_ledger[数量],tbl_ledger[ロットID],$B46,tbl_ledger[イベント種類],"アニール完了")+SUMIFS(tbl_ledger[数量],tbl_ledger[充当先ロットID],$B46,tbl_ledger[イベント種類],"充当",tbl_ledger[元状態],E$1)-SUMIFS(tbl_ledger[数量],tbl_ledger[ロットID],$B46,tbl_ledger[元状態],E$1))</f>
        <v/>
      </c>
      <c r="F46" s="4" t="str">
        <f>IF($B46="","",SUMIFS(tbl_ledger[数量],tbl_ledger[ロットID],$B46,tbl_ledger[イベント種類],"アセンブリ完了")+SUMIFS(tbl_ledger[数量],tbl_ledger[充当先ロットID],$B46,tbl_ledger[イベント種類],"充当",tbl_ledger[元状態],F$1)-SUMIFS(tbl_ledger[数量],tbl_ledger[ロットID],$B46,tbl_ledger[元状態],F$1))</f>
        <v/>
      </c>
      <c r="G46" s="4" t="str">
        <f>IF($B46="","",SUMIFS(tbl_ledger[数量],tbl_ledger[ロットID],$B46,tbl_ledger[イベント種類],"梱包完了")+SUMIFS(tbl_ledger[数量],tbl_ledger[充当先ロットID],$B46,tbl_ledger[イベント種類],"充当",tbl_ledger[元状態],G$1)-SUMIFS(tbl_ledger[数量],tbl_ledger[ロットID],$B46,tbl_ledger[元状態],G$1))</f>
        <v/>
      </c>
      <c r="H46" s="4" t="str">
        <f>IF($B46="","",SUMIFS(tbl_ledger[数量],tbl_ledger[ロットID],$B46,tbl_ledger[イベント種類],"発送準備完了")+SUMIFS(tbl_ledger[数量],tbl_ledger[充当先ロットID],$B46,tbl_ledger[イベント種類],"充当",tbl_ledger[元状態],H$1)-SUMIFS(tbl_ledger[数量],tbl_ledger[ロットID],$B46,tbl_ledger[元状態],H$1))</f>
        <v/>
      </c>
      <c r="I46" s="4" t="str">
        <f>IF($B46="","",SUMIFS(tbl_ledger[数量],tbl_ledger[ロットID],$B46,tbl_ledger[イベント種類],"不良発生")+SUMIFS(tbl_ledger[数量],tbl_ledger[充当先ロットID],$B46,tbl_ledger[イベント種類],"充当",tbl_ledger[元状態],I$1)-SUMIFS(tbl_ledger[数量],tbl_ledger[ロットID],$B46,tbl_ledger[元状態],I$1))</f>
        <v/>
      </c>
      <c r="J46" s="4" t="str">
        <f t="shared" si="1"/>
        <v/>
      </c>
    </row>
    <row r="47" spans="1:10" ht="15" x14ac:dyDescent="0.25">
      <c r="A47" s="4" t="str">
        <f t="shared" si="0"/>
        <v/>
      </c>
      <c r="B47" s="4" t="str">
        <f>IFERROR(IF(COUNTIF($B$1:$B46,INDEX(tbl_plan[ロットID],ROW()-1))&gt;0,"",INDEX(tbl_plan[ロットID],ROW()-1)),"")</f>
        <v/>
      </c>
      <c r="C47" s="4" t="str">
        <f>IF($B47="","",INDEX(tbl_plan[品番],ROW()-1))</f>
        <v/>
      </c>
      <c r="D47" s="4" t="str">
        <f>IF($B47="","",SUMIFS(tbl_ledger[数量],tbl_ledger[ロットID],$B47,tbl_ledger[イベント種類],"搬入")+SUMIFS(tbl_ledger[数量],tbl_ledger[充当先ロットID],$B47,tbl_ledger[イベント種類],"充当",tbl_ledger[元状態],D$1)-SUMIFS(tbl_ledger[数量],tbl_ledger[ロットID],$B47,tbl_ledger[元状態],D$1))</f>
        <v/>
      </c>
      <c r="E47" s="4" t="str">
        <f>IF($B47="","",SUMIFS(tbl_ledger[数量],tbl_ledger[ロットID],$B47,tbl_ledger[イベント種類],"アニール完了")+SUMIFS(tbl_ledger[数量],tbl_ledger[充当先ロットID],$B47,tbl_ledger[イベント種類],"充当",tbl_ledger[元状態],E$1)-SUMIFS(tbl_ledger[数量],tbl_ledger[ロットID],$B47,tbl_ledger[元状態],E$1))</f>
        <v/>
      </c>
      <c r="F47" s="4" t="str">
        <f>IF($B47="","",SUMIFS(tbl_ledger[数量],tbl_ledger[ロットID],$B47,tbl_ledger[イベント種類],"アセンブリ完了")+SUMIFS(tbl_ledger[数量],tbl_ledger[充当先ロットID],$B47,tbl_ledger[イベント種類],"充当",tbl_ledger[元状態],F$1)-SUMIFS(tbl_ledger[数量],tbl_ledger[ロットID],$B47,tbl_ledger[元状態],F$1))</f>
        <v/>
      </c>
      <c r="G47" s="4" t="str">
        <f>IF($B47="","",SUMIFS(tbl_ledger[数量],tbl_ledger[ロットID],$B47,tbl_ledger[イベント種類],"梱包完了")+SUMIFS(tbl_ledger[数量],tbl_ledger[充当先ロットID],$B47,tbl_ledger[イベント種類],"充当",tbl_ledger[元状態],G$1)-SUMIFS(tbl_ledger[数量],tbl_ledger[ロットID],$B47,tbl_ledger[元状態],G$1))</f>
        <v/>
      </c>
      <c r="H47" s="4" t="str">
        <f>IF($B47="","",SUMIFS(tbl_ledger[数量],tbl_ledger[ロットID],$B47,tbl_ledger[イベント種類],"発送準備完了")+SUMIFS(tbl_ledger[数量],tbl_ledger[充当先ロットID],$B47,tbl_ledger[イベント種類],"充当",tbl_ledger[元状態],H$1)-SUMIFS(tbl_ledger[数量],tbl_ledger[ロットID],$B47,tbl_ledger[元状態],H$1))</f>
        <v/>
      </c>
      <c r="I47" s="4" t="str">
        <f>IF($B47="","",SUMIFS(tbl_ledger[数量],tbl_ledger[ロットID],$B47,tbl_ledger[イベント種類],"不良発生")+SUMIFS(tbl_ledger[数量],tbl_ledger[充当先ロットID],$B47,tbl_ledger[イベント種類],"充当",tbl_ledger[元状態],I$1)-SUMIFS(tbl_ledger[数量],tbl_ledger[ロットID],$B47,tbl_ledger[元状態],I$1))</f>
        <v/>
      </c>
      <c r="J47" s="4" t="str">
        <f t="shared" si="1"/>
        <v/>
      </c>
    </row>
    <row r="48" spans="1:10" ht="15" x14ac:dyDescent="0.25">
      <c r="A48" s="4" t="str">
        <f t="shared" si="0"/>
        <v/>
      </c>
      <c r="B48" s="4" t="str">
        <f>IFERROR(IF(COUNTIF($B$1:$B47,INDEX(tbl_plan[ロットID],ROW()-1))&gt;0,"",INDEX(tbl_plan[ロットID],ROW()-1)),"")</f>
        <v/>
      </c>
      <c r="C48" s="4" t="str">
        <f>IF($B48="","",INDEX(tbl_plan[品番],ROW()-1))</f>
        <v/>
      </c>
      <c r="D48" s="4" t="str">
        <f>IF($B48="","",SUMIFS(tbl_ledger[数量],tbl_ledger[ロットID],$B48,tbl_ledger[イベント種類],"搬入")+SUMIFS(tbl_ledger[数量],tbl_ledger[充当先ロットID],$B48,tbl_ledger[イベント種類],"充当",tbl_ledger[元状態],D$1)-SUMIFS(tbl_ledger[数量],tbl_ledger[ロットID],$B48,tbl_ledger[元状態],D$1))</f>
        <v/>
      </c>
      <c r="E48" s="4" t="str">
        <f>IF($B48="","",SUMIFS(tbl_ledger[数量],tbl_ledger[ロットID],$B48,tbl_ledger[イベント種類],"アニール完了")+SUMIFS(tbl_ledger[数量],tbl_ledger[充当先ロットID],$B48,tbl_ledger[イベント種類],"充当",tbl_ledger[元状態],E$1)-SUMIFS(tbl_ledger[数量],tbl_ledger[ロットID],$B48,tbl_ledger[元状態],E$1))</f>
        <v/>
      </c>
      <c r="F48" s="4" t="str">
        <f>IF($B48="","",SUMIFS(tbl_ledger[数量],tbl_ledger[ロットID],$B48,tbl_ledger[イベント種類],"アセンブリ完了")+SUMIFS(tbl_ledger[数量],tbl_ledger[充当先ロットID],$B48,tbl_ledger[イベント種類],"充当",tbl_ledger[元状態],F$1)-SUMIFS(tbl_ledger[数量],tbl_ledger[ロットID],$B48,tbl_ledger[元状態],F$1))</f>
        <v/>
      </c>
      <c r="G48" s="4" t="str">
        <f>IF($B48="","",SUMIFS(tbl_ledger[数量],tbl_ledger[ロットID],$B48,tbl_ledger[イベント種類],"梱包完了")+SUMIFS(tbl_ledger[数量],tbl_ledger[充当先ロットID],$B48,tbl_ledger[イベント種類],"充当",tbl_ledger[元状態],G$1)-SUMIFS(tbl_ledger[数量],tbl_ledger[ロットID],$B48,tbl_ledger[元状態],G$1))</f>
        <v/>
      </c>
      <c r="H48" s="4" t="str">
        <f>IF($B48="","",SUMIFS(tbl_ledger[数量],tbl_ledger[ロットID],$B48,tbl_ledger[イベント種類],"発送準備完了")+SUMIFS(tbl_ledger[数量],tbl_ledger[充当先ロットID],$B48,tbl_ledger[イベント種類],"充当",tbl_ledger[元状態],H$1)-SUMIFS(tbl_ledger[数量],tbl_ledger[ロットID],$B48,tbl_ledger[元状態],H$1))</f>
        <v/>
      </c>
      <c r="I48" s="4" t="str">
        <f>IF($B48="","",SUMIFS(tbl_ledger[数量],tbl_ledger[ロットID],$B48,tbl_ledger[イベント種類],"不良発生")+SUMIFS(tbl_ledger[数量],tbl_ledger[充当先ロットID],$B48,tbl_ledger[イベント種類],"充当",tbl_ledger[元状態],I$1)-SUMIFS(tbl_ledger[数量],tbl_ledger[ロットID],$B48,tbl_ledger[元状態],I$1))</f>
        <v/>
      </c>
      <c r="J48" s="4" t="str">
        <f t="shared" si="1"/>
        <v/>
      </c>
    </row>
    <row r="49" spans="1:10" ht="15" x14ac:dyDescent="0.25">
      <c r="A49" s="4" t="str">
        <f t="shared" si="0"/>
        <v/>
      </c>
      <c r="B49" s="4" t="str">
        <f>IFERROR(IF(COUNTIF($B$1:$B48,INDEX(tbl_plan[ロットID],ROW()-1))&gt;0,"",INDEX(tbl_plan[ロットID],ROW()-1)),"")</f>
        <v/>
      </c>
      <c r="C49" s="4" t="str">
        <f>IF($B49="","",INDEX(tbl_plan[品番],ROW()-1))</f>
        <v/>
      </c>
      <c r="D49" s="4" t="str">
        <f>IF($B49="","",SUMIFS(tbl_ledger[数量],tbl_ledger[ロットID],$B49,tbl_ledger[イベント種類],"搬入")+SUMIFS(tbl_ledger[数量],tbl_ledger[充当先ロットID],$B49,tbl_ledger[イベント種類],"充当",tbl_ledger[元状態],D$1)-SUMIFS(tbl_ledger[数量],tbl_ledger[ロットID],$B49,tbl_ledger[元状態],D$1))</f>
        <v/>
      </c>
      <c r="E49" s="4" t="str">
        <f>IF($B49="","",SUMIFS(tbl_ledger[数量],tbl_ledger[ロットID],$B49,tbl_ledger[イベント種類],"アニール完了")+SUMIFS(tbl_ledger[数量],tbl_ledger[充当先ロットID],$B49,tbl_ledger[イベント種類],"充当",tbl_ledger[元状態],E$1)-SUMIFS(tbl_ledger[数量],tbl_ledger[ロットID],$B49,tbl_ledger[元状態],E$1))</f>
        <v/>
      </c>
      <c r="F49" s="4" t="str">
        <f>IF($B49="","",SUMIFS(tbl_ledger[数量],tbl_ledger[ロットID],$B49,tbl_ledger[イベント種類],"アセンブリ完了")+SUMIFS(tbl_ledger[数量],tbl_ledger[充当先ロットID],$B49,tbl_ledger[イベント種類],"充当",tbl_ledger[元状態],F$1)-SUMIFS(tbl_ledger[数量],tbl_ledger[ロットID],$B49,tbl_ledger[元状態],F$1))</f>
        <v/>
      </c>
      <c r="G49" s="4" t="str">
        <f>IF($B49="","",SUMIFS(tbl_ledger[数量],tbl_ledger[ロットID],$B49,tbl_ledger[イベント種類],"梱包完了")+SUMIFS(tbl_ledger[数量],tbl_ledger[充当先ロットID],$B49,tbl_ledger[イベント種類],"充当",tbl_ledger[元状態],G$1)-SUMIFS(tbl_ledger[数量],tbl_ledger[ロットID],$B49,tbl_ledger[元状態],G$1))</f>
        <v/>
      </c>
      <c r="H49" s="4" t="str">
        <f>IF($B49="","",SUMIFS(tbl_ledger[数量],tbl_ledger[ロットID],$B49,tbl_ledger[イベント種類],"発送準備完了")+SUMIFS(tbl_ledger[数量],tbl_ledger[充当先ロットID],$B49,tbl_ledger[イベント種類],"充当",tbl_ledger[元状態],H$1)-SUMIFS(tbl_ledger[数量],tbl_ledger[ロットID],$B49,tbl_ledger[元状態],H$1))</f>
        <v/>
      </c>
      <c r="I49" s="4" t="str">
        <f>IF($B49="","",SUMIFS(tbl_ledger[数量],tbl_ledger[ロットID],$B49,tbl_ledger[イベント種類],"不良発生")+SUMIFS(tbl_ledger[数量],tbl_ledger[充当先ロットID],$B49,tbl_ledger[イベント種類],"充当",tbl_ledger[元状態],I$1)-SUMIFS(tbl_ledger[数量],tbl_ledger[ロットID],$B49,tbl_ledger[元状態],I$1))</f>
        <v/>
      </c>
      <c r="J49" s="4" t="str">
        <f t="shared" si="1"/>
        <v/>
      </c>
    </row>
    <row r="50" spans="1:10" ht="15" x14ac:dyDescent="0.25">
      <c r="A50" s="4" t="str">
        <f t="shared" si="0"/>
        <v/>
      </c>
      <c r="B50" s="4" t="str">
        <f>IFERROR(IF(COUNTIF($B$1:$B49,INDEX(tbl_plan[ロットID],ROW()-1))&gt;0,"",INDEX(tbl_plan[ロットID],ROW()-1)),"")</f>
        <v/>
      </c>
      <c r="C50" s="4" t="str">
        <f>IF($B50="","",INDEX(tbl_plan[品番],ROW()-1))</f>
        <v/>
      </c>
      <c r="D50" s="4" t="str">
        <f>IF($B50="","",SUMIFS(tbl_ledger[数量],tbl_ledger[ロットID],$B50,tbl_ledger[イベント種類],"搬入")+SUMIFS(tbl_ledger[数量],tbl_ledger[充当先ロットID],$B50,tbl_ledger[イベント種類],"充当",tbl_ledger[元状態],D$1)-SUMIFS(tbl_ledger[数量],tbl_ledger[ロットID],$B50,tbl_ledger[元状態],D$1))</f>
        <v/>
      </c>
      <c r="E50" s="4" t="str">
        <f>IF($B50="","",SUMIFS(tbl_ledger[数量],tbl_ledger[ロットID],$B50,tbl_ledger[イベント種類],"アニール完了")+SUMIFS(tbl_ledger[数量],tbl_ledger[充当先ロットID],$B50,tbl_ledger[イベント種類],"充当",tbl_ledger[元状態],E$1)-SUMIFS(tbl_ledger[数量],tbl_ledger[ロットID],$B50,tbl_ledger[元状態],E$1))</f>
        <v/>
      </c>
      <c r="F50" s="4" t="str">
        <f>IF($B50="","",SUMIFS(tbl_ledger[数量],tbl_ledger[ロットID],$B50,tbl_ledger[イベント種類],"アセンブリ完了")+SUMIFS(tbl_ledger[数量],tbl_ledger[充当先ロットID],$B50,tbl_ledger[イベント種類],"充当",tbl_ledger[元状態],F$1)-SUMIFS(tbl_ledger[数量],tbl_ledger[ロットID],$B50,tbl_ledger[元状態],F$1))</f>
        <v/>
      </c>
      <c r="G50" s="4" t="str">
        <f>IF($B50="","",SUMIFS(tbl_ledger[数量],tbl_ledger[ロットID],$B50,tbl_ledger[イベント種類],"梱包完了")+SUMIFS(tbl_ledger[数量],tbl_ledger[充当先ロットID],$B50,tbl_ledger[イベント種類],"充当",tbl_ledger[元状態],G$1)-SUMIFS(tbl_ledger[数量],tbl_ledger[ロットID],$B50,tbl_ledger[元状態],G$1))</f>
        <v/>
      </c>
      <c r="H50" s="4" t="str">
        <f>IF($B50="","",SUMIFS(tbl_ledger[数量],tbl_ledger[ロットID],$B50,tbl_ledger[イベント種類],"発送準備完了")+SUMIFS(tbl_ledger[数量],tbl_ledger[充当先ロットID],$B50,tbl_ledger[イベント種類],"充当",tbl_ledger[元状態],H$1)-SUMIFS(tbl_ledger[数量],tbl_ledger[ロットID],$B50,tbl_ledger[元状態],H$1))</f>
        <v/>
      </c>
      <c r="I50" s="4" t="str">
        <f>IF($B50="","",SUMIFS(tbl_ledger[数量],tbl_ledger[ロットID],$B50,tbl_ledger[イベント種類],"不良発生")+SUMIFS(tbl_ledger[数量],tbl_ledger[充当先ロットID],$B50,tbl_ledger[イベント種類],"充当",tbl_ledger[元状態],I$1)-SUMIFS(tbl_ledger[数量],tbl_ledger[ロットID],$B50,tbl_ledger[元状態],I$1))</f>
        <v/>
      </c>
      <c r="J50" s="4" t="str">
        <f t="shared" si="1"/>
        <v/>
      </c>
    </row>
    <row r="51" spans="1:10" ht="15" x14ac:dyDescent="0.25">
      <c r="A51" s="4" t="str">
        <f t="shared" si="0"/>
        <v/>
      </c>
      <c r="B51" s="4" t="str">
        <f>IFERROR(IF(COUNTIF($B$1:$B50,INDEX(tbl_plan[ロットID],ROW()-1))&gt;0,"",INDEX(tbl_plan[ロットID],ROW()-1)),"")</f>
        <v/>
      </c>
      <c r="C51" s="4" t="str">
        <f>IF($B51="","",INDEX(tbl_plan[品番],ROW()-1))</f>
        <v/>
      </c>
      <c r="D51" s="4" t="str">
        <f>IF($B51="","",SUMIFS(tbl_ledger[数量],tbl_ledger[ロットID],$B51,tbl_ledger[イベント種類],"搬入")+SUMIFS(tbl_ledger[数量],tbl_ledger[充当先ロットID],$B51,tbl_ledger[イベント種類],"充当",tbl_ledger[元状態],D$1)-SUMIFS(tbl_ledger[数量],tbl_ledger[ロットID],$B51,tbl_ledger[元状態],D$1))</f>
        <v/>
      </c>
      <c r="E51" s="4" t="str">
        <f>IF($B51="","",SUMIFS(tbl_ledger[数量],tbl_ledger[ロットID],$B51,tbl_ledger[イベント種類],"アニール完了")+SUMIFS(tbl_ledger[数量],tbl_ledger[充当先ロットID],$B51,tbl_ledger[イベント種類],"充当",tbl_ledger[元状態],E$1)-SUMIFS(tbl_ledger[数量],tbl_ledger[ロットID],$B51,tbl_ledger[元状態],E$1))</f>
        <v/>
      </c>
      <c r="F51" s="4" t="str">
        <f>IF($B51="","",SUMIFS(tbl_ledger[数量],tbl_ledger[ロットID],$B51,tbl_ledger[イベント種類],"アセンブリ完了")+SUMIFS(tbl_ledger[数量],tbl_ledger[充当先ロットID],$B51,tbl_ledger[イベント種類],"充当",tbl_ledger[元状態],F$1)-SUMIFS(tbl_ledger[数量],tbl_ledger[ロットID],$B51,tbl_ledger[元状態],F$1))</f>
        <v/>
      </c>
      <c r="G51" s="4" t="str">
        <f>IF($B51="","",SUMIFS(tbl_ledger[数量],tbl_ledger[ロットID],$B51,tbl_ledger[イベント種類],"梱包完了")+SUMIFS(tbl_ledger[数量],tbl_ledger[充当先ロットID],$B51,tbl_ledger[イベント種類],"充当",tbl_ledger[元状態],G$1)-SUMIFS(tbl_ledger[数量],tbl_ledger[ロットID],$B51,tbl_ledger[元状態],G$1))</f>
        <v/>
      </c>
      <c r="H51" s="4" t="str">
        <f>IF($B51="","",SUMIFS(tbl_ledger[数量],tbl_ledger[ロットID],$B51,tbl_ledger[イベント種類],"発送準備完了")+SUMIFS(tbl_ledger[数量],tbl_ledger[充当先ロットID],$B51,tbl_ledger[イベント種類],"充当",tbl_ledger[元状態],H$1)-SUMIFS(tbl_ledger[数量],tbl_ledger[ロットID],$B51,tbl_ledger[元状態],H$1))</f>
        <v/>
      </c>
      <c r="I51" s="4" t="str">
        <f>IF($B51="","",SUMIFS(tbl_ledger[数量],tbl_ledger[ロットID],$B51,tbl_ledger[イベント種類],"不良発生")+SUMIFS(tbl_ledger[数量],tbl_ledger[充当先ロットID],$B51,tbl_ledger[イベント種類],"充当",tbl_ledger[元状態],I$1)-SUMIFS(tbl_ledger[数量],tbl_ledger[ロットID],$B51,tbl_ledger[元状態],I$1))</f>
        <v/>
      </c>
      <c r="J51" s="4" t="str">
        <f t="shared" si="1"/>
        <v/>
      </c>
    </row>
    <row r="52" spans="1:10" ht="15" x14ac:dyDescent="0.25">
      <c r="A52" s="4" t="str">
        <f t="shared" si="0"/>
        <v/>
      </c>
      <c r="B52" s="4" t="str">
        <f>IFERROR(IF(COUNTIF($B$1:$B51,INDEX(tbl_plan[ロットID],ROW()-1))&gt;0,"",INDEX(tbl_plan[ロットID],ROW()-1)),"")</f>
        <v/>
      </c>
      <c r="C52" s="4" t="str">
        <f>IF($B52="","",INDEX(tbl_plan[品番],ROW()-1))</f>
        <v/>
      </c>
      <c r="D52" s="4" t="str">
        <f>IF($B52="","",SUMIFS(tbl_ledger[数量],tbl_ledger[ロットID],$B52,tbl_ledger[イベント種類],"搬入")+SUMIFS(tbl_ledger[数量],tbl_ledger[充当先ロットID],$B52,tbl_ledger[イベント種類],"充当",tbl_ledger[元状態],D$1)-SUMIFS(tbl_ledger[数量],tbl_ledger[ロットID],$B52,tbl_ledger[元状態],D$1))</f>
        <v/>
      </c>
      <c r="E52" s="4" t="str">
        <f>IF($B52="","",SUMIFS(tbl_ledger[数量],tbl_ledger[ロットID],$B52,tbl_ledger[イベント種類],"アニール完了")+SUMIFS(tbl_ledger[数量],tbl_ledger[充当先ロットID],$B52,tbl_ledger[イベント種類],"充当",tbl_ledger[元状態],E$1)-SUMIFS(tbl_ledger[数量],tbl_ledger[ロットID],$B52,tbl_ledger[元状態],E$1))</f>
        <v/>
      </c>
      <c r="F52" s="4" t="str">
        <f>IF($B52="","",SUMIFS(tbl_ledger[数量],tbl_ledger[ロットID],$B52,tbl_ledger[イベント種類],"アセンブリ完了")+SUMIFS(tbl_ledger[数量],tbl_ledger[充当先ロットID],$B52,tbl_ledger[イベント種類],"充当",tbl_ledger[元状態],F$1)-SUMIFS(tbl_ledger[数量],tbl_ledger[ロットID],$B52,tbl_ledger[元状態],F$1))</f>
        <v/>
      </c>
      <c r="G52" s="4" t="str">
        <f>IF($B52="","",SUMIFS(tbl_ledger[数量],tbl_ledger[ロットID],$B52,tbl_ledger[イベント種類],"梱包完了")+SUMIFS(tbl_ledger[数量],tbl_ledger[充当先ロットID],$B52,tbl_ledger[イベント種類],"充当",tbl_ledger[元状態],G$1)-SUMIFS(tbl_ledger[数量],tbl_ledger[ロットID],$B52,tbl_ledger[元状態],G$1))</f>
        <v/>
      </c>
      <c r="H52" s="4" t="str">
        <f>IF($B52="","",SUMIFS(tbl_ledger[数量],tbl_ledger[ロットID],$B52,tbl_ledger[イベント種類],"発送準備完了")+SUMIFS(tbl_ledger[数量],tbl_ledger[充当先ロットID],$B52,tbl_ledger[イベント種類],"充当",tbl_ledger[元状態],H$1)-SUMIFS(tbl_ledger[数量],tbl_ledger[ロットID],$B52,tbl_ledger[元状態],H$1))</f>
        <v/>
      </c>
      <c r="I52" s="4" t="str">
        <f>IF($B52="","",SUMIFS(tbl_ledger[数量],tbl_ledger[ロットID],$B52,tbl_ledger[イベント種類],"不良発生")+SUMIFS(tbl_ledger[数量],tbl_ledger[充当先ロットID],$B52,tbl_ledger[イベント種類],"充当",tbl_ledger[元状態],I$1)-SUMIFS(tbl_ledger[数量],tbl_ledger[ロットID],$B52,tbl_ledger[元状態],I$1))</f>
        <v/>
      </c>
      <c r="J52" s="4" t="str">
        <f t="shared" si="1"/>
        <v/>
      </c>
    </row>
    <row r="53" spans="1:10" ht="15" x14ac:dyDescent="0.25">
      <c r="A53" s="4" t="str">
        <f t="shared" si="0"/>
        <v/>
      </c>
      <c r="B53" s="4" t="str">
        <f>IFERROR(IF(COUNTIF($B$1:$B52,INDEX(tbl_plan[ロットID],ROW()-1))&gt;0,"",INDEX(tbl_plan[ロットID],ROW()-1)),"")</f>
        <v/>
      </c>
      <c r="C53" s="4" t="str">
        <f>IF($B53="","",INDEX(tbl_plan[品番],ROW()-1))</f>
        <v/>
      </c>
      <c r="D53" s="4" t="str">
        <f>IF($B53="","",SUMIFS(tbl_ledger[数量],tbl_ledger[ロットID],$B53,tbl_ledger[イベント種類],"搬入")+SUMIFS(tbl_ledger[数量],tbl_ledger[充当先ロットID],$B53,tbl_ledger[イベント種類],"充当",tbl_ledger[元状態],D$1)-SUMIFS(tbl_ledger[数量],tbl_ledger[ロットID],$B53,tbl_ledger[元状態],D$1))</f>
        <v/>
      </c>
      <c r="E53" s="4" t="str">
        <f>IF($B53="","",SUMIFS(tbl_ledger[数量],tbl_ledger[ロットID],$B53,tbl_ledger[イベント種類],"アニール完了")+SUMIFS(tbl_ledger[数量],tbl_ledger[充当先ロットID],$B53,tbl_ledger[イベント種類],"充当",tbl_ledger[元状態],E$1)-SUMIFS(tbl_ledger[数量],tbl_ledger[ロットID],$B53,tbl_ledger[元状態],E$1))</f>
        <v/>
      </c>
      <c r="F53" s="4" t="str">
        <f>IF($B53="","",SUMIFS(tbl_ledger[数量],tbl_ledger[ロットID],$B53,tbl_ledger[イベント種類],"アセンブリ完了")+SUMIFS(tbl_ledger[数量],tbl_ledger[充当先ロットID],$B53,tbl_ledger[イベント種類],"充当",tbl_ledger[元状態],F$1)-SUMIFS(tbl_ledger[数量],tbl_ledger[ロットID],$B53,tbl_ledger[元状態],F$1))</f>
        <v/>
      </c>
      <c r="G53" s="4" t="str">
        <f>IF($B53="","",SUMIFS(tbl_ledger[数量],tbl_ledger[ロットID],$B53,tbl_ledger[イベント種類],"梱包完了")+SUMIFS(tbl_ledger[数量],tbl_ledger[充当先ロットID],$B53,tbl_ledger[イベント種類],"充当",tbl_ledger[元状態],G$1)-SUMIFS(tbl_ledger[数量],tbl_ledger[ロットID],$B53,tbl_ledger[元状態],G$1))</f>
        <v/>
      </c>
      <c r="H53" s="4" t="str">
        <f>IF($B53="","",SUMIFS(tbl_ledger[数量],tbl_ledger[ロットID],$B53,tbl_ledger[イベント種類],"発送準備完了")+SUMIFS(tbl_ledger[数量],tbl_ledger[充当先ロットID],$B53,tbl_ledger[イベント種類],"充当",tbl_ledger[元状態],H$1)-SUMIFS(tbl_ledger[数量],tbl_ledger[ロットID],$B53,tbl_ledger[元状態],H$1))</f>
        <v/>
      </c>
      <c r="I53" s="4" t="str">
        <f>IF($B53="","",SUMIFS(tbl_ledger[数量],tbl_ledger[ロットID],$B53,tbl_ledger[イベント種類],"不良発生")+SUMIFS(tbl_ledger[数量],tbl_ledger[充当先ロットID],$B53,tbl_ledger[イベント種類],"充当",tbl_ledger[元状態],I$1)-SUMIFS(tbl_ledger[数量],tbl_ledger[ロットID],$B53,tbl_ledger[元状態],I$1))</f>
        <v/>
      </c>
      <c r="J53" s="4" t="str">
        <f t="shared" si="1"/>
        <v/>
      </c>
    </row>
    <row r="54" spans="1:10" ht="15" x14ac:dyDescent="0.25">
      <c r="A54" s="4" t="str">
        <f t="shared" si="0"/>
        <v/>
      </c>
      <c r="B54" s="4" t="str">
        <f>IFERROR(IF(COUNTIF($B$1:$B53,INDEX(tbl_plan[ロットID],ROW()-1))&gt;0,"",INDEX(tbl_plan[ロットID],ROW()-1)),"")</f>
        <v/>
      </c>
      <c r="C54" s="4" t="str">
        <f>IF($B54="","",INDEX(tbl_plan[品番],ROW()-1))</f>
        <v/>
      </c>
      <c r="D54" s="4" t="str">
        <f>IF($B54="","",SUMIFS(tbl_ledger[数量],tbl_ledger[ロットID],$B54,tbl_ledger[イベント種類],"搬入")+SUMIFS(tbl_ledger[数量],tbl_ledger[充当先ロットID],$B54,tbl_ledger[イベント種類],"充当",tbl_ledger[元状態],D$1)-SUMIFS(tbl_ledger[数量],tbl_ledger[ロットID],$B54,tbl_ledger[元状態],D$1))</f>
        <v/>
      </c>
      <c r="E54" s="4" t="str">
        <f>IF($B54="","",SUMIFS(tbl_ledger[数量],tbl_ledger[ロットID],$B54,tbl_ledger[イベント種類],"アニール完了")+SUMIFS(tbl_ledger[数量],tbl_ledger[充当先ロットID],$B54,tbl_ledger[イベント種類],"充当",tbl_ledger[元状態],E$1)-SUMIFS(tbl_ledger[数量],tbl_ledger[ロットID],$B54,tbl_ledger[元状態],E$1))</f>
        <v/>
      </c>
      <c r="F54" s="4" t="str">
        <f>IF($B54="","",SUMIFS(tbl_ledger[数量],tbl_ledger[ロットID],$B54,tbl_ledger[イベント種類],"アセンブリ完了")+SUMIFS(tbl_ledger[数量],tbl_ledger[充当先ロットID],$B54,tbl_ledger[イベント種類],"充当",tbl_ledger[元状態],F$1)-SUMIFS(tbl_ledger[数量],tbl_ledger[ロットID],$B54,tbl_ledger[元状態],F$1))</f>
        <v/>
      </c>
      <c r="G54" s="4" t="str">
        <f>IF($B54="","",SUMIFS(tbl_ledger[数量],tbl_ledger[ロットID],$B54,tbl_ledger[イベント種類],"梱包完了")+SUMIFS(tbl_ledger[数量],tbl_ledger[充当先ロットID],$B54,tbl_ledger[イベント種類],"充当",tbl_ledger[元状態],G$1)-SUMIFS(tbl_ledger[数量],tbl_ledger[ロットID],$B54,tbl_ledger[元状態],G$1))</f>
        <v/>
      </c>
      <c r="H54" s="4" t="str">
        <f>IF($B54="","",SUMIFS(tbl_ledger[数量],tbl_ledger[ロットID],$B54,tbl_ledger[イベント種類],"発送準備完了")+SUMIFS(tbl_ledger[数量],tbl_ledger[充当先ロットID],$B54,tbl_ledger[イベント種類],"充当",tbl_ledger[元状態],H$1)-SUMIFS(tbl_ledger[数量],tbl_ledger[ロットID],$B54,tbl_ledger[元状態],H$1))</f>
        <v/>
      </c>
      <c r="I54" s="4" t="str">
        <f>IF($B54="","",SUMIFS(tbl_ledger[数量],tbl_ledger[ロットID],$B54,tbl_ledger[イベント種類],"不良発生")+SUMIFS(tbl_ledger[数量],tbl_ledger[充当先ロットID],$B54,tbl_ledger[イベント種類],"充当",tbl_ledger[元状態],I$1)-SUMIFS(tbl_ledger[数量],tbl_ledger[ロットID],$B54,tbl_ledger[元状態],I$1))</f>
        <v/>
      </c>
      <c r="J54" s="4" t="str">
        <f t="shared" si="1"/>
        <v/>
      </c>
    </row>
    <row r="55" spans="1:10" ht="15" x14ac:dyDescent="0.25">
      <c r="A55" s="4" t="str">
        <f t="shared" si="0"/>
        <v/>
      </c>
      <c r="B55" s="4" t="str">
        <f>IFERROR(IF(COUNTIF($B$1:$B54,INDEX(tbl_plan[ロットID],ROW()-1))&gt;0,"",INDEX(tbl_plan[ロットID],ROW()-1)),"")</f>
        <v/>
      </c>
      <c r="C55" s="4" t="str">
        <f>IF($B55="","",INDEX(tbl_plan[品番],ROW()-1))</f>
        <v/>
      </c>
      <c r="D55" s="4" t="str">
        <f>IF($B55="","",SUMIFS(tbl_ledger[数量],tbl_ledger[ロットID],$B55,tbl_ledger[イベント種類],"搬入")+SUMIFS(tbl_ledger[数量],tbl_ledger[充当先ロットID],$B55,tbl_ledger[イベント種類],"充当",tbl_ledger[元状態],D$1)-SUMIFS(tbl_ledger[数量],tbl_ledger[ロットID],$B55,tbl_ledger[元状態],D$1))</f>
        <v/>
      </c>
      <c r="E55" s="4" t="str">
        <f>IF($B55="","",SUMIFS(tbl_ledger[数量],tbl_ledger[ロットID],$B55,tbl_ledger[イベント種類],"アニール完了")+SUMIFS(tbl_ledger[数量],tbl_ledger[充当先ロットID],$B55,tbl_ledger[イベント種類],"充当",tbl_ledger[元状態],E$1)-SUMIFS(tbl_ledger[数量],tbl_ledger[ロットID],$B55,tbl_ledger[元状態],E$1))</f>
        <v/>
      </c>
      <c r="F55" s="4" t="str">
        <f>IF($B55="","",SUMIFS(tbl_ledger[数量],tbl_ledger[ロットID],$B55,tbl_ledger[イベント種類],"アセンブリ完了")+SUMIFS(tbl_ledger[数量],tbl_ledger[充当先ロットID],$B55,tbl_ledger[イベント種類],"充当",tbl_ledger[元状態],F$1)-SUMIFS(tbl_ledger[数量],tbl_ledger[ロットID],$B55,tbl_ledger[元状態],F$1))</f>
        <v/>
      </c>
      <c r="G55" s="4" t="str">
        <f>IF($B55="","",SUMIFS(tbl_ledger[数量],tbl_ledger[ロットID],$B55,tbl_ledger[イベント種類],"梱包完了")+SUMIFS(tbl_ledger[数量],tbl_ledger[充当先ロットID],$B55,tbl_ledger[イベント種類],"充当",tbl_ledger[元状態],G$1)-SUMIFS(tbl_ledger[数量],tbl_ledger[ロットID],$B55,tbl_ledger[元状態],G$1))</f>
        <v/>
      </c>
      <c r="H55" s="4" t="str">
        <f>IF($B55="","",SUMIFS(tbl_ledger[数量],tbl_ledger[ロットID],$B55,tbl_ledger[イベント種類],"発送準備完了")+SUMIFS(tbl_ledger[数量],tbl_ledger[充当先ロットID],$B55,tbl_ledger[イベント種類],"充当",tbl_ledger[元状態],H$1)-SUMIFS(tbl_ledger[数量],tbl_ledger[ロットID],$B55,tbl_ledger[元状態],H$1))</f>
        <v/>
      </c>
      <c r="I55" s="4" t="str">
        <f>IF($B55="","",SUMIFS(tbl_ledger[数量],tbl_ledger[ロットID],$B55,tbl_ledger[イベント種類],"不良発生")+SUMIFS(tbl_ledger[数量],tbl_ledger[充当先ロットID],$B55,tbl_ledger[イベント種類],"充当",tbl_ledger[元状態],I$1)-SUMIFS(tbl_ledger[数量],tbl_ledger[ロットID],$B55,tbl_ledger[元状態],I$1))</f>
        <v/>
      </c>
      <c r="J55" s="4" t="str">
        <f t="shared" si="1"/>
        <v/>
      </c>
    </row>
    <row r="56" spans="1:10" ht="15" x14ac:dyDescent="0.25">
      <c r="A56" s="4" t="str">
        <f t="shared" si="0"/>
        <v/>
      </c>
      <c r="B56" s="4" t="str">
        <f>IFERROR(IF(COUNTIF($B$1:$B55,INDEX(tbl_plan[ロットID],ROW()-1))&gt;0,"",INDEX(tbl_plan[ロットID],ROW()-1)),"")</f>
        <v/>
      </c>
      <c r="C56" s="4" t="str">
        <f>IF($B56="","",INDEX(tbl_plan[品番],ROW()-1))</f>
        <v/>
      </c>
      <c r="D56" s="4" t="str">
        <f>IF($B56="","",SUMIFS(tbl_ledger[数量],tbl_ledger[ロットID],$B56,tbl_ledger[イベント種類],"搬入")+SUMIFS(tbl_ledger[数量],tbl_ledger[充当先ロットID],$B56,tbl_ledger[イベント種類],"充当",tbl_ledger[元状態],D$1)-SUMIFS(tbl_ledger[数量],tbl_ledger[ロットID],$B56,tbl_ledger[元状態],D$1))</f>
        <v/>
      </c>
      <c r="E56" s="4" t="str">
        <f>IF($B56="","",SUMIFS(tbl_ledger[数量],tbl_ledger[ロットID],$B56,tbl_ledger[イベント種類],"アニール完了")+SUMIFS(tbl_ledger[数量],tbl_ledger[充当先ロットID],$B56,tbl_ledger[イベント種類],"充当",tbl_ledger[元状態],E$1)-SUMIFS(tbl_ledger[数量],tbl_ledger[ロットID],$B56,tbl_ledger[元状態],E$1))</f>
        <v/>
      </c>
      <c r="F56" s="4" t="str">
        <f>IF($B56="","",SUMIFS(tbl_ledger[数量],tbl_ledger[ロットID],$B56,tbl_ledger[イベント種類],"アセンブリ完了")+SUMIFS(tbl_ledger[数量],tbl_ledger[充当先ロットID],$B56,tbl_ledger[イベント種類],"充当",tbl_ledger[元状態],F$1)-SUMIFS(tbl_ledger[数量],tbl_ledger[ロットID],$B56,tbl_ledger[元状態],F$1))</f>
        <v/>
      </c>
      <c r="G56" s="4" t="str">
        <f>IF($B56="","",SUMIFS(tbl_ledger[数量],tbl_ledger[ロットID],$B56,tbl_ledger[イベント種類],"梱包完了")+SUMIFS(tbl_ledger[数量],tbl_ledger[充当先ロットID],$B56,tbl_ledger[イベント種類],"充当",tbl_ledger[元状態],G$1)-SUMIFS(tbl_ledger[数量],tbl_ledger[ロットID],$B56,tbl_ledger[元状態],G$1))</f>
        <v/>
      </c>
      <c r="H56" s="4" t="str">
        <f>IF($B56="","",SUMIFS(tbl_ledger[数量],tbl_ledger[ロットID],$B56,tbl_ledger[イベント種類],"発送準備完了")+SUMIFS(tbl_ledger[数量],tbl_ledger[充当先ロットID],$B56,tbl_ledger[イベント種類],"充当",tbl_ledger[元状態],H$1)-SUMIFS(tbl_ledger[数量],tbl_ledger[ロットID],$B56,tbl_ledger[元状態],H$1))</f>
        <v/>
      </c>
      <c r="I56" s="4" t="str">
        <f>IF($B56="","",SUMIFS(tbl_ledger[数量],tbl_ledger[ロットID],$B56,tbl_ledger[イベント種類],"不良発生")+SUMIFS(tbl_ledger[数量],tbl_ledger[充当先ロットID],$B56,tbl_ledger[イベント種類],"充当",tbl_ledger[元状態],I$1)-SUMIFS(tbl_ledger[数量],tbl_ledger[ロットID],$B56,tbl_ledger[元状態],I$1))</f>
        <v/>
      </c>
      <c r="J56" s="4" t="str">
        <f t="shared" si="1"/>
        <v/>
      </c>
    </row>
    <row r="57" spans="1:10" ht="15" x14ac:dyDescent="0.25">
      <c r="A57" s="4" t="str">
        <f t="shared" si="0"/>
        <v/>
      </c>
      <c r="B57" s="4" t="str">
        <f>IFERROR(IF(COUNTIF($B$1:$B56,INDEX(tbl_plan[ロットID],ROW()-1))&gt;0,"",INDEX(tbl_plan[ロットID],ROW()-1)),"")</f>
        <v/>
      </c>
      <c r="C57" s="4" t="str">
        <f>IF($B57="","",INDEX(tbl_plan[品番],ROW()-1))</f>
        <v/>
      </c>
      <c r="D57" s="4" t="str">
        <f>IF($B57="","",SUMIFS(tbl_ledger[数量],tbl_ledger[ロットID],$B57,tbl_ledger[イベント種類],"搬入")+SUMIFS(tbl_ledger[数量],tbl_ledger[充当先ロットID],$B57,tbl_ledger[イベント種類],"充当",tbl_ledger[元状態],D$1)-SUMIFS(tbl_ledger[数量],tbl_ledger[ロットID],$B57,tbl_ledger[元状態],D$1))</f>
        <v/>
      </c>
      <c r="E57" s="4" t="str">
        <f>IF($B57="","",SUMIFS(tbl_ledger[数量],tbl_ledger[ロットID],$B57,tbl_ledger[イベント種類],"アニール完了")+SUMIFS(tbl_ledger[数量],tbl_ledger[充当先ロットID],$B57,tbl_ledger[イベント種類],"充当",tbl_ledger[元状態],E$1)-SUMIFS(tbl_ledger[数量],tbl_ledger[ロットID],$B57,tbl_ledger[元状態],E$1))</f>
        <v/>
      </c>
      <c r="F57" s="4" t="str">
        <f>IF($B57="","",SUMIFS(tbl_ledger[数量],tbl_ledger[ロットID],$B57,tbl_ledger[イベント種類],"アセンブリ完了")+SUMIFS(tbl_ledger[数量],tbl_ledger[充当先ロットID],$B57,tbl_ledger[イベント種類],"充当",tbl_ledger[元状態],F$1)-SUMIFS(tbl_ledger[数量],tbl_ledger[ロットID],$B57,tbl_ledger[元状態],F$1))</f>
        <v/>
      </c>
      <c r="G57" s="4" t="str">
        <f>IF($B57="","",SUMIFS(tbl_ledger[数量],tbl_ledger[ロットID],$B57,tbl_ledger[イベント種類],"梱包完了")+SUMIFS(tbl_ledger[数量],tbl_ledger[充当先ロットID],$B57,tbl_ledger[イベント種類],"充当",tbl_ledger[元状態],G$1)-SUMIFS(tbl_ledger[数量],tbl_ledger[ロットID],$B57,tbl_ledger[元状態],G$1))</f>
        <v/>
      </c>
      <c r="H57" s="4" t="str">
        <f>IF($B57="","",SUMIFS(tbl_ledger[数量],tbl_ledger[ロットID],$B57,tbl_ledger[イベント種類],"発送準備完了")+SUMIFS(tbl_ledger[数量],tbl_ledger[充当先ロットID],$B57,tbl_ledger[イベント種類],"充当",tbl_ledger[元状態],H$1)-SUMIFS(tbl_ledger[数量],tbl_ledger[ロットID],$B57,tbl_ledger[元状態],H$1))</f>
        <v/>
      </c>
      <c r="I57" s="4" t="str">
        <f>IF($B57="","",SUMIFS(tbl_ledger[数量],tbl_ledger[ロットID],$B57,tbl_ledger[イベント種類],"不良発生")+SUMIFS(tbl_ledger[数量],tbl_ledger[充当先ロットID],$B57,tbl_ledger[イベント種類],"充当",tbl_ledger[元状態],I$1)-SUMIFS(tbl_ledger[数量],tbl_ledger[ロットID],$B57,tbl_ledger[元状態],I$1))</f>
        <v/>
      </c>
      <c r="J57" s="4" t="str">
        <f t="shared" si="1"/>
        <v/>
      </c>
    </row>
    <row r="58" spans="1:10" ht="15" x14ac:dyDescent="0.25">
      <c r="A58" s="4" t="str">
        <f t="shared" si="0"/>
        <v/>
      </c>
      <c r="B58" s="4" t="str">
        <f>IFERROR(IF(COUNTIF($B$1:$B57,INDEX(tbl_plan[ロットID],ROW()-1))&gt;0,"",INDEX(tbl_plan[ロットID],ROW()-1)),"")</f>
        <v/>
      </c>
      <c r="C58" s="4" t="str">
        <f>IF($B58="","",INDEX(tbl_plan[品番],ROW()-1))</f>
        <v/>
      </c>
      <c r="D58" s="4" t="str">
        <f>IF($B58="","",SUMIFS(tbl_ledger[数量],tbl_ledger[ロットID],$B58,tbl_ledger[イベント種類],"搬入")+SUMIFS(tbl_ledger[数量],tbl_ledger[充当先ロットID],$B58,tbl_ledger[イベント種類],"充当",tbl_ledger[元状態],D$1)-SUMIFS(tbl_ledger[数量],tbl_ledger[ロットID],$B58,tbl_ledger[元状態],D$1))</f>
        <v/>
      </c>
      <c r="E58" s="4" t="str">
        <f>IF($B58="","",SUMIFS(tbl_ledger[数量],tbl_ledger[ロットID],$B58,tbl_ledger[イベント種類],"アニール完了")+SUMIFS(tbl_ledger[数量],tbl_ledger[充当先ロットID],$B58,tbl_ledger[イベント種類],"充当",tbl_ledger[元状態],E$1)-SUMIFS(tbl_ledger[数量],tbl_ledger[ロットID],$B58,tbl_ledger[元状態],E$1))</f>
        <v/>
      </c>
      <c r="F58" s="4" t="str">
        <f>IF($B58="","",SUMIFS(tbl_ledger[数量],tbl_ledger[ロットID],$B58,tbl_ledger[イベント種類],"アセンブリ完了")+SUMIFS(tbl_ledger[数量],tbl_ledger[充当先ロットID],$B58,tbl_ledger[イベント種類],"充当",tbl_ledger[元状態],F$1)-SUMIFS(tbl_ledger[数量],tbl_ledger[ロットID],$B58,tbl_ledger[元状態],F$1))</f>
        <v/>
      </c>
      <c r="G58" s="4" t="str">
        <f>IF($B58="","",SUMIFS(tbl_ledger[数量],tbl_ledger[ロットID],$B58,tbl_ledger[イベント種類],"梱包完了")+SUMIFS(tbl_ledger[数量],tbl_ledger[充当先ロットID],$B58,tbl_ledger[イベント種類],"充当",tbl_ledger[元状態],G$1)-SUMIFS(tbl_ledger[数量],tbl_ledger[ロットID],$B58,tbl_ledger[元状態],G$1))</f>
        <v/>
      </c>
      <c r="H58" s="4" t="str">
        <f>IF($B58="","",SUMIFS(tbl_ledger[数量],tbl_ledger[ロットID],$B58,tbl_ledger[イベント種類],"発送準備完了")+SUMIFS(tbl_ledger[数量],tbl_ledger[充当先ロットID],$B58,tbl_ledger[イベント種類],"充当",tbl_ledger[元状態],H$1)-SUMIFS(tbl_ledger[数量],tbl_ledger[ロットID],$B58,tbl_ledger[元状態],H$1))</f>
        <v/>
      </c>
      <c r="I58" s="4" t="str">
        <f>IF($B58="","",SUMIFS(tbl_ledger[数量],tbl_ledger[ロットID],$B58,tbl_ledger[イベント種類],"不良発生")+SUMIFS(tbl_ledger[数量],tbl_ledger[充当先ロットID],$B58,tbl_ledger[イベント種類],"充当",tbl_ledger[元状態],I$1)-SUMIFS(tbl_ledger[数量],tbl_ledger[ロットID],$B58,tbl_ledger[元状態],I$1))</f>
        <v/>
      </c>
      <c r="J58" s="4" t="str">
        <f t="shared" si="1"/>
        <v/>
      </c>
    </row>
    <row r="59" spans="1:10" ht="15" x14ac:dyDescent="0.25">
      <c r="A59" s="4" t="str">
        <f t="shared" si="0"/>
        <v/>
      </c>
      <c r="B59" s="4" t="str">
        <f>IFERROR(IF(COUNTIF($B$1:$B58,INDEX(tbl_plan[ロットID],ROW()-1))&gt;0,"",INDEX(tbl_plan[ロットID],ROW()-1)),"")</f>
        <v/>
      </c>
      <c r="C59" s="4" t="str">
        <f>IF($B59="","",INDEX(tbl_plan[品番],ROW()-1))</f>
        <v/>
      </c>
      <c r="D59" s="4" t="str">
        <f>IF($B59="","",SUMIFS(tbl_ledger[数量],tbl_ledger[ロットID],$B59,tbl_ledger[イベント種類],"搬入")+SUMIFS(tbl_ledger[数量],tbl_ledger[充当先ロットID],$B59,tbl_ledger[イベント種類],"充当",tbl_ledger[元状態],D$1)-SUMIFS(tbl_ledger[数量],tbl_ledger[ロットID],$B59,tbl_ledger[元状態],D$1))</f>
        <v/>
      </c>
      <c r="E59" s="4" t="str">
        <f>IF($B59="","",SUMIFS(tbl_ledger[数量],tbl_ledger[ロットID],$B59,tbl_ledger[イベント種類],"アニール完了")+SUMIFS(tbl_ledger[数量],tbl_ledger[充当先ロットID],$B59,tbl_ledger[イベント種類],"充当",tbl_ledger[元状態],E$1)-SUMIFS(tbl_ledger[数量],tbl_ledger[ロットID],$B59,tbl_ledger[元状態],E$1))</f>
        <v/>
      </c>
      <c r="F59" s="4" t="str">
        <f>IF($B59="","",SUMIFS(tbl_ledger[数量],tbl_ledger[ロットID],$B59,tbl_ledger[イベント種類],"アセンブリ完了")+SUMIFS(tbl_ledger[数量],tbl_ledger[充当先ロットID],$B59,tbl_ledger[イベント種類],"充当",tbl_ledger[元状態],F$1)-SUMIFS(tbl_ledger[数量],tbl_ledger[ロットID],$B59,tbl_ledger[元状態],F$1))</f>
        <v/>
      </c>
      <c r="G59" s="4" t="str">
        <f>IF($B59="","",SUMIFS(tbl_ledger[数量],tbl_ledger[ロットID],$B59,tbl_ledger[イベント種類],"梱包完了")+SUMIFS(tbl_ledger[数量],tbl_ledger[充当先ロットID],$B59,tbl_ledger[イベント種類],"充当",tbl_ledger[元状態],G$1)-SUMIFS(tbl_ledger[数量],tbl_ledger[ロットID],$B59,tbl_ledger[元状態],G$1))</f>
        <v/>
      </c>
      <c r="H59" s="4" t="str">
        <f>IF($B59="","",SUMIFS(tbl_ledger[数量],tbl_ledger[ロットID],$B59,tbl_ledger[イベント種類],"発送準備完了")+SUMIFS(tbl_ledger[数量],tbl_ledger[充当先ロットID],$B59,tbl_ledger[イベント種類],"充当",tbl_ledger[元状態],H$1)-SUMIFS(tbl_ledger[数量],tbl_ledger[ロットID],$B59,tbl_ledger[元状態],H$1))</f>
        <v/>
      </c>
      <c r="I59" s="4" t="str">
        <f>IF($B59="","",SUMIFS(tbl_ledger[数量],tbl_ledger[ロットID],$B59,tbl_ledger[イベント種類],"不良発生")+SUMIFS(tbl_ledger[数量],tbl_ledger[充当先ロットID],$B59,tbl_ledger[イベント種類],"充当",tbl_ledger[元状態],I$1)-SUMIFS(tbl_ledger[数量],tbl_ledger[ロットID],$B59,tbl_ledger[元状態],I$1))</f>
        <v/>
      </c>
      <c r="J59" s="4" t="str">
        <f t="shared" si="1"/>
        <v/>
      </c>
    </row>
    <row r="60" spans="1:10" ht="15" x14ac:dyDescent="0.25">
      <c r="A60" s="4" t="str">
        <f t="shared" si="0"/>
        <v/>
      </c>
      <c r="B60" s="4" t="str">
        <f>IFERROR(IF(COUNTIF($B$1:$B59,INDEX(tbl_plan[ロットID],ROW()-1))&gt;0,"",INDEX(tbl_plan[ロットID],ROW()-1)),"")</f>
        <v/>
      </c>
      <c r="C60" s="4" t="str">
        <f>IF($B60="","",INDEX(tbl_plan[品番],ROW()-1))</f>
        <v/>
      </c>
      <c r="D60" s="4" t="str">
        <f>IF($B60="","",SUMIFS(tbl_ledger[数量],tbl_ledger[ロットID],$B60,tbl_ledger[イベント種類],"搬入")+SUMIFS(tbl_ledger[数量],tbl_ledger[充当先ロットID],$B60,tbl_ledger[イベント種類],"充当",tbl_ledger[元状態],D$1)-SUMIFS(tbl_ledger[数量],tbl_ledger[ロットID],$B60,tbl_ledger[元状態],D$1))</f>
        <v/>
      </c>
      <c r="E60" s="4" t="str">
        <f>IF($B60="","",SUMIFS(tbl_ledger[数量],tbl_ledger[ロットID],$B60,tbl_ledger[イベント種類],"アニール完了")+SUMIFS(tbl_ledger[数量],tbl_ledger[充当先ロットID],$B60,tbl_ledger[イベント種類],"充当",tbl_ledger[元状態],E$1)-SUMIFS(tbl_ledger[数量],tbl_ledger[ロットID],$B60,tbl_ledger[元状態],E$1))</f>
        <v/>
      </c>
      <c r="F60" s="4" t="str">
        <f>IF($B60="","",SUMIFS(tbl_ledger[数量],tbl_ledger[ロットID],$B60,tbl_ledger[イベント種類],"アセンブリ完了")+SUMIFS(tbl_ledger[数量],tbl_ledger[充当先ロットID],$B60,tbl_ledger[イベント種類],"充当",tbl_ledger[元状態],F$1)-SUMIFS(tbl_ledger[数量],tbl_ledger[ロットID],$B60,tbl_ledger[元状態],F$1))</f>
        <v/>
      </c>
      <c r="G60" s="4" t="str">
        <f>IF($B60="","",SUMIFS(tbl_ledger[数量],tbl_ledger[ロットID],$B60,tbl_ledger[イベント種類],"梱包完了")+SUMIFS(tbl_ledger[数量],tbl_ledger[充当先ロットID],$B60,tbl_ledger[イベント種類],"充当",tbl_ledger[元状態],G$1)-SUMIFS(tbl_ledger[数量],tbl_ledger[ロットID],$B60,tbl_ledger[元状態],G$1))</f>
        <v/>
      </c>
      <c r="H60" s="4" t="str">
        <f>IF($B60="","",SUMIFS(tbl_ledger[数量],tbl_ledger[ロットID],$B60,tbl_ledger[イベント種類],"発送準備完了")+SUMIFS(tbl_ledger[数量],tbl_ledger[充当先ロットID],$B60,tbl_ledger[イベント種類],"充当",tbl_ledger[元状態],H$1)-SUMIFS(tbl_ledger[数量],tbl_ledger[ロットID],$B60,tbl_ledger[元状態],H$1))</f>
        <v/>
      </c>
      <c r="I60" s="4" t="str">
        <f>IF($B60="","",SUMIFS(tbl_ledger[数量],tbl_ledger[ロットID],$B60,tbl_ledger[イベント種類],"不良発生")+SUMIFS(tbl_ledger[数量],tbl_ledger[充当先ロットID],$B60,tbl_ledger[イベント種類],"充当",tbl_ledger[元状態],I$1)-SUMIFS(tbl_ledger[数量],tbl_ledger[ロットID],$B60,tbl_ledger[元状態],I$1))</f>
        <v/>
      </c>
      <c r="J60" s="4" t="str">
        <f t="shared" si="1"/>
        <v/>
      </c>
    </row>
    <row r="61" spans="1:10" ht="15" x14ac:dyDescent="0.25">
      <c r="A61" s="4" t="str">
        <f t="shared" si="0"/>
        <v/>
      </c>
      <c r="B61" s="4" t="str">
        <f>IFERROR(IF(COUNTIF($B$1:$B60,INDEX(tbl_plan[ロットID],ROW()-1))&gt;0,"",INDEX(tbl_plan[ロットID],ROW()-1)),"")</f>
        <v/>
      </c>
      <c r="C61" s="4" t="str">
        <f>IF($B61="","",INDEX(tbl_plan[品番],ROW()-1))</f>
        <v/>
      </c>
      <c r="D61" s="4" t="str">
        <f>IF($B61="","",SUMIFS(tbl_ledger[数量],tbl_ledger[ロットID],$B61,tbl_ledger[イベント種類],"搬入")+SUMIFS(tbl_ledger[数量],tbl_ledger[充当先ロットID],$B61,tbl_ledger[イベント種類],"充当",tbl_ledger[元状態],D$1)-SUMIFS(tbl_ledger[数量],tbl_ledger[ロットID],$B61,tbl_ledger[元状態],D$1))</f>
        <v/>
      </c>
      <c r="E61" s="4" t="str">
        <f>IF($B61="","",SUMIFS(tbl_ledger[数量],tbl_ledger[ロットID],$B61,tbl_ledger[イベント種類],"アニール完了")+SUMIFS(tbl_ledger[数量],tbl_ledger[充当先ロットID],$B61,tbl_ledger[イベント種類],"充当",tbl_ledger[元状態],E$1)-SUMIFS(tbl_ledger[数量],tbl_ledger[ロットID],$B61,tbl_ledger[元状態],E$1))</f>
        <v/>
      </c>
      <c r="F61" s="4" t="str">
        <f>IF($B61="","",SUMIFS(tbl_ledger[数量],tbl_ledger[ロットID],$B61,tbl_ledger[イベント種類],"アセンブリ完了")+SUMIFS(tbl_ledger[数量],tbl_ledger[充当先ロットID],$B61,tbl_ledger[イベント種類],"充当",tbl_ledger[元状態],F$1)-SUMIFS(tbl_ledger[数量],tbl_ledger[ロットID],$B61,tbl_ledger[元状態],F$1))</f>
        <v/>
      </c>
      <c r="G61" s="4" t="str">
        <f>IF($B61="","",SUMIFS(tbl_ledger[数量],tbl_ledger[ロットID],$B61,tbl_ledger[イベント種類],"梱包完了")+SUMIFS(tbl_ledger[数量],tbl_ledger[充当先ロットID],$B61,tbl_ledger[イベント種類],"充当",tbl_ledger[元状態],G$1)-SUMIFS(tbl_ledger[数量],tbl_ledger[ロットID],$B61,tbl_ledger[元状態],G$1))</f>
        <v/>
      </c>
      <c r="H61" s="4" t="str">
        <f>IF($B61="","",SUMIFS(tbl_ledger[数量],tbl_ledger[ロットID],$B61,tbl_ledger[イベント種類],"発送準備完了")+SUMIFS(tbl_ledger[数量],tbl_ledger[充当先ロットID],$B61,tbl_ledger[イベント種類],"充当",tbl_ledger[元状態],H$1)-SUMIFS(tbl_ledger[数量],tbl_ledger[ロットID],$B61,tbl_ledger[元状態],H$1))</f>
        <v/>
      </c>
      <c r="I61" s="4" t="str">
        <f>IF($B61="","",SUMIFS(tbl_ledger[数量],tbl_ledger[ロットID],$B61,tbl_ledger[イベント種類],"不良発生")+SUMIFS(tbl_ledger[数量],tbl_ledger[充当先ロットID],$B61,tbl_ledger[イベント種類],"充当",tbl_ledger[元状態],I$1)-SUMIFS(tbl_ledger[数量],tbl_ledger[ロットID],$B61,tbl_ledger[元状態],I$1))</f>
        <v/>
      </c>
      <c r="J61" s="4" t="str">
        <f t="shared" si="1"/>
        <v/>
      </c>
    </row>
    <row r="62" spans="1:10" ht="15" x14ac:dyDescent="0.25">
      <c r="A62" s="4" t="str">
        <f t="shared" si="0"/>
        <v/>
      </c>
      <c r="B62" s="4" t="str">
        <f>IFERROR(IF(COUNTIF($B$1:$B61,INDEX(tbl_plan[ロットID],ROW()-1))&gt;0,"",INDEX(tbl_plan[ロットID],ROW()-1)),"")</f>
        <v/>
      </c>
      <c r="C62" s="4" t="str">
        <f>IF($B62="","",INDEX(tbl_plan[品番],ROW()-1))</f>
        <v/>
      </c>
      <c r="D62" s="4" t="str">
        <f>IF($B62="","",SUMIFS(tbl_ledger[数量],tbl_ledger[ロットID],$B62,tbl_ledger[イベント種類],"搬入")+SUMIFS(tbl_ledger[数量],tbl_ledger[充当先ロットID],$B62,tbl_ledger[イベント種類],"充当",tbl_ledger[元状態],D$1)-SUMIFS(tbl_ledger[数量],tbl_ledger[ロットID],$B62,tbl_ledger[元状態],D$1))</f>
        <v/>
      </c>
      <c r="E62" s="4" t="str">
        <f>IF($B62="","",SUMIFS(tbl_ledger[数量],tbl_ledger[ロットID],$B62,tbl_ledger[イベント種類],"アニール完了")+SUMIFS(tbl_ledger[数量],tbl_ledger[充当先ロットID],$B62,tbl_ledger[イベント種類],"充当",tbl_ledger[元状態],E$1)-SUMIFS(tbl_ledger[数量],tbl_ledger[ロットID],$B62,tbl_ledger[元状態],E$1))</f>
        <v/>
      </c>
      <c r="F62" s="4" t="str">
        <f>IF($B62="","",SUMIFS(tbl_ledger[数量],tbl_ledger[ロットID],$B62,tbl_ledger[イベント種類],"アセンブリ完了")+SUMIFS(tbl_ledger[数量],tbl_ledger[充当先ロットID],$B62,tbl_ledger[イベント種類],"充当",tbl_ledger[元状態],F$1)-SUMIFS(tbl_ledger[数量],tbl_ledger[ロットID],$B62,tbl_ledger[元状態],F$1))</f>
        <v/>
      </c>
      <c r="G62" s="4" t="str">
        <f>IF($B62="","",SUMIFS(tbl_ledger[数量],tbl_ledger[ロットID],$B62,tbl_ledger[イベント種類],"梱包完了")+SUMIFS(tbl_ledger[数量],tbl_ledger[充当先ロットID],$B62,tbl_ledger[イベント種類],"充当",tbl_ledger[元状態],G$1)-SUMIFS(tbl_ledger[数量],tbl_ledger[ロットID],$B62,tbl_ledger[元状態],G$1))</f>
        <v/>
      </c>
      <c r="H62" s="4" t="str">
        <f>IF($B62="","",SUMIFS(tbl_ledger[数量],tbl_ledger[ロットID],$B62,tbl_ledger[イベント種類],"発送準備完了")+SUMIFS(tbl_ledger[数量],tbl_ledger[充当先ロットID],$B62,tbl_ledger[イベント種類],"充当",tbl_ledger[元状態],H$1)-SUMIFS(tbl_ledger[数量],tbl_ledger[ロットID],$B62,tbl_ledger[元状態],H$1))</f>
        <v/>
      </c>
      <c r="I62" s="4" t="str">
        <f>IF($B62="","",SUMIFS(tbl_ledger[数量],tbl_ledger[ロットID],$B62,tbl_ledger[イベント種類],"不良発生")+SUMIFS(tbl_ledger[数量],tbl_ledger[充当先ロットID],$B62,tbl_ledger[イベント種類],"充当",tbl_ledger[元状態],I$1)-SUMIFS(tbl_ledger[数量],tbl_ledger[ロットID],$B62,tbl_ledger[元状態],I$1))</f>
        <v/>
      </c>
      <c r="J62" s="4" t="str">
        <f t="shared" si="1"/>
        <v/>
      </c>
    </row>
    <row r="63" spans="1:10" ht="15" x14ac:dyDescent="0.25">
      <c r="A63" s="4" t="str">
        <f t="shared" si="0"/>
        <v/>
      </c>
      <c r="B63" s="4" t="str">
        <f>IFERROR(IF(COUNTIF($B$1:$B62,INDEX(tbl_plan[ロットID],ROW()-1))&gt;0,"",INDEX(tbl_plan[ロットID],ROW()-1)),"")</f>
        <v/>
      </c>
      <c r="C63" s="4" t="str">
        <f>IF($B63="","",INDEX(tbl_plan[品番],ROW()-1))</f>
        <v/>
      </c>
      <c r="D63" s="4" t="str">
        <f>IF($B63="","",SUMIFS(tbl_ledger[数量],tbl_ledger[ロットID],$B63,tbl_ledger[イベント種類],"搬入")+SUMIFS(tbl_ledger[数量],tbl_ledger[充当先ロットID],$B63,tbl_ledger[イベント種類],"充当",tbl_ledger[元状態],D$1)-SUMIFS(tbl_ledger[数量],tbl_ledger[ロットID],$B63,tbl_ledger[元状態],D$1))</f>
        <v/>
      </c>
      <c r="E63" s="4" t="str">
        <f>IF($B63="","",SUMIFS(tbl_ledger[数量],tbl_ledger[ロットID],$B63,tbl_ledger[イベント種類],"アニール完了")+SUMIFS(tbl_ledger[数量],tbl_ledger[充当先ロットID],$B63,tbl_ledger[イベント種類],"充当",tbl_ledger[元状態],E$1)-SUMIFS(tbl_ledger[数量],tbl_ledger[ロットID],$B63,tbl_ledger[元状態],E$1))</f>
        <v/>
      </c>
      <c r="F63" s="4" t="str">
        <f>IF($B63="","",SUMIFS(tbl_ledger[数量],tbl_ledger[ロットID],$B63,tbl_ledger[イベント種類],"アセンブリ完了")+SUMIFS(tbl_ledger[数量],tbl_ledger[充当先ロットID],$B63,tbl_ledger[イベント種類],"充当",tbl_ledger[元状態],F$1)-SUMIFS(tbl_ledger[数量],tbl_ledger[ロットID],$B63,tbl_ledger[元状態],F$1))</f>
        <v/>
      </c>
      <c r="G63" s="4" t="str">
        <f>IF($B63="","",SUMIFS(tbl_ledger[数量],tbl_ledger[ロットID],$B63,tbl_ledger[イベント種類],"梱包完了")+SUMIFS(tbl_ledger[数量],tbl_ledger[充当先ロットID],$B63,tbl_ledger[イベント種類],"充当",tbl_ledger[元状態],G$1)-SUMIFS(tbl_ledger[数量],tbl_ledger[ロットID],$B63,tbl_ledger[元状態],G$1))</f>
        <v/>
      </c>
      <c r="H63" s="4" t="str">
        <f>IF($B63="","",SUMIFS(tbl_ledger[数量],tbl_ledger[ロットID],$B63,tbl_ledger[イベント種類],"発送準備完了")+SUMIFS(tbl_ledger[数量],tbl_ledger[充当先ロットID],$B63,tbl_ledger[イベント種類],"充当",tbl_ledger[元状態],H$1)-SUMIFS(tbl_ledger[数量],tbl_ledger[ロットID],$B63,tbl_ledger[元状態],H$1))</f>
        <v/>
      </c>
      <c r="I63" s="4" t="str">
        <f>IF($B63="","",SUMIFS(tbl_ledger[数量],tbl_ledger[ロットID],$B63,tbl_ledger[イベント種類],"不良発生")+SUMIFS(tbl_ledger[数量],tbl_ledger[充当先ロットID],$B63,tbl_ledger[イベント種類],"充当",tbl_ledger[元状態],I$1)-SUMIFS(tbl_ledger[数量],tbl_ledger[ロットID],$B63,tbl_ledger[元状態],I$1))</f>
        <v/>
      </c>
      <c r="J63" s="4" t="str">
        <f t="shared" si="1"/>
        <v/>
      </c>
    </row>
    <row r="64" spans="1:10" ht="15" x14ac:dyDescent="0.25">
      <c r="A64" s="4" t="str">
        <f t="shared" si="0"/>
        <v/>
      </c>
      <c r="B64" s="4" t="str">
        <f>IFERROR(IF(COUNTIF($B$1:$B63,INDEX(tbl_plan[ロットID],ROW()-1))&gt;0,"",INDEX(tbl_plan[ロットID],ROW()-1)),"")</f>
        <v/>
      </c>
      <c r="C64" s="4" t="str">
        <f>IF($B64="","",INDEX(tbl_plan[品番],ROW()-1))</f>
        <v/>
      </c>
      <c r="D64" s="4" t="str">
        <f>IF($B64="","",SUMIFS(tbl_ledger[数量],tbl_ledger[ロットID],$B64,tbl_ledger[イベント種類],"搬入")+SUMIFS(tbl_ledger[数量],tbl_ledger[充当先ロットID],$B64,tbl_ledger[イベント種類],"充当",tbl_ledger[元状態],D$1)-SUMIFS(tbl_ledger[数量],tbl_ledger[ロットID],$B64,tbl_ledger[元状態],D$1))</f>
        <v/>
      </c>
      <c r="E64" s="4" t="str">
        <f>IF($B64="","",SUMIFS(tbl_ledger[数量],tbl_ledger[ロットID],$B64,tbl_ledger[イベント種類],"アニール完了")+SUMIFS(tbl_ledger[数量],tbl_ledger[充当先ロットID],$B64,tbl_ledger[イベント種類],"充当",tbl_ledger[元状態],E$1)-SUMIFS(tbl_ledger[数量],tbl_ledger[ロットID],$B64,tbl_ledger[元状態],E$1))</f>
        <v/>
      </c>
      <c r="F64" s="4" t="str">
        <f>IF($B64="","",SUMIFS(tbl_ledger[数量],tbl_ledger[ロットID],$B64,tbl_ledger[イベント種類],"アセンブリ完了")+SUMIFS(tbl_ledger[数量],tbl_ledger[充当先ロットID],$B64,tbl_ledger[イベント種類],"充当",tbl_ledger[元状態],F$1)-SUMIFS(tbl_ledger[数量],tbl_ledger[ロットID],$B64,tbl_ledger[元状態],F$1))</f>
        <v/>
      </c>
      <c r="G64" s="4" t="str">
        <f>IF($B64="","",SUMIFS(tbl_ledger[数量],tbl_ledger[ロットID],$B64,tbl_ledger[イベント種類],"梱包完了")+SUMIFS(tbl_ledger[数量],tbl_ledger[充当先ロットID],$B64,tbl_ledger[イベント種類],"充当",tbl_ledger[元状態],G$1)-SUMIFS(tbl_ledger[数量],tbl_ledger[ロットID],$B64,tbl_ledger[元状態],G$1))</f>
        <v/>
      </c>
      <c r="H64" s="4" t="str">
        <f>IF($B64="","",SUMIFS(tbl_ledger[数量],tbl_ledger[ロットID],$B64,tbl_ledger[イベント種類],"発送準備完了")+SUMIFS(tbl_ledger[数量],tbl_ledger[充当先ロットID],$B64,tbl_ledger[イベント種類],"充当",tbl_ledger[元状態],H$1)-SUMIFS(tbl_ledger[数量],tbl_ledger[ロットID],$B64,tbl_ledger[元状態],H$1))</f>
        <v/>
      </c>
      <c r="I64" s="4" t="str">
        <f>IF($B64="","",SUMIFS(tbl_ledger[数量],tbl_ledger[ロットID],$B64,tbl_ledger[イベント種類],"不良発生")+SUMIFS(tbl_ledger[数量],tbl_ledger[充当先ロットID],$B64,tbl_ledger[イベント種類],"充当",tbl_ledger[元状態],I$1)-SUMIFS(tbl_ledger[数量],tbl_ledger[ロットID],$B64,tbl_ledger[元状態],I$1))</f>
        <v/>
      </c>
      <c r="J64" s="4" t="str">
        <f t="shared" si="1"/>
        <v/>
      </c>
    </row>
    <row r="65" spans="1:10" ht="15" x14ac:dyDescent="0.25">
      <c r="A65" s="4" t="str">
        <f t="shared" si="0"/>
        <v/>
      </c>
      <c r="B65" s="4" t="str">
        <f>IFERROR(IF(COUNTIF($B$1:$B64,INDEX(tbl_plan[ロットID],ROW()-1))&gt;0,"",INDEX(tbl_plan[ロットID],ROW()-1)),"")</f>
        <v/>
      </c>
      <c r="C65" s="4" t="str">
        <f>IF($B65="","",INDEX(tbl_plan[品番],ROW()-1))</f>
        <v/>
      </c>
      <c r="D65" s="4" t="str">
        <f>IF($B65="","",SUMIFS(tbl_ledger[数量],tbl_ledger[ロットID],$B65,tbl_ledger[イベント種類],"搬入")+SUMIFS(tbl_ledger[数量],tbl_ledger[充当先ロットID],$B65,tbl_ledger[イベント種類],"充当",tbl_ledger[元状態],D$1)-SUMIFS(tbl_ledger[数量],tbl_ledger[ロットID],$B65,tbl_ledger[元状態],D$1))</f>
        <v/>
      </c>
      <c r="E65" s="4" t="str">
        <f>IF($B65="","",SUMIFS(tbl_ledger[数量],tbl_ledger[ロットID],$B65,tbl_ledger[イベント種類],"アニール完了")+SUMIFS(tbl_ledger[数量],tbl_ledger[充当先ロットID],$B65,tbl_ledger[イベント種類],"充当",tbl_ledger[元状態],E$1)-SUMIFS(tbl_ledger[数量],tbl_ledger[ロットID],$B65,tbl_ledger[元状態],E$1))</f>
        <v/>
      </c>
      <c r="F65" s="4" t="str">
        <f>IF($B65="","",SUMIFS(tbl_ledger[数量],tbl_ledger[ロットID],$B65,tbl_ledger[イベント種類],"アセンブリ完了")+SUMIFS(tbl_ledger[数量],tbl_ledger[充当先ロットID],$B65,tbl_ledger[イベント種類],"充当",tbl_ledger[元状態],F$1)-SUMIFS(tbl_ledger[数量],tbl_ledger[ロットID],$B65,tbl_ledger[元状態],F$1))</f>
        <v/>
      </c>
      <c r="G65" s="4" t="str">
        <f>IF($B65="","",SUMIFS(tbl_ledger[数量],tbl_ledger[ロットID],$B65,tbl_ledger[イベント種類],"梱包完了")+SUMIFS(tbl_ledger[数量],tbl_ledger[充当先ロットID],$B65,tbl_ledger[イベント種類],"充当",tbl_ledger[元状態],G$1)-SUMIFS(tbl_ledger[数量],tbl_ledger[ロットID],$B65,tbl_ledger[元状態],G$1))</f>
        <v/>
      </c>
      <c r="H65" s="4" t="str">
        <f>IF($B65="","",SUMIFS(tbl_ledger[数量],tbl_ledger[ロットID],$B65,tbl_ledger[イベント種類],"発送準備完了")+SUMIFS(tbl_ledger[数量],tbl_ledger[充当先ロットID],$B65,tbl_ledger[イベント種類],"充当",tbl_ledger[元状態],H$1)-SUMIFS(tbl_ledger[数量],tbl_ledger[ロットID],$B65,tbl_ledger[元状態],H$1))</f>
        <v/>
      </c>
      <c r="I65" s="4" t="str">
        <f>IF($B65="","",SUMIFS(tbl_ledger[数量],tbl_ledger[ロットID],$B65,tbl_ledger[イベント種類],"不良発生")+SUMIFS(tbl_ledger[数量],tbl_ledger[充当先ロットID],$B65,tbl_ledger[イベント種類],"充当",tbl_ledger[元状態],I$1)-SUMIFS(tbl_ledger[数量],tbl_ledger[ロットID],$B65,tbl_ledger[元状態],I$1))</f>
        <v/>
      </c>
      <c r="J65" s="4" t="str">
        <f t="shared" si="1"/>
        <v/>
      </c>
    </row>
    <row r="66" spans="1:10" ht="15" x14ac:dyDescent="0.25">
      <c r="A66" s="4" t="str">
        <f t="shared" ref="A66:A129" si="2">IF($B66="","","ロット")</f>
        <v/>
      </c>
      <c r="B66" s="4" t="str">
        <f>IFERROR(IF(COUNTIF($B$1:$B65,INDEX(tbl_plan[ロットID],ROW()-1))&gt;0,"",INDEX(tbl_plan[ロットID],ROW()-1)),"")</f>
        <v/>
      </c>
      <c r="C66" s="4" t="str">
        <f>IF($B66="","",INDEX(tbl_plan[品番],ROW()-1))</f>
        <v/>
      </c>
      <c r="D66" s="4" t="str">
        <f>IF($B66="","",SUMIFS(tbl_ledger[数量],tbl_ledger[ロットID],$B66,tbl_ledger[イベント種類],"搬入")+SUMIFS(tbl_ledger[数量],tbl_ledger[充当先ロットID],$B66,tbl_ledger[イベント種類],"充当",tbl_ledger[元状態],D$1)-SUMIFS(tbl_ledger[数量],tbl_ledger[ロットID],$B66,tbl_ledger[元状態],D$1))</f>
        <v/>
      </c>
      <c r="E66" s="4" t="str">
        <f>IF($B66="","",SUMIFS(tbl_ledger[数量],tbl_ledger[ロットID],$B66,tbl_ledger[イベント種類],"アニール完了")+SUMIFS(tbl_ledger[数量],tbl_ledger[充当先ロットID],$B66,tbl_ledger[イベント種類],"充当",tbl_ledger[元状態],E$1)-SUMIFS(tbl_ledger[数量],tbl_ledger[ロットID],$B66,tbl_ledger[元状態],E$1))</f>
        <v/>
      </c>
      <c r="F66" s="4" t="str">
        <f>IF($B66="","",SUMIFS(tbl_ledger[数量],tbl_ledger[ロットID],$B66,tbl_ledger[イベント種類],"アセンブリ完了")+SUMIFS(tbl_ledger[数量],tbl_ledger[充当先ロットID],$B66,tbl_ledger[イベント種類],"充当",tbl_ledger[元状態],F$1)-SUMIFS(tbl_ledger[数量],tbl_ledger[ロットID],$B66,tbl_ledger[元状態],F$1))</f>
        <v/>
      </c>
      <c r="G66" s="4" t="str">
        <f>IF($B66="","",SUMIFS(tbl_ledger[数量],tbl_ledger[ロットID],$B66,tbl_ledger[イベント種類],"梱包完了")+SUMIFS(tbl_ledger[数量],tbl_ledger[充当先ロットID],$B66,tbl_ledger[イベント種類],"充当",tbl_ledger[元状態],G$1)-SUMIFS(tbl_ledger[数量],tbl_ledger[ロットID],$B66,tbl_ledger[元状態],G$1))</f>
        <v/>
      </c>
      <c r="H66" s="4" t="str">
        <f>IF($B66="","",SUMIFS(tbl_ledger[数量],tbl_ledger[ロットID],$B66,tbl_ledger[イベント種類],"発送準備完了")+SUMIFS(tbl_ledger[数量],tbl_ledger[充当先ロットID],$B66,tbl_ledger[イベント種類],"充当",tbl_ledger[元状態],H$1)-SUMIFS(tbl_ledger[数量],tbl_ledger[ロットID],$B66,tbl_ledger[元状態],H$1))</f>
        <v/>
      </c>
      <c r="I66" s="4" t="str">
        <f>IF($B66="","",SUMIFS(tbl_ledger[数量],tbl_ledger[ロットID],$B66,tbl_ledger[イベント種類],"不良発生")+SUMIFS(tbl_ledger[数量],tbl_ledger[充当先ロットID],$B66,tbl_ledger[イベント種類],"充当",tbl_ledger[元状態],I$1)-SUMIFS(tbl_ledger[数量],tbl_ledger[ロットID],$B66,tbl_ledger[元状態],I$1))</f>
        <v/>
      </c>
      <c r="J66" s="4" t="str">
        <f t="shared" ref="J66:J129" si="3">IF($B66="","",SUM(D66:I66))</f>
        <v/>
      </c>
    </row>
    <row r="67" spans="1:10" ht="15" x14ac:dyDescent="0.25">
      <c r="A67" s="4" t="str">
        <f t="shared" si="2"/>
        <v/>
      </c>
      <c r="B67" s="4" t="str">
        <f>IFERROR(IF(COUNTIF($B$1:$B66,INDEX(tbl_plan[ロットID],ROW()-1))&gt;0,"",INDEX(tbl_plan[ロットID],ROW()-1)),"")</f>
        <v/>
      </c>
      <c r="C67" s="4" t="str">
        <f>IF($B67="","",INDEX(tbl_plan[品番],ROW()-1))</f>
        <v/>
      </c>
      <c r="D67" s="4" t="str">
        <f>IF($B67="","",SUMIFS(tbl_ledger[数量],tbl_ledger[ロットID],$B67,tbl_ledger[イベント種類],"搬入")+SUMIFS(tbl_ledger[数量],tbl_ledger[充当先ロットID],$B67,tbl_ledger[イベント種類],"充当",tbl_ledger[元状態],D$1)-SUMIFS(tbl_ledger[数量],tbl_ledger[ロットID],$B67,tbl_ledger[元状態],D$1))</f>
        <v/>
      </c>
      <c r="E67" s="4" t="str">
        <f>IF($B67="","",SUMIFS(tbl_ledger[数量],tbl_ledger[ロットID],$B67,tbl_ledger[イベント種類],"アニール完了")+SUMIFS(tbl_ledger[数量],tbl_ledger[充当先ロットID],$B67,tbl_ledger[イベント種類],"充当",tbl_ledger[元状態],E$1)-SUMIFS(tbl_ledger[数量],tbl_ledger[ロットID],$B67,tbl_ledger[元状態],E$1))</f>
        <v/>
      </c>
      <c r="F67" s="4" t="str">
        <f>IF($B67="","",SUMIFS(tbl_ledger[数量],tbl_ledger[ロットID],$B67,tbl_ledger[イベント種類],"アセンブリ完了")+SUMIFS(tbl_ledger[数量],tbl_ledger[充当先ロットID],$B67,tbl_ledger[イベント種類],"充当",tbl_ledger[元状態],F$1)-SUMIFS(tbl_ledger[数量],tbl_ledger[ロットID],$B67,tbl_ledger[元状態],F$1))</f>
        <v/>
      </c>
      <c r="G67" s="4" t="str">
        <f>IF($B67="","",SUMIFS(tbl_ledger[数量],tbl_ledger[ロットID],$B67,tbl_ledger[イベント種類],"梱包完了")+SUMIFS(tbl_ledger[数量],tbl_ledger[充当先ロットID],$B67,tbl_ledger[イベント種類],"充当",tbl_ledger[元状態],G$1)-SUMIFS(tbl_ledger[数量],tbl_ledger[ロットID],$B67,tbl_ledger[元状態],G$1))</f>
        <v/>
      </c>
      <c r="H67" s="4" t="str">
        <f>IF($B67="","",SUMIFS(tbl_ledger[数量],tbl_ledger[ロットID],$B67,tbl_ledger[イベント種類],"発送準備完了")+SUMIFS(tbl_ledger[数量],tbl_ledger[充当先ロットID],$B67,tbl_ledger[イベント種類],"充当",tbl_ledger[元状態],H$1)-SUMIFS(tbl_ledger[数量],tbl_ledger[ロットID],$B67,tbl_ledger[元状態],H$1))</f>
        <v/>
      </c>
      <c r="I67" s="4" t="str">
        <f>IF($B67="","",SUMIFS(tbl_ledger[数量],tbl_ledger[ロットID],$B67,tbl_ledger[イベント種類],"不良発生")+SUMIFS(tbl_ledger[数量],tbl_ledger[充当先ロットID],$B67,tbl_ledger[イベント種類],"充当",tbl_ledger[元状態],I$1)-SUMIFS(tbl_ledger[数量],tbl_ledger[ロットID],$B67,tbl_ledger[元状態],I$1))</f>
        <v/>
      </c>
      <c r="J67" s="4" t="str">
        <f t="shared" si="3"/>
        <v/>
      </c>
    </row>
    <row r="68" spans="1:10" ht="15" x14ac:dyDescent="0.25">
      <c r="A68" s="4" t="str">
        <f t="shared" si="2"/>
        <v/>
      </c>
      <c r="B68" s="4" t="str">
        <f>IFERROR(IF(COUNTIF($B$1:$B67,INDEX(tbl_plan[ロットID],ROW()-1))&gt;0,"",INDEX(tbl_plan[ロットID],ROW()-1)),"")</f>
        <v/>
      </c>
      <c r="C68" s="4" t="str">
        <f>IF($B68="","",INDEX(tbl_plan[品番],ROW()-1))</f>
        <v/>
      </c>
      <c r="D68" s="4" t="str">
        <f>IF($B68="","",SUMIFS(tbl_ledger[数量],tbl_ledger[ロットID],$B68,tbl_ledger[イベント種類],"搬入")+SUMIFS(tbl_ledger[数量],tbl_ledger[充当先ロットID],$B68,tbl_ledger[イベント種類],"充当",tbl_ledger[元状態],D$1)-SUMIFS(tbl_ledger[数量],tbl_ledger[ロットID],$B68,tbl_ledger[元状態],D$1))</f>
        <v/>
      </c>
      <c r="E68" s="4" t="str">
        <f>IF($B68="","",SUMIFS(tbl_ledger[数量],tbl_ledger[ロットID],$B68,tbl_ledger[イベント種類],"アニール完了")+SUMIFS(tbl_ledger[数量],tbl_ledger[充当先ロットID],$B68,tbl_ledger[イベント種類],"充当",tbl_ledger[元状態],E$1)-SUMIFS(tbl_ledger[数量],tbl_ledger[ロットID],$B68,tbl_ledger[元状態],E$1))</f>
        <v/>
      </c>
      <c r="F68" s="4" t="str">
        <f>IF($B68="","",SUMIFS(tbl_ledger[数量],tbl_ledger[ロットID],$B68,tbl_ledger[イベント種類],"アセンブリ完了")+SUMIFS(tbl_ledger[数量],tbl_ledger[充当先ロットID],$B68,tbl_ledger[イベント種類],"充当",tbl_ledger[元状態],F$1)-SUMIFS(tbl_ledger[数量],tbl_ledger[ロットID],$B68,tbl_ledger[元状態],F$1))</f>
        <v/>
      </c>
      <c r="G68" s="4" t="str">
        <f>IF($B68="","",SUMIFS(tbl_ledger[数量],tbl_ledger[ロットID],$B68,tbl_ledger[イベント種類],"梱包完了")+SUMIFS(tbl_ledger[数量],tbl_ledger[充当先ロットID],$B68,tbl_ledger[イベント種類],"充当",tbl_ledger[元状態],G$1)-SUMIFS(tbl_ledger[数量],tbl_ledger[ロットID],$B68,tbl_ledger[元状態],G$1))</f>
        <v/>
      </c>
      <c r="H68" s="4" t="str">
        <f>IF($B68="","",SUMIFS(tbl_ledger[数量],tbl_ledger[ロットID],$B68,tbl_ledger[イベント種類],"発送準備完了")+SUMIFS(tbl_ledger[数量],tbl_ledger[充当先ロットID],$B68,tbl_ledger[イベント種類],"充当",tbl_ledger[元状態],H$1)-SUMIFS(tbl_ledger[数量],tbl_ledger[ロットID],$B68,tbl_ledger[元状態],H$1))</f>
        <v/>
      </c>
      <c r="I68" s="4" t="str">
        <f>IF($B68="","",SUMIFS(tbl_ledger[数量],tbl_ledger[ロットID],$B68,tbl_ledger[イベント種類],"不良発生")+SUMIFS(tbl_ledger[数量],tbl_ledger[充当先ロットID],$B68,tbl_ledger[イベント種類],"充当",tbl_ledger[元状態],I$1)-SUMIFS(tbl_ledger[数量],tbl_ledger[ロットID],$B68,tbl_ledger[元状態],I$1))</f>
        <v/>
      </c>
      <c r="J68" s="4" t="str">
        <f t="shared" si="3"/>
        <v/>
      </c>
    </row>
    <row r="69" spans="1:10" ht="15" x14ac:dyDescent="0.25">
      <c r="A69" s="4" t="str">
        <f t="shared" si="2"/>
        <v/>
      </c>
      <c r="B69" s="4" t="str">
        <f>IFERROR(IF(COUNTIF($B$1:$B68,INDEX(tbl_plan[ロットID],ROW()-1))&gt;0,"",INDEX(tbl_plan[ロットID],ROW()-1)),"")</f>
        <v/>
      </c>
      <c r="C69" s="4" t="str">
        <f>IF($B69="","",INDEX(tbl_plan[品番],ROW()-1))</f>
        <v/>
      </c>
      <c r="D69" s="4" t="str">
        <f>IF($B69="","",SUMIFS(tbl_ledger[数量],tbl_ledger[ロットID],$B69,tbl_ledger[イベント種類],"搬入")+SUMIFS(tbl_ledger[数量],tbl_ledger[充当先ロットID],$B69,tbl_ledger[イベント種類],"充当",tbl_ledger[元状態],D$1)-SUMIFS(tbl_ledger[数量],tbl_ledger[ロットID],$B69,tbl_ledger[元状態],D$1))</f>
        <v/>
      </c>
      <c r="E69" s="4" t="str">
        <f>IF($B69="","",SUMIFS(tbl_ledger[数量],tbl_ledger[ロットID],$B69,tbl_ledger[イベント種類],"アニール完了")+SUMIFS(tbl_ledger[数量],tbl_ledger[充当先ロットID],$B69,tbl_ledger[イベント種類],"充当",tbl_ledger[元状態],E$1)-SUMIFS(tbl_ledger[数量],tbl_ledger[ロットID],$B69,tbl_ledger[元状態],E$1))</f>
        <v/>
      </c>
      <c r="F69" s="4" t="str">
        <f>IF($B69="","",SUMIFS(tbl_ledger[数量],tbl_ledger[ロットID],$B69,tbl_ledger[イベント種類],"アセンブリ完了")+SUMIFS(tbl_ledger[数量],tbl_ledger[充当先ロットID],$B69,tbl_ledger[イベント種類],"充当",tbl_ledger[元状態],F$1)-SUMIFS(tbl_ledger[数量],tbl_ledger[ロットID],$B69,tbl_ledger[元状態],F$1))</f>
        <v/>
      </c>
      <c r="G69" s="4" t="str">
        <f>IF($B69="","",SUMIFS(tbl_ledger[数量],tbl_ledger[ロットID],$B69,tbl_ledger[イベント種類],"梱包完了")+SUMIFS(tbl_ledger[数量],tbl_ledger[充当先ロットID],$B69,tbl_ledger[イベント種類],"充当",tbl_ledger[元状態],G$1)-SUMIFS(tbl_ledger[数量],tbl_ledger[ロットID],$B69,tbl_ledger[元状態],G$1))</f>
        <v/>
      </c>
      <c r="H69" s="4" t="str">
        <f>IF($B69="","",SUMIFS(tbl_ledger[数量],tbl_ledger[ロットID],$B69,tbl_ledger[イベント種類],"発送準備完了")+SUMIFS(tbl_ledger[数量],tbl_ledger[充当先ロットID],$B69,tbl_ledger[イベント種類],"充当",tbl_ledger[元状態],H$1)-SUMIFS(tbl_ledger[数量],tbl_ledger[ロットID],$B69,tbl_ledger[元状態],H$1))</f>
        <v/>
      </c>
      <c r="I69" s="4" t="str">
        <f>IF($B69="","",SUMIFS(tbl_ledger[数量],tbl_ledger[ロットID],$B69,tbl_ledger[イベント種類],"不良発生")+SUMIFS(tbl_ledger[数量],tbl_ledger[充当先ロットID],$B69,tbl_ledger[イベント種類],"充当",tbl_ledger[元状態],I$1)-SUMIFS(tbl_ledger[数量],tbl_ledger[ロットID],$B69,tbl_ledger[元状態],I$1))</f>
        <v/>
      </c>
      <c r="J69" s="4" t="str">
        <f t="shared" si="3"/>
        <v/>
      </c>
    </row>
    <row r="70" spans="1:10" ht="15" x14ac:dyDescent="0.25">
      <c r="A70" s="4" t="str">
        <f t="shared" si="2"/>
        <v/>
      </c>
      <c r="B70" s="4" t="str">
        <f>IFERROR(IF(COUNTIF($B$1:$B69,INDEX(tbl_plan[ロットID],ROW()-1))&gt;0,"",INDEX(tbl_plan[ロットID],ROW()-1)),"")</f>
        <v/>
      </c>
      <c r="C70" s="4" t="str">
        <f>IF($B70="","",INDEX(tbl_plan[品番],ROW()-1))</f>
        <v/>
      </c>
      <c r="D70" s="4" t="str">
        <f>IF($B70="","",SUMIFS(tbl_ledger[数量],tbl_ledger[ロットID],$B70,tbl_ledger[イベント種類],"搬入")+SUMIFS(tbl_ledger[数量],tbl_ledger[充当先ロットID],$B70,tbl_ledger[イベント種類],"充当",tbl_ledger[元状態],D$1)-SUMIFS(tbl_ledger[数量],tbl_ledger[ロットID],$B70,tbl_ledger[元状態],D$1))</f>
        <v/>
      </c>
      <c r="E70" s="4" t="str">
        <f>IF($B70="","",SUMIFS(tbl_ledger[数量],tbl_ledger[ロットID],$B70,tbl_ledger[イベント種類],"アニール完了")+SUMIFS(tbl_ledger[数量],tbl_ledger[充当先ロットID],$B70,tbl_ledger[イベント種類],"充当",tbl_ledger[元状態],E$1)-SUMIFS(tbl_ledger[数量],tbl_ledger[ロットID],$B70,tbl_ledger[元状態],E$1))</f>
        <v/>
      </c>
      <c r="F70" s="4" t="str">
        <f>IF($B70="","",SUMIFS(tbl_ledger[数量],tbl_ledger[ロットID],$B70,tbl_ledger[イベント種類],"アセンブリ完了")+SUMIFS(tbl_ledger[数量],tbl_ledger[充当先ロットID],$B70,tbl_ledger[イベント種類],"充当",tbl_ledger[元状態],F$1)-SUMIFS(tbl_ledger[数量],tbl_ledger[ロットID],$B70,tbl_ledger[元状態],F$1))</f>
        <v/>
      </c>
      <c r="G70" s="4" t="str">
        <f>IF($B70="","",SUMIFS(tbl_ledger[数量],tbl_ledger[ロットID],$B70,tbl_ledger[イベント種類],"梱包完了")+SUMIFS(tbl_ledger[数量],tbl_ledger[充当先ロットID],$B70,tbl_ledger[イベント種類],"充当",tbl_ledger[元状態],G$1)-SUMIFS(tbl_ledger[数量],tbl_ledger[ロットID],$B70,tbl_ledger[元状態],G$1))</f>
        <v/>
      </c>
      <c r="H70" s="4" t="str">
        <f>IF($B70="","",SUMIFS(tbl_ledger[数量],tbl_ledger[ロットID],$B70,tbl_ledger[イベント種類],"発送準備完了")+SUMIFS(tbl_ledger[数量],tbl_ledger[充当先ロットID],$B70,tbl_ledger[イベント種類],"充当",tbl_ledger[元状態],H$1)-SUMIFS(tbl_ledger[数量],tbl_ledger[ロットID],$B70,tbl_ledger[元状態],H$1))</f>
        <v/>
      </c>
      <c r="I70" s="4" t="str">
        <f>IF($B70="","",SUMIFS(tbl_ledger[数量],tbl_ledger[ロットID],$B70,tbl_ledger[イベント種類],"不良発生")+SUMIFS(tbl_ledger[数量],tbl_ledger[充当先ロットID],$B70,tbl_ledger[イベント種類],"充当",tbl_ledger[元状態],I$1)-SUMIFS(tbl_ledger[数量],tbl_ledger[ロットID],$B70,tbl_ledger[元状態],I$1))</f>
        <v/>
      </c>
      <c r="J70" s="4" t="str">
        <f t="shared" si="3"/>
        <v/>
      </c>
    </row>
    <row r="71" spans="1:10" ht="15" x14ac:dyDescent="0.25">
      <c r="A71" s="4" t="str">
        <f t="shared" si="2"/>
        <v/>
      </c>
      <c r="B71" s="4" t="str">
        <f>IFERROR(IF(COUNTIF($B$1:$B70,INDEX(tbl_plan[ロットID],ROW()-1))&gt;0,"",INDEX(tbl_plan[ロットID],ROW()-1)),"")</f>
        <v/>
      </c>
      <c r="C71" s="4" t="str">
        <f>IF($B71="","",INDEX(tbl_plan[品番],ROW()-1))</f>
        <v/>
      </c>
      <c r="D71" s="4" t="str">
        <f>IF($B71="","",SUMIFS(tbl_ledger[数量],tbl_ledger[ロットID],$B71,tbl_ledger[イベント種類],"搬入")+SUMIFS(tbl_ledger[数量],tbl_ledger[充当先ロットID],$B71,tbl_ledger[イベント種類],"充当",tbl_ledger[元状態],D$1)-SUMIFS(tbl_ledger[数量],tbl_ledger[ロットID],$B71,tbl_ledger[元状態],D$1))</f>
        <v/>
      </c>
      <c r="E71" s="4" t="str">
        <f>IF($B71="","",SUMIFS(tbl_ledger[数量],tbl_ledger[ロットID],$B71,tbl_ledger[イベント種類],"アニール完了")+SUMIFS(tbl_ledger[数量],tbl_ledger[充当先ロットID],$B71,tbl_ledger[イベント種類],"充当",tbl_ledger[元状態],E$1)-SUMIFS(tbl_ledger[数量],tbl_ledger[ロットID],$B71,tbl_ledger[元状態],E$1))</f>
        <v/>
      </c>
      <c r="F71" s="4" t="str">
        <f>IF($B71="","",SUMIFS(tbl_ledger[数量],tbl_ledger[ロットID],$B71,tbl_ledger[イベント種類],"アセンブリ完了")+SUMIFS(tbl_ledger[数量],tbl_ledger[充当先ロットID],$B71,tbl_ledger[イベント種類],"充当",tbl_ledger[元状態],F$1)-SUMIFS(tbl_ledger[数量],tbl_ledger[ロットID],$B71,tbl_ledger[元状態],F$1))</f>
        <v/>
      </c>
      <c r="G71" s="4" t="str">
        <f>IF($B71="","",SUMIFS(tbl_ledger[数量],tbl_ledger[ロットID],$B71,tbl_ledger[イベント種類],"梱包完了")+SUMIFS(tbl_ledger[数量],tbl_ledger[充当先ロットID],$B71,tbl_ledger[イベント種類],"充当",tbl_ledger[元状態],G$1)-SUMIFS(tbl_ledger[数量],tbl_ledger[ロットID],$B71,tbl_ledger[元状態],G$1))</f>
        <v/>
      </c>
      <c r="H71" s="4" t="str">
        <f>IF($B71="","",SUMIFS(tbl_ledger[数量],tbl_ledger[ロットID],$B71,tbl_ledger[イベント種類],"発送準備完了")+SUMIFS(tbl_ledger[数量],tbl_ledger[充当先ロットID],$B71,tbl_ledger[イベント種類],"充当",tbl_ledger[元状態],H$1)-SUMIFS(tbl_ledger[数量],tbl_ledger[ロットID],$B71,tbl_ledger[元状態],H$1))</f>
        <v/>
      </c>
      <c r="I71" s="4" t="str">
        <f>IF($B71="","",SUMIFS(tbl_ledger[数量],tbl_ledger[ロットID],$B71,tbl_ledger[イベント種類],"不良発生")+SUMIFS(tbl_ledger[数量],tbl_ledger[充当先ロットID],$B71,tbl_ledger[イベント種類],"充当",tbl_ledger[元状態],I$1)-SUMIFS(tbl_ledger[数量],tbl_ledger[ロットID],$B71,tbl_ledger[元状態],I$1))</f>
        <v/>
      </c>
      <c r="J71" s="4" t="str">
        <f t="shared" si="3"/>
        <v/>
      </c>
    </row>
    <row r="72" spans="1:10" ht="15" x14ac:dyDescent="0.25">
      <c r="A72" s="4" t="str">
        <f t="shared" si="2"/>
        <v/>
      </c>
      <c r="B72" s="4" t="str">
        <f>IFERROR(IF(COUNTIF($B$1:$B71,INDEX(tbl_plan[ロットID],ROW()-1))&gt;0,"",INDEX(tbl_plan[ロットID],ROW()-1)),"")</f>
        <v/>
      </c>
      <c r="C72" s="4" t="str">
        <f>IF($B72="","",INDEX(tbl_plan[品番],ROW()-1))</f>
        <v/>
      </c>
      <c r="D72" s="4" t="str">
        <f>IF($B72="","",SUMIFS(tbl_ledger[数量],tbl_ledger[ロットID],$B72,tbl_ledger[イベント種類],"搬入")+SUMIFS(tbl_ledger[数量],tbl_ledger[充当先ロットID],$B72,tbl_ledger[イベント種類],"充当",tbl_ledger[元状態],D$1)-SUMIFS(tbl_ledger[数量],tbl_ledger[ロットID],$B72,tbl_ledger[元状態],D$1))</f>
        <v/>
      </c>
      <c r="E72" s="4" t="str">
        <f>IF($B72="","",SUMIFS(tbl_ledger[数量],tbl_ledger[ロットID],$B72,tbl_ledger[イベント種類],"アニール完了")+SUMIFS(tbl_ledger[数量],tbl_ledger[充当先ロットID],$B72,tbl_ledger[イベント種類],"充当",tbl_ledger[元状態],E$1)-SUMIFS(tbl_ledger[数量],tbl_ledger[ロットID],$B72,tbl_ledger[元状態],E$1))</f>
        <v/>
      </c>
      <c r="F72" s="4" t="str">
        <f>IF($B72="","",SUMIFS(tbl_ledger[数量],tbl_ledger[ロットID],$B72,tbl_ledger[イベント種類],"アセンブリ完了")+SUMIFS(tbl_ledger[数量],tbl_ledger[充当先ロットID],$B72,tbl_ledger[イベント種類],"充当",tbl_ledger[元状態],F$1)-SUMIFS(tbl_ledger[数量],tbl_ledger[ロットID],$B72,tbl_ledger[元状態],F$1))</f>
        <v/>
      </c>
      <c r="G72" s="4" t="str">
        <f>IF($B72="","",SUMIFS(tbl_ledger[数量],tbl_ledger[ロットID],$B72,tbl_ledger[イベント種類],"梱包完了")+SUMIFS(tbl_ledger[数量],tbl_ledger[充当先ロットID],$B72,tbl_ledger[イベント種類],"充当",tbl_ledger[元状態],G$1)-SUMIFS(tbl_ledger[数量],tbl_ledger[ロットID],$B72,tbl_ledger[元状態],G$1))</f>
        <v/>
      </c>
      <c r="H72" s="4" t="str">
        <f>IF($B72="","",SUMIFS(tbl_ledger[数量],tbl_ledger[ロットID],$B72,tbl_ledger[イベント種類],"発送準備完了")+SUMIFS(tbl_ledger[数量],tbl_ledger[充当先ロットID],$B72,tbl_ledger[イベント種類],"充当",tbl_ledger[元状態],H$1)-SUMIFS(tbl_ledger[数量],tbl_ledger[ロットID],$B72,tbl_ledger[元状態],H$1))</f>
        <v/>
      </c>
      <c r="I72" s="4" t="str">
        <f>IF($B72="","",SUMIFS(tbl_ledger[数量],tbl_ledger[ロットID],$B72,tbl_ledger[イベント種類],"不良発生")+SUMIFS(tbl_ledger[数量],tbl_ledger[充当先ロットID],$B72,tbl_ledger[イベント種類],"充当",tbl_ledger[元状態],I$1)-SUMIFS(tbl_ledger[数量],tbl_ledger[ロットID],$B72,tbl_ledger[元状態],I$1))</f>
        <v/>
      </c>
      <c r="J72" s="4" t="str">
        <f t="shared" si="3"/>
        <v/>
      </c>
    </row>
    <row r="73" spans="1:10" ht="15" x14ac:dyDescent="0.25">
      <c r="A73" s="4" t="str">
        <f t="shared" si="2"/>
        <v/>
      </c>
      <c r="B73" s="4" t="str">
        <f>IFERROR(IF(COUNTIF($B$1:$B72,INDEX(tbl_plan[ロットID],ROW()-1))&gt;0,"",INDEX(tbl_plan[ロットID],ROW()-1)),"")</f>
        <v/>
      </c>
      <c r="C73" s="4" t="str">
        <f>IF($B73="","",INDEX(tbl_plan[品番],ROW()-1))</f>
        <v/>
      </c>
      <c r="D73" s="4" t="str">
        <f>IF($B73="","",SUMIFS(tbl_ledger[数量],tbl_ledger[ロットID],$B73,tbl_ledger[イベント種類],"搬入")+SUMIFS(tbl_ledger[数量],tbl_ledger[充当先ロットID],$B73,tbl_ledger[イベント種類],"充当",tbl_ledger[元状態],D$1)-SUMIFS(tbl_ledger[数量],tbl_ledger[ロットID],$B73,tbl_ledger[元状態],D$1))</f>
        <v/>
      </c>
      <c r="E73" s="4" t="str">
        <f>IF($B73="","",SUMIFS(tbl_ledger[数量],tbl_ledger[ロットID],$B73,tbl_ledger[イベント種類],"アニール完了")+SUMIFS(tbl_ledger[数量],tbl_ledger[充当先ロットID],$B73,tbl_ledger[イベント種類],"充当",tbl_ledger[元状態],E$1)-SUMIFS(tbl_ledger[数量],tbl_ledger[ロットID],$B73,tbl_ledger[元状態],E$1))</f>
        <v/>
      </c>
      <c r="F73" s="4" t="str">
        <f>IF($B73="","",SUMIFS(tbl_ledger[数量],tbl_ledger[ロットID],$B73,tbl_ledger[イベント種類],"アセンブリ完了")+SUMIFS(tbl_ledger[数量],tbl_ledger[充当先ロットID],$B73,tbl_ledger[イベント種類],"充当",tbl_ledger[元状態],F$1)-SUMIFS(tbl_ledger[数量],tbl_ledger[ロットID],$B73,tbl_ledger[元状態],F$1))</f>
        <v/>
      </c>
      <c r="G73" s="4" t="str">
        <f>IF($B73="","",SUMIFS(tbl_ledger[数量],tbl_ledger[ロットID],$B73,tbl_ledger[イベント種類],"梱包完了")+SUMIFS(tbl_ledger[数量],tbl_ledger[充当先ロットID],$B73,tbl_ledger[イベント種類],"充当",tbl_ledger[元状態],G$1)-SUMIFS(tbl_ledger[数量],tbl_ledger[ロットID],$B73,tbl_ledger[元状態],G$1))</f>
        <v/>
      </c>
      <c r="H73" s="4" t="str">
        <f>IF($B73="","",SUMIFS(tbl_ledger[数量],tbl_ledger[ロットID],$B73,tbl_ledger[イベント種類],"発送準備完了")+SUMIFS(tbl_ledger[数量],tbl_ledger[充当先ロットID],$B73,tbl_ledger[イベント種類],"充当",tbl_ledger[元状態],H$1)-SUMIFS(tbl_ledger[数量],tbl_ledger[ロットID],$B73,tbl_ledger[元状態],H$1))</f>
        <v/>
      </c>
      <c r="I73" s="4" t="str">
        <f>IF($B73="","",SUMIFS(tbl_ledger[数量],tbl_ledger[ロットID],$B73,tbl_ledger[イベント種類],"不良発生")+SUMIFS(tbl_ledger[数量],tbl_ledger[充当先ロットID],$B73,tbl_ledger[イベント種類],"充当",tbl_ledger[元状態],I$1)-SUMIFS(tbl_ledger[数量],tbl_ledger[ロットID],$B73,tbl_ledger[元状態],I$1))</f>
        <v/>
      </c>
      <c r="J73" s="4" t="str">
        <f t="shared" si="3"/>
        <v/>
      </c>
    </row>
    <row r="74" spans="1:10" ht="15" x14ac:dyDescent="0.25">
      <c r="A74" s="4" t="str">
        <f t="shared" si="2"/>
        <v/>
      </c>
      <c r="B74" s="4" t="str">
        <f>IFERROR(IF(COUNTIF($B$1:$B73,INDEX(tbl_plan[ロットID],ROW()-1))&gt;0,"",INDEX(tbl_plan[ロットID],ROW()-1)),"")</f>
        <v/>
      </c>
      <c r="C74" s="4" t="str">
        <f>IF($B74="","",INDEX(tbl_plan[品番],ROW()-1))</f>
        <v/>
      </c>
      <c r="D74" s="4" t="str">
        <f>IF($B74="","",SUMIFS(tbl_ledger[数量],tbl_ledger[ロットID],$B74,tbl_ledger[イベント種類],"搬入")+SUMIFS(tbl_ledger[数量],tbl_ledger[充当先ロットID],$B74,tbl_ledger[イベント種類],"充当",tbl_ledger[元状態],D$1)-SUMIFS(tbl_ledger[数量],tbl_ledger[ロットID],$B74,tbl_ledger[元状態],D$1))</f>
        <v/>
      </c>
      <c r="E74" s="4" t="str">
        <f>IF($B74="","",SUMIFS(tbl_ledger[数量],tbl_ledger[ロットID],$B74,tbl_ledger[イベント種類],"アニール完了")+SUMIFS(tbl_ledger[数量],tbl_ledger[充当先ロットID],$B74,tbl_ledger[イベント種類],"充当",tbl_ledger[元状態],E$1)-SUMIFS(tbl_ledger[数量],tbl_ledger[ロットID],$B74,tbl_ledger[元状態],E$1))</f>
        <v/>
      </c>
      <c r="F74" s="4" t="str">
        <f>IF($B74="","",SUMIFS(tbl_ledger[数量],tbl_ledger[ロットID],$B74,tbl_ledger[イベント種類],"アセンブリ完了")+SUMIFS(tbl_ledger[数量],tbl_ledger[充当先ロットID],$B74,tbl_ledger[イベント種類],"充当",tbl_ledger[元状態],F$1)-SUMIFS(tbl_ledger[数量],tbl_ledger[ロットID],$B74,tbl_ledger[元状態],F$1))</f>
        <v/>
      </c>
      <c r="G74" s="4" t="str">
        <f>IF($B74="","",SUMIFS(tbl_ledger[数量],tbl_ledger[ロットID],$B74,tbl_ledger[イベント種類],"梱包完了")+SUMIFS(tbl_ledger[数量],tbl_ledger[充当先ロットID],$B74,tbl_ledger[イベント種類],"充当",tbl_ledger[元状態],G$1)-SUMIFS(tbl_ledger[数量],tbl_ledger[ロットID],$B74,tbl_ledger[元状態],G$1))</f>
        <v/>
      </c>
      <c r="H74" s="4" t="str">
        <f>IF($B74="","",SUMIFS(tbl_ledger[数量],tbl_ledger[ロットID],$B74,tbl_ledger[イベント種類],"発送準備完了")+SUMIFS(tbl_ledger[数量],tbl_ledger[充当先ロットID],$B74,tbl_ledger[イベント種類],"充当",tbl_ledger[元状態],H$1)-SUMIFS(tbl_ledger[数量],tbl_ledger[ロットID],$B74,tbl_ledger[元状態],H$1))</f>
        <v/>
      </c>
      <c r="I74" s="4" t="str">
        <f>IF($B74="","",SUMIFS(tbl_ledger[数量],tbl_ledger[ロットID],$B74,tbl_ledger[イベント種類],"不良発生")+SUMIFS(tbl_ledger[数量],tbl_ledger[充当先ロットID],$B74,tbl_ledger[イベント種類],"充当",tbl_ledger[元状態],I$1)-SUMIFS(tbl_ledger[数量],tbl_ledger[ロットID],$B74,tbl_ledger[元状態],I$1))</f>
        <v/>
      </c>
      <c r="J74" s="4" t="str">
        <f t="shared" si="3"/>
        <v/>
      </c>
    </row>
    <row r="75" spans="1:10" ht="15" x14ac:dyDescent="0.25">
      <c r="A75" s="4" t="str">
        <f t="shared" si="2"/>
        <v/>
      </c>
      <c r="B75" s="4" t="str">
        <f>IFERROR(IF(COUNTIF($B$1:$B74,INDEX(tbl_plan[ロットID],ROW()-1))&gt;0,"",INDEX(tbl_plan[ロットID],ROW()-1)),"")</f>
        <v/>
      </c>
      <c r="C75" s="4" t="str">
        <f>IF($B75="","",INDEX(tbl_plan[品番],ROW()-1))</f>
        <v/>
      </c>
      <c r="D75" s="4" t="str">
        <f>IF($B75="","",SUMIFS(tbl_ledger[数量],tbl_ledger[ロットID],$B75,tbl_ledger[イベント種類],"搬入")+SUMIFS(tbl_ledger[数量],tbl_ledger[充当先ロットID],$B75,tbl_ledger[イベント種類],"充当",tbl_ledger[元状態],D$1)-SUMIFS(tbl_ledger[数量],tbl_ledger[ロットID],$B75,tbl_ledger[元状態],D$1))</f>
        <v/>
      </c>
      <c r="E75" s="4" t="str">
        <f>IF($B75="","",SUMIFS(tbl_ledger[数量],tbl_ledger[ロットID],$B75,tbl_ledger[イベント種類],"アニール完了")+SUMIFS(tbl_ledger[数量],tbl_ledger[充当先ロットID],$B75,tbl_ledger[イベント種類],"充当",tbl_ledger[元状態],E$1)-SUMIFS(tbl_ledger[数量],tbl_ledger[ロットID],$B75,tbl_ledger[元状態],E$1))</f>
        <v/>
      </c>
      <c r="F75" s="4" t="str">
        <f>IF($B75="","",SUMIFS(tbl_ledger[数量],tbl_ledger[ロットID],$B75,tbl_ledger[イベント種類],"アセンブリ完了")+SUMIFS(tbl_ledger[数量],tbl_ledger[充当先ロットID],$B75,tbl_ledger[イベント種類],"充当",tbl_ledger[元状態],F$1)-SUMIFS(tbl_ledger[数量],tbl_ledger[ロットID],$B75,tbl_ledger[元状態],F$1))</f>
        <v/>
      </c>
      <c r="G75" s="4" t="str">
        <f>IF($B75="","",SUMIFS(tbl_ledger[数量],tbl_ledger[ロットID],$B75,tbl_ledger[イベント種類],"梱包完了")+SUMIFS(tbl_ledger[数量],tbl_ledger[充当先ロットID],$B75,tbl_ledger[イベント種類],"充当",tbl_ledger[元状態],G$1)-SUMIFS(tbl_ledger[数量],tbl_ledger[ロットID],$B75,tbl_ledger[元状態],G$1))</f>
        <v/>
      </c>
      <c r="H75" s="4" t="str">
        <f>IF($B75="","",SUMIFS(tbl_ledger[数量],tbl_ledger[ロットID],$B75,tbl_ledger[イベント種類],"発送準備完了")+SUMIFS(tbl_ledger[数量],tbl_ledger[充当先ロットID],$B75,tbl_ledger[イベント種類],"充当",tbl_ledger[元状態],H$1)-SUMIFS(tbl_ledger[数量],tbl_ledger[ロットID],$B75,tbl_ledger[元状態],H$1))</f>
        <v/>
      </c>
      <c r="I75" s="4" t="str">
        <f>IF($B75="","",SUMIFS(tbl_ledger[数量],tbl_ledger[ロットID],$B75,tbl_ledger[イベント種類],"不良発生")+SUMIFS(tbl_ledger[数量],tbl_ledger[充当先ロットID],$B75,tbl_ledger[イベント種類],"充当",tbl_ledger[元状態],I$1)-SUMIFS(tbl_ledger[数量],tbl_ledger[ロットID],$B75,tbl_ledger[元状態],I$1))</f>
        <v/>
      </c>
      <c r="J75" s="4" t="str">
        <f t="shared" si="3"/>
        <v/>
      </c>
    </row>
    <row r="76" spans="1:10" ht="15" x14ac:dyDescent="0.25">
      <c r="A76" s="4" t="str">
        <f t="shared" si="2"/>
        <v/>
      </c>
      <c r="B76" s="4" t="str">
        <f>IFERROR(IF(COUNTIF($B$1:$B75,INDEX(tbl_plan[ロットID],ROW()-1))&gt;0,"",INDEX(tbl_plan[ロットID],ROW()-1)),"")</f>
        <v/>
      </c>
      <c r="C76" s="4" t="str">
        <f>IF($B76="","",INDEX(tbl_plan[品番],ROW()-1))</f>
        <v/>
      </c>
      <c r="D76" s="4" t="str">
        <f>IF($B76="","",SUMIFS(tbl_ledger[数量],tbl_ledger[ロットID],$B76,tbl_ledger[イベント種類],"搬入")+SUMIFS(tbl_ledger[数量],tbl_ledger[充当先ロットID],$B76,tbl_ledger[イベント種類],"充当",tbl_ledger[元状態],D$1)-SUMIFS(tbl_ledger[数量],tbl_ledger[ロットID],$B76,tbl_ledger[元状態],D$1))</f>
        <v/>
      </c>
      <c r="E76" s="4" t="str">
        <f>IF($B76="","",SUMIFS(tbl_ledger[数量],tbl_ledger[ロットID],$B76,tbl_ledger[イベント種類],"アニール完了")+SUMIFS(tbl_ledger[数量],tbl_ledger[充当先ロットID],$B76,tbl_ledger[イベント種類],"充当",tbl_ledger[元状態],E$1)-SUMIFS(tbl_ledger[数量],tbl_ledger[ロットID],$B76,tbl_ledger[元状態],E$1))</f>
        <v/>
      </c>
      <c r="F76" s="4" t="str">
        <f>IF($B76="","",SUMIFS(tbl_ledger[数量],tbl_ledger[ロットID],$B76,tbl_ledger[イベント種類],"アセンブリ完了")+SUMIFS(tbl_ledger[数量],tbl_ledger[充当先ロットID],$B76,tbl_ledger[イベント種類],"充当",tbl_ledger[元状態],F$1)-SUMIFS(tbl_ledger[数量],tbl_ledger[ロットID],$B76,tbl_ledger[元状態],F$1))</f>
        <v/>
      </c>
      <c r="G76" s="4" t="str">
        <f>IF($B76="","",SUMIFS(tbl_ledger[数量],tbl_ledger[ロットID],$B76,tbl_ledger[イベント種類],"梱包完了")+SUMIFS(tbl_ledger[数量],tbl_ledger[充当先ロットID],$B76,tbl_ledger[イベント種類],"充当",tbl_ledger[元状態],G$1)-SUMIFS(tbl_ledger[数量],tbl_ledger[ロットID],$B76,tbl_ledger[元状態],G$1))</f>
        <v/>
      </c>
      <c r="H76" s="4" t="str">
        <f>IF($B76="","",SUMIFS(tbl_ledger[数量],tbl_ledger[ロットID],$B76,tbl_ledger[イベント種類],"発送準備完了")+SUMIFS(tbl_ledger[数量],tbl_ledger[充当先ロットID],$B76,tbl_ledger[イベント種類],"充当",tbl_ledger[元状態],H$1)-SUMIFS(tbl_ledger[数量],tbl_ledger[ロットID],$B76,tbl_ledger[元状態],H$1))</f>
        <v/>
      </c>
      <c r="I76" s="4" t="str">
        <f>IF($B76="","",SUMIFS(tbl_ledger[数量],tbl_ledger[ロットID],$B76,tbl_ledger[イベント種類],"不良発生")+SUMIFS(tbl_ledger[数量],tbl_ledger[充当先ロットID],$B76,tbl_ledger[イベント種類],"充当",tbl_ledger[元状態],I$1)-SUMIFS(tbl_ledger[数量],tbl_ledger[ロットID],$B76,tbl_ledger[元状態],I$1))</f>
        <v/>
      </c>
      <c r="J76" s="4" t="str">
        <f t="shared" si="3"/>
        <v/>
      </c>
    </row>
    <row r="77" spans="1:10" ht="15" x14ac:dyDescent="0.25">
      <c r="A77" s="4" t="str">
        <f t="shared" si="2"/>
        <v/>
      </c>
      <c r="B77" s="4" t="str">
        <f>IFERROR(IF(COUNTIF($B$1:$B76,INDEX(tbl_plan[ロットID],ROW()-1))&gt;0,"",INDEX(tbl_plan[ロットID],ROW()-1)),"")</f>
        <v/>
      </c>
      <c r="C77" s="4" t="str">
        <f>IF($B77="","",INDEX(tbl_plan[品番],ROW()-1))</f>
        <v/>
      </c>
      <c r="D77" s="4" t="str">
        <f>IF($B77="","",SUMIFS(tbl_ledger[数量],tbl_ledger[ロットID],$B77,tbl_ledger[イベント種類],"搬入")+SUMIFS(tbl_ledger[数量],tbl_ledger[充当先ロットID],$B77,tbl_ledger[イベント種類],"充当",tbl_ledger[元状態],D$1)-SUMIFS(tbl_ledger[数量],tbl_ledger[ロットID],$B77,tbl_ledger[元状態],D$1))</f>
        <v/>
      </c>
      <c r="E77" s="4" t="str">
        <f>IF($B77="","",SUMIFS(tbl_ledger[数量],tbl_ledger[ロットID],$B77,tbl_ledger[イベント種類],"アニール完了")+SUMIFS(tbl_ledger[数量],tbl_ledger[充当先ロットID],$B77,tbl_ledger[イベント種類],"充当",tbl_ledger[元状態],E$1)-SUMIFS(tbl_ledger[数量],tbl_ledger[ロットID],$B77,tbl_ledger[元状態],E$1))</f>
        <v/>
      </c>
      <c r="F77" s="4" t="str">
        <f>IF($B77="","",SUMIFS(tbl_ledger[数量],tbl_ledger[ロットID],$B77,tbl_ledger[イベント種類],"アセンブリ完了")+SUMIFS(tbl_ledger[数量],tbl_ledger[充当先ロットID],$B77,tbl_ledger[イベント種類],"充当",tbl_ledger[元状態],F$1)-SUMIFS(tbl_ledger[数量],tbl_ledger[ロットID],$B77,tbl_ledger[元状態],F$1))</f>
        <v/>
      </c>
      <c r="G77" s="4" t="str">
        <f>IF($B77="","",SUMIFS(tbl_ledger[数量],tbl_ledger[ロットID],$B77,tbl_ledger[イベント種類],"梱包完了")+SUMIFS(tbl_ledger[数量],tbl_ledger[充当先ロットID],$B77,tbl_ledger[イベント種類],"充当",tbl_ledger[元状態],G$1)-SUMIFS(tbl_ledger[数量],tbl_ledger[ロットID],$B77,tbl_ledger[元状態],G$1))</f>
        <v/>
      </c>
      <c r="H77" s="4" t="str">
        <f>IF($B77="","",SUMIFS(tbl_ledger[数量],tbl_ledger[ロットID],$B77,tbl_ledger[イベント種類],"発送準備完了")+SUMIFS(tbl_ledger[数量],tbl_ledger[充当先ロットID],$B77,tbl_ledger[イベント種類],"充当",tbl_ledger[元状態],H$1)-SUMIFS(tbl_ledger[数量],tbl_ledger[ロットID],$B77,tbl_ledger[元状態],H$1))</f>
        <v/>
      </c>
      <c r="I77" s="4" t="str">
        <f>IF($B77="","",SUMIFS(tbl_ledger[数量],tbl_ledger[ロットID],$B77,tbl_ledger[イベント種類],"不良発生")+SUMIFS(tbl_ledger[数量],tbl_ledger[充当先ロットID],$B77,tbl_ledger[イベント種類],"充当",tbl_ledger[元状態],I$1)-SUMIFS(tbl_ledger[数量],tbl_ledger[ロットID],$B77,tbl_ledger[元状態],I$1))</f>
        <v/>
      </c>
      <c r="J77" s="4" t="str">
        <f t="shared" si="3"/>
        <v/>
      </c>
    </row>
    <row r="78" spans="1:10" ht="15" x14ac:dyDescent="0.25">
      <c r="A78" s="4" t="str">
        <f t="shared" si="2"/>
        <v/>
      </c>
      <c r="B78" s="4" t="str">
        <f>IFERROR(IF(COUNTIF($B$1:$B77,INDEX(tbl_plan[ロットID],ROW()-1))&gt;0,"",INDEX(tbl_plan[ロットID],ROW()-1)),"")</f>
        <v/>
      </c>
      <c r="C78" s="4" t="str">
        <f>IF($B78="","",INDEX(tbl_plan[品番],ROW()-1))</f>
        <v/>
      </c>
      <c r="D78" s="4" t="str">
        <f>IF($B78="","",SUMIFS(tbl_ledger[数量],tbl_ledger[ロットID],$B78,tbl_ledger[イベント種類],"搬入")+SUMIFS(tbl_ledger[数量],tbl_ledger[充当先ロットID],$B78,tbl_ledger[イベント種類],"充当",tbl_ledger[元状態],D$1)-SUMIFS(tbl_ledger[数量],tbl_ledger[ロットID],$B78,tbl_ledger[元状態],D$1))</f>
        <v/>
      </c>
      <c r="E78" s="4" t="str">
        <f>IF($B78="","",SUMIFS(tbl_ledger[数量],tbl_ledger[ロットID],$B78,tbl_ledger[イベント種類],"アニール完了")+SUMIFS(tbl_ledger[数量],tbl_ledger[充当先ロットID],$B78,tbl_ledger[イベント種類],"充当",tbl_ledger[元状態],E$1)-SUMIFS(tbl_ledger[数量],tbl_ledger[ロットID],$B78,tbl_ledger[元状態],E$1))</f>
        <v/>
      </c>
      <c r="F78" s="4" t="str">
        <f>IF($B78="","",SUMIFS(tbl_ledger[数量],tbl_ledger[ロットID],$B78,tbl_ledger[イベント種類],"アセンブリ完了")+SUMIFS(tbl_ledger[数量],tbl_ledger[充当先ロットID],$B78,tbl_ledger[イベント種類],"充当",tbl_ledger[元状態],F$1)-SUMIFS(tbl_ledger[数量],tbl_ledger[ロットID],$B78,tbl_ledger[元状態],F$1))</f>
        <v/>
      </c>
      <c r="G78" s="4" t="str">
        <f>IF($B78="","",SUMIFS(tbl_ledger[数量],tbl_ledger[ロットID],$B78,tbl_ledger[イベント種類],"梱包完了")+SUMIFS(tbl_ledger[数量],tbl_ledger[充当先ロットID],$B78,tbl_ledger[イベント種類],"充当",tbl_ledger[元状態],G$1)-SUMIFS(tbl_ledger[数量],tbl_ledger[ロットID],$B78,tbl_ledger[元状態],G$1))</f>
        <v/>
      </c>
      <c r="H78" s="4" t="str">
        <f>IF($B78="","",SUMIFS(tbl_ledger[数量],tbl_ledger[ロットID],$B78,tbl_ledger[イベント種類],"発送準備完了")+SUMIFS(tbl_ledger[数量],tbl_ledger[充当先ロットID],$B78,tbl_ledger[イベント種類],"充当",tbl_ledger[元状態],H$1)-SUMIFS(tbl_ledger[数量],tbl_ledger[ロットID],$B78,tbl_ledger[元状態],H$1))</f>
        <v/>
      </c>
      <c r="I78" s="4" t="str">
        <f>IF($B78="","",SUMIFS(tbl_ledger[数量],tbl_ledger[ロットID],$B78,tbl_ledger[イベント種類],"不良発生")+SUMIFS(tbl_ledger[数量],tbl_ledger[充当先ロットID],$B78,tbl_ledger[イベント種類],"充当",tbl_ledger[元状態],I$1)-SUMIFS(tbl_ledger[数量],tbl_ledger[ロットID],$B78,tbl_ledger[元状態],I$1))</f>
        <v/>
      </c>
      <c r="J78" s="4" t="str">
        <f t="shared" si="3"/>
        <v/>
      </c>
    </row>
    <row r="79" spans="1:10" ht="15" x14ac:dyDescent="0.25">
      <c r="A79" s="4" t="str">
        <f t="shared" si="2"/>
        <v/>
      </c>
      <c r="B79" s="4" t="str">
        <f>IFERROR(IF(COUNTIF($B$1:$B78,INDEX(tbl_plan[ロットID],ROW()-1))&gt;0,"",INDEX(tbl_plan[ロットID],ROW()-1)),"")</f>
        <v/>
      </c>
      <c r="C79" s="4" t="str">
        <f>IF($B79="","",INDEX(tbl_plan[品番],ROW()-1))</f>
        <v/>
      </c>
      <c r="D79" s="4" t="str">
        <f>IF($B79="","",SUMIFS(tbl_ledger[数量],tbl_ledger[ロットID],$B79,tbl_ledger[イベント種類],"搬入")+SUMIFS(tbl_ledger[数量],tbl_ledger[充当先ロットID],$B79,tbl_ledger[イベント種類],"充当",tbl_ledger[元状態],D$1)-SUMIFS(tbl_ledger[数量],tbl_ledger[ロットID],$B79,tbl_ledger[元状態],D$1))</f>
        <v/>
      </c>
      <c r="E79" s="4" t="str">
        <f>IF($B79="","",SUMIFS(tbl_ledger[数量],tbl_ledger[ロットID],$B79,tbl_ledger[イベント種類],"アニール完了")+SUMIFS(tbl_ledger[数量],tbl_ledger[充当先ロットID],$B79,tbl_ledger[イベント種類],"充当",tbl_ledger[元状態],E$1)-SUMIFS(tbl_ledger[数量],tbl_ledger[ロットID],$B79,tbl_ledger[元状態],E$1))</f>
        <v/>
      </c>
      <c r="F79" s="4" t="str">
        <f>IF($B79="","",SUMIFS(tbl_ledger[数量],tbl_ledger[ロットID],$B79,tbl_ledger[イベント種類],"アセンブリ完了")+SUMIFS(tbl_ledger[数量],tbl_ledger[充当先ロットID],$B79,tbl_ledger[イベント種類],"充当",tbl_ledger[元状態],F$1)-SUMIFS(tbl_ledger[数量],tbl_ledger[ロットID],$B79,tbl_ledger[元状態],F$1))</f>
        <v/>
      </c>
      <c r="G79" s="4" t="str">
        <f>IF($B79="","",SUMIFS(tbl_ledger[数量],tbl_ledger[ロットID],$B79,tbl_ledger[イベント種類],"梱包完了")+SUMIFS(tbl_ledger[数量],tbl_ledger[充当先ロットID],$B79,tbl_ledger[イベント種類],"充当",tbl_ledger[元状態],G$1)-SUMIFS(tbl_ledger[数量],tbl_ledger[ロットID],$B79,tbl_ledger[元状態],G$1))</f>
        <v/>
      </c>
      <c r="H79" s="4" t="str">
        <f>IF($B79="","",SUMIFS(tbl_ledger[数量],tbl_ledger[ロットID],$B79,tbl_ledger[イベント種類],"発送準備完了")+SUMIFS(tbl_ledger[数量],tbl_ledger[充当先ロットID],$B79,tbl_ledger[イベント種類],"充当",tbl_ledger[元状態],H$1)-SUMIFS(tbl_ledger[数量],tbl_ledger[ロットID],$B79,tbl_ledger[元状態],H$1))</f>
        <v/>
      </c>
      <c r="I79" s="4" t="str">
        <f>IF($B79="","",SUMIFS(tbl_ledger[数量],tbl_ledger[ロットID],$B79,tbl_ledger[イベント種類],"不良発生")+SUMIFS(tbl_ledger[数量],tbl_ledger[充当先ロットID],$B79,tbl_ledger[イベント種類],"充当",tbl_ledger[元状態],I$1)-SUMIFS(tbl_ledger[数量],tbl_ledger[ロットID],$B79,tbl_ledger[元状態],I$1))</f>
        <v/>
      </c>
      <c r="J79" s="4" t="str">
        <f t="shared" si="3"/>
        <v/>
      </c>
    </row>
    <row r="80" spans="1:10" ht="15" x14ac:dyDescent="0.25">
      <c r="A80" s="4" t="str">
        <f t="shared" si="2"/>
        <v/>
      </c>
      <c r="B80" s="4" t="str">
        <f>IFERROR(IF(COUNTIF($B$1:$B79,INDEX(tbl_plan[ロットID],ROW()-1))&gt;0,"",INDEX(tbl_plan[ロットID],ROW()-1)),"")</f>
        <v/>
      </c>
      <c r="C80" s="4" t="str">
        <f>IF($B80="","",INDEX(tbl_plan[品番],ROW()-1))</f>
        <v/>
      </c>
      <c r="D80" s="4" t="str">
        <f>IF($B80="","",SUMIFS(tbl_ledger[数量],tbl_ledger[ロットID],$B80,tbl_ledger[イベント種類],"搬入")+SUMIFS(tbl_ledger[数量],tbl_ledger[充当先ロットID],$B80,tbl_ledger[イベント種類],"充当",tbl_ledger[元状態],D$1)-SUMIFS(tbl_ledger[数量],tbl_ledger[ロットID],$B80,tbl_ledger[元状態],D$1))</f>
        <v/>
      </c>
      <c r="E80" s="4" t="str">
        <f>IF($B80="","",SUMIFS(tbl_ledger[数量],tbl_ledger[ロットID],$B80,tbl_ledger[イベント種類],"アニール完了")+SUMIFS(tbl_ledger[数量],tbl_ledger[充当先ロットID],$B80,tbl_ledger[イベント種類],"充当",tbl_ledger[元状態],E$1)-SUMIFS(tbl_ledger[数量],tbl_ledger[ロットID],$B80,tbl_ledger[元状態],E$1))</f>
        <v/>
      </c>
      <c r="F80" s="4" t="str">
        <f>IF($B80="","",SUMIFS(tbl_ledger[数量],tbl_ledger[ロットID],$B80,tbl_ledger[イベント種類],"アセンブリ完了")+SUMIFS(tbl_ledger[数量],tbl_ledger[充当先ロットID],$B80,tbl_ledger[イベント種類],"充当",tbl_ledger[元状態],F$1)-SUMIFS(tbl_ledger[数量],tbl_ledger[ロットID],$B80,tbl_ledger[元状態],F$1))</f>
        <v/>
      </c>
      <c r="G80" s="4" t="str">
        <f>IF($B80="","",SUMIFS(tbl_ledger[数量],tbl_ledger[ロットID],$B80,tbl_ledger[イベント種類],"梱包完了")+SUMIFS(tbl_ledger[数量],tbl_ledger[充当先ロットID],$B80,tbl_ledger[イベント種類],"充当",tbl_ledger[元状態],G$1)-SUMIFS(tbl_ledger[数量],tbl_ledger[ロットID],$B80,tbl_ledger[元状態],G$1))</f>
        <v/>
      </c>
      <c r="H80" s="4" t="str">
        <f>IF($B80="","",SUMIFS(tbl_ledger[数量],tbl_ledger[ロットID],$B80,tbl_ledger[イベント種類],"発送準備完了")+SUMIFS(tbl_ledger[数量],tbl_ledger[充当先ロットID],$B80,tbl_ledger[イベント種類],"充当",tbl_ledger[元状態],H$1)-SUMIFS(tbl_ledger[数量],tbl_ledger[ロットID],$B80,tbl_ledger[元状態],H$1))</f>
        <v/>
      </c>
      <c r="I80" s="4" t="str">
        <f>IF($B80="","",SUMIFS(tbl_ledger[数量],tbl_ledger[ロットID],$B80,tbl_ledger[イベント種類],"不良発生")+SUMIFS(tbl_ledger[数量],tbl_ledger[充当先ロットID],$B80,tbl_ledger[イベント種類],"充当",tbl_ledger[元状態],I$1)-SUMIFS(tbl_ledger[数量],tbl_ledger[ロットID],$B80,tbl_ledger[元状態],I$1))</f>
        <v/>
      </c>
      <c r="J80" s="4" t="str">
        <f t="shared" si="3"/>
        <v/>
      </c>
    </row>
    <row r="81" spans="1:10" ht="15" x14ac:dyDescent="0.25">
      <c r="A81" s="4" t="str">
        <f t="shared" si="2"/>
        <v/>
      </c>
      <c r="B81" s="4" t="str">
        <f>IFERROR(IF(COUNTIF($B$1:$B80,INDEX(tbl_plan[ロットID],ROW()-1))&gt;0,"",INDEX(tbl_plan[ロットID],ROW()-1)),"")</f>
        <v/>
      </c>
      <c r="C81" s="4" t="str">
        <f>IF($B81="","",INDEX(tbl_plan[品番],ROW()-1))</f>
        <v/>
      </c>
      <c r="D81" s="4" t="str">
        <f>IF($B81="","",SUMIFS(tbl_ledger[数量],tbl_ledger[ロットID],$B81,tbl_ledger[イベント種類],"搬入")+SUMIFS(tbl_ledger[数量],tbl_ledger[充当先ロットID],$B81,tbl_ledger[イベント種類],"充当",tbl_ledger[元状態],D$1)-SUMIFS(tbl_ledger[数量],tbl_ledger[ロットID],$B81,tbl_ledger[元状態],D$1))</f>
        <v/>
      </c>
      <c r="E81" s="4" t="str">
        <f>IF($B81="","",SUMIFS(tbl_ledger[数量],tbl_ledger[ロットID],$B81,tbl_ledger[イベント種類],"アニール完了")+SUMIFS(tbl_ledger[数量],tbl_ledger[充当先ロットID],$B81,tbl_ledger[イベント種類],"充当",tbl_ledger[元状態],E$1)-SUMIFS(tbl_ledger[数量],tbl_ledger[ロットID],$B81,tbl_ledger[元状態],E$1))</f>
        <v/>
      </c>
      <c r="F81" s="4" t="str">
        <f>IF($B81="","",SUMIFS(tbl_ledger[数量],tbl_ledger[ロットID],$B81,tbl_ledger[イベント種類],"アセンブリ完了")+SUMIFS(tbl_ledger[数量],tbl_ledger[充当先ロットID],$B81,tbl_ledger[イベント種類],"充当",tbl_ledger[元状態],F$1)-SUMIFS(tbl_ledger[数量],tbl_ledger[ロットID],$B81,tbl_ledger[元状態],F$1))</f>
        <v/>
      </c>
      <c r="G81" s="4" t="str">
        <f>IF($B81="","",SUMIFS(tbl_ledger[数量],tbl_ledger[ロットID],$B81,tbl_ledger[イベント種類],"梱包完了")+SUMIFS(tbl_ledger[数量],tbl_ledger[充当先ロットID],$B81,tbl_ledger[イベント種類],"充当",tbl_ledger[元状態],G$1)-SUMIFS(tbl_ledger[数量],tbl_ledger[ロットID],$B81,tbl_ledger[元状態],G$1))</f>
        <v/>
      </c>
      <c r="H81" s="4" t="str">
        <f>IF($B81="","",SUMIFS(tbl_ledger[数量],tbl_ledger[ロットID],$B81,tbl_ledger[イベント種類],"発送準備完了")+SUMIFS(tbl_ledger[数量],tbl_ledger[充当先ロットID],$B81,tbl_ledger[イベント種類],"充当",tbl_ledger[元状態],H$1)-SUMIFS(tbl_ledger[数量],tbl_ledger[ロットID],$B81,tbl_ledger[元状態],H$1))</f>
        <v/>
      </c>
      <c r="I81" s="4" t="str">
        <f>IF($B81="","",SUMIFS(tbl_ledger[数量],tbl_ledger[ロットID],$B81,tbl_ledger[イベント種類],"不良発生")+SUMIFS(tbl_ledger[数量],tbl_ledger[充当先ロットID],$B81,tbl_ledger[イベント種類],"充当",tbl_ledger[元状態],I$1)-SUMIFS(tbl_ledger[数量],tbl_ledger[ロットID],$B81,tbl_ledger[元状態],I$1))</f>
        <v/>
      </c>
      <c r="J81" s="4" t="str">
        <f t="shared" si="3"/>
        <v/>
      </c>
    </row>
    <row r="82" spans="1:10" ht="15" x14ac:dyDescent="0.25">
      <c r="A82" s="4" t="str">
        <f t="shared" si="2"/>
        <v/>
      </c>
      <c r="B82" s="4" t="str">
        <f>IFERROR(IF(COUNTIF($B$1:$B81,INDEX(tbl_plan[ロットID],ROW()-1))&gt;0,"",INDEX(tbl_plan[ロットID],ROW()-1)),"")</f>
        <v/>
      </c>
      <c r="C82" s="4" t="str">
        <f>IF($B82="","",INDEX(tbl_plan[品番],ROW()-1))</f>
        <v/>
      </c>
      <c r="D82" s="4" t="str">
        <f>IF($B82="","",SUMIFS(tbl_ledger[数量],tbl_ledger[ロットID],$B82,tbl_ledger[イベント種類],"搬入")+SUMIFS(tbl_ledger[数量],tbl_ledger[充当先ロットID],$B82,tbl_ledger[イベント種類],"充当",tbl_ledger[元状態],D$1)-SUMIFS(tbl_ledger[数量],tbl_ledger[ロットID],$B82,tbl_ledger[元状態],D$1))</f>
        <v/>
      </c>
      <c r="E82" s="4" t="str">
        <f>IF($B82="","",SUMIFS(tbl_ledger[数量],tbl_ledger[ロットID],$B82,tbl_ledger[イベント種類],"アニール完了")+SUMIFS(tbl_ledger[数量],tbl_ledger[充当先ロットID],$B82,tbl_ledger[イベント種類],"充当",tbl_ledger[元状態],E$1)-SUMIFS(tbl_ledger[数量],tbl_ledger[ロットID],$B82,tbl_ledger[元状態],E$1))</f>
        <v/>
      </c>
      <c r="F82" s="4" t="str">
        <f>IF($B82="","",SUMIFS(tbl_ledger[数量],tbl_ledger[ロットID],$B82,tbl_ledger[イベント種類],"アセンブリ完了")+SUMIFS(tbl_ledger[数量],tbl_ledger[充当先ロットID],$B82,tbl_ledger[イベント種類],"充当",tbl_ledger[元状態],F$1)-SUMIFS(tbl_ledger[数量],tbl_ledger[ロットID],$B82,tbl_ledger[元状態],F$1))</f>
        <v/>
      </c>
      <c r="G82" s="4" t="str">
        <f>IF($B82="","",SUMIFS(tbl_ledger[数量],tbl_ledger[ロットID],$B82,tbl_ledger[イベント種類],"梱包完了")+SUMIFS(tbl_ledger[数量],tbl_ledger[充当先ロットID],$B82,tbl_ledger[イベント種類],"充当",tbl_ledger[元状態],G$1)-SUMIFS(tbl_ledger[数量],tbl_ledger[ロットID],$B82,tbl_ledger[元状態],G$1))</f>
        <v/>
      </c>
      <c r="H82" s="4" t="str">
        <f>IF($B82="","",SUMIFS(tbl_ledger[数量],tbl_ledger[ロットID],$B82,tbl_ledger[イベント種類],"発送準備完了")+SUMIFS(tbl_ledger[数量],tbl_ledger[充当先ロットID],$B82,tbl_ledger[イベント種類],"充当",tbl_ledger[元状態],H$1)-SUMIFS(tbl_ledger[数量],tbl_ledger[ロットID],$B82,tbl_ledger[元状態],H$1))</f>
        <v/>
      </c>
      <c r="I82" s="4" t="str">
        <f>IF($B82="","",SUMIFS(tbl_ledger[数量],tbl_ledger[ロットID],$B82,tbl_ledger[イベント種類],"不良発生")+SUMIFS(tbl_ledger[数量],tbl_ledger[充当先ロットID],$B82,tbl_ledger[イベント種類],"充当",tbl_ledger[元状態],I$1)-SUMIFS(tbl_ledger[数量],tbl_ledger[ロットID],$B82,tbl_ledger[元状態],I$1))</f>
        <v/>
      </c>
      <c r="J82" s="4" t="str">
        <f t="shared" si="3"/>
        <v/>
      </c>
    </row>
    <row r="83" spans="1:10" ht="15" x14ac:dyDescent="0.25">
      <c r="A83" s="4" t="str">
        <f t="shared" si="2"/>
        <v/>
      </c>
      <c r="B83" s="4" t="str">
        <f>IFERROR(IF(COUNTIF($B$1:$B82,INDEX(tbl_plan[ロットID],ROW()-1))&gt;0,"",INDEX(tbl_plan[ロットID],ROW()-1)),"")</f>
        <v/>
      </c>
      <c r="C83" s="4" t="str">
        <f>IF($B83="","",INDEX(tbl_plan[品番],ROW()-1))</f>
        <v/>
      </c>
      <c r="D83" s="4" t="str">
        <f>IF($B83="","",SUMIFS(tbl_ledger[数量],tbl_ledger[ロットID],$B83,tbl_ledger[イベント種類],"搬入")+SUMIFS(tbl_ledger[数量],tbl_ledger[充当先ロットID],$B83,tbl_ledger[イベント種類],"充当",tbl_ledger[元状態],D$1)-SUMIFS(tbl_ledger[数量],tbl_ledger[ロットID],$B83,tbl_ledger[元状態],D$1))</f>
        <v/>
      </c>
      <c r="E83" s="4" t="str">
        <f>IF($B83="","",SUMIFS(tbl_ledger[数量],tbl_ledger[ロットID],$B83,tbl_ledger[イベント種類],"アニール完了")+SUMIFS(tbl_ledger[数量],tbl_ledger[充当先ロットID],$B83,tbl_ledger[イベント種類],"充当",tbl_ledger[元状態],E$1)-SUMIFS(tbl_ledger[数量],tbl_ledger[ロットID],$B83,tbl_ledger[元状態],E$1))</f>
        <v/>
      </c>
      <c r="F83" s="4" t="str">
        <f>IF($B83="","",SUMIFS(tbl_ledger[数量],tbl_ledger[ロットID],$B83,tbl_ledger[イベント種類],"アセンブリ完了")+SUMIFS(tbl_ledger[数量],tbl_ledger[充当先ロットID],$B83,tbl_ledger[イベント種類],"充当",tbl_ledger[元状態],F$1)-SUMIFS(tbl_ledger[数量],tbl_ledger[ロットID],$B83,tbl_ledger[元状態],F$1))</f>
        <v/>
      </c>
      <c r="G83" s="4" t="str">
        <f>IF($B83="","",SUMIFS(tbl_ledger[数量],tbl_ledger[ロットID],$B83,tbl_ledger[イベント種類],"梱包完了")+SUMIFS(tbl_ledger[数量],tbl_ledger[充当先ロットID],$B83,tbl_ledger[イベント種類],"充当",tbl_ledger[元状態],G$1)-SUMIFS(tbl_ledger[数量],tbl_ledger[ロットID],$B83,tbl_ledger[元状態],G$1))</f>
        <v/>
      </c>
      <c r="H83" s="4" t="str">
        <f>IF($B83="","",SUMIFS(tbl_ledger[数量],tbl_ledger[ロットID],$B83,tbl_ledger[イベント種類],"発送準備完了")+SUMIFS(tbl_ledger[数量],tbl_ledger[充当先ロットID],$B83,tbl_ledger[イベント種類],"充当",tbl_ledger[元状態],H$1)-SUMIFS(tbl_ledger[数量],tbl_ledger[ロットID],$B83,tbl_ledger[元状態],H$1))</f>
        <v/>
      </c>
      <c r="I83" s="4" t="str">
        <f>IF($B83="","",SUMIFS(tbl_ledger[数量],tbl_ledger[ロットID],$B83,tbl_ledger[イベント種類],"不良発生")+SUMIFS(tbl_ledger[数量],tbl_ledger[充当先ロットID],$B83,tbl_ledger[イベント種類],"充当",tbl_ledger[元状態],I$1)-SUMIFS(tbl_ledger[数量],tbl_ledger[ロットID],$B83,tbl_ledger[元状態],I$1))</f>
        <v/>
      </c>
      <c r="J83" s="4" t="str">
        <f t="shared" si="3"/>
        <v/>
      </c>
    </row>
    <row r="84" spans="1:10" ht="15" x14ac:dyDescent="0.25">
      <c r="A84" s="4" t="str">
        <f t="shared" si="2"/>
        <v/>
      </c>
      <c r="B84" s="4" t="str">
        <f>IFERROR(IF(COUNTIF($B$1:$B83,INDEX(tbl_plan[ロットID],ROW()-1))&gt;0,"",INDEX(tbl_plan[ロットID],ROW()-1)),"")</f>
        <v/>
      </c>
      <c r="C84" s="4" t="str">
        <f>IF($B84="","",INDEX(tbl_plan[品番],ROW()-1))</f>
        <v/>
      </c>
      <c r="D84" s="4" t="str">
        <f>IF($B84="","",SUMIFS(tbl_ledger[数量],tbl_ledger[ロットID],$B84,tbl_ledger[イベント種類],"搬入")+SUMIFS(tbl_ledger[数量],tbl_ledger[充当先ロットID],$B84,tbl_ledger[イベント種類],"充当",tbl_ledger[元状態],D$1)-SUMIFS(tbl_ledger[数量],tbl_ledger[ロットID],$B84,tbl_ledger[元状態],D$1))</f>
        <v/>
      </c>
      <c r="E84" s="4" t="str">
        <f>IF($B84="","",SUMIFS(tbl_ledger[数量],tbl_ledger[ロットID],$B84,tbl_ledger[イベント種類],"アニール完了")+SUMIFS(tbl_ledger[数量],tbl_ledger[充当先ロットID],$B84,tbl_ledger[イベント種類],"充当",tbl_ledger[元状態],E$1)-SUMIFS(tbl_ledger[数量],tbl_ledger[ロットID],$B84,tbl_ledger[元状態],E$1))</f>
        <v/>
      </c>
      <c r="F84" s="4" t="str">
        <f>IF($B84="","",SUMIFS(tbl_ledger[数量],tbl_ledger[ロットID],$B84,tbl_ledger[イベント種類],"アセンブリ完了")+SUMIFS(tbl_ledger[数量],tbl_ledger[充当先ロットID],$B84,tbl_ledger[イベント種類],"充当",tbl_ledger[元状態],F$1)-SUMIFS(tbl_ledger[数量],tbl_ledger[ロットID],$B84,tbl_ledger[元状態],F$1))</f>
        <v/>
      </c>
      <c r="G84" s="4" t="str">
        <f>IF($B84="","",SUMIFS(tbl_ledger[数量],tbl_ledger[ロットID],$B84,tbl_ledger[イベント種類],"梱包完了")+SUMIFS(tbl_ledger[数量],tbl_ledger[充当先ロットID],$B84,tbl_ledger[イベント種類],"充当",tbl_ledger[元状態],G$1)-SUMIFS(tbl_ledger[数量],tbl_ledger[ロットID],$B84,tbl_ledger[元状態],G$1))</f>
        <v/>
      </c>
      <c r="H84" s="4" t="str">
        <f>IF($B84="","",SUMIFS(tbl_ledger[数量],tbl_ledger[ロットID],$B84,tbl_ledger[イベント種類],"発送準備完了")+SUMIFS(tbl_ledger[数量],tbl_ledger[充当先ロットID],$B84,tbl_ledger[イベント種類],"充当",tbl_ledger[元状態],H$1)-SUMIFS(tbl_ledger[数量],tbl_ledger[ロットID],$B84,tbl_ledger[元状態],H$1))</f>
        <v/>
      </c>
      <c r="I84" s="4" t="str">
        <f>IF($B84="","",SUMIFS(tbl_ledger[数量],tbl_ledger[ロットID],$B84,tbl_ledger[イベント種類],"不良発生")+SUMIFS(tbl_ledger[数量],tbl_ledger[充当先ロットID],$B84,tbl_ledger[イベント種類],"充当",tbl_ledger[元状態],I$1)-SUMIFS(tbl_ledger[数量],tbl_ledger[ロットID],$B84,tbl_ledger[元状態],I$1))</f>
        <v/>
      </c>
      <c r="J84" s="4" t="str">
        <f t="shared" si="3"/>
        <v/>
      </c>
    </row>
    <row r="85" spans="1:10" ht="15" x14ac:dyDescent="0.25">
      <c r="A85" s="4" t="str">
        <f t="shared" si="2"/>
        <v/>
      </c>
      <c r="B85" s="4" t="str">
        <f>IFERROR(IF(COUNTIF($B$1:$B84,INDEX(tbl_plan[ロットID],ROW()-1))&gt;0,"",INDEX(tbl_plan[ロットID],ROW()-1)),"")</f>
        <v/>
      </c>
      <c r="C85" s="4" t="str">
        <f>IF($B85="","",INDEX(tbl_plan[品番],ROW()-1))</f>
        <v/>
      </c>
      <c r="D85" s="4" t="str">
        <f>IF($B85="","",SUMIFS(tbl_ledger[数量],tbl_ledger[ロットID],$B85,tbl_ledger[イベント種類],"搬入")+SUMIFS(tbl_ledger[数量],tbl_ledger[充当先ロットID],$B85,tbl_ledger[イベント種類],"充当",tbl_ledger[元状態],D$1)-SUMIFS(tbl_ledger[数量],tbl_ledger[ロットID],$B85,tbl_ledger[元状態],D$1))</f>
        <v/>
      </c>
      <c r="E85" s="4" t="str">
        <f>IF($B85="","",SUMIFS(tbl_ledger[数量],tbl_ledger[ロットID],$B85,tbl_ledger[イベント種類],"アニール完了")+SUMIFS(tbl_ledger[数量],tbl_ledger[充当先ロットID],$B85,tbl_ledger[イベント種類],"充当",tbl_ledger[元状態],E$1)-SUMIFS(tbl_ledger[数量],tbl_ledger[ロットID],$B85,tbl_ledger[元状態],E$1))</f>
        <v/>
      </c>
      <c r="F85" s="4" t="str">
        <f>IF($B85="","",SUMIFS(tbl_ledger[数量],tbl_ledger[ロットID],$B85,tbl_ledger[イベント種類],"アセンブリ完了")+SUMIFS(tbl_ledger[数量],tbl_ledger[充当先ロットID],$B85,tbl_ledger[イベント種類],"充当",tbl_ledger[元状態],F$1)-SUMIFS(tbl_ledger[数量],tbl_ledger[ロットID],$B85,tbl_ledger[元状態],F$1))</f>
        <v/>
      </c>
      <c r="G85" s="4" t="str">
        <f>IF($B85="","",SUMIFS(tbl_ledger[数量],tbl_ledger[ロットID],$B85,tbl_ledger[イベント種類],"梱包完了")+SUMIFS(tbl_ledger[数量],tbl_ledger[充当先ロットID],$B85,tbl_ledger[イベント種類],"充当",tbl_ledger[元状態],G$1)-SUMIFS(tbl_ledger[数量],tbl_ledger[ロットID],$B85,tbl_ledger[元状態],G$1))</f>
        <v/>
      </c>
      <c r="H85" s="4" t="str">
        <f>IF($B85="","",SUMIFS(tbl_ledger[数量],tbl_ledger[ロットID],$B85,tbl_ledger[イベント種類],"発送準備完了")+SUMIFS(tbl_ledger[数量],tbl_ledger[充当先ロットID],$B85,tbl_ledger[イベント種類],"充当",tbl_ledger[元状態],H$1)-SUMIFS(tbl_ledger[数量],tbl_ledger[ロットID],$B85,tbl_ledger[元状態],H$1))</f>
        <v/>
      </c>
      <c r="I85" s="4" t="str">
        <f>IF($B85="","",SUMIFS(tbl_ledger[数量],tbl_ledger[ロットID],$B85,tbl_ledger[イベント種類],"不良発生")+SUMIFS(tbl_ledger[数量],tbl_ledger[充当先ロットID],$B85,tbl_ledger[イベント種類],"充当",tbl_ledger[元状態],I$1)-SUMIFS(tbl_ledger[数量],tbl_ledger[ロットID],$B85,tbl_ledger[元状態],I$1))</f>
        <v/>
      </c>
      <c r="J85" s="4" t="str">
        <f t="shared" si="3"/>
        <v/>
      </c>
    </row>
    <row r="86" spans="1:10" ht="15" x14ac:dyDescent="0.25">
      <c r="A86" s="4" t="str">
        <f t="shared" si="2"/>
        <v/>
      </c>
      <c r="B86" s="4" t="str">
        <f>IFERROR(IF(COUNTIF($B$1:$B85,INDEX(tbl_plan[ロットID],ROW()-1))&gt;0,"",INDEX(tbl_plan[ロットID],ROW()-1)),"")</f>
        <v/>
      </c>
      <c r="C86" s="4" t="str">
        <f>IF($B86="","",INDEX(tbl_plan[品番],ROW()-1))</f>
        <v/>
      </c>
      <c r="D86" s="4" t="str">
        <f>IF($B86="","",SUMIFS(tbl_ledger[数量],tbl_ledger[ロットID],$B86,tbl_ledger[イベント種類],"搬入")+SUMIFS(tbl_ledger[数量],tbl_ledger[充当先ロットID],$B86,tbl_ledger[イベント種類],"充当",tbl_ledger[元状態],D$1)-SUMIFS(tbl_ledger[数量],tbl_ledger[ロットID],$B86,tbl_ledger[元状態],D$1))</f>
        <v/>
      </c>
      <c r="E86" s="4" t="str">
        <f>IF($B86="","",SUMIFS(tbl_ledger[数量],tbl_ledger[ロットID],$B86,tbl_ledger[イベント種類],"アニール完了")+SUMIFS(tbl_ledger[数量],tbl_ledger[充当先ロットID],$B86,tbl_ledger[イベント種類],"充当",tbl_ledger[元状態],E$1)-SUMIFS(tbl_ledger[数量],tbl_ledger[ロットID],$B86,tbl_ledger[元状態],E$1))</f>
        <v/>
      </c>
      <c r="F86" s="4" t="str">
        <f>IF($B86="","",SUMIFS(tbl_ledger[数量],tbl_ledger[ロットID],$B86,tbl_ledger[イベント種類],"アセンブリ完了")+SUMIFS(tbl_ledger[数量],tbl_ledger[充当先ロットID],$B86,tbl_ledger[イベント種類],"充当",tbl_ledger[元状態],F$1)-SUMIFS(tbl_ledger[数量],tbl_ledger[ロットID],$B86,tbl_ledger[元状態],F$1))</f>
        <v/>
      </c>
      <c r="G86" s="4" t="str">
        <f>IF($B86="","",SUMIFS(tbl_ledger[数量],tbl_ledger[ロットID],$B86,tbl_ledger[イベント種類],"梱包完了")+SUMIFS(tbl_ledger[数量],tbl_ledger[充当先ロットID],$B86,tbl_ledger[イベント種類],"充当",tbl_ledger[元状態],G$1)-SUMIFS(tbl_ledger[数量],tbl_ledger[ロットID],$B86,tbl_ledger[元状態],G$1))</f>
        <v/>
      </c>
      <c r="H86" s="4" t="str">
        <f>IF($B86="","",SUMIFS(tbl_ledger[数量],tbl_ledger[ロットID],$B86,tbl_ledger[イベント種類],"発送準備完了")+SUMIFS(tbl_ledger[数量],tbl_ledger[充当先ロットID],$B86,tbl_ledger[イベント種類],"充当",tbl_ledger[元状態],H$1)-SUMIFS(tbl_ledger[数量],tbl_ledger[ロットID],$B86,tbl_ledger[元状態],H$1))</f>
        <v/>
      </c>
      <c r="I86" s="4" t="str">
        <f>IF($B86="","",SUMIFS(tbl_ledger[数量],tbl_ledger[ロットID],$B86,tbl_ledger[イベント種類],"不良発生")+SUMIFS(tbl_ledger[数量],tbl_ledger[充当先ロットID],$B86,tbl_ledger[イベント種類],"充当",tbl_ledger[元状態],I$1)-SUMIFS(tbl_ledger[数量],tbl_ledger[ロットID],$B86,tbl_ledger[元状態],I$1))</f>
        <v/>
      </c>
      <c r="J86" s="4" t="str">
        <f t="shared" si="3"/>
        <v/>
      </c>
    </row>
    <row r="87" spans="1:10" ht="15" x14ac:dyDescent="0.25">
      <c r="A87" s="4" t="str">
        <f t="shared" si="2"/>
        <v/>
      </c>
      <c r="B87" s="4" t="str">
        <f>IFERROR(IF(COUNTIF($B$1:$B86,INDEX(tbl_plan[ロットID],ROW()-1))&gt;0,"",INDEX(tbl_plan[ロットID],ROW()-1)),"")</f>
        <v/>
      </c>
      <c r="C87" s="4" t="str">
        <f>IF($B87="","",INDEX(tbl_plan[品番],ROW()-1))</f>
        <v/>
      </c>
      <c r="D87" s="4" t="str">
        <f>IF($B87="","",SUMIFS(tbl_ledger[数量],tbl_ledger[ロットID],$B87,tbl_ledger[イベント種類],"搬入")+SUMIFS(tbl_ledger[数量],tbl_ledger[充当先ロットID],$B87,tbl_ledger[イベント種類],"充当",tbl_ledger[元状態],D$1)-SUMIFS(tbl_ledger[数量],tbl_ledger[ロットID],$B87,tbl_ledger[元状態],D$1))</f>
        <v/>
      </c>
      <c r="E87" s="4" t="str">
        <f>IF($B87="","",SUMIFS(tbl_ledger[数量],tbl_ledger[ロットID],$B87,tbl_ledger[イベント種類],"アニール完了")+SUMIFS(tbl_ledger[数量],tbl_ledger[充当先ロットID],$B87,tbl_ledger[イベント種類],"充当",tbl_ledger[元状態],E$1)-SUMIFS(tbl_ledger[数量],tbl_ledger[ロットID],$B87,tbl_ledger[元状態],E$1))</f>
        <v/>
      </c>
      <c r="F87" s="4" t="str">
        <f>IF($B87="","",SUMIFS(tbl_ledger[数量],tbl_ledger[ロットID],$B87,tbl_ledger[イベント種類],"アセンブリ完了")+SUMIFS(tbl_ledger[数量],tbl_ledger[充当先ロットID],$B87,tbl_ledger[イベント種類],"充当",tbl_ledger[元状態],F$1)-SUMIFS(tbl_ledger[数量],tbl_ledger[ロットID],$B87,tbl_ledger[元状態],F$1))</f>
        <v/>
      </c>
      <c r="G87" s="4" t="str">
        <f>IF($B87="","",SUMIFS(tbl_ledger[数量],tbl_ledger[ロットID],$B87,tbl_ledger[イベント種類],"梱包完了")+SUMIFS(tbl_ledger[数量],tbl_ledger[充当先ロットID],$B87,tbl_ledger[イベント種類],"充当",tbl_ledger[元状態],G$1)-SUMIFS(tbl_ledger[数量],tbl_ledger[ロットID],$B87,tbl_ledger[元状態],G$1))</f>
        <v/>
      </c>
      <c r="H87" s="4" t="str">
        <f>IF($B87="","",SUMIFS(tbl_ledger[数量],tbl_ledger[ロットID],$B87,tbl_ledger[イベント種類],"発送準備完了")+SUMIFS(tbl_ledger[数量],tbl_ledger[充当先ロットID],$B87,tbl_ledger[イベント種類],"充当",tbl_ledger[元状態],H$1)-SUMIFS(tbl_ledger[数量],tbl_ledger[ロットID],$B87,tbl_ledger[元状態],H$1))</f>
        <v/>
      </c>
      <c r="I87" s="4" t="str">
        <f>IF($B87="","",SUMIFS(tbl_ledger[数量],tbl_ledger[ロットID],$B87,tbl_ledger[イベント種類],"不良発生")+SUMIFS(tbl_ledger[数量],tbl_ledger[充当先ロットID],$B87,tbl_ledger[イベント種類],"充当",tbl_ledger[元状態],I$1)-SUMIFS(tbl_ledger[数量],tbl_ledger[ロットID],$B87,tbl_ledger[元状態],I$1))</f>
        <v/>
      </c>
      <c r="J87" s="4" t="str">
        <f t="shared" si="3"/>
        <v/>
      </c>
    </row>
    <row r="88" spans="1:10" ht="15" x14ac:dyDescent="0.25">
      <c r="A88" s="4" t="str">
        <f t="shared" si="2"/>
        <v/>
      </c>
      <c r="B88" s="4" t="str">
        <f>IFERROR(IF(COUNTIF($B$1:$B87,INDEX(tbl_plan[ロットID],ROW()-1))&gt;0,"",INDEX(tbl_plan[ロットID],ROW()-1)),"")</f>
        <v/>
      </c>
      <c r="C88" s="4" t="str">
        <f>IF($B88="","",INDEX(tbl_plan[品番],ROW()-1))</f>
        <v/>
      </c>
      <c r="D88" s="4" t="str">
        <f>IF($B88="","",SUMIFS(tbl_ledger[数量],tbl_ledger[ロットID],$B88,tbl_ledger[イベント種類],"搬入")+SUMIFS(tbl_ledger[数量],tbl_ledger[充当先ロットID],$B88,tbl_ledger[イベント種類],"充当",tbl_ledger[元状態],D$1)-SUMIFS(tbl_ledger[数量],tbl_ledger[ロットID],$B88,tbl_ledger[元状態],D$1))</f>
        <v/>
      </c>
      <c r="E88" s="4" t="str">
        <f>IF($B88="","",SUMIFS(tbl_ledger[数量],tbl_ledger[ロットID],$B88,tbl_ledger[イベント種類],"アニール完了")+SUMIFS(tbl_ledger[数量],tbl_ledger[充当先ロットID],$B88,tbl_ledger[イベント種類],"充当",tbl_ledger[元状態],E$1)-SUMIFS(tbl_ledger[数量],tbl_ledger[ロットID],$B88,tbl_ledger[元状態],E$1))</f>
        <v/>
      </c>
      <c r="F88" s="4" t="str">
        <f>IF($B88="","",SUMIFS(tbl_ledger[数量],tbl_ledger[ロットID],$B88,tbl_ledger[イベント種類],"アセンブリ完了")+SUMIFS(tbl_ledger[数量],tbl_ledger[充当先ロットID],$B88,tbl_ledger[イベント種類],"充当",tbl_ledger[元状態],F$1)-SUMIFS(tbl_ledger[数量],tbl_ledger[ロットID],$B88,tbl_ledger[元状態],F$1))</f>
        <v/>
      </c>
      <c r="G88" s="4" t="str">
        <f>IF($B88="","",SUMIFS(tbl_ledger[数量],tbl_ledger[ロットID],$B88,tbl_ledger[イベント種類],"梱包完了")+SUMIFS(tbl_ledger[数量],tbl_ledger[充当先ロットID],$B88,tbl_ledger[イベント種類],"充当",tbl_ledger[元状態],G$1)-SUMIFS(tbl_ledger[数量],tbl_ledger[ロットID],$B88,tbl_ledger[元状態],G$1))</f>
        <v/>
      </c>
      <c r="H88" s="4" t="str">
        <f>IF($B88="","",SUMIFS(tbl_ledger[数量],tbl_ledger[ロットID],$B88,tbl_ledger[イベント種類],"発送準備完了")+SUMIFS(tbl_ledger[数量],tbl_ledger[充当先ロットID],$B88,tbl_ledger[イベント種類],"充当",tbl_ledger[元状態],H$1)-SUMIFS(tbl_ledger[数量],tbl_ledger[ロットID],$B88,tbl_ledger[元状態],H$1))</f>
        <v/>
      </c>
      <c r="I88" s="4" t="str">
        <f>IF($B88="","",SUMIFS(tbl_ledger[数量],tbl_ledger[ロットID],$B88,tbl_ledger[イベント種類],"不良発生")+SUMIFS(tbl_ledger[数量],tbl_ledger[充当先ロットID],$B88,tbl_ledger[イベント種類],"充当",tbl_ledger[元状態],I$1)-SUMIFS(tbl_ledger[数量],tbl_ledger[ロットID],$B88,tbl_ledger[元状態],I$1))</f>
        <v/>
      </c>
      <c r="J88" s="4" t="str">
        <f t="shared" si="3"/>
        <v/>
      </c>
    </row>
    <row r="89" spans="1:10" ht="15" x14ac:dyDescent="0.25">
      <c r="A89" s="4" t="str">
        <f t="shared" si="2"/>
        <v/>
      </c>
      <c r="B89" s="4" t="str">
        <f>IFERROR(IF(COUNTIF($B$1:$B88,INDEX(tbl_plan[ロットID],ROW()-1))&gt;0,"",INDEX(tbl_plan[ロットID],ROW()-1)),"")</f>
        <v/>
      </c>
      <c r="C89" s="4" t="str">
        <f>IF($B89="","",INDEX(tbl_plan[品番],ROW()-1))</f>
        <v/>
      </c>
      <c r="D89" s="4" t="str">
        <f>IF($B89="","",SUMIFS(tbl_ledger[数量],tbl_ledger[ロットID],$B89,tbl_ledger[イベント種類],"搬入")+SUMIFS(tbl_ledger[数量],tbl_ledger[充当先ロットID],$B89,tbl_ledger[イベント種類],"充当",tbl_ledger[元状態],D$1)-SUMIFS(tbl_ledger[数量],tbl_ledger[ロットID],$B89,tbl_ledger[元状態],D$1))</f>
        <v/>
      </c>
      <c r="E89" s="4" t="str">
        <f>IF($B89="","",SUMIFS(tbl_ledger[数量],tbl_ledger[ロットID],$B89,tbl_ledger[イベント種類],"アニール完了")+SUMIFS(tbl_ledger[数量],tbl_ledger[充当先ロットID],$B89,tbl_ledger[イベント種類],"充当",tbl_ledger[元状態],E$1)-SUMIFS(tbl_ledger[数量],tbl_ledger[ロットID],$B89,tbl_ledger[元状態],E$1))</f>
        <v/>
      </c>
      <c r="F89" s="4" t="str">
        <f>IF($B89="","",SUMIFS(tbl_ledger[数量],tbl_ledger[ロットID],$B89,tbl_ledger[イベント種類],"アセンブリ完了")+SUMIFS(tbl_ledger[数量],tbl_ledger[充当先ロットID],$B89,tbl_ledger[イベント種類],"充当",tbl_ledger[元状態],F$1)-SUMIFS(tbl_ledger[数量],tbl_ledger[ロットID],$B89,tbl_ledger[元状態],F$1))</f>
        <v/>
      </c>
      <c r="G89" s="4" t="str">
        <f>IF($B89="","",SUMIFS(tbl_ledger[数量],tbl_ledger[ロットID],$B89,tbl_ledger[イベント種類],"梱包完了")+SUMIFS(tbl_ledger[数量],tbl_ledger[充当先ロットID],$B89,tbl_ledger[イベント種類],"充当",tbl_ledger[元状態],G$1)-SUMIFS(tbl_ledger[数量],tbl_ledger[ロットID],$B89,tbl_ledger[元状態],G$1))</f>
        <v/>
      </c>
      <c r="H89" s="4" t="str">
        <f>IF($B89="","",SUMIFS(tbl_ledger[数量],tbl_ledger[ロットID],$B89,tbl_ledger[イベント種類],"発送準備完了")+SUMIFS(tbl_ledger[数量],tbl_ledger[充当先ロットID],$B89,tbl_ledger[イベント種類],"充当",tbl_ledger[元状態],H$1)-SUMIFS(tbl_ledger[数量],tbl_ledger[ロットID],$B89,tbl_ledger[元状態],H$1))</f>
        <v/>
      </c>
      <c r="I89" s="4" t="str">
        <f>IF($B89="","",SUMIFS(tbl_ledger[数量],tbl_ledger[ロットID],$B89,tbl_ledger[イベント種類],"不良発生")+SUMIFS(tbl_ledger[数量],tbl_ledger[充当先ロットID],$B89,tbl_ledger[イベント種類],"充当",tbl_ledger[元状態],I$1)-SUMIFS(tbl_ledger[数量],tbl_ledger[ロットID],$B89,tbl_ledger[元状態],I$1))</f>
        <v/>
      </c>
      <c r="J89" s="4" t="str">
        <f t="shared" si="3"/>
        <v/>
      </c>
    </row>
    <row r="90" spans="1:10" ht="15" x14ac:dyDescent="0.25">
      <c r="A90" s="4" t="str">
        <f t="shared" si="2"/>
        <v/>
      </c>
      <c r="B90" s="4" t="str">
        <f>IFERROR(IF(COUNTIF($B$1:$B89,INDEX(tbl_plan[ロットID],ROW()-1))&gt;0,"",INDEX(tbl_plan[ロットID],ROW()-1)),"")</f>
        <v/>
      </c>
      <c r="C90" s="4" t="str">
        <f>IF($B90="","",INDEX(tbl_plan[品番],ROW()-1))</f>
        <v/>
      </c>
      <c r="D90" s="4" t="str">
        <f>IF($B90="","",SUMIFS(tbl_ledger[数量],tbl_ledger[ロットID],$B90,tbl_ledger[イベント種類],"搬入")+SUMIFS(tbl_ledger[数量],tbl_ledger[充当先ロットID],$B90,tbl_ledger[イベント種類],"充当",tbl_ledger[元状態],D$1)-SUMIFS(tbl_ledger[数量],tbl_ledger[ロットID],$B90,tbl_ledger[元状態],D$1))</f>
        <v/>
      </c>
      <c r="E90" s="4" t="str">
        <f>IF($B90="","",SUMIFS(tbl_ledger[数量],tbl_ledger[ロットID],$B90,tbl_ledger[イベント種類],"アニール完了")+SUMIFS(tbl_ledger[数量],tbl_ledger[充当先ロットID],$B90,tbl_ledger[イベント種類],"充当",tbl_ledger[元状態],E$1)-SUMIFS(tbl_ledger[数量],tbl_ledger[ロットID],$B90,tbl_ledger[元状態],E$1))</f>
        <v/>
      </c>
      <c r="F90" s="4" t="str">
        <f>IF($B90="","",SUMIFS(tbl_ledger[数量],tbl_ledger[ロットID],$B90,tbl_ledger[イベント種類],"アセンブリ完了")+SUMIFS(tbl_ledger[数量],tbl_ledger[充当先ロットID],$B90,tbl_ledger[イベント種類],"充当",tbl_ledger[元状態],F$1)-SUMIFS(tbl_ledger[数量],tbl_ledger[ロットID],$B90,tbl_ledger[元状態],F$1))</f>
        <v/>
      </c>
      <c r="G90" s="4" t="str">
        <f>IF($B90="","",SUMIFS(tbl_ledger[数量],tbl_ledger[ロットID],$B90,tbl_ledger[イベント種類],"梱包完了")+SUMIFS(tbl_ledger[数量],tbl_ledger[充当先ロットID],$B90,tbl_ledger[イベント種類],"充当",tbl_ledger[元状態],G$1)-SUMIFS(tbl_ledger[数量],tbl_ledger[ロットID],$B90,tbl_ledger[元状態],G$1))</f>
        <v/>
      </c>
      <c r="H90" s="4" t="str">
        <f>IF($B90="","",SUMIFS(tbl_ledger[数量],tbl_ledger[ロットID],$B90,tbl_ledger[イベント種類],"発送準備完了")+SUMIFS(tbl_ledger[数量],tbl_ledger[充当先ロットID],$B90,tbl_ledger[イベント種類],"充当",tbl_ledger[元状態],H$1)-SUMIFS(tbl_ledger[数量],tbl_ledger[ロットID],$B90,tbl_ledger[元状態],H$1))</f>
        <v/>
      </c>
      <c r="I90" s="4" t="str">
        <f>IF($B90="","",SUMIFS(tbl_ledger[数量],tbl_ledger[ロットID],$B90,tbl_ledger[イベント種類],"不良発生")+SUMIFS(tbl_ledger[数量],tbl_ledger[充当先ロットID],$B90,tbl_ledger[イベント種類],"充当",tbl_ledger[元状態],I$1)-SUMIFS(tbl_ledger[数量],tbl_ledger[ロットID],$B90,tbl_ledger[元状態],I$1))</f>
        <v/>
      </c>
      <c r="J90" s="4" t="str">
        <f t="shared" si="3"/>
        <v/>
      </c>
    </row>
    <row r="91" spans="1:10" ht="15" x14ac:dyDescent="0.25">
      <c r="A91" s="4" t="str">
        <f t="shared" si="2"/>
        <v/>
      </c>
      <c r="B91" s="4" t="str">
        <f>IFERROR(IF(COUNTIF($B$1:$B90,INDEX(tbl_plan[ロットID],ROW()-1))&gt;0,"",INDEX(tbl_plan[ロットID],ROW()-1)),"")</f>
        <v/>
      </c>
      <c r="C91" s="4" t="str">
        <f>IF($B91="","",INDEX(tbl_plan[品番],ROW()-1))</f>
        <v/>
      </c>
      <c r="D91" s="4" t="str">
        <f>IF($B91="","",SUMIFS(tbl_ledger[数量],tbl_ledger[ロットID],$B91,tbl_ledger[イベント種類],"搬入")+SUMIFS(tbl_ledger[数量],tbl_ledger[充当先ロットID],$B91,tbl_ledger[イベント種類],"充当",tbl_ledger[元状態],D$1)-SUMIFS(tbl_ledger[数量],tbl_ledger[ロットID],$B91,tbl_ledger[元状態],D$1))</f>
        <v/>
      </c>
      <c r="E91" s="4" t="str">
        <f>IF($B91="","",SUMIFS(tbl_ledger[数量],tbl_ledger[ロットID],$B91,tbl_ledger[イベント種類],"アニール完了")+SUMIFS(tbl_ledger[数量],tbl_ledger[充当先ロットID],$B91,tbl_ledger[イベント種類],"充当",tbl_ledger[元状態],E$1)-SUMIFS(tbl_ledger[数量],tbl_ledger[ロットID],$B91,tbl_ledger[元状態],E$1))</f>
        <v/>
      </c>
      <c r="F91" s="4" t="str">
        <f>IF($B91="","",SUMIFS(tbl_ledger[数量],tbl_ledger[ロットID],$B91,tbl_ledger[イベント種類],"アセンブリ完了")+SUMIFS(tbl_ledger[数量],tbl_ledger[充当先ロットID],$B91,tbl_ledger[イベント種類],"充当",tbl_ledger[元状態],F$1)-SUMIFS(tbl_ledger[数量],tbl_ledger[ロットID],$B91,tbl_ledger[元状態],F$1))</f>
        <v/>
      </c>
      <c r="G91" s="4" t="str">
        <f>IF($B91="","",SUMIFS(tbl_ledger[数量],tbl_ledger[ロットID],$B91,tbl_ledger[イベント種類],"梱包完了")+SUMIFS(tbl_ledger[数量],tbl_ledger[充当先ロットID],$B91,tbl_ledger[イベント種類],"充当",tbl_ledger[元状態],G$1)-SUMIFS(tbl_ledger[数量],tbl_ledger[ロットID],$B91,tbl_ledger[元状態],G$1))</f>
        <v/>
      </c>
      <c r="H91" s="4" t="str">
        <f>IF($B91="","",SUMIFS(tbl_ledger[数量],tbl_ledger[ロットID],$B91,tbl_ledger[イベント種類],"発送準備完了")+SUMIFS(tbl_ledger[数量],tbl_ledger[充当先ロットID],$B91,tbl_ledger[イベント種類],"充当",tbl_ledger[元状態],H$1)-SUMIFS(tbl_ledger[数量],tbl_ledger[ロットID],$B91,tbl_ledger[元状態],H$1))</f>
        <v/>
      </c>
      <c r="I91" s="4" t="str">
        <f>IF($B91="","",SUMIFS(tbl_ledger[数量],tbl_ledger[ロットID],$B91,tbl_ledger[イベント種類],"不良発生")+SUMIFS(tbl_ledger[数量],tbl_ledger[充当先ロットID],$B91,tbl_ledger[イベント種類],"充当",tbl_ledger[元状態],I$1)-SUMIFS(tbl_ledger[数量],tbl_ledger[ロットID],$B91,tbl_ledger[元状態],I$1))</f>
        <v/>
      </c>
      <c r="J91" s="4" t="str">
        <f t="shared" si="3"/>
        <v/>
      </c>
    </row>
    <row r="92" spans="1:10" ht="15" x14ac:dyDescent="0.25">
      <c r="A92" s="4" t="str">
        <f t="shared" si="2"/>
        <v/>
      </c>
      <c r="B92" s="4" t="str">
        <f>IFERROR(IF(COUNTIF($B$1:$B91,INDEX(tbl_plan[ロットID],ROW()-1))&gt;0,"",INDEX(tbl_plan[ロットID],ROW()-1)),"")</f>
        <v/>
      </c>
      <c r="C92" s="4" t="str">
        <f>IF($B92="","",INDEX(tbl_plan[品番],ROW()-1))</f>
        <v/>
      </c>
      <c r="D92" s="4" t="str">
        <f>IF($B92="","",SUMIFS(tbl_ledger[数量],tbl_ledger[ロットID],$B92,tbl_ledger[イベント種類],"搬入")+SUMIFS(tbl_ledger[数量],tbl_ledger[充当先ロットID],$B92,tbl_ledger[イベント種類],"充当",tbl_ledger[元状態],D$1)-SUMIFS(tbl_ledger[数量],tbl_ledger[ロットID],$B92,tbl_ledger[元状態],D$1))</f>
        <v/>
      </c>
      <c r="E92" s="4" t="str">
        <f>IF($B92="","",SUMIFS(tbl_ledger[数量],tbl_ledger[ロットID],$B92,tbl_ledger[イベント種類],"アニール完了")+SUMIFS(tbl_ledger[数量],tbl_ledger[充当先ロットID],$B92,tbl_ledger[イベント種類],"充当",tbl_ledger[元状態],E$1)-SUMIFS(tbl_ledger[数量],tbl_ledger[ロットID],$B92,tbl_ledger[元状態],E$1))</f>
        <v/>
      </c>
      <c r="F92" s="4" t="str">
        <f>IF($B92="","",SUMIFS(tbl_ledger[数量],tbl_ledger[ロットID],$B92,tbl_ledger[イベント種類],"アセンブリ完了")+SUMIFS(tbl_ledger[数量],tbl_ledger[充当先ロットID],$B92,tbl_ledger[イベント種類],"充当",tbl_ledger[元状態],F$1)-SUMIFS(tbl_ledger[数量],tbl_ledger[ロットID],$B92,tbl_ledger[元状態],F$1))</f>
        <v/>
      </c>
      <c r="G92" s="4" t="str">
        <f>IF($B92="","",SUMIFS(tbl_ledger[数量],tbl_ledger[ロットID],$B92,tbl_ledger[イベント種類],"梱包完了")+SUMIFS(tbl_ledger[数量],tbl_ledger[充当先ロットID],$B92,tbl_ledger[イベント種類],"充当",tbl_ledger[元状態],G$1)-SUMIFS(tbl_ledger[数量],tbl_ledger[ロットID],$B92,tbl_ledger[元状態],G$1))</f>
        <v/>
      </c>
      <c r="H92" s="4" t="str">
        <f>IF($B92="","",SUMIFS(tbl_ledger[数量],tbl_ledger[ロットID],$B92,tbl_ledger[イベント種類],"発送準備完了")+SUMIFS(tbl_ledger[数量],tbl_ledger[充当先ロットID],$B92,tbl_ledger[イベント種類],"充当",tbl_ledger[元状態],H$1)-SUMIFS(tbl_ledger[数量],tbl_ledger[ロットID],$B92,tbl_ledger[元状態],H$1))</f>
        <v/>
      </c>
      <c r="I92" s="4" t="str">
        <f>IF($B92="","",SUMIFS(tbl_ledger[数量],tbl_ledger[ロットID],$B92,tbl_ledger[イベント種類],"不良発生")+SUMIFS(tbl_ledger[数量],tbl_ledger[充当先ロットID],$B92,tbl_ledger[イベント種類],"充当",tbl_ledger[元状態],I$1)-SUMIFS(tbl_ledger[数量],tbl_ledger[ロットID],$B92,tbl_ledger[元状態],I$1))</f>
        <v/>
      </c>
      <c r="J92" s="4" t="str">
        <f t="shared" si="3"/>
        <v/>
      </c>
    </row>
    <row r="93" spans="1:10" ht="15" x14ac:dyDescent="0.25">
      <c r="A93" s="4" t="str">
        <f t="shared" si="2"/>
        <v/>
      </c>
      <c r="B93" s="4" t="str">
        <f>IFERROR(IF(COUNTIF($B$1:$B92,INDEX(tbl_plan[ロットID],ROW()-1))&gt;0,"",INDEX(tbl_plan[ロットID],ROW()-1)),"")</f>
        <v/>
      </c>
      <c r="C93" s="4" t="str">
        <f>IF($B93="","",INDEX(tbl_plan[品番],ROW()-1))</f>
        <v/>
      </c>
      <c r="D93" s="4" t="str">
        <f>IF($B93="","",SUMIFS(tbl_ledger[数量],tbl_ledger[ロットID],$B93,tbl_ledger[イベント種類],"搬入")+SUMIFS(tbl_ledger[数量],tbl_ledger[充当先ロットID],$B93,tbl_ledger[イベント種類],"充当",tbl_ledger[元状態],D$1)-SUMIFS(tbl_ledger[数量],tbl_ledger[ロットID],$B93,tbl_ledger[元状態],D$1))</f>
        <v/>
      </c>
      <c r="E93" s="4" t="str">
        <f>IF($B93="","",SUMIFS(tbl_ledger[数量],tbl_ledger[ロットID],$B93,tbl_ledger[イベント種類],"アニール完了")+SUMIFS(tbl_ledger[数量],tbl_ledger[充当先ロットID],$B93,tbl_ledger[イベント種類],"充当",tbl_ledger[元状態],E$1)-SUMIFS(tbl_ledger[数量],tbl_ledger[ロットID],$B93,tbl_ledger[元状態],E$1))</f>
        <v/>
      </c>
      <c r="F93" s="4" t="str">
        <f>IF($B93="","",SUMIFS(tbl_ledger[数量],tbl_ledger[ロットID],$B93,tbl_ledger[イベント種類],"アセンブリ完了")+SUMIFS(tbl_ledger[数量],tbl_ledger[充当先ロットID],$B93,tbl_ledger[イベント種類],"充当",tbl_ledger[元状態],F$1)-SUMIFS(tbl_ledger[数量],tbl_ledger[ロットID],$B93,tbl_ledger[元状態],F$1))</f>
        <v/>
      </c>
      <c r="G93" s="4" t="str">
        <f>IF($B93="","",SUMIFS(tbl_ledger[数量],tbl_ledger[ロットID],$B93,tbl_ledger[イベント種類],"梱包完了")+SUMIFS(tbl_ledger[数量],tbl_ledger[充当先ロットID],$B93,tbl_ledger[イベント種類],"充当",tbl_ledger[元状態],G$1)-SUMIFS(tbl_ledger[数量],tbl_ledger[ロットID],$B93,tbl_ledger[元状態],G$1))</f>
        <v/>
      </c>
      <c r="H93" s="4" t="str">
        <f>IF($B93="","",SUMIFS(tbl_ledger[数量],tbl_ledger[ロットID],$B93,tbl_ledger[イベント種類],"発送準備完了")+SUMIFS(tbl_ledger[数量],tbl_ledger[充当先ロットID],$B93,tbl_ledger[イベント種類],"充当",tbl_ledger[元状態],H$1)-SUMIFS(tbl_ledger[数量],tbl_ledger[ロットID],$B93,tbl_ledger[元状態],H$1))</f>
        <v/>
      </c>
      <c r="I93" s="4" t="str">
        <f>IF($B93="","",SUMIFS(tbl_ledger[数量],tbl_ledger[ロットID],$B93,tbl_ledger[イベント種類],"不良発生")+SUMIFS(tbl_ledger[数量],tbl_ledger[充当先ロットID],$B93,tbl_ledger[イベント種類],"充当",tbl_ledger[元状態],I$1)-SUMIFS(tbl_ledger[数量],tbl_ledger[ロットID],$B93,tbl_ledger[元状態],I$1))</f>
        <v/>
      </c>
      <c r="J93" s="4" t="str">
        <f t="shared" si="3"/>
        <v/>
      </c>
    </row>
    <row r="94" spans="1:10" ht="15" x14ac:dyDescent="0.25">
      <c r="A94" s="4" t="str">
        <f t="shared" si="2"/>
        <v/>
      </c>
      <c r="B94" s="4" t="str">
        <f>IFERROR(IF(COUNTIF($B$1:$B93,INDEX(tbl_plan[ロットID],ROW()-1))&gt;0,"",INDEX(tbl_plan[ロットID],ROW()-1)),"")</f>
        <v/>
      </c>
      <c r="C94" s="4" t="str">
        <f>IF($B94="","",INDEX(tbl_plan[品番],ROW()-1))</f>
        <v/>
      </c>
      <c r="D94" s="4" t="str">
        <f>IF($B94="","",SUMIFS(tbl_ledger[数量],tbl_ledger[ロットID],$B94,tbl_ledger[イベント種類],"搬入")+SUMIFS(tbl_ledger[数量],tbl_ledger[充当先ロットID],$B94,tbl_ledger[イベント種類],"充当",tbl_ledger[元状態],D$1)-SUMIFS(tbl_ledger[数量],tbl_ledger[ロットID],$B94,tbl_ledger[元状態],D$1))</f>
        <v/>
      </c>
      <c r="E94" s="4" t="str">
        <f>IF($B94="","",SUMIFS(tbl_ledger[数量],tbl_ledger[ロットID],$B94,tbl_ledger[イベント種類],"アニール完了")+SUMIFS(tbl_ledger[数量],tbl_ledger[充当先ロットID],$B94,tbl_ledger[イベント種類],"充当",tbl_ledger[元状態],E$1)-SUMIFS(tbl_ledger[数量],tbl_ledger[ロットID],$B94,tbl_ledger[元状態],E$1))</f>
        <v/>
      </c>
      <c r="F94" s="4" t="str">
        <f>IF($B94="","",SUMIFS(tbl_ledger[数量],tbl_ledger[ロットID],$B94,tbl_ledger[イベント種類],"アセンブリ完了")+SUMIFS(tbl_ledger[数量],tbl_ledger[充当先ロットID],$B94,tbl_ledger[イベント種類],"充当",tbl_ledger[元状態],F$1)-SUMIFS(tbl_ledger[数量],tbl_ledger[ロットID],$B94,tbl_ledger[元状態],F$1))</f>
        <v/>
      </c>
      <c r="G94" s="4" t="str">
        <f>IF($B94="","",SUMIFS(tbl_ledger[数量],tbl_ledger[ロットID],$B94,tbl_ledger[イベント種類],"梱包完了")+SUMIFS(tbl_ledger[数量],tbl_ledger[充当先ロットID],$B94,tbl_ledger[イベント種類],"充当",tbl_ledger[元状態],G$1)-SUMIFS(tbl_ledger[数量],tbl_ledger[ロットID],$B94,tbl_ledger[元状態],G$1))</f>
        <v/>
      </c>
      <c r="H94" s="4" t="str">
        <f>IF($B94="","",SUMIFS(tbl_ledger[数量],tbl_ledger[ロットID],$B94,tbl_ledger[イベント種類],"発送準備完了")+SUMIFS(tbl_ledger[数量],tbl_ledger[充当先ロットID],$B94,tbl_ledger[イベント種類],"充当",tbl_ledger[元状態],H$1)-SUMIFS(tbl_ledger[数量],tbl_ledger[ロットID],$B94,tbl_ledger[元状態],H$1))</f>
        <v/>
      </c>
      <c r="I94" s="4" t="str">
        <f>IF($B94="","",SUMIFS(tbl_ledger[数量],tbl_ledger[ロットID],$B94,tbl_ledger[イベント種類],"不良発生")+SUMIFS(tbl_ledger[数量],tbl_ledger[充当先ロットID],$B94,tbl_ledger[イベント種類],"充当",tbl_ledger[元状態],I$1)-SUMIFS(tbl_ledger[数量],tbl_ledger[ロットID],$B94,tbl_ledger[元状態],I$1))</f>
        <v/>
      </c>
      <c r="J94" s="4" t="str">
        <f t="shared" si="3"/>
        <v/>
      </c>
    </row>
    <row r="95" spans="1:10" ht="15" x14ac:dyDescent="0.25">
      <c r="A95" s="4" t="str">
        <f t="shared" si="2"/>
        <v/>
      </c>
      <c r="B95" s="4" t="str">
        <f>IFERROR(IF(COUNTIF($B$1:$B94,INDEX(tbl_plan[ロットID],ROW()-1))&gt;0,"",INDEX(tbl_plan[ロットID],ROW()-1)),"")</f>
        <v/>
      </c>
      <c r="C95" s="4" t="str">
        <f>IF($B95="","",INDEX(tbl_plan[品番],ROW()-1))</f>
        <v/>
      </c>
      <c r="D95" s="4" t="str">
        <f>IF($B95="","",SUMIFS(tbl_ledger[数量],tbl_ledger[ロットID],$B95,tbl_ledger[イベント種類],"搬入")+SUMIFS(tbl_ledger[数量],tbl_ledger[充当先ロットID],$B95,tbl_ledger[イベント種類],"充当",tbl_ledger[元状態],D$1)-SUMIFS(tbl_ledger[数量],tbl_ledger[ロットID],$B95,tbl_ledger[元状態],D$1))</f>
        <v/>
      </c>
      <c r="E95" s="4" t="str">
        <f>IF($B95="","",SUMIFS(tbl_ledger[数量],tbl_ledger[ロットID],$B95,tbl_ledger[イベント種類],"アニール完了")+SUMIFS(tbl_ledger[数量],tbl_ledger[充当先ロットID],$B95,tbl_ledger[イベント種類],"充当",tbl_ledger[元状態],E$1)-SUMIFS(tbl_ledger[数量],tbl_ledger[ロットID],$B95,tbl_ledger[元状態],E$1))</f>
        <v/>
      </c>
      <c r="F95" s="4" t="str">
        <f>IF($B95="","",SUMIFS(tbl_ledger[数量],tbl_ledger[ロットID],$B95,tbl_ledger[イベント種類],"アセンブリ完了")+SUMIFS(tbl_ledger[数量],tbl_ledger[充当先ロットID],$B95,tbl_ledger[イベント種類],"充当",tbl_ledger[元状態],F$1)-SUMIFS(tbl_ledger[数量],tbl_ledger[ロットID],$B95,tbl_ledger[元状態],F$1))</f>
        <v/>
      </c>
      <c r="G95" s="4" t="str">
        <f>IF($B95="","",SUMIFS(tbl_ledger[数量],tbl_ledger[ロットID],$B95,tbl_ledger[イベント種類],"梱包完了")+SUMIFS(tbl_ledger[数量],tbl_ledger[充当先ロットID],$B95,tbl_ledger[イベント種類],"充当",tbl_ledger[元状態],G$1)-SUMIFS(tbl_ledger[数量],tbl_ledger[ロットID],$B95,tbl_ledger[元状態],G$1))</f>
        <v/>
      </c>
      <c r="H95" s="4" t="str">
        <f>IF($B95="","",SUMIFS(tbl_ledger[数量],tbl_ledger[ロットID],$B95,tbl_ledger[イベント種類],"発送準備完了")+SUMIFS(tbl_ledger[数量],tbl_ledger[充当先ロットID],$B95,tbl_ledger[イベント種類],"充当",tbl_ledger[元状態],H$1)-SUMIFS(tbl_ledger[数量],tbl_ledger[ロットID],$B95,tbl_ledger[元状態],H$1))</f>
        <v/>
      </c>
      <c r="I95" s="4" t="str">
        <f>IF($B95="","",SUMIFS(tbl_ledger[数量],tbl_ledger[ロットID],$B95,tbl_ledger[イベント種類],"不良発生")+SUMIFS(tbl_ledger[数量],tbl_ledger[充当先ロットID],$B95,tbl_ledger[イベント種類],"充当",tbl_ledger[元状態],I$1)-SUMIFS(tbl_ledger[数量],tbl_ledger[ロットID],$B95,tbl_ledger[元状態],I$1))</f>
        <v/>
      </c>
      <c r="J95" s="4" t="str">
        <f t="shared" si="3"/>
        <v/>
      </c>
    </row>
    <row r="96" spans="1:10" ht="15" x14ac:dyDescent="0.25">
      <c r="A96" s="4" t="str">
        <f t="shared" si="2"/>
        <v/>
      </c>
      <c r="B96" s="4" t="str">
        <f>IFERROR(IF(COUNTIF($B$1:$B95,INDEX(tbl_plan[ロットID],ROW()-1))&gt;0,"",INDEX(tbl_plan[ロットID],ROW()-1)),"")</f>
        <v/>
      </c>
      <c r="C96" s="4" t="str">
        <f>IF($B96="","",INDEX(tbl_plan[品番],ROW()-1))</f>
        <v/>
      </c>
      <c r="D96" s="4" t="str">
        <f>IF($B96="","",SUMIFS(tbl_ledger[数量],tbl_ledger[ロットID],$B96,tbl_ledger[イベント種類],"搬入")+SUMIFS(tbl_ledger[数量],tbl_ledger[充当先ロットID],$B96,tbl_ledger[イベント種類],"充当",tbl_ledger[元状態],D$1)-SUMIFS(tbl_ledger[数量],tbl_ledger[ロットID],$B96,tbl_ledger[元状態],D$1))</f>
        <v/>
      </c>
      <c r="E96" s="4" t="str">
        <f>IF($B96="","",SUMIFS(tbl_ledger[数量],tbl_ledger[ロットID],$B96,tbl_ledger[イベント種類],"アニール完了")+SUMIFS(tbl_ledger[数量],tbl_ledger[充当先ロットID],$B96,tbl_ledger[イベント種類],"充当",tbl_ledger[元状態],E$1)-SUMIFS(tbl_ledger[数量],tbl_ledger[ロットID],$B96,tbl_ledger[元状態],E$1))</f>
        <v/>
      </c>
      <c r="F96" s="4" t="str">
        <f>IF($B96="","",SUMIFS(tbl_ledger[数量],tbl_ledger[ロットID],$B96,tbl_ledger[イベント種類],"アセンブリ完了")+SUMIFS(tbl_ledger[数量],tbl_ledger[充当先ロットID],$B96,tbl_ledger[イベント種類],"充当",tbl_ledger[元状態],F$1)-SUMIFS(tbl_ledger[数量],tbl_ledger[ロットID],$B96,tbl_ledger[元状態],F$1))</f>
        <v/>
      </c>
      <c r="G96" s="4" t="str">
        <f>IF($B96="","",SUMIFS(tbl_ledger[数量],tbl_ledger[ロットID],$B96,tbl_ledger[イベント種類],"梱包完了")+SUMIFS(tbl_ledger[数量],tbl_ledger[充当先ロットID],$B96,tbl_ledger[イベント種類],"充当",tbl_ledger[元状態],G$1)-SUMIFS(tbl_ledger[数量],tbl_ledger[ロットID],$B96,tbl_ledger[元状態],G$1))</f>
        <v/>
      </c>
      <c r="H96" s="4" t="str">
        <f>IF($B96="","",SUMIFS(tbl_ledger[数量],tbl_ledger[ロットID],$B96,tbl_ledger[イベント種類],"発送準備完了")+SUMIFS(tbl_ledger[数量],tbl_ledger[充当先ロットID],$B96,tbl_ledger[イベント種類],"充当",tbl_ledger[元状態],H$1)-SUMIFS(tbl_ledger[数量],tbl_ledger[ロットID],$B96,tbl_ledger[元状態],H$1))</f>
        <v/>
      </c>
      <c r="I96" s="4" t="str">
        <f>IF($B96="","",SUMIFS(tbl_ledger[数量],tbl_ledger[ロットID],$B96,tbl_ledger[イベント種類],"不良発生")+SUMIFS(tbl_ledger[数量],tbl_ledger[充当先ロットID],$B96,tbl_ledger[イベント種類],"充当",tbl_ledger[元状態],I$1)-SUMIFS(tbl_ledger[数量],tbl_ledger[ロットID],$B96,tbl_ledger[元状態],I$1))</f>
        <v/>
      </c>
      <c r="J96" s="4" t="str">
        <f t="shared" si="3"/>
        <v/>
      </c>
    </row>
    <row r="97" spans="1:10" ht="15" x14ac:dyDescent="0.25">
      <c r="A97" s="4" t="str">
        <f t="shared" si="2"/>
        <v/>
      </c>
      <c r="B97" s="4" t="str">
        <f>IFERROR(IF(COUNTIF($B$1:$B96,INDEX(tbl_plan[ロットID],ROW()-1))&gt;0,"",INDEX(tbl_plan[ロットID],ROW()-1)),"")</f>
        <v/>
      </c>
      <c r="C97" s="4" t="str">
        <f>IF($B97="","",INDEX(tbl_plan[品番],ROW()-1))</f>
        <v/>
      </c>
      <c r="D97" s="4" t="str">
        <f>IF($B97="","",SUMIFS(tbl_ledger[数量],tbl_ledger[ロットID],$B97,tbl_ledger[イベント種類],"搬入")+SUMIFS(tbl_ledger[数量],tbl_ledger[充当先ロットID],$B97,tbl_ledger[イベント種類],"充当",tbl_ledger[元状態],D$1)-SUMIFS(tbl_ledger[数量],tbl_ledger[ロットID],$B97,tbl_ledger[元状態],D$1))</f>
        <v/>
      </c>
      <c r="E97" s="4" t="str">
        <f>IF($B97="","",SUMIFS(tbl_ledger[数量],tbl_ledger[ロットID],$B97,tbl_ledger[イベント種類],"アニール完了")+SUMIFS(tbl_ledger[数量],tbl_ledger[充当先ロットID],$B97,tbl_ledger[イベント種類],"充当",tbl_ledger[元状態],E$1)-SUMIFS(tbl_ledger[数量],tbl_ledger[ロットID],$B97,tbl_ledger[元状態],E$1))</f>
        <v/>
      </c>
      <c r="F97" s="4" t="str">
        <f>IF($B97="","",SUMIFS(tbl_ledger[数量],tbl_ledger[ロットID],$B97,tbl_ledger[イベント種類],"アセンブリ完了")+SUMIFS(tbl_ledger[数量],tbl_ledger[充当先ロットID],$B97,tbl_ledger[イベント種類],"充当",tbl_ledger[元状態],F$1)-SUMIFS(tbl_ledger[数量],tbl_ledger[ロットID],$B97,tbl_ledger[元状態],F$1))</f>
        <v/>
      </c>
      <c r="G97" s="4" t="str">
        <f>IF($B97="","",SUMIFS(tbl_ledger[数量],tbl_ledger[ロットID],$B97,tbl_ledger[イベント種類],"梱包完了")+SUMIFS(tbl_ledger[数量],tbl_ledger[充当先ロットID],$B97,tbl_ledger[イベント種類],"充当",tbl_ledger[元状態],G$1)-SUMIFS(tbl_ledger[数量],tbl_ledger[ロットID],$B97,tbl_ledger[元状態],G$1))</f>
        <v/>
      </c>
      <c r="H97" s="4" t="str">
        <f>IF($B97="","",SUMIFS(tbl_ledger[数量],tbl_ledger[ロットID],$B97,tbl_ledger[イベント種類],"発送準備完了")+SUMIFS(tbl_ledger[数量],tbl_ledger[充当先ロットID],$B97,tbl_ledger[イベント種類],"充当",tbl_ledger[元状態],H$1)-SUMIFS(tbl_ledger[数量],tbl_ledger[ロットID],$B97,tbl_ledger[元状態],H$1))</f>
        <v/>
      </c>
      <c r="I97" s="4" t="str">
        <f>IF($B97="","",SUMIFS(tbl_ledger[数量],tbl_ledger[ロットID],$B97,tbl_ledger[イベント種類],"不良発生")+SUMIFS(tbl_ledger[数量],tbl_ledger[充当先ロットID],$B97,tbl_ledger[イベント種類],"充当",tbl_ledger[元状態],I$1)-SUMIFS(tbl_ledger[数量],tbl_ledger[ロットID],$B97,tbl_ledger[元状態],I$1))</f>
        <v/>
      </c>
      <c r="J97" s="4" t="str">
        <f t="shared" si="3"/>
        <v/>
      </c>
    </row>
    <row r="98" spans="1:10" ht="15" x14ac:dyDescent="0.25">
      <c r="A98" s="4" t="str">
        <f t="shared" si="2"/>
        <v/>
      </c>
      <c r="B98" s="4" t="str">
        <f>IFERROR(IF(COUNTIF($B$1:$B97,INDEX(tbl_plan[ロットID],ROW()-1))&gt;0,"",INDEX(tbl_plan[ロットID],ROW()-1)),"")</f>
        <v/>
      </c>
      <c r="C98" s="4" t="str">
        <f>IF($B98="","",INDEX(tbl_plan[品番],ROW()-1))</f>
        <v/>
      </c>
      <c r="D98" s="4" t="str">
        <f>IF($B98="","",SUMIFS(tbl_ledger[数量],tbl_ledger[ロットID],$B98,tbl_ledger[イベント種類],"搬入")+SUMIFS(tbl_ledger[数量],tbl_ledger[充当先ロットID],$B98,tbl_ledger[イベント種類],"充当",tbl_ledger[元状態],D$1)-SUMIFS(tbl_ledger[数量],tbl_ledger[ロットID],$B98,tbl_ledger[元状態],D$1))</f>
        <v/>
      </c>
      <c r="E98" s="4" t="str">
        <f>IF($B98="","",SUMIFS(tbl_ledger[数量],tbl_ledger[ロットID],$B98,tbl_ledger[イベント種類],"アニール完了")+SUMIFS(tbl_ledger[数量],tbl_ledger[充当先ロットID],$B98,tbl_ledger[イベント種類],"充当",tbl_ledger[元状態],E$1)-SUMIFS(tbl_ledger[数量],tbl_ledger[ロットID],$B98,tbl_ledger[元状態],E$1))</f>
        <v/>
      </c>
      <c r="F98" s="4" t="str">
        <f>IF($B98="","",SUMIFS(tbl_ledger[数量],tbl_ledger[ロットID],$B98,tbl_ledger[イベント種類],"アセンブリ完了")+SUMIFS(tbl_ledger[数量],tbl_ledger[充当先ロットID],$B98,tbl_ledger[イベント種類],"充当",tbl_ledger[元状態],F$1)-SUMIFS(tbl_ledger[数量],tbl_ledger[ロットID],$B98,tbl_ledger[元状態],F$1))</f>
        <v/>
      </c>
      <c r="G98" s="4" t="str">
        <f>IF($B98="","",SUMIFS(tbl_ledger[数量],tbl_ledger[ロットID],$B98,tbl_ledger[イベント種類],"梱包完了")+SUMIFS(tbl_ledger[数量],tbl_ledger[充当先ロットID],$B98,tbl_ledger[イベント種類],"充当",tbl_ledger[元状態],G$1)-SUMIFS(tbl_ledger[数量],tbl_ledger[ロットID],$B98,tbl_ledger[元状態],G$1))</f>
        <v/>
      </c>
      <c r="H98" s="4" t="str">
        <f>IF($B98="","",SUMIFS(tbl_ledger[数量],tbl_ledger[ロットID],$B98,tbl_ledger[イベント種類],"発送準備完了")+SUMIFS(tbl_ledger[数量],tbl_ledger[充当先ロットID],$B98,tbl_ledger[イベント種類],"充当",tbl_ledger[元状態],H$1)-SUMIFS(tbl_ledger[数量],tbl_ledger[ロットID],$B98,tbl_ledger[元状態],H$1))</f>
        <v/>
      </c>
      <c r="I98" s="4" t="str">
        <f>IF($B98="","",SUMIFS(tbl_ledger[数量],tbl_ledger[ロットID],$B98,tbl_ledger[イベント種類],"不良発生")+SUMIFS(tbl_ledger[数量],tbl_ledger[充当先ロットID],$B98,tbl_ledger[イベント種類],"充当",tbl_ledger[元状態],I$1)-SUMIFS(tbl_ledger[数量],tbl_ledger[ロットID],$B98,tbl_ledger[元状態],I$1))</f>
        <v/>
      </c>
      <c r="J98" s="4" t="str">
        <f t="shared" si="3"/>
        <v/>
      </c>
    </row>
    <row r="99" spans="1:10" ht="15" x14ac:dyDescent="0.25">
      <c r="A99" s="4" t="str">
        <f t="shared" si="2"/>
        <v/>
      </c>
      <c r="B99" s="4" t="str">
        <f>IFERROR(IF(COUNTIF($B$1:$B98,INDEX(tbl_plan[ロットID],ROW()-1))&gt;0,"",INDEX(tbl_plan[ロットID],ROW()-1)),"")</f>
        <v/>
      </c>
      <c r="C99" s="4" t="str">
        <f>IF($B99="","",INDEX(tbl_plan[品番],ROW()-1))</f>
        <v/>
      </c>
      <c r="D99" s="4" t="str">
        <f>IF($B99="","",SUMIFS(tbl_ledger[数量],tbl_ledger[ロットID],$B99,tbl_ledger[イベント種類],"搬入")+SUMIFS(tbl_ledger[数量],tbl_ledger[充当先ロットID],$B99,tbl_ledger[イベント種類],"充当",tbl_ledger[元状態],D$1)-SUMIFS(tbl_ledger[数量],tbl_ledger[ロットID],$B99,tbl_ledger[元状態],D$1))</f>
        <v/>
      </c>
      <c r="E99" s="4" t="str">
        <f>IF($B99="","",SUMIFS(tbl_ledger[数量],tbl_ledger[ロットID],$B99,tbl_ledger[イベント種類],"アニール完了")+SUMIFS(tbl_ledger[数量],tbl_ledger[充当先ロットID],$B99,tbl_ledger[イベント種類],"充当",tbl_ledger[元状態],E$1)-SUMIFS(tbl_ledger[数量],tbl_ledger[ロットID],$B99,tbl_ledger[元状態],E$1))</f>
        <v/>
      </c>
      <c r="F99" s="4" t="str">
        <f>IF($B99="","",SUMIFS(tbl_ledger[数量],tbl_ledger[ロットID],$B99,tbl_ledger[イベント種類],"アセンブリ完了")+SUMIFS(tbl_ledger[数量],tbl_ledger[充当先ロットID],$B99,tbl_ledger[イベント種類],"充当",tbl_ledger[元状態],F$1)-SUMIFS(tbl_ledger[数量],tbl_ledger[ロットID],$B99,tbl_ledger[元状態],F$1))</f>
        <v/>
      </c>
      <c r="G99" s="4" t="str">
        <f>IF($B99="","",SUMIFS(tbl_ledger[数量],tbl_ledger[ロットID],$B99,tbl_ledger[イベント種類],"梱包完了")+SUMIFS(tbl_ledger[数量],tbl_ledger[充当先ロットID],$B99,tbl_ledger[イベント種類],"充当",tbl_ledger[元状態],G$1)-SUMIFS(tbl_ledger[数量],tbl_ledger[ロットID],$B99,tbl_ledger[元状態],G$1))</f>
        <v/>
      </c>
      <c r="H99" s="4" t="str">
        <f>IF($B99="","",SUMIFS(tbl_ledger[数量],tbl_ledger[ロットID],$B99,tbl_ledger[イベント種類],"発送準備完了")+SUMIFS(tbl_ledger[数量],tbl_ledger[充当先ロットID],$B99,tbl_ledger[イベント種類],"充当",tbl_ledger[元状態],H$1)-SUMIFS(tbl_ledger[数量],tbl_ledger[ロットID],$B99,tbl_ledger[元状態],H$1))</f>
        <v/>
      </c>
      <c r="I99" s="4" t="str">
        <f>IF($B99="","",SUMIFS(tbl_ledger[数量],tbl_ledger[ロットID],$B99,tbl_ledger[イベント種類],"不良発生")+SUMIFS(tbl_ledger[数量],tbl_ledger[充当先ロットID],$B99,tbl_ledger[イベント種類],"充当",tbl_ledger[元状態],I$1)-SUMIFS(tbl_ledger[数量],tbl_ledger[ロットID],$B99,tbl_ledger[元状態],I$1))</f>
        <v/>
      </c>
      <c r="J99" s="4" t="str">
        <f t="shared" si="3"/>
        <v/>
      </c>
    </row>
    <row r="100" spans="1:10" ht="15" x14ac:dyDescent="0.25">
      <c r="A100" s="4" t="str">
        <f t="shared" si="2"/>
        <v/>
      </c>
      <c r="B100" s="4" t="str">
        <f>IFERROR(IF(COUNTIF($B$1:$B99,INDEX(tbl_plan[ロットID],ROW()-1))&gt;0,"",INDEX(tbl_plan[ロットID],ROW()-1)),"")</f>
        <v/>
      </c>
      <c r="C100" s="4" t="str">
        <f>IF($B100="","",INDEX(tbl_plan[品番],ROW()-1))</f>
        <v/>
      </c>
      <c r="D100" s="4" t="str">
        <f>IF($B100="","",SUMIFS(tbl_ledger[数量],tbl_ledger[ロットID],$B100,tbl_ledger[イベント種類],"搬入")+SUMIFS(tbl_ledger[数量],tbl_ledger[充当先ロットID],$B100,tbl_ledger[イベント種類],"充当",tbl_ledger[元状態],D$1)-SUMIFS(tbl_ledger[数量],tbl_ledger[ロットID],$B100,tbl_ledger[元状態],D$1))</f>
        <v/>
      </c>
      <c r="E100" s="4" t="str">
        <f>IF($B100="","",SUMIFS(tbl_ledger[数量],tbl_ledger[ロットID],$B100,tbl_ledger[イベント種類],"アニール完了")+SUMIFS(tbl_ledger[数量],tbl_ledger[充当先ロットID],$B100,tbl_ledger[イベント種類],"充当",tbl_ledger[元状態],E$1)-SUMIFS(tbl_ledger[数量],tbl_ledger[ロットID],$B100,tbl_ledger[元状態],E$1))</f>
        <v/>
      </c>
      <c r="F100" s="4" t="str">
        <f>IF($B100="","",SUMIFS(tbl_ledger[数量],tbl_ledger[ロットID],$B100,tbl_ledger[イベント種類],"アセンブリ完了")+SUMIFS(tbl_ledger[数量],tbl_ledger[充当先ロットID],$B100,tbl_ledger[イベント種類],"充当",tbl_ledger[元状態],F$1)-SUMIFS(tbl_ledger[数量],tbl_ledger[ロットID],$B100,tbl_ledger[元状態],F$1))</f>
        <v/>
      </c>
      <c r="G100" s="4" t="str">
        <f>IF($B100="","",SUMIFS(tbl_ledger[数量],tbl_ledger[ロットID],$B100,tbl_ledger[イベント種類],"梱包完了")+SUMIFS(tbl_ledger[数量],tbl_ledger[充当先ロットID],$B100,tbl_ledger[イベント種類],"充当",tbl_ledger[元状態],G$1)-SUMIFS(tbl_ledger[数量],tbl_ledger[ロットID],$B100,tbl_ledger[元状態],G$1))</f>
        <v/>
      </c>
      <c r="H100" s="4" t="str">
        <f>IF($B100="","",SUMIFS(tbl_ledger[数量],tbl_ledger[ロットID],$B100,tbl_ledger[イベント種類],"発送準備完了")+SUMIFS(tbl_ledger[数量],tbl_ledger[充当先ロットID],$B100,tbl_ledger[イベント種類],"充当",tbl_ledger[元状態],H$1)-SUMIFS(tbl_ledger[数量],tbl_ledger[ロットID],$B100,tbl_ledger[元状態],H$1))</f>
        <v/>
      </c>
      <c r="I100" s="4" t="str">
        <f>IF($B100="","",SUMIFS(tbl_ledger[数量],tbl_ledger[ロットID],$B100,tbl_ledger[イベント種類],"不良発生")+SUMIFS(tbl_ledger[数量],tbl_ledger[充当先ロットID],$B100,tbl_ledger[イベント種類],"充当",tbl_ledger[元状態],I$1)-SUMIFS(tbl_ledger[数量],tbl_ledger[ロットID],$B100,tbl_ledger[元状態],I$1))</f>
        <v/>
      </c>
      <c r="J100" s="4" t="str">
        <f t="shared" si="3"/>
        <v/>
      </c>
    </row>
    <row r="101" spans="1:10" ht="15" x14ac:dyDescent="0.25">
      <c r="A101" s="4" t="str">
        <f t="shared" si="2"/>
        <v/>
      </c>
      <c r="B101" s="4" t="str">
        <f>IFERROR(IF(COUNTIF($B$1:$B100,INDEX(tbl_plan[ロットID],ROW()-1))&gt;0,"",INDEX(tbl_plan[ロットID],ROW()-1)),"")</f>
        <v/>
      </c>
      <c r="C101" s="4" t="str">
        <f>IF($B101="","",INDEX(tbl_plan[品番],ROW()-1))</f>
        <v/>
      </c>
      <c r="D101" s="4" t="str">
        <f>IF($B101="","",SUMIFS(tbl_ledger[数量],tbl_ledger[ロットID],$B101,tbl_ledger[イベント種類],"搬入")+SUMIFS(tbl_ledger[数量],tbl_ledger[充当先ロットID],$B101,tbl_ledger[イベント種類],"充当",tbl_ledger[元状態],D$1)-SUMIFS(tbl_ledger[数量],tbl_ledger[ロットID],$B101,tbl_ledger[元状態],D$1))</f>
        <v/>
      </c>
      <c r="E101" s="4" t="str">
        <f>IF($B101="","",SUMIFS(tbl_ledger[数量],tbl_ledger[ロットID],$B101,tbl_ledger[イベント種類],"アニール完了")+SUMIFS(tbl_ledger[数量],tbl_ledger[充当先ロットID],$B101,tbl_ledger[イベント種類],"充当",tbl_ledger[元状態],E$1)-SUMIFS(tbl_ledger[数量],tbl_ledger[ロットID],$B101,tbl_ledger[元状態],E$1))</f>
        <v/>
      </c>
      <c r="F101" s="4" t="str">
        <f>IF($B101="","",SUMIFS(tbl_ledger[数量],tbl_ledger[ロットID],$B101,tbl_ledger[イベント種類],"アセンブリ完了")+SUMIFS(tbl_ledger[数量],tbl_ledger[充当先ロットID],$B101,tbl_ledger[イベント種類],"充当",tbl_ledger[元状態],F$1)-SUMIFS(tbl_ledger[数量],tbl_ledger[ロットID],$B101,tbl_ledger[元状態],F$1))</f>
        <v/>
      </c>
      <c r="G101" s="4" t="str">
        <f>IF($B101="","",SUMIFS(tbl_ledger[数量],tbl_ledger[ロットID],$B101,tbl_ledger[イベント種類],"梱包完了")+SUMIFS(tbl_ledger[数量],tbl_ledger[充当先ロットID],$B101,tbl_ledger[イベント種類],"充当",tbl_ledger[元状態],G$1)-SUMIFS(tbl_ledger[数量],tbl_ledger[ロットID],$B101,tbl_ledger[元状態],G$1))</f>
        <v/>
      </c>
      <c r="H101" s="4" t="str">
        <f>IF($B101="","",SUMIFS(tbl_ledger[数量],tbl_ledger[ロットID],$B101,tbl_ledger[イベント種類],"発送準備完了")+SUMIFS(tbl_ledger[数量],tbl_ledger[充当先ロットID],$B101,tbl_ledger[イベント種類],"充当",tbl_ledger[元状態],H$1)-SUMIFS(tbl_ledger[数量],tbl_ledger[ロットID],$B101,tbl_ledger[元状態],H$1))</f>
        <v/>
      </c>
      <c r="I101" s="4" t="str">
        <f>IF($B101="","",SUMIFS(tbl_ledger[数量],tbl_ledger[ロットID],$B101,tbl_ledger[イベント種類],"不良発生")+SUMIFS(tbl_ledger[数量],tbl_ledger[充当先ロットID],$B101,tbl_ledger[イベント種類],"充当",tbl_ledger[元状態],I$1)-SUMIFS(tbl_ledger[数量],tbl_ledger[ロットID],$B101,tbl_ledger[元状態],I$1))</f>
        <v/>
      </c>
      <c r="J101" s="4" t="str">
        <f t="shared" si="3"/>
        <v/>
      </c>
    </row>
    <row r="102" spans="1:10" ht="15" x14ac:dyDescent="0.25">
      <c r="A102" s="4" t="str">
        <f t="shared" si="2"/>
        <v/>
      </c>
      <c r="B102" s="4" t="str">
        <f>IFERROR(IF(COUNTIF($B$1:$B101,INDEX(tbl_plan[ロットID],ROW()-1))&gt;0,"",INDEX(tbl_plan[ロットID],ROW()-1)),"")</f>
        <v/>
      </c>
      <c r="C102" s="4" t="str">
        <f>IF($B102="","",INDEX(tbl_plan[品番],ROW()-1))</f>
        <v/>
      </c>
      <c r="D102" s="4" t="str">
        <f>IF($B102="","",SUMIFS(tbl_ledger[数量],tbl_ledger[ロットID],$B102,tbl_ledger[イベント種類],"搬入")+SUMIFS(tbl_ledger[数量],tbl_ledger[充当先ロットID],$B102,tbl_ledger[イベント種類],"充当",tbl_ledger[元状態],D$1)-SUMIFS(tbl_ledger[数量],tbl_ledger[ロットID],$B102,tbl_ledger[元状態],D$1))</f>
        <v/>
      </c>
      <c r="E102" s="4" t="str">
        <f>IF($B102="","",SUMIFS(tbl_ledger[数量],tbl_ledger[ロットID],$B102,tbl_ledger[イベント種類],"アニール完了")+SUMIFS(tbl_ledger[数量],tbl_ledger[充当先ロットID],$B102,tbl_ledger[イベント種類],"充当",tbl_ledger[元状態],E$1)-SUMIFS(tbl_ledger[数量],tbl_ledger[ロットID],$B102,tbl_ledger[元状態],E$1))</f>
        <v/>
      </c>
      <c r="F102" s="4" t="str">
        <f>IF($B102="","",SUMIFS(tbl_ledger[数量],tbl_ledger[ロットID],$B102,tbl_ledger[イベント種類],"アセンブリ完了")+SUMIFS(tbl_ledger[数量],tbl_ledger[充当先ロットID],$B102,tbl_ledger[イベント種類],"充当",tbl_ledger[元状態],F$1)-SUMIFS(tbl_ledger[数量],tbl_ledger[ロットID],$B102,tbl_ledger[元状態],F$1))</f>
        <v/>
      </c>
      <c r="G102" s="4" t="str">
        <f>IF($B102="","",SUMIFS(tbl_ledger[数量],tbl_ledger[ロットID],$B102,tbl_ledger[イベント種類],"梱包完了")+SUMIFS(tbl_ledger[数量],tbl_ledger[充当先ロットID],$B102,tbl_ledger[イベント種類],"充当",tbl_ledger[元状態],G$1)-SUMIFS(tbl_ledger[数量],tbl_ledger[ロットID],$B102,tbl_ledger[元状態],G$1))</f>
        <v/>
      </c>
      <c r="H102" s="4" t="str">
        <f>IF($B102="","",SUMIFS(tbl_ledger[数量],tbl_ledger[ロットID],$B102,tbl_ledger[イベント種類],"発送準備完了")+SUMIFS(tbl_ledger[数量],tbl_ledger[充当先ロットID],$B102,tbl_ledger[イベント種類],"充当",tbl_ledger[元状態],H$1)-SUMIFS(tbl_ledger[数量],tbl_ledger[ロットID],$B102,tbl_ledger[元状態],H$1))</f>
        <v/>
      </c>
      <c r="I102" s="4" t="str">
        <f>IF($B102="","",SUMIFS(tbl_ledger[数量],tbl_ledger[ロットID],$B102,tbl_ledger[イベント種類],"不良発生")+SUMIFS(tbl_ledger[数量],tbl_ledger[充当先ロットID],$B102,tbl_ledger[イベント種類],"充当",tbl_ledger[元状態],I$1)-SUMIFS(tbl_ledger[数量],tbl_ledger[ロットID],$B102,tbl_ledger[元状態],I$1))</f>
        <v/>
      </c>
      <c r="J102" s="4" t="str">
        <f t="shared" si="3"/>
        <v/>
      </c>
    </row>
    <row r="103" spans="1:10" ht="15" x14ac:dyDescent="0.25">
      <c r="A103" s="4" t="str">
        <f t="shared" si="2"/>
        <v/>
      </c>
      <c r="B103" s="4" t="str">
        <f>IFERROR(IF(COUNTIF($B$1:$B102,INDEX(tbl_plan[ロットID],ROW()-1))&gt;0,"",INDEX(tbl_plan[ロットID],ROW()-1)),"")</f>
        <v/>
      </c>
      <c r="C103" s="4" t="str">
        <f>IF($B103="","",INDEX(tbl_plan[品番],ROW()-1))</f>
        <v/>
      </c>
      <c r="D103" s="4" t="str">
        <f>IF($B103="","",SUMIFS(tbl_ledger[数量],tbl_ledger[ロットID],$B103,tbl_ledger[イベント種類],"搬入")+SUMIFS(tbl_ledger[数量],tbl_ledger[充当先ロットID],$B103,tbl_ledger[イベント種類],"充当",tbl_ledger[元状態],D$1)-SUMIFS(tbl_ledger[数量],tbl_ledger[ロットID],$B103,tbl_ledger[元状態],D$1))</f>
        <v/>
      </c>
      <c r="E103" s="4" t="str">
        <f>IF($B103="","",SUMIFS(tbl_ledger[数量],tbl_ledger[ロットID],$B103,tbl_ledger[イベント種類],"アニール完了")+SUMIFS(tbl_ledger[数量],tbl_ledger[充当先ロットID],$B103,tbl_ledger[イベント種類],"充当",tbl_ledger[元状態],E$1)-SUMIFS(tbl_ledger[数量],tbl_ledger[ロットID],$B103,tbl_ledger[元状態],E$1))</f>
        <v/>
      </c>
      <c r="F103" s="4" t="str">
        <f>IF($B103="","",SUMIFS(tbl_ledger[数量],tbl_ledger[ロットID],$B103,tbl_ledger[イベント種類],"アセンブリ完了")+SUMIFS(tbl_ledger[数量],tbl_ledger[充当先ロットID],$B103,tbl_ledger[イベント種類],"充当",tbl_ledger[元状態],F$1)-SUMIFS(tbl_ledger[数量],tbl_ledger[ロットID],$B103,tbl_ledger[元状態],F$1))</f>
        <v/>
      </c>
      <c r="G103" s="4" t="str">
        <f>IF($B103="","",SUMIFS(tbl_ledger[数量],tbl_ledger[ロットID],$B103,tbl_ledger[イベント種類],"梱包完了")+SUMIFS(tbl_ledger[数量],tbl_ledger[充当先ロットID],$B103,tbl_ledger[イベント種類],"充当",tbl_ledger[元状態],G$1)-SUMIFS(tbl_ledger[数量],tbl_ledger[ロットID],$B103,tbl_ledger[元状態],G$1))</f>
        <v/>
      </c>
      <c r="H103" s="4" t="str">
        <f>IF($B103="","",SUMIFS(tbl_ledger[数量],tbl_ledger[ロットID],$B103,tbl_ledger[イベント種類],"発送準備完了")+SUMIFS(tbl_ledger[数量],tbl_ledger[充当先ロットID],$B103,tbl_ledger[イベント種類],"充当",tbl_ledger[元状態],H$1)-SUMIFS(tbl_ledger[数量],tbl_ledger[ロットID],$B103,tbl_ledger[元状態],H$1))</f>
        <v/>
      </c>
      <c r="I103" s="4" t="str">
        <f>IF($B103="","",SUMIFS(tbl_ledger[数量],tbl_ledger[ロットID],$B103,tbl_ledger[イベント種類],"不良発生")+SUMIFS(tbl_ledger[数量],tbl_ledger[充当先ロットID],$B103,tbl_ledger[イベント種類],"充当",tbl_ledger[元状態],I$1)-SUMIFS(tbl_ledger[数量],tbl_ledger[ロットID],$B103,tbl_ledger[元状態],I$1))</f>
        <v/>
      </c>
      <c r="J103" s="4" t="str">
        <f t="shared" si="3"/>
        <v/>
      </c>
    </row>
    <row r="104" spans="1:10" ht="15" x14ac:dyDescent="0.25">
      <c r="A104" s="4" t="str">
        <f t="shared" si="2"/>
        <v/>
      </c>
      <c r="B104" s="4" t="str">
        <f>IFERROR(IF(COUNTIF($B$1:$B103,INDEX(tbl_plan[ロットID],ROW()-1))&gt;0,"",INDEX(tbl_plan[ロットID],ROW()-1)),"")</f>
        <v/>
      </c>
      <c r="C104" s="4" t="str">
        <f>IF($B104="","",INDEX(tbl_plan[品番],ROW()-1))</f>
        <v/>
      </c>
      <c r="D104" s="4" t="str">
        <f>IF($B104="","",SUMIFS(tbl_ledger[数量],tbl_ledger[ロットID],$B104,tbl_ledger[イベント種類],"搬入")+SUMIFS(tbl_ledger[数量],tbl_ledger[充当先ロットID],$B104,tbl_ledger[イベント種類],"充当",tbl_ledger[元状態],D$1)-SUMIFS(tbl_ledger[数量],tbl_ledger[ロットID],$B104,tbl_ledger[元状態],D$1))</f>
        <v/>
      </c>
      <c r="E104" s="4" t="str">
        <f>IF($B104="","",SUMIFS(tbl_ledger[数量],tbl_ledger[ロットID],$B104,tbl_ledger[イベント種類],"アニール完了")+SUMIFS(tbl_ledger[数量],tbl_ledger[充当先ロットID],$B104,tbl_ledger[イベント種類],"充当",tbl_ledger[元状態],E$1)-SUMIFS(tbl_ledger[数量],tbl_ledger[ロットID],$B104,tbl_ledger[元状態],E$1))</f>
        <v/>
      </c>
      <c r="F104" s="4" t="str">
        <f>IF($B104="","",SUMIFS(tbl_ledger[数量],tbl_ledger[ロットID],$B104,tbl_ledger[イベント種類],"アセンブリ完了")+SUMIFS(tbl_ledger[数量],tbl_ledger[充当先ロットID],$B104,tbl_ledger[イベント種類],"充当",tbl_ledger[元状態],F$1)-SUMIFS(tbl_ledger[数量],tbl_ledger[ロットID],$B104,tbl_ledger[元状態],F$1))</f>
        <v/>
      </c>
      <c r="G104" s="4" t="str">
        <f>IF($B104="","",SUMIFS(tbl_ledger[数量],tbl_ledger[ロットID],$B104,tbl_ledger[イベント種類],"梱包完了")+SUMIFS(tbl_ledger[数量],tbl_ledger[充当先ロットID],$B104,tbl_ledger[イベント種類],"充当",tbl_ledger[元状態],G$1)-SUMIFS(tbl_ledger[数量],tbl_ledger[ロットID],$B104,tbl_ledger[元状態],G$1))</f>
        <v/>
      </c>
      <c r="H104" s="4" t="str">
        <f>IF($B104="","",SUMIFS(tbl_ledger[数量],tbl_ledger[ロットID],$B104,tbl_ledger[イベント種類],"発送準備完了")+SUMIFS(tbl_ledger[数量],tbl_ledger[充当先ロットID],$B104,tbl_ledger[イベント種類],"充当",tbl_ledger[元状態],H$1)-SUMIFS(tbl_ledger[数量],tbl_ledger[ロットID],$B104,tbl_ledger[元状態],H$1))</f>
        <v/>
      </c>
      <c r="I104" s="4" t="str">
        <f>IF($B104="","",SUMIFS(tbl_ledger[数量],tbl_ledger[ロットID],$B104,tbl_ledger[イベント種類],"不良発生")+SUMIFS(tbl_ledger[数量],tbl_ledger[充当先ロットID],$B104,tbl_ledger[イベント種類],"充当",tbl_ledger[元状態],I$1)-SUMIFS(tbl_ledger[数量],tbl_ledger[ロットID],$B104,tbl_ledger[元状態],I$1))</f>
        <v/>
      </c>
      <c r="J104" s="4" t="str">
        <f t="shared" si="3"/>
        <v/>
      </c>
    </row>
    <row r="105" spans="1:10" ht="15" x14ac:dyDescent="0.25">
      <c r="A105" s="4" t="str">
        <f t="shared" si="2"/>
        <v/>
      </c>
      <c r="B105" s="4" t="str">
        <f>IFERROR(IF(COUNTIF($B$1:$B104,INDEX(tbl_plan[ロットID],ROW()-1))&gt;0,"",INDEX(tbl_plan[ロットID],ROW()-1)),"")</f>
        <v/>
      </c>
      <c r="C105" s="4" t="str">
        <f>IF($B105="","",INDEX(tbl_plan[品番],ROW()-1))</f>
        <v/>
      </c>
      <c r="D105" s="4" t="str">
        <f>IF($B105="","",SUMIFS(tbl_ledger[数量],tbl_ledger[ロットID],$B105,tbl_ledger[イベント種類],"搬入")+SUMIFS(tbl_ledger[数量],tbl_ledger[充当先ロットID],$B105,tbl_ledger[イベント種類],"充当",tbl_ledger[元状態],D$1)-SUMIFS(tbl_ledger[数量],tbl_ledger[ロットID],$B105,tbl_ledger[元状態],D$1))</f>
        <v/>
      </c>
      <c r="E105" s="4" t="str">
        <f>IF($B105="","",SUMIFS(tbl_ledger[数量],tbl_ledger[ロットID],$B105,tbl_ledger[イベント種類],"アニール完了")+SUMIFS(tbl_ledger[数量],tbl_ledger[充当先ロットID],$B105,tbl_ledger[イベント種類],"充当",tbl_ledger[元状態],E$1)-SUMIFS(tbl_ledger[数量],tbl_ledger[ロットID],$B105,tbl_ledger[元状態],E$1))</f>
        <v/>
      </c>
      <c r="F105" s="4" t="str">
        <f>IF($B105="","",SUMIFS(tbl_ledger[数量],tbl_ledger[ロットID],$B105,tbl_ledger[イベント種類],"アセンブリ完了")+SUMIFS(tbl_ledger[数量],tbl_ledger[充当先ロットID],$B105,tbl_ledger[イベント種類],"充当",tbl_ledger[元状態],F$1)-SUMIFS(tbl_ledger[数量],tbl_ledger[ロットID],$B105,tbl_ledger[元状態],F$1))</f>
        <v/>
      </c>
      <c r="G105" s="4" t="str">
        <f>IF($B105="","",SUMIFS(tbl_ledger[数量],tbl_ledger[ロットID],$B105,tbl_ledger[イベント種類],"梱包完了")+SUMIFS(tbl_ledger[数量],tbl_ledger[充当先ロットID],$B105,tbl_ledger[イベント種類],"充当",tbl_ledger[元状態],G$1)-SUMIFS(tbl_ledger[数量],tbl_ledger[ロットID],$B105,tbl_ledger[元状態],G$1))</f>
        <v/>
      </c>
      <c r="H105" s="4" t="str">
        <f>IF($B105="","",SUMIFS(tbl_ledger[数量],tbl_ledger[ロットID],$B105,tbl_ledger[イベント種類],"発送準備完了")+SUMIFS(tbl_ledger[数量],tbl_ledger[充当先ロットID],$B105,tbl_ledger[イベント種類],"充当",tbl_ledger[元状態],H$1)-SUMIFS(tbl_ledger[数量],tbl_ledger[ロットID],$B105,tbl_ledger[元状態],H$1))</f>
        <v/>
      </c>
      <c r="I105" s="4" t="str">
        <f>IF($B105="","",SUMIFS(tbl_ledger[数量],tbl_ledger[ロットID],$B105,tbl_ledger[イベント種類],"不良発生")+SUMIFS(tbl_ledger[数量],tbl_ledger[充当先ロットID],$B105,tbl_ledger[イベント種類],"充当",tbl_ledger[元状態],I$1)-SUMIFS(tbl_ledger[数量],tbl_ledger[ロットID],$B105,tbl_ledger[元状態],I$1))</f>
        <v/>
      </c>
      <c r="J105" s="4" t="str">
        <f t="shared" si="3"/>
        <v/>
      </c>
    </row>
    <row r="106" spans="1:10" ht="15" x14ac:dyDescent="0.25">
      <c r="A106" s="4" t="str">
        <f t="shared" si="2"/>
        <v/>
      </c>
      <c r="B106" s="4" t="str">
        <f>IFERROR(IF(COUNTIF($B$1:$B105,INDEX(tbl_plan[ロットID],ROW()-1))&gt;0,"",INDEX(tbl_plan[ロットID],ROW()-1)),"")</f>
        <v/>
      </c>
      <c r="C106" s="4" t="str">
        <f>IF($B106="","",INDEX(tbl_plan[品番],ROW()-1))</f>
        <v/>
      </c>
      <c r="D106" s="4" t="str">
        <f>IF($B106="","",SUMIFS(tbl_ledger[数量],tbl_ledger[ロットID],$B106,tbl_ledger[イベント種類],"搬入")+SUMIFS(tbl_ledger[数量],tbl_ledger[充当先ロットID],$B106,tbl_ledger[イベント種類],"充当",tbl_ledger[元状態],D$1)-SUMIFS(tbl_ledger[数量],tbl_ledger[ロットID],$B106,tbl_ledger[元状態],D$1))</f>
        <v/>
      </c>
      <c r="E106" s="4" t="str">
        <f>IF($B106="","",SUMIFS(tbl_ledger[数量],tbl_ledger[ロットID],$B106,tbl_ledger[イベント種類],"アニール完了")+SUMIFS(tbl_ledger[数量],tbl_ledger[充当先ロットID],$B106,tbl_ledger[イベント種類],"充当",tbl_ledger[元状態],E$1)-SUMIFS(tbl_ledger[数量],tbl_ledger[ロットID],$B106,tbl_ledger[元状態],E$1))</f>
        <v/>
      </c>
      <c r="F106" s="4" t="str">
        <f>IF($B106="","",SUMIFS(tbl_ledger[数量],tbl_ledger[ロットID],$B106,tbl_ledger[イベント種類],"アセンブリ完了")+SUMIFS(tbl_ledger[数量],tbl_ledger[充当先ロットID],$B106,tbl_ledger[イベント種類],"充当",tbl_ledger[元状態],F$1)-SUMIFS(tbl_ledger[数量],tbl_ledger[ロットID],$B106,tbl_ledger[元状態],F$1))</f>
        <v/>
      </c>
      <c r="G106" s="4" t="str">
        <f>IF($B106="","",SUMIFS(tbl_ledger[数量],tbl_ledger[ロットID],$B106,tbl_ledger[イベント種類],"梱包完了")+SUMIFS(tbl_ledger[数量],tbl_ledger[充当先ロットID],$B106,tbl_ledger[イベント種類],"充当",tbl_ledger[元状態],G$1)-SUMIFS(tbl_ledger[数量],tbl_ledger[ロットID],$B106,tbl_ledger[元状態],G$1))</f>
        <v/>
      </c>
      <c r="H106" s="4" t="str">
        <f>IF($B106="","",SUMIFS(tbl_ledger[数量],tbl_ledger[ロットID],$B106,tbl_ledger[イベント種類],"発送準備完了")+SUMIFS(tbl_ledger[数量],tbl_ledger[充当先ロットID],$B106,tbl_ledger[イベント種類],"充当",tbl_ledger[元状態],H$1)-SUMIFS(tbl_ledger[数量],tbl_ledger[ロットID],$B106,tbl_ledger[元状態],H$1))</f>
        <v/>
      </c>
      <c r="I106" s="4" t="str">
        <f>IF($B106="","",SUMIFS(tbl_ledger[数量],tbl_ledger[ロットID],$B106,tbl_ledger[イベント種類],"不良発生")+SUMIFS(tbl_ledger[数量],tbl_ledger[充当先ロットID],$B106,tbl_ledger[イベント種類],"充当",tbl_ledger[元状態],I$1)-SUMIFS(tbl_ledger[数量],tbl_ledger[ロットID],$B106,tbl_ledger[元状態],I$1))</f>
        <v/>
      </c>
      <c r="J106" s="4" t="str">
        <f t="shared" si="3"/>
        <v/>
      </c>
    </row>
    <row r="107" spans="1:10" ht="15" x14ac:dyDescent="0.25">
      <c r="A107" s="4" t="str">
        <f t="shared" si="2"/>
        <v/>
      </c>
      <c r="B107" s="4" t="str">
        <f>IFERROR(IF(COUNTIF($B$1:$B106,INDEX(tbl_plan[ロットID],ROW()-1))&gt;0,"",INDEX(tbl_plan[ロットID],ROW()-1)),"")</f>
        <v/>
      </c>
      <c r="C107" s="4" t="str">
        <f>IF($B107="","",INDEX(tbl_plan[品番],ROW()-1))</f>
        <v/>
      </c>
      <c r="D107" s="4" t="str">
        <f>IF($B107="","",SUMIFS(tbl_ledger[数量],tbl_ledger[ロットID],$B107,tbl_ledger[イベント種類],"搬入")+SUMIFS(tbl_ledger[数量],tbl_ledger[充当先ロットID],$B107,tbl_ledger[イベント種類],"充当",tbl_ledger[元状態],D$1)-SUMIFS(tbl_ledger[数量],tbl_ledger[ロットID],$B107,tbl_ledger[元状態],D$1))</f>
        <v/>
      </c>
      <c r="E107" s="4" t="str">
        <f>IF($B107="","",SUMIFS(tbl_ledger[数量],tbl_ledger[ロットID],$B107,tbl_ledger[イベント種類],"アニール完了")+SUMIFS(tbl_ledger[数量],tbl_ledger[充当先ロットID],$B107,tbl_ledger[イベント種類],"充当",tbl_ledger[元状態],E$1)-SUMIFS(tbl_ledger[数量],tbl_ledger[ロットID],$B107,tbl_ledger[元状態],E$1))</f>
        <v/>
      </c>
      <c r="F107" s="4" t="str">
        <f>IF($B107="","",SUMIFS(tbl_ledger[数量],tbl_ledger[ロットID],$B107,tbl_ledger[イベント種類],"アセンブリ完了")+SUMIFS(tbl_ledger[数量],tbl_ledger[充当先ロットID],$B107,tbl_ledger[イベント種類],"充当",tbl_ledger[元状態],F$1)-SUMIFS(tbl_ledger[数量],tbl_ledger[ロットID],$B107,tbl_ledger[元状態],F$1))</f>
        <v/>
      </c>
      <c r="G107" s="4" t="str">
        <f>IF($B107="","",SUMIFS(tbl_ledger[数量],tbl_ledger[ロットID],$B107,tbl_ledger[イベント種類],"梱包完了")+SUMIFS(tbl_ledger[数量],tbl_ledger[充当先ロットID],$B107,tbl_ledger[イベント種類],"充当",tbl_ledger[元状態],G$1)-SUMIFS(tbl_ledger[数量],tbl_ledger[ロットID],$B107,tbl_ledger[元状態],G$1))</f>
        <v/>
      </c>
      <c r="H107" s="4" t="str">
        <f>IF($B107="","",SUMIFS(tbl_ledger[数量],tbl_ledger[ロットID],$B107,tbl_ledger[イベント種類],"発送準備完了")+SUMIFS(tbl_ledger[数量],tbl_ledger[充当先ロットID],$B107,tbl_ledger[イベント種類],"充当",tbl_ledger[元状態],H$1)-SUMIFS(tbl_ledger[数量],tbl_ledger[ロットID],$B107,tbl_ledger[元状態],H$1))</f>
        <v/>
      </c>
      <c r="I107" s="4" t="str">
        <f>IF($B107="","",SUMIFS(tbl_ledger[数量],tbl_ledger[ロットID],$B107,tbl_ledger[イベント種類],"不良発生")+SUMIFS(tbl_ledger[数量],tbl_ledger[充当先ロットID],$B107,tbl_ledger[イベント種類],"充当",tbl_ledger[元状態],I$1)-SUMIFS(tbl_ledger[数量],tbl_ledger[ロットID],$B107,tbl_ledger[元状態],I$1))</f>
        <v/>
      </c>
      <c r="J107" s="4" t="str">
        <f t="shared" si="3"/>
        <v/>
      </c>
    </row>
    <row r="108" spans="1:10" ht="15" x14ac:dyDescent="0.25">
      <c r="A108" s="4" t="str">
        <f t="shared" si="2"/>
        <v/>
      </c>
      <c r="B108" s="4" t="str">
        <f>IFERROR(IF(COUNTIF($B$1:$B107,INDEX(tbl_plan[ロットID],ROW()-1))&gt;0,"",INDEX(tbl_plan[ロットID],ROW()-1)),"")</f>
        <v/>
      </c>
      <c r="C108" s="4" t="str">
        <f>IF($B108="","",INDEX(tbl_plan[品番],ROW()-1))</f>
        <v/>
      </c>
      <c r="D108" s="4" t="str">
        <f>IF($B108="","",SUMIFS(tbl_ledger[数量],tbl_ledger[ロットID],$B108,tbl_ledger[イベント種類],"搬入")+SUMIFS(tbl_ledger[数量],tbl_ledger[充当先ロットID],$B108,tbl_ledger[イベント種類],"充当",tbl_ledger[元状態],D$1)-SUMIFS(tbl_ledger[数量],tbl_ledger[ロットID],$B108,tbl_ledger[元状態],D$1))</f>
        <v/>
      </c>
      <c r="E108" s="4" t="str">
        <f>IF($B108="","",SUMIFS(tbl_ledger[数量],tbl_ledger[ロットID],$B108,tbl_ledger[イベント種類],"アニール完了")+SUMIFS(tbl_ledger[数量],tbl_ledger[充当先ロットID],$B108,tbl_ledger[イベント種類],"充当",tbl_ledger[元状態],E$1)-SUMIFS(tbl_ledger[数量],tbl_ledger[ロットID],$B108,tbl_ledger[元状態],E$1))</f>
        <v/>
      </c>
      <c r="F108" s="4" t="str">
        <f>IF($B108="","",SUMIFS(tbl_ledger[数量],tbl_ledger[ロットID],$B108,tbl_ledger[イベント種類],"アセンブリ完了")+SUMIFS(tbl_ledger[数量],tbl_ledger[充当先ロットID],$B108,tbl_ledger[イベント種類],"充当",tbl_ledger[元状態],F$1)-SUMIFS(tbl_ledger[数量],tbl_ledger[ロットID],$B108,tbl_ledger[元状態],F$1))</f>
        <v/>
      </c>
      <c r="G108" s="4" t="str">
        <f>IF($B108="","",SUMIFS(tbl_ledger[数量],tbl_ledger[ロットID],$B108,tbl_ledger[イベント種類],"梱包完了")+SUMIFS(tbl_ledger[数量],tbl_ledger[充当先ロットID],$B108,tbl_ledger[イベント種類],"充当",tbl_ledger[元状態],G$1)-SUMIFS(tbl_ledger[数量],tbl_ledger[ロットID],$B108,tbl_ledger[元状態],G$1))</f>
        <v/>
      </c>
      <c r="H108" s="4" t="str">
        <f>IF($B108="","",SUMIFS(tbl_ledger[数量],tbl_ledger[ロットID],$B108,tbl_ledger[イベント種類],"発送準備完了")+SUMIFS(tbl_ledger[数量],tbl_ledger[充当先ロットID],$B108,tbl_ledger[イベント種類],"充当",tbl_ledger[元状態],H$1)-SUMIFS(tbl_ledger[数量],tbl_ledger[ロットID],$B108,tbl_ledger[元状態],H$1))</f>
        <v/>
      </c>
      <c r="I108" s="4" t="str">
        <f>IF($B108="","",SUMIFS(tbl_ledger[数量],tbl_ledger[ロットID],$B108,tbl_ledger[イベント種類],"不良発生")+SUMIFS(tbl_ledger[数量],tbl_ledger[充当先ロットID],$B108,tbl_ledger[イベント種類],"充当",tbl_ledger[元状態],I$1)-SUMIFS(tbl_ledger[数量],tbl_ledger[ロットID],$B108,tbl_ledger[元状態],I$1))</f>
        <v/>
      </c>
      <c r="J108" s="4" t="str">
        <f t="shared" si="3"/>
        <v/>
      </c>
    </row>
    <row r="109" spans="1:10" ht="15" x14ac:dyDescent="0.25">
      <c r="A109" s="4" t="str">
        <f t="shared" si="2"/>
        <v/>
      </c>
      <c r="B109" s="4" t="str">
        <f>IFERROR(IF(COUNTIF($B$1:$B108,INDEX(tbl_plan[ロットID],ROW()-1))&gt;0,"",INDEX(tbl_plan[ロットID],ROW()-1)),"")</f>
        <v/>
      </c>
      <c r="C109" s="4" t="str">
        <f>IF($B109="","",INDEX(tbl_plan[品番],ROW()-1))</f>
        <v/>
      </c>
      <c r="D109" s="4" t="str">
        <f>IF($B109="","",SUMIFS(tbl_ledger[数量],tbl_ledger[ロットID],$B109,tbl_ledger[イベント種類],"搬入")+SUMIFS(tbl_ledger[数量],tbl_ledger[充当先ロットID],$B109,tbl_ledger[イベント種類],"充当",tbl_ledger[元状態],D$1)-SUMIFS(tbl_ledger[数量],tbl_ledger[ロットID],$B109,tbl_ledger[元状態],D$1))</f>
        <v/>
      </c>
      <c r="E109" s="4" t="str">
        <f>IF($B109="","",SUMIFS(tbl_ledger[数量],tbl_ledger[ロットID],$B109,tbl_ledger[イベント種類],"アニール完了")+SUMIFS(tbl_ledger[数量],tbl_ledger[充当先ロットID],$B109,tbl_ledger[イベント種類],"充当",tbl_ledger[元状態],E$1)-SUMIFS(tbl_ledger[数量],tbl_ledger[ロットID],$B109,tbl_ledger[元状態],E$1))</f>
        <v/>
      </c>
      <c r="F109" s="4" t="str">
        <f>IF($B109="","",SUMIFS(tbl_ledger[数量],tbl_ledger[ロットID],$B109,tbl_ledger[イベント種類],"アセンブリ完了")+SUMIFS(tbl_ledger[数量],tbl_ledger[充当先ロットID],$B109,tbl_ledger[イベント種類],"充当",tbl_ledger[元状態],F$1)-SUMIFS(tbl_ledger[数量],tbl_ledger[ロットID],$B109,tbl_ledger[元状態],F$1))</f>
        <v/>
      </c>
      <c r="G109" s="4" t="str">
        <f>IF($B109="","",SUMIFS(tbl_ledger[数量],tbl_ledger[ロットID],$B109,tbl_ledger[イベント種類],"梱包完了")+SUMIFS(tbl_ledger[数量],tbl_ledger[充当先ロットID],$B109,tbl_ledger[イベント種類],"充当",tbl_ledger[元状態],G$1)-SUMIFS(tbl_ledger[数量],tbl_ledger[ロットID],$B109,tbl_ledger[元状態],G$1))</f>
        <v/>
      </c>
      <c r="H109" s="4" t="str">
        <f>IF($B109="","",SUMIFS(tbl_ledger[数量],tbl_ledger[ロットID],$B109,tbl_ledger[イベント種類],"発送準備完了")+SUMIFS(tbl_ledger[数量],tbl_ledger[充当先ロットID],$B109,tbl_ledger[イベント種類],"充当",tbl_ledger[元状態],H$1)-SUMIFS(tbl_ledger[数量],tbl_ledger[ロットID],$B109,tbl_ledger[元状態],H$1))</f>
        <v/>
      </c>
      <c r="I109" s="4" t="str">
        <f>IF($B109="","",SUMIFS(tbl_ledger[数量],tbl_ledger[ロットID],$B109,tbl_ledger[イベント種類],"不良発生")+SUMIFS(tbl_ledger[数量],tbl_ledger[充当先ロットID],$B109,tbl_ledger[イベント種類],"充当",tbl_ledger[元状態],I$1)-SUMIFS(tbl_ledger[数量],tbl_ledger[ロットID],$B109,tbl_ledger[元状態],I$1))</f>
        <v/>
      </c>
      <c r="J109" s="4" t="str">
        <f t="shared" si="3"/>
        <v/>
      </c>
    </row>
    <row r="110" spans="1:10" ht="15" x14ac:dyDescent="0.25">
      <c r="A110" s="4" t="str">
        <f t="shared" si="2"/>
        <v/>
      </c>
      <c r="B110" s="4" t="str">
        <f>IFERROR(IF(COUNTIF($B$1:$B109,INDEX(tbl_plan[ロットID],ROW()-1))&gt;0,"",INDEX(tbl_plan[ロットID],ROW()-1)),"")</f>
        <v/>
      </c>
      <c r="C110" s="4" t="str">
        <f>IF($B110="","",INDEX(tbl_plan[品番],ROW()-1))</f>
        <v/>
      </c>
      <c r="D110" s="4" t="str">
        <f>IF($B110="","",SUMIFS(tbl_ledger[数量],tbl_ledger[ロットID],$B110,tbl_ledger[イベント種類],"搬入")+SUMIFS(tbl_ledger[数量],tbl_ledger[充当先ロットID],$B110,tbl_ledger[イベント種類],"充当",tbl_ledger[元状態],D$1)-SUMIFS(tbl_ledger[数量],tbl_ledger[ロットID],$B110,tbl_ledger[元状態],D$1))</f>
        <v/>
      </c>
      <c r="E110" s="4" t="str">
        <f>IF($B110="","",SUMIFS(tbl_ledger[数量],tbl_ledger[ロットID],$B110,tbl_ledger[イベント種類],"アニール完了")+SUMIFS(tbl_ledger[数量],tbl_ledger[充当先ロットID],$B110,tbl_ledger[イベント種類],"充当",tbl_ledger[元状態],E$1)-SUMIFS(tbl_ledger[数量],tbl_ledger[ロットID],$B110,tbl_ledger[元状態],E$1))</f>
        <v/>
      </c>
      <c r="F110" s="4" t="str">
        <f>IF($B110="","",SUMIFS(tbl_ledger[数量],tbl_ledger[ロットID],$B110,tbl_ledger[イベント種類],"アセンブリ完了")+SUMIFS(tbl_ledger[数量],tbl_ledger[充当先ロットID],$B110,tbl_ledger[イベント種類],"充当",tbl_ledger[元状態],F$1)-SUMIFS(tbl_ledger[数量],tbl_ledger[ロットID],$B110,tbl_ledger[元状態],F$1))</f>
        <v/>
      </c>
      <c r="G110" s="4" t="str">
        <f>IF($B110="","",SUMIFS(tbl_ledger[数量],tbl_ledger[ロットID],$B110,tbl_ledger[イベント種類],"梱包完了")+SUMIFS(tbl_ledger[数量],tbl_ledger[充当先ロットID],$B110,tbl_ledger[イベント種類],"充当",tbl_ledger[元状態],G$1)-SUMIFS(tbl_ledger[数量],tbl_ledger[ロットID],$B110,tbl_ledger[元状態],G$1))</f>
        <v/>
      </c>
      <c r="H110" s="4" t="str">
        <f>IF($B110="","",SUMIFS(tbl_ledger[数量],tbl_ledger[ロットID],$B110,tbl_ledger[イベント種類],"発送準備完了")+SUMIFS(tbl_ledger[数量],tbl_ledger[充当先ロットID],$B110,tbl_ledger[イベント種類],"充当",tbl_ledger[元状態],H$1)-SUMIFS(tbl_ledger[数量],tbl_ledger[ロットID],$B110,tbl_ledger[元状態],H$1))</f>
        <v/>
      </c>
      <c r="I110" s="4" t="str">
        <f>IF($B110="","",SUMIFS(tbl_ledger[数量],tbl_ledger[ロットID],$B110,tbl_ledger[イベント種類],"不良発生")+SUMIFS(tbl_ledger[数量],tbl_ledger[充当先ロットID],$B110,tbl_ledger[イベント種類],"充当",tbl_ledger[元状態],I$1)-SUMIFS(tbl_ledger[数量],tbl_ledger[ロットID],$B110,tbl_ledger[元状態],I$1))</f>
        <v/>
      </c>
      <c r="J110" s="4" t="str">
        <f t="shared" si="3"/>
        <v/>
      </c>
    </row>
    <row r="111" spans="1:10" ht="15" x14ac:dyDescent="0.25">
      <c r="A111" s="4" t="str">
        <f t="shared" si="2"/>
        <v/>
      </c>
      <c r="B111" s="4" t="str">
        <f>IFERROR(IF(COUNTIF($B$1:$B110,INDEX(tbl_plan[ロットID],ROW()-1))&gt;0,"",INDEX(tbl_plan[ロットID],ROW()-1)),"")</f>
        <v/>
      </c>
      <c r="C111" s="4" t="str">
        <f>IF($B111="","",INDEX(tbl_plan[品番],ROW()-1))</f>
        <v/>
      </c>
      <c r="D111" s="4" t="str">
        <f>IF($B111="","",SUMIFS(tbl_ledger[数量],tbl_ledger[ロットID],$B111,tbl_ledger[イベント種類],"搬入")+SUMIFS(tbl_ledger[数量],tbl_ledger[充当先ロットID],$B111,tbl_ledger[イベント種類],"充当",tbl_ledger[元状態],D$1)-SUMIFS(tbl_ledger[数量],tbl_ledger[ロットID],$B111,tbl_ledger[元状態],D$1))</f>
        <v/>
      </c>
      <c r="E111" s="4" t="str">
        <f>IF($B111="","",SUMIFS(tbl_ledger[数量],tbl_ledger[ロットID],$B111,tbl_ledger[イベント種類],"アニール完了")+SUMIFS(tbl_ledger[数量],tbl_ledger[充当先ロットID],$B111,tbl_ledger[イベント種類],"充当",tbl_ledger[元状態],E$1)-SUMIFS(tbl_ledger[数量],tbl_ledger[ロットID],$B111,tbl_ledger[元状態],E$1))</f>
        <v/>
      </c>
      <c r="F111" s="4" t="str">
        <f>IF($B111="","",SUMIFS(tbl_ledger[数量],tbl_ledger[ロットID],$B111,tbl_ledger[イベント種類],"アセンブリ完了")+SUMIFS(tbl_ledger[数量],tbl_ledger[充当先ロットID],$B111,tbl_ledger[イベント種類],"充当",tbl_ledger[元状態],F$1)-SUMIFS(tbl_ledger[数量],tbl_ledger[ロットID],$B111,tbl_ledger[元状態],F$1))</f>
        <v/>
      </c>
      <c r="G111" s="4" t="str">
        <f>IF($B111="","",SUMIFS(tbl_ledger[数量],tbl_ledger[ロットID],$B111,tbl_ledger[イベント種類],"梱包完了")+SUMIFS(tbl_ledger[数量],tbl_ledger[充当先ロットID],$B111,tbl_ledger[イベント種類],"充当",tbl_ledger[元状態],G$1)-SUMIFS(tbl_ledger[数量],tbl_ledger[ロットID],$B111,tbl_ledger[元状態],G$1))</f>
        <v/>
      </c>
      <c r="H111" s="4" t="str">
        <f>IF($B111="","",SUMIFS(tbl_ledger[数量],tbl_ledger[ロットID],$B111,tbl_ledger[イベント種類],"発送準備完了")+SUMIFS(tbl_ledger[数量],tbl_ledger[充当先ロットID],$B111,tbl_ledger[イベント種類],"充当",tbl_ledger[元状態],H$1)-SUMIFS(tbl_ledger[数量],tbl_ledger[ロットID],$B111,tbl_ledger[元状態],H$1))</f>
        <v/>
      </c>
      <c r="I111" s="4" t="str">
        <f>IF($B111="","",SUMIFS(tbl_ledger[数量],tbl_ledger[ロットID],$B111,tbl_ledger[イベント種類],"不良発生")+SUMIFS(tbl_ledger[数量],tbl_ledger[充当先ロットID],$B111,tbl_ledger[イベント種類],"充当",tbl_ledger[元状態],I$1)-SUMIFS(tbl_ledger[数量],tbl_ledger[ロットID],$B111,tbl_ledger[元状態],I$1))</f>
        <v/>
      </c>
      <c r="J111" s="4" t="str">
        <f t="shared" si="3"/>
        <v/>
      </c>
    </row>
    <row r="112" spans="1:10" ht="15" x14ac:dyDescent="0.25">
      <c r="A112" s="4" t="str">
        <f t="shared" si="2"/>
        <v/>
      </c>
      <c r="B112" s="4" t="str">
        <f>IFERROR(IF(COUNTIF($B$1:$B111,INDEX(tbl_plan[ロットID],ROW()-1))&gt;0,"",INDEX(tbl_plan[ロットID],ROW()-1)),"")</f>
        <v/>
      </c>
      <c r="C112" s="4" t="str">
        <f>IF($B112="","",INDEX(tbl_plan[品番],ROW()-1))</f>
        <v/>
      </c>
      <c r="D112" s="4" t="str">
        <f>IF($B112="","",SUMIFS(tbl_ledger[数量],tbl_ledger[ロットID],$B112,tbl_ledger[イベント種類],"搬入")+SUMIFS(tbl_ledger[数量],tbl_ledger[充当先ロットID],$B112,tbl_ledger[イベント種類],"充当",tbl_ledger[元状態],D$1)-SUMIFS(tbl_ledger[数量],tbl_ledger[ロットID],$B112,tbl_ledger[元状態],D$1))</f>
        <v/>
      </c>
      <c r="E112" s="4" t="str">
        <f>IF($B112="","",SUMIFS(tbl_ledger[数量],tbl_ledger[ロットID],$B112,tbl_ledger[イベント種類],"アニール完了")+SUMIFS(tbl_ledger[数量],tbl_ledger[充当先ロットID],$B112,tbl_ledger[イベント種類],"充当",tbl_ledger[元状態],E$1)-SUMIFS(tbl_ledger[数量],tbl_ledger[ロットID],$B112,tbl_ledger[元状態],E$1))</f>
        <v/>
      </c>
      <c r="F112" s="4" t="str">
        <f>IF($B112="","",SUMIFS(tbl_ledger[数量],tbl_ledger[ロットID],$B112,tbl_ledger[イベント種類],"アセンブリ完了")+SUMIFS(tbl_ledger[数量],tbl_ledger[充当先ロットID],$B112,tbl_ledger[イベント種類],"充当",tbl_ledger[元状態],F$1)-SUMIFS(tbl_ledger[数量],tbl_ledger[ロットID],$B112,tbl_ledger[元状態],F$1))</f>
        <v/>
      </c>
      <c r="G112" s="4" t="str">
        <f>IF($B112="","",SUMIFS(tbl_ledger[数量],tbl_ledger[ロットID],$B112,tbl_ledger[イベント種類],"梱包完了")+SUMIFS(tbl_ledger[数量],tbl_ledger[充当先ロットID],$B112,tbl_ledger[イベント種類],"充当",tbl_ledger[元状態],G$1)-SUMIFS(tbl_ledger[数量],tbl_ledger[ロットID],$B112,tbl_ledger[元状態],G$1))</f>
        <v/>
      </c>
      <c r="H112" s="4" t="str">
        <f>IF($B112="","",SUMIFS(tbl_ledger[数量],tbl_ledger[ロットID],$B112,tbl_ledger[イベント種類],"発送準備完了")+SUMIFS(tbl_ledger[数量],tbl_ledger[充当先ロットID],$B112,tbl_ledger[イベント種類],"充当",tbl_ledger[元状態],H$1)-SUMIFS(tbl_ledger[数量],tbl_ledger[ロットID],$B112,tbl_ledger[元状態],H$1))</f>
        <v/>
      </c>
      <c r="I112" s="4" t="str">
        <f>IF($B112="","",SUMIFS(tbl_ledger[数量],tbl_ledger[ロットID],$B112,tbl_ledger[イベント種類],"不良発生")+SUMIFS(tbl_ledger[数量],tbl_ledger[充当先ロットID],$B112,tbl_ledger[イベント種類],"充当",tbl_ledger[元状態],I$1)-SUMIFS(tbl_ledger[数量],tbl_ledger[ロットID],$B112,tbl_ledger[元状態],I$1))</f>
        <v/>
      </c>
      <c r="J112" s="4" t="str">
        <f t="shared" si="3"/>
        <v/>
      </c>
    </row>
    <row r="113" spans="1:10" ht="15" x14ac:dyDescent="0.25">
      <c r="A113" s="4" t="str">
        <f t="shared" si="2"/>
        <v/>
      </c>
      <c r="B113" s="4" t="str">
        <f>IFERROR(IF(COUNTIF($B$1:$B112,INDEX(tbl_plan[ロットID],ROW()-1))&gt;0,"",INDEX(tbl_plan[ロットID],ROW()-1)),"")</f>
        <v/>
      </c>
      <c r="C113" s="4" t="str">
        <f>IF($B113="","",INDEX(tbl_plan[品番],ROW()-1))</f>
        <v/>
      </c>
      <c r="D113" s="4" t="str">
        <f>IF($B113="","",SUMIFS(tbl_ledger[数量],tbl_ledger[ロットID],$B113,tbl_ledger[イベント種類],"搬入")+SUMIFS(tbl_ledger[数量],tbl_ledger[充当先ロットID],$B113,tbl_ledger[イベント種類],"充当",tbl_ledger[元状態],D$1)-SUMIFS(tbl_ledger[数量],tbl_ledger[ロットID],$B113,tbl_ledger[元状態],D$1))</f>
        <v/>
      </c>
      <c r="E113" s="4" t="str">
        <f>IF($B113="","",SUMIFS(tbl_ledger[数量],tbl_ledger[ロットID],$B113,tbl_ledger[イベント種類],"アニール完了")+SUMIFS(tbl_ledger[数量],tbl_ledger[充当先ロットID],$B113,tbl_ledger[イベント種類],"充当",tbl_ledger[元状態],E$1)-SUMIFS(tbl_ledger[数量],tbl_ledger[ロットID],$B113,tbl_ledger[元状態],E$1))</f>
        <v/>
      </c>
      <c r="F113" s="4" t="str">
        <f>IF($B113="","",SUMIFS(tbl_ledger[数量],tbl_ledger[ロットID],$B113,tbl_ledger[イベント種類],"アセンブリ完了")+SUMIFS(tbl_ledger[数量],tbl_ledger[充当先ロットID],$B113,tbl_ledger[イベント種類],"充当",tbl_ledger[元状態],F$1)-SUMIFS(tbl_ledger[数量],tbl_ledger[ロットID],$B113,tbl_ledger[元状態],F$1))</f>
        <v/>
      </c>
      <c r="G113" s="4" t="str">
        <f>IF($B113="","",SUMIFS(tbl_ledger[数量],tbl_ledger[ロットID],$B113,tbl_ledger[イベント種類],"梱包完了")+SUMIFS(tbl_ledger[数量],tbl_ledger[充当先ロットID],$B113,tbl_ledger[イベント種類],"充当",tbl_ledger[元状態],G$1)-SUMIFS(tbl_ledger[数量],tbl_ledger[ロットID],$B113,tbl_ledger[元状態],G$1))</f>
        <v/>
      </c>
      <c r="H113" s="4" t="str">
        <f>IF($B113="","",SUMIFS(tbl_ledger[数量],tbl_ledger[ロットID],$B113,tbl_ledger[イベント種類],"発送準備完了")+SUMIFS(tbl_ledger[数量],tbl_ledger[充当先ロットID],$B113,tbl_ledger[イベント種類],"充当",tbl_ledger[元状態],H$1)-SUMIFS(tbl_ledger[数量],tbl_ledger[ロットID],$B113,tbl_ledger[元状態],H$1))</f>
        <v/>
      </c>
      <c r="I113" s="4" t="str">
        <f>IF($B113="","",SUMIFS(tbl_ledger[数量],tbl_ledger[ロットID],$B113,tbl_ledger[イベント種類],"不良発生")+SUMIFS(tbl_ledger[数量],tbl_ledger[充当先ロットID],$B113,tbl_ledger[イベント種類],"充当",tbl_ledger[元状態],I$1)-SUMIFS(tbl_ledger[数量],tbl_ledger[ロットID],$B113,tbl_ledger[元状態],I$1))</f>
        <v/>
      </c>
      <c r="J113" s="4" t="str">
        <f t="shared" si="3"/>
        <v/>
      </c>
    </row>
    <row r="114" spans="1:10" ht="15" x14ac:dyDescent="0.25">
      <c r="A114" s="4" t="str">
        <f t="shared" si="2"/>
        <v/>
      </c>
      <c r="B114" s="4" t="str">
        <f>IFERROR(IF(COUNTIF($B$1:$B113,INDEX(tbl_plan[ロットID],ROW()-1))&gt;0,"",INDEX(tbl_plan[ロットID],ROW()-1)),"")</f>
        <v/>
      </c>
      <c r="C114" s="4" t="str">
        <f>IF($B114="","",INDEX(tbl_plan[品番],ROW()-1))</f>
        <v/>
      </c>
      <c r="D114" s="4" t="str">
        <f>IF($B114="","",SUMIFS(tbl_ledger[数量],tbl_ledger[ロットID],$B114,tbl_ledger[イベント種類],"搬入")+SUMIFS(tbl_ledger[数量],tbl_ledger[充当先ロットID],$B114,tbl_ledger[イベント種類],"充当",tbl_ledger[元状態],D$1)-SUMIFS(tbl_ledger[数量],tbl_ledger[ロットID],$B114,tbl_ledger[元状態],D$1))</f>
        <v/>
      </c>
      <c r="E114" s="4" t="str">
        <f>IF($B114="","",SUMIFS(tbl_ledger[数量],tbl_ledger[ロットID],$B114,tbl_ledger[イベント種類],"アニール完了")+SUMIFS(tbl_ledger[数量],tbl_ledger[充当先ロットID],$B114,tbl_ledger[イベント種類],"充当",tbl_ledger[元状態],E$1)-SUMIFS(tbl_ledger[数量],tbl_ledger[ロットID],$B114,tbl_ledger[元状態],E$1))</f>
        <v/>
      </c>
      <c r="F114" s="4" t="str">
        <f>IF($B114="","",SUMIFS(tbl_ledger[数量],tbl_ledger[ロットID],$B114,tbl_ledger[イベント種類],"アセンブリ完了")+SUMIFS(tbl_ledger[数量],tbl_ledger[充当先ロットID],$B114,tbl_ledger[イベント種類],"充当",tbl_ledger[元状態],F$1)-SUMIFS(tbl_ledger[数量],tbl_ledger[ロットID],$B114,tbl_ledger[元状態],F$1))</f>
        <v/>
      </c>
      <c r="G114" s="4" t="str">
        <f>IF($B114="","",SUMIFS(tbl_ledger[数量],tbl_ledger[ロットID],$B114,tbl_ledger[イベント種類],"梱包完了")+SUMIFS(tbl_ledger[数量],tbl_ledger[充当先ロットID],$B114,tbl_ledger[イベント種類],"充当",tbl_ledger[元状態],G$1)-SUMIFS(tbl_ledger[数量],tbl_ledger[ロットID],$B114,tbl_ledger[元状態],G$1))</f>
        <v/>
      </c>
      <c r="H114" s="4" t="str">
        <f>IF($B114="","",SUMIFS(tbl_ledger[数量],tbl_ledger[ロットID],$B114,tbl_ledger[イベント種類],"発送準備完了")+SUMIFS(tbl_ledger[数量],tbl_ledger[充当先ロットID],$B114,tbl_ledger[イベント種類],"充当",tbl_ledger[元状態],H$1)-SUMIFS(tbl_ledger[数量],tbl_ledger[ロットID],$B114,tbl_ledger[元状態],H$1))</f>
        <v/>
      </c>
      <c r="I114" s="4" t="str">
        <f>IF($B114="","",SUMIFS(tbl_ledger[数量],tbl_ledger[ロットID],$B114,tbl_ledger[イベント種類],"不良発生")+SUMIFS(tbl_ledger[数量],tbl_ledger[充当先ロットID],$B114,tbl_ledger[イベント種類],"充当",tbl_ledger[元状態],I$1)-SUMIFS(tbl_ledger[数量],tbl_ledger[ロットID],$B114,tbl_ledger[元状態],I$1))</f>
        <v/>
      </c>
      <c r="J114" s="4" t="str">
        <f t="shared" si="3"/>
        <v/>
      </c>
    </row>
    <row r="115" spans="1:10" ht="15" x14ac:dyDescent="0.25">
      <c r="A115" s="4" t="str">
        <f t="shared" si="2"/>
        <v/>
      </c>
      <c r="B115" s="4" t="str">
        <f>IFERROR(IF(COUNTIF($B$1:$B114,INDEX(tbl_plan[ロットID],ROW()-1))&gt;0,"",INDEX(tbl_plan[ロットID],ROW()-1)),"")</f>
        <v/>
      </c>
      <c r="C115" s="4" t="str">
        <f>IF($B115="","",INDEX(tbl_plan[品番],ROW()-1))</f>
        <v/>
      </c>
      <c r="D115" s="4" t="str">
        <f>IF($B115="","",SUMIFS(tbl_ledger[数量],tbl_ledger[ロットID],$B115,tbl_ledger[イベント種類],"搬入")+SUMIFS(tbl_ledger[数量],tbl_ledger[充当先ロットID],$B115,tbl_ledger[イベント種類],"充当",tbl_ledger[元状態],D$1)-SUMIFS(tbl_ledger[数量],tbl_ledger[ロットID],$B115,tbl_ledger[元状態],D$1))</f>
        <v/>
      </c>
      <c r="E115" s="4" t="str">
        <f>IF($B115="","",SUMIFS(tbl_ledger[数量],tbl_ledger[ロットID],$B115,tbl_ledger[イベント種類],"アニール完了")+SUMIFS(tbl_ledger[数量],tbl_ledger[充当先ロットID],$B115,tbl_ledger[イベント種類],"充当",tbl_ledger[元状態],E$1)-SUMIFS(tbl_ledger[数量],tbl_ledger[ロットID],$B115,tbl_ledger[元状態],E$1))</f>
        <v/>
      </c>
      <c r="F115" s="4" t="str">
        <f>IF($B115="","",SUMIFS(tbl_ledger[数量],tbl_ledger[ロットID],$B115,tbl_ledger[イベント種類],"アセンブリ完了")+SUMIFS(tbl_ledger[数量],tbl_ledger[充当先ロットID],$B115,tbl_ledger[イベント種類],"充当",tbl_ledger[元状態],F$1)-SUMIFS(tbl_ledger[数量],tbl_ledger[ロットID],$B115,tbl_ledger[元状態],F$1))</f>
        <v/>
      </c>
      <c r="G115" s="4" t="str">
        <f>IF($B115="","",SUMIFS(tbl_ledger[数量],tbl_ledger[ロットID],$B115,tbl_ledger[イベント種類],"梱包完了")+SUMIFS(tbl_ledger[数量],tbl_ledger[充当先ロットID],$B115,tbl_ledger[イベント種類],"充当",tbl_ledger[元状態],G$1)-SUMIFS(tbl_ledger[数量],tbl_ledger[ロットID],$B115,tbl_ledger[元状態],G$1))</f>
        <v/>
      </c>
      <c r="H115" s="4" t="str">
        <f>IF($B115="","",SUMIFS(tbl_ledger[数量],tbl_ledger[ロットID],$B115,tbl_ledger[イベント種類],"発送準備完了")+SUMIFS(tbl_ledger[数量],tbl_ledger[充当先ロットID],$B115,tbl_ledger[イベント種類],"充当",tbl_ledger[元状態],H$1)-SUMIFS(tbl_ledger[数量],tbl_ledger[ロットID],$B115,tbl_ledger[元状態],H$1))</f>
        <v/>
      </c>
      <c r="I115" s="4" t="str">
        <f>IF($B115="","",SUMIFS(tbl_ledger[数量],tbl_ledger[ロットID],$B115,tbl_ledger[イベント種類],"不良発生")+SUMIFS(tbl_ledger[数量],tbl_ledger[充当先ロットID],$B115,tbl_ledger[イベント種類],"充当",tbl_ledger[元状態],I$1)-SUMIFS(tbl_ledger[数量],tbl_ledger[ロットID],$B115,tbl_ledger[元状態],I$1))</f>
        <v/>
      </c>
      <c r="J115" s="4" t="str">
        <f t="shared" si="3"/>
        <v/>
      </c>
    </row>
    <row r="116" spans="1:10" ht="15" x14ac:dyDescent="0.25">
      <c r="A116" s="4" t="str">
        <f t="shared" si="2"/>
        <v/>
      </c>
      <c r="B116" s="4" t="str">
        <f>IFERROR(IF(COUNTIF($B$1:$B115,INDEX(tbl_plan[ロットID],ROW()-1))&gt;0,"",INDEX(tbl_plan[ロットID],ROW()-1)),"")</f>
        <v/>
      </c>
      <c r="C116" s="4" t="str">
        <f>IF($B116="","",INDEX(tbl_plan[品番],ROW()-1))</f>
        <v/>
      </c>
      <c r="D116" s="4" t="str">
        <f>IF($B116="","",SUMIFS(tbl_ledger[数量],tbl_ledger[ロットID],$B116,tbl_ledger[イベント種類],"搬入")+SUMIFS(tbl_ledger[数量],tbl_ledger[充当先ロットID],$B116,tbl_ledger[イベント種類],"充当",tbl_ledger[元状態],D$1)-SUMIFS(tbl_ledger[数量],tbl_ledger[ロットID],$B116,tbl_ledger[元状態],D$1))</f>
        <v/>
      </c>
      <c r="E116" s="4" t="str">
        <f>IF($B116="","",SUMIFS(tbl_ledger[数量],tbl_ledger[ロットID],$B116,tbl_ledger[イベント種類],"アニール完了")+SUMIFS(tbl_ledger[数量],tbl_ledger[充当先ロットID],$B116,tbl_ledger[イベント種類],"充当",tbl_ledger[元状態],E$1)-SUMIFS(tbl_ledger[数量],tbl_ledger[ロットID],$B116,tbl_ledger[元状態],E$1))</f>
        <v/>
      </c>
      <c r="F116" s="4" t="str">
        <f>IF($B116="","",SUMIFS(tbl_ledger[数量],tbl_ledger[ロットID],$B116,tbl_ledger[イベント種類],"アセンブリ完了")+SUMIFS(tbl_ledger[数量],tbl_ledger[充当先ロットID],$B116,tbl_ledger[イベント種類],"充当",tbl_ledger[元状態],F$1)-SUMIFS(tbl_ledger[数量],tbl_ledger[ロットID],$B116,tbl_ledger[元状態],F$1))</f>
        <v/>
      </c>
      <c r="G116" s="4" t="str">
        <f>IF($B116="","",SUMIFS(tbl_ledger[数量],tbl_ledger[ロットID],$B116,tbl_ledger[イベント種類],"梱包完了")+SUMIFS(tbl_ledger[数量],tbl_ledger[充当先ロットID],$B116,tbl_ledger[イベント種類],"充当",tbl_ledger[元状態],G$1)-SUMIFS(tbl_ledger[数量],tbl_ledger[ロットID],$B116,tbl_ledger[元状態],G$1))</f>
        <v/>
      </c>
      <c r="H116" s="4" t="str">
        <f>IF($B116="","",SUMIFS(tbl_ledger[数量],tbl_ledger[ロットID],$B116,tbl_ledger[イベント種類],"発送準備完了")+SUMIFS(tbl_ledger[数量],tbl_ledger[充当先ロットID],$B116,tbl_ledger[イベント種類],"充当",tbl_ledger[元状態],H$1)-SUMIFS(tbl_ledger[数量],tbl_ledger[ロットID],$B116,tbl_ledger[元状態],H$1))</f>
        <v/>
      </c>
      <c r="I116" s="4" t="str">
        <f>IF($B116="","",SUMIFS(tbl_ledger[数量],tbl_ledger[ロットID],$B116,tbl_ledger[イベント種類],"不良発生")+SUMIFS(tbl_ledger[数量],tbl_ledger[充当先ロットID],$B116,tbl_ledger[イベント種類],"充当",tbl_ledger[元状態],I$1)-SUMIFS(tbl_ledger[数量],tbl_ledger[ロットID],$B116,tbl_ledger[元状態],I$1))</f>
        <v/>
      </c>
      <c r="J116" s="4" t="str">
        <f t="shared" si="3"/>
        <v/>
      </c>
    </row>
    <row r="117" spans="1:10" ht="15" x14ac:dyDescent="0.25">
      <c r="A117" s="4" t="str">
        <f t="shared" si="2"/>
        <v/>
      </c>
      <c r="B117" s="4" t="str">
        <f>IFERROR(IF(COUNTIF($B$1:$B116,INDEX(tbl_plan[ロットID],ROW()-1))&gt;0,"",INDEX(tbl_plan[ロットID],ROW()-1)),"")</f>
        <v/>
      </c>
      <c r="C117" s="4" t="str">
        <f>IF($B117="","",INDEX(tbl_plan[品番],ROW()-1))</f>
        <v/>
      </c>
      <c r="D117" s="4" t="str">
        <f>IF($B117="","",SUMIFS(tbl_ledger[数量],tbl_ledger[ロットID],$B117,tbl_ledger[イベント種類],"搬入")+SUMIFS(tbl_ledger[数量],tbl_ledger[充当先ロットID],$B117,tbl_ledger[イベント種類],"充当",tbl_ledger[元状態],D$1)-SUMIFS(tbl_ledger[数量],tbl_ledger[ロットID],$B117,tbl_ledger[元状態],D$1))</f>
        <v/>
      </c>
      <c r="E117" s="4" t="str">
        <f>IF($B117="","",SUMIFS(tbl_ledger[数量],tbl_ledger[ロットID],$B117,tbl_ledger[イベント種類],"アニール完了")+SUMIFS(tbl_ledger[数量],tbl_ledger[充当先ロットID],$B117,tbl_ledger[イベント種類],"充当",tbl_ledger[元状態],E$1)-SUMIFS(tbl_ledger[数量],tbl_ledger[ロットID],$B117,tbl_ledger[元状態],E$1))</f>
        <v/>
      </c>
      <c r="F117" s="4" t="str">
        <f>IF($B117="","",SUMIFS(tbl_ledger[数量],tbl_ledger[ロットID],$B117,tbl_ledger[イベント種類],"アセンブリ完了")+SUMIFS(tbl_ledger[数量],tbl_ledger[充当先ロットID],$B117,tbl_ledger[イベント種類],"充当",tbl_ledger[元状態],F$1)-SUMIFS(tbl_ledger[数量],tbl_ledger[ロットID],$B117,tbl_ledger[元状態],F$1))</f>
        <v/>
      </c>
      <c r="G117" s="4" t="str">
        <f>IF($B117="","",SUMIFS(tbl_ledger[数量],tbl_ledger[ロットID],$B117,tbl_ledger[イベント種類],"梱包完了")+SUMIFS(tbl_ledger[数量],tbl_ledger[充当先ロットID],$B117,tbl_ledger[イベント種類],"充当",tbl_ledger[元状態],G$1)-SUMIFS(tbl_ledger[数量],tbl_ledger[ロットID],$B117,tbl_ledger[元状態],G$1))</f>
        <v/>
      </c>
      <c r="H117" s="4" t="str">
        <f>IF($B117="","",SUMIFS(tbl_ledger[数量],tbl_ledger[ロットID],$B117,tbl_ledger[イベント種類],"発送準備完了")+SUMIFS(tbl_ledger[数量],tbl_ledger[充当先ロットID],$B117,tbl_ledger[イベント種類],"充当",tbl_ledger[元状態],H$1)-SUMIFS(tbl_ledger[数量],tbl_ledger[ロットID],$B117,tbl_ledger[元状態],H$1))</f>
        <v/>
      </c>
      <c r="I117" s="4" t="str">
        <f>IF($B117="","",SUMIFS(tbl_ledger[数量],tbl_ledger[ロットID],$B117,tbl_ledger[イベント種類],"不良発生")+SUMIFS(tbl_ledger[数量],tbl_ledger[充当先ロットID],$B117,tbl_ledger[イベント種類],"充当",tbl_ledger[元状態],I$1)-SUMIFS(tbl_ledger[数量],tbl_ledger[ロットID],$B117,tbl_ledger[元状態],I$1))</f>
        <v/>
      </c>
      <c r="J117" s="4" t="str">
        <f t="shared" si="3"/>
        <v/>
      </c>
    </row>
    <row r="118" spans="1:10" ht="15" x14ac:dyDescent="0.25">
      <c r="A118" s="4" t="str">
        <f t="shared" si="2"/>
        <v/>
      </c>
      <c r="B118" s="4" t="str">
        <f>IFERROR(IF(COUNTIF($B$1:$B117,INDEX(tbl_plan[ロットID],ROW()-1))&gt;0,"",INDEX(tbl_plan[ロットID],ROW()-1)),"")</f>
        <v/>
      </c>
      <c r="C118" s="4" t="str">
        <f>IF($B118="","",INDEX(tbl_plan[品番],ROW()-1))</f>
        <v/>
      </c>
      <c r="D118" s="4" t="str">
        <f>IF($B118="","",SUMIFS(tbl_ledger[数量],tbl_ledger[ロットID],$B118,tbl_ledger[イベント種類],"搬入")+SUMIFS(tbl_ledger[数量],tbl_ledger[充当先ロットID],$B118,tbl_ledger[イベント種類],"充当",tbl_ledger[元状態],D$1)-SUMIFS(tbl_ledger[数量],tbl_ledger[ロットID],$B118,tbl_ledger[元状態],D$1))</f>
        <v/>
      </c>
      <c r="E118" s="4" t="str">
        <f>IF($B118="","",SUMIFS(tbl_ledger[数量],tbl_ledger[ロットID],$B118,tbl_ledger[イベント種類],"アニール完了")+SUMIFS(tbl_ledger[数量],tbl_ledger[充当先ロットID],$B118,tbl_ledger[イベント種類],"充当",tbl_ledger[元状態],E$1)-SUMIFS(tbl_ledger[数量],tbl_ledger[ロットID],$B118,tbl_ledger[元状態],E$1))</f>
        <v/>
      </c>
      <c r="F118" s="4" t="str">
        <f>IF($B118="","",SUMIFS(tbl_ledger[数量],tbl_ledger[ロットID],$B118,tbl_ledger[イベント種類],"アセンブリ完了")+SUMIFS(tbl_ledger[数量],tbl_ledger[充当先ロットID],$B118,tbl_ledger[イベント種類],"充当",tbl_ledger[元状態],F$1)-SUMIFS(tbl_ledger[数量],tbl_ledger[ロットID],$B118,tbl_ledger[元状態],F$1))</f>
        <v/>
      </c>
      <c r="G118" s="4" t="str">
        <f>IF($B118="","",SUMIFS(tbl_ledger[数量],tbl_ledger[ロットID],$B118,tbl_ledger[イベント種類],"梱包完了")+SUMIFS(tbl_ledger[数量],tbl_ledger[充当先ロットID],$B118,tbl_ledger[イベント種類],"充当",tbl_ledger[元状態],G$1)-SUMIFS(tbl_ledger[数量],tbl_ledger[ロットID],$B118,tbl_ledger[元状態],G$1))</f>
        <v/>
      </c>
      <c r="H118" s="4" t="str">
        <f>IF($B118="","",SUMIFS(tbl_ledger[数量],tbl_ledger[ロットID],$B118,tbl_ledger[イベント種類],"発送準備完了")+SUMIFS(tbl_ledger[数量],tbl_ledger[充当先ロットID],$B118,tbl_ledger[イベント種類],"充当",tbl_ledger[元状態],H$1)-SUMIFS(tbl_ledger[数量],tbl_ledger[ロットID],$B118,tbl_ledger[元状態],H$1))</f>
        <v/>
      </c>
      <c r="I118" s="4" t="str">
        <f>IF($B118="","",SUMIFS(tbl_ledger[数量],tbl_ledger[ロットID],$B118,tbl_ledger[イベント種類],"不良発生")+SUMIFS(tbl_ledger[数量],tbl_ledger[充当先ロットID],$B118,tbl_ledger[イベント種類],"充当",tbl_ledger[元状態],I$1)-SUMIFS(tbl_ledger[数量],tbl_ledger[ロットID],$B118,tbl_ledger[元状態],I$1))</f>
        <v/>
      </c>
      <c r="J118" s="4" t="str">
        <f t="shared" si="3"/>
        <v/>
      </c>
    </row>
    <row r="119" spans="1:10" ht="15" x14ac:dyDescent="0.25">
      <c r="A119" s="4" t="str">
        <f t="shared" si="2"/>
        <v/>
      </c>
      <c r="B119" s="4" t="str">
        <f>IFERROR(IF(COUNTIF($B$1:$B118,INDEX(tbl_plan[ロットID],ROW()-1))&gt;0,"",INDEX(tbl_plan[ロットID],ROW()-1)),"")</f>
        <v/>
      </c>
      <c r="C119" s="4" t="str">
        <f>IF($B119="","",INDEX(tbl_plan[品番],ROW()-1))</f>
        <v/>
      </c>
      <c r="D119" s="4" t="str">
        <f>IF($B119="","",SUMIFS(tbl_ledger[数量],tbl_ledger[ロットID],$B119,tbl_ledger[イベント種類],"搬入")+SUMIFS(tbl_ledger[数量],tbl_ledger[充当先ロットID],$B119,tbl_ledger[イベント種類],"充当",tbl_ledger[元状態],D$1)-SUMIFS(tbl_ledger[数量],tbl_ledger[ロットID],$B119,tbl_ledger[元状態],D$1))</f>
        <v/>
      </c>
      <c r="E119" s="4" t="str">
        <f>IF($B119="","",SUMIFS(tbl_ledger[数量],tbl_ledger[ロットID],$B119,tbl_ledger[イベント種類],"アニール完了")+SUMIFS(tbl_ledger[数量],tbl_ledger[充当先ロットID],$B119,tbl_ledger[イベント種類],"充当",tbl_ledger[元状態],E$1)-SUMIFS(tbl_ledger[数量],tbl_ledger[ロットID],$B119,tbl_ledger[元状態],E$1))</f>
        <v/>
      </c>
      <c r="F119" s="4" t="str">
        <f>IF($B119="","",SUMIFS(tbl_ledger[数量],tbl_ledger[ロットID],$B119,tbl_ledger[イベント種類],"アセンブリ完了")+SUMIFS(tbl_ledger[数量],tbl_ledger[充当先ロットID],$B119,tbl_ledger[イベント種類],"充当",tbl_ledger[元状態],F$1)-SUMIFS(tbl_ledger[数量],tbl_ledger[ロットID],$B119,tbl_ledger[元状態],F$1))</f>
        <v/>
      </c>
      <c r="G119" s="4" t="str">
        <f>IF($B119="","",SUMIFS(tbl_ledger[数量],tbl_ledger[ロットID],$B119,tbl_ledger[イベント種類],"梱包完了")+SUMIFS(tbl_ledger[数量],tbl_ledger[充当先ロットID],$B119,tbl_ledger[イベント種類],"充当",tbl_ledger[元状態],G$1)-SUMIFS(tbl_ledger[数量],tbl_ledger[ロットID],$B119,tbl_ledger[元状態],G$1))</f>
        <v/>
      </c>
      <c r="H119" s="4" t="str">
        <f>IF($B119="","",SUMIFS(tbl_ledger[数量],tbl_ledger[ロットID],$B119,tbl_ledger[イベント種類],"発送準備完了")+SUMIFS(tbl_ledger[数量],tbl_ledger[充当先ロットID],$B119,tbl_ledger[イベント種類],"充当",tbl_ledger[元状態],H$1)-SUMIFS(tbl_ledger[数量],tbl_ledger[ロットID],$B119,tbl_ledger[元状態],H$1))</f>
        <v/>
      </c>
      <c r="I119" s="4" t="str">
        <f>IF($B119="","",SUMIFS(tbl_ledger[数量],tbl_ledger[ロットID],$B119,tbl_ledger[イベント種類],"不良発生")+SUMIFS(tbl_ledger[数量],tbl_ledger[充当先ロットID],$B119,tbl_ledger[イベント種類],"充当",tbl_ledger[元状態],I$1)-SUMIFS(tbl_ledger[数量],tbl_ledger[ロットID],$B119,tbl_ledger[元状態],I$1))</f>
        <v/>
      </c>
      <c r="J119" s="4" t="str">
        <f t="shared" si="3"/>
        <v/>
      </c>
    </row>
    <row r="120" spans="1:10" ht="15" x14ac:dyDescent="0.25">
      <c r="A120" s="4" t="str">
        <f t="shared" si="2"/>
        <v/>
      </c>
      <c r="B120" s="4" t="str">
        <f>IFERROR(IF(COUNTIF($B$1:$B119,INDEX(tbl_plan[ロットID],ROW()-1))&gt;0,"",INDEX(tbl_plan[ロットID],ROW()-1)),"")</f>
        <v/>
      </c>
      <c r="C120" s="4" t="str">
        <f>IF($B120="","",INDEX(tbl_plan[品番],ROW()-1))</f>
        <v/>
      </c>
      <c r="D120" s="4" t="str">
        <f>IF($B120="","",SUMIFS(tbl_ledger[数量],tbl_ledger[ロットID],$B120,tbl_ledger[イベント種類],"搬入")+SUMIFS(tbl_ledger[数量],tbl_ledger[充当先ロットID],$B120,tbl_ledger[イベント種類],"充当",tbl_ledger[元状態],D$1)-SUMIFS(tbl_ledger[数量],tbl_ledger[ロットID],$B120,tbl_ledger[元状態],D$1))</f>
        <v/>
      </c>
      <c r="E120" s="4" t="str">
        <f>IF($B120="","",SUMIFS(tbl_ledger[数量],tbl_ledger[ロットID],$B120,tbl_ledger[イベント種類],"アニール完了")+SUMIFS(tbl_ledger[数量],tbl_ledger[充当先ロットID],$B120,tbl_ledger[イベント種類],"充当",tbl_ledger[元状態],E$1)-SUMIFS(tbl_ledger[数量],tbl_ledger[ロットID],$B120,tbl_ledger[元状態],E$1))</f>
        <v/>
      </c>
      <c r="F120" s="4" t="str">
        <f>IF($B120="","",SUMIFS(tbl_ledger[数量],tbl_ledger[ロットID],$B120,tbl_ledger[イベント種類],"アセンブリ完了")+SUMIFS(tbl_ledger[数量],tbl_ledger[充当先ロットID],$B120,tbl_ledger[イベント種類],"充当",tbl_ledger[元状態],F$1)-SUMIFS(tbl_ledger[数量],tbl_ledger[ロットID],$B120,tbl_ledger[元状態],F$1))</f>
        <v/>
      </c>
      <c r="G120" s="4" t="str">
        <f>IF($B120="","",SUMIFS(tbl_ledger[数量],tbl_ledger[ロットID],$B120,tbl_ledger[イベント種類],"梱包完了")+SUMIFS(tbl_ledger[数量],tbl_ledger[充当先ロットID],$B120,tbl_ledger[イベント種類],"充当",tbl_ledger[元状態],G$1)-SUMIFS(tbl_ledger[数量],tbl_ledger[ロットID],$B120,tbl_ledger[元状態],G$1))</f>
        <v/>
      </c>
      <c r="H120" s="4" t="str">
        <f>IF($B120="","",SUMIFS(tbl_ledger[数量],tbl_ledger[ロットID],$B120,tbl_ledger[イベント種類],"発送準備完了")+SUMIFS(tbl_ledger[数量],tbl_ledger[充当先ロットID],$B120,tbl_ledger[イベント種類],"充当",tbl_ledger[元状態],H$1)-SUMIFS(tbl_ledger[数量],tbl_ledger[ロットID],$B120,tbl_ledger[元状態],H$1))</f>
        <v/>
      </c>
      <c r="I120" s="4" t="str">
        <f>IF($B120="","",SUMIFS(tbl_ledger[数量],tbl_ledger[ロットID],$B120,tbl_ledger[イベント種類],"不良発生")+SUMIFS(tbl_ledger[数量],tbl_ledger[充当先ロットID],$B120,tbl_ledger[イベント種類],"充当",tbl_ledger[元状態],I$1)-SUMIFS(tbl_ledger[数量],tbl_ledger[ロットID],$B120,tbl_ledger[元状態],I$1))</f>
        <v/>
      </c>
      <c r="J120" s="4" t="str">
        <f t="shared" si="3"/>
        <v/>
      </c>
    </row>
    <row r="121" spans="1:10" ht="15" x14ac:dyDescent="0.25">
      <c r="A121" s="4" t="str">
        <f t="shared" si="2"/>
        <v/>
      </c>
      <c r="B121" s="4" t="str">
        <f>IFERROR(IF(COUNTIF($B$1:$B120,INDEX(tbl_plan[ロットID],ROW()-1))&gt;0,"",INDEX(tbl_plan[ロットID],ROW()-1)),"")</f>
        <v/>
      </c>
      <c r="C121" s="4" t="str">
        <f>IF($B121="","",INDEX(tbl_plan[品番],ROW()-1))</f>
        <v/>
      </c>
      <c r="D121" s="4" t="str">
        <f>IF($B121="","",SUMIFS(tbl_ledger[数量],tbl_ledger[ロットID],$B121,tbl_ledger[イベント種類],"搬入")+SUMIFS(tbl_ledger[数量],tbl_ledger[充当先ロットID],$B121,tbl_ledger[イベント種類],"充当",tbl_ledger[元状態],D$1)-SUMIFS(tbl_ledger[数量],tbl_ledger[ロットID],$B121,tbl_ledger[元状態],D$1))</f>
        <v/>
      </c>
      <c r="E121" s="4" t="str">
        <f>IF($B121="","",SUMIFS(tbl_ledger[数量],tbl_ledger[ロットID],$B121,tbl_ledger[イベント種類],"アニール完了")+SUMIFS(tbl_ledger[数量],tbl_ledger[充当先ロットID],$B121,tbl_ledger[イベント種類],"充当",tbl_ledger[元状態],E$1)-SUMIFS(tbl_ledger[数量],tbl_ledger[ロットID],$B121,tbl_ledger[元状態],E$1))</f>
        <v/>
      </c>
      <c r="F121" s="4" t="str">
        <f>IF($B121="","",SUMIFS(tbl_ledger[数量],tbl_ledger[ロットID],$B121,tbl_ledger[イベント種類],"アセンブリ完了")+SUMIFS(tbl_ledger[数量],tbl_ledger[充当先ロットID],$B121,tbl_ledger[イベント種類],"充当",tbl_ledger[元状態],F$1)-SUMIFS(tbl_ledger[数量],tbl_ledger[ロットID],$B121,tbl_ledger[元状態],F$1))</f>
        <v/>
      </c>
      <c r="G121" s="4" t="str">
        <f>IF($B121="","",SUMIFS(tbl_ledger[数量],tbl_ledger[ロットID],$B121,tbl_ledger[イベント種類],"梱包完了")+SUMIFS(tbl_ledger[数量],tbl_ledger[充当先ロットID],$B121,tbl_ledger[イベント種類],"充当",tbl_ledger[元状態],G$1)-SUMIFS(tbl_ledger[数量],tbl_ledger[ロットID],$B121,tbl_ledger[元状態],G$1))</f>
        <v/>
      </c>
      <c r="H121" s="4" t="str">
        <f>IF($B121="","",SUMIFS(tbl_ledger[数量],tbl_ledger[ロットID],$B121,tbl_ledger[イベント種類],"発送準備完了")+SUMIFS(tbl_ledger[数量],tbl_ledger[充当先ロットID],$B121,tbl_ledger[イベント種類],"充当",tbl_ledger[元状態],H$1)-SUMIFS(tbl_ledger[数量],tbl_ledger[ロットID],$B121,tbl_ledger[元状態],H$1))</f>
        <v/>
      </c>
      <c r="I121" s="4" t="str">
        <f>IF($B121="","",SUMIFS(tbl_ledger[数量],tbl_ledger[ロットID],$B121,tbl_ledger[イベント種類],"不良発生")+SUMIFS(tbl_ledger[数量],tbl_ledger[充当先ロットID],$B121,tbl_ledger[イベント種類],"充当",tbl_ledger[元状態],I$1)-SUMIFS(tbl_ledger[数量],tbl_ledger[ロットID],$B121,tbl_ledger[元状態],I$1))</f>
        <v/>
      </c>
      <c r="J121" s="4" t="str">
        <f t="shared" si="3"/>
        <v/>
      </c>
    </row>
    <row r="122" spans="1:10" ht="15" x14ac:dyDescent="0.25">
      <c r="A122" s="4" t="str">
        <f t="shared" si="2"/>
        <v/>
      </c>
      <c r="B122" s="4" t="str">
        <f>IFERROR(IF(COUNTIF($B$1:$B121,INDEX(tbl_plan[ロットID],ROW()-1))&gt;0,"",INDEX(tbl_plan[ロットID],ROW()-1)),"")</f>
        <v/>
      </c>
      <c r="C122" s="4" t="str">
        <f>IF($B122="","",INDEX(tbl_plan[品番],ROW()-1))</f>
        <v/>
      </c>
      <c r="D122" s="4" t="str">
        <f>IF($B122="","",SUMIFS(tbl_ledger[数量],tbl_ledger[ロットID],$B122,tbl_ledger[イベント種類],"搬入")+SUMIFS(tbl_ledger[数量],tbl_ledger[充当先ロットID],$B122,tbl_ledger[イベント種類],"充当",tbl_ledger[元状態],D$1)-SUMIFS(tbl_ledger[数量],tbl_ledger[ロットID],$B122,tbl_ledger[元状態],D$1))</f>
        <v/>
      </c>
      <c r="E122" s="4" t="str">
        <f>IF($B122="","",SUMIFS(tbl_ledger[数量],tbl_ledger[ロットID],$B122,tbl_ledger[イベント種類],"アニール完了")+SUMIFS(tbl_ledger[数量],tbl_ledger[充当先ロットID],$B122,tbl_ledger[イベント種類],"充当",tbl_ledger[元状態],E$1)-SUMIFS(tbl_ledger[数量],tbl_ledger[ロットID],$B122,tbl_ledger[元状態],E$1))</f>
        <v/>
      </c>
      <c r="F122" s="4" t="str">
        <f>IF($B122="","",SUMIFS(tbl_ledger[数量],tbl_ledger[ロットID],$B122,tbl_ledger[イベント種類],"アセンブリ完了")+SUMIFS(tbl_ledger[数量],tbl_ledger[充当先ロットID],$B122,tbl_ledger[イベント種類],"充当",tbl_ledger[元状態],F$1)-SUMIFS(tbl_ledger[数量],tbl_ledger[ロットID],$B122,tbl_ledger[元状態],F$1))</f>
        <v/>
      </c>
      <c r="G122" s="4" t="str">
        <f>IF($B122="","",SUMIFS(tbl_ledger[数量],tbl_ledger[ロットID],$B122,tbl_ledger[イベント種類],"梱包完了")+SUMIFS(tbl_ledger[数量],tbl_ledger[充当先ロットID],$B122,tbl_ledger[イベント種類],"充当",tbl_ledger[元状態],G$1)-SUMIFS(tbl_ledger[数量],tbl_ledger[ロットID],$B122,tbl_ledger[元状態],G$1))</f>
        <v/>
      </c>
      <c r="H122" s="4" t="str">
        <f>IF($B122="","",SUMIFS(tbl_ledger[数量],tbl_ledger[ロットID],$B122,tbl_ledger[イベント種類],"発送準備完了")+SUMIFS(tbl_ledger[数量],tbl_ledger[充当先ロットID],$B122,tbl_ledger[イベント種類],"充当",tbl_ledger[元状態],H$1)-SUMIFS(tbl_ledger[数量],tbl_ledger[ロットID],$B122,tbl_ledger[元状態],H$1))</f>
        <v/>
      </c>
      <c r="I122" s="4" t="str">
        <f>IF($B122="","",SUMIFS(tbl_ledger[数量],tbl_ledger[ロットID],$B122,tbl_ledger[イベント種類],"不良発生")+SUMIFS(tbl_ledger[数量],tbl_ledger[充当先ロットID],$B122,tbl_ledger[イベント種類],"充当",tbl_ledger[元状態],I$1)-SUMIFS(tbl_ledger[数量],tbl_ledger[ロットID],$B122,tbl_ledger[元状態],I$1))</f>
        <v/>
      </c>
      <c r="J122" s="4" t="str">
        <f t="shared" si="3"/>
        <v/>
      </c>
    </row>
    <row r="123" spans="1:10" ht="15" x14ac:dyDescent="0.25">
      <c r="A123" s="4" t="str">
        <f t="shared" si="2"/>
        <v/>
      </c>
      <c r="B123" s="4" t="str">
        <f>IFERROR(IF(COUNTIF($B$1:$B122,INDEX(tbl_plan[ロットID],ROW()-1))&gt;0,"",INDEX(tbl_plan[ロットID],ROW()-1)),"")</f>
        <v/>
      </c>
      <c r="C123" s="4" t="str">
        <f>IF($B123="","",INDEX(tbl_plan[品番],ROW()-1))</f>
        <v/>
      </c>
      <c r="D123" s="4" t="str">
        <f>IF($B123="","",SUMIFS(tbl_ledger[数量],tbl_ledger[ロットID],$B123,tbl_ledger[イベント種類],"搬入")+SUMIFS(tbl_ledger[数量],tbl_ledger[充当先ロットID],$B123,tbl_ledger[イベント種類],"充当",tbl_ledger[元状態],D$1)-SUMIFS(tbl_ledger[数量],tbl_ledger[ロットID],$B123,tbl_ledger[元状態],D$1))</f>
        <v/>
      </c>
      <c r="E123" s="4" t="str">
        <f>IF($B123="","",SUMIFS(tbl_ledger[数量],tbl_ledger[ロットID],$B123,tbl_ledger[イベント種類],"アニール完了")+SUMIFS(tbl_ledger[数量],tbl_ledger[充当先ロットID],$B123,tbl_ledger[イベント種類],"充当",tbl_ledger[元状態],E$1)-SUMIFS(tbl_ledger[数量],tbl_ledger[ロットID],$B123,tbl_ledger[元状態],E$1))</f>
        <v/>
      </c>
      <c r="F123" s="4" t="str">
        <f>IF($B123="","",SUMIFS(tbl_ledger[数量],tbl_ledger[ロットID],$B123,tbl_ledger[イベント種類],"アセンブリ完了")+SUMIFS(tbl_ledger[数量],tbl_ledger[充当先ロットID],$B123,tbl_ledger[イベント種類],"充当",tbl_ledger[元状態],F$1)-SUMIFS(tbl_ledger[数量],tbl_ledger[ロットID],$B123,tbl_ledger[元状態],F$1))</f>
        <v/>
      </c>
      <c r="G123" s="4" t="str">
        <f>IF($B123="","",SUMIFS(tbl_ledger[数量],tbl_ledger[ロットID],$B123,tbl_ledger[イベント種類],"梱包完了")+SUMIFS(tbl_ledger[数量],tbl_ledger[充当先ロットID],$B123,tbl_ledger[イベント種類],"充当",tbl_ledger[元状態],G$1)-SUMIFS(tbl_ledger[数量],tbl_ledger[ロットID],$B123,tbl_ledger[元状態],G$1))</f>
        <v/>
      </c>
      <c r="H123" s="4" t="str">
        <f>IF($B123="","",SUMIFS(tbl_ledger[数量],tbl_ledger[ロットID],$B123,tbl_ledger[イベント種類],"発送準備完了")+SUMIFS(tbl_ledger[数量],tbl_ledger[充当先ロットID],$B123,tbl_ledger[イベント種類],"充当",tbl_ledger[元状態],H$1)-SUMIFS(tbl_ledger[数量],tbl_ledger[ロットID],$B123,tbl_ledger[元状態],H$1))</f>
        <v/>
      </c>
      <c r="I123" s="4" t="str">
        <f>IF($B123="","",SUMIFS(tbl_ledger[数量],tbl_ledger[ロットID],$B123,tbl_ledger[イベント種類],"不良発生")+SUMIFS(tbl_ledger[数量],tbl_ledger[充当先ロットID],$B123,tbl_ledger[イベント種類],"充当",tbl_ledger[元状態],I$1)-SUMIFS(tbl_ledger[数量],tbl_ledger[ロットID],$B123,tbl_ledger[元状態],I$1))</f>
        <v/>
      </c>
      <c r="J123" s="4" t="str">
        <f t="shared" si="3"/>
        <v/>
      </c>
    </row>
    <row r="124" spans="1:10" ht="15" x14ac:dyDescent="0.25">
      <c r="A124" s="4" t="str">
        <f t="shared" si="2"/>
        <v/>
      </c>
      <c r="B124" s="4" t="str">
        <f>IFERROR(IF(COUNTIF($B$1:$B123,INDEX(tbl_plan[ロットID],ROW()-1))&gt;0,"",INDEX(tbl_plan[ロットID],ROW()-1)),"")</f>
        <v/>
      </c>
      <c r="C124" s="4" t="str">
        <f>IF($B124="","",INDEX(tbl_plan[品番],ROW()-1))</f>
        <v/>
      </c>
      <c r="D124" s="4" t="str">
        <f>IF($B124="","",SUMIFS(tbl_ledger[数量],tbl_ledger[ロットID],$B124,tbl_ledger[イベント種類],"搬入")+SUMIFS(tbl_ledger[数量],tbl_ledger[充当先ロットID],$B124,tbl_ledger[イベント種類],"充当",tbl_ledger[元状態],D$1)-SUMIFS(tbl_ledger[数量],tbl_ledger[ロットID],$B124,tbl_ledger[元状態],D$1))</f>
        <v/>
      </c>
      <c r="E124" s="4" t="str">
        <f>IF($B124="","",SUMIFS(tbl_ledger[数量],tbl_ledger[ロットID],$B124,tbl_ledger[イベント種類],"アニール完了")+SUMIFS(tbl_ledger[数量],tbl_ledger[充当先ロットID],$B124,tbl_ledger[イベント種類],"充当",tbl_ledger[元状態],E$1)-SUMIFS(tbl_ledger[数量],tbl_ledger[ロットID],$B124,tbl_ledger[元状態],E$1))</f>
        <v/>
      </c>
      <c r="F124" s="4" t="str">
        <f>IF($B124="","",SUMIFS(tbl_ledger[数量],tbl_ledger[ロットID],$B124,tbl_ledger[イベント種類],"アセンブリ完了")+SUMIFS(tbl_ledger[数量],tbl_ledger[充当先ロットID],$B124,tbl_ledger[イベント種類],"充当",tbl_ledger[元状態],F$1)-SUMIFS(tbl_ledger[数量],tbl_ledger[ロットID],$B124,tbl_ledger[元状態],F$1))</f>
        <v/>
      </c>
      <c r="G124" s="4" t="str">
        <f>IF($B124="","",SUMIFS(tbl_ledger[数量],tbl_ledger[ロットID],$B124,tbl_ledger[イベント種類],"梱包完了")+SUMIFS(tbl_ledger[数量],tbl_ledger[充当先ロットID],$B124,tbl_ledger[イベント種類],"充当",tbl_ledger[元状態],G$1)-SUMIFS(tbl_ledger[数量],tbl_ledger[ロットID],$B124,tbl_ledger[元状態],G$1))</f>
        <v/>
      </c>
      <c r="H124" s="4" t="str">
        <f>IF($B124="","",SUMIFS(tbl_ledger[数量],tbl_ledger[ロットID],$B124,tbl_ledger[イベント種類],"発送準備完了")+SUMIFS(tbl_ledger[数量],tbl_ledger[充当先ロットID],$B124,tbl_ledger[イベント種類],"充当",tbl_ledger[元状態],H$1)-SUMIFS(tbl_ledger[数量],tbl_ledger[ロットID],$B124,tbl_ledger[元状態],H$1))</f>
        <v/>
      </c>
      <c r="I124" s="4" t="str">
        <f>IF($B124="","",SUMIFS(tbl_ledger[数量],tbl_ledger[ロットID],$B124,tbl_ledger[イベント種類],"不良発生")+SUMIFS(tbl_ledger[数量],tbl_ledger[充当先ロットID],$B124,tbl_ledger[イベント種類],"充当",tbl_ledger[元状態],I$1)-SUMIFS(tbl_ledger[数量],tbl_ledger[ロットID],$B124,tbl_ledger[元状態],I$1))</f>
        <v/>
      </c>
      <c r="J124" s="4" t="str">
        <f t="shared" si="3"/>
        <v/>
      </c>
    </row>
    <row r="125" spans="1:10" ht="15" x14ac:dyDescent="0.25">
      <c r="A125" s="4" t="str">
        <f t="shared" si="2"/>
        <v/>
      </c>
      <c r="B125" s="4" t="str">
        <f>IFERROR(IF(COUNTIF($B$1:$B124,INDEX(tbl_plan[ロットID],ROW()-1))&gt;0,"",INDEX(tbl_plan[ロットID],ROW()-1)),"")</f>
        <v/>
      </c>
      <c r="C125" s="4" t="str">
        <f>IF($B125="","",INDEX(tbl_plan[品番],ROW()-1))</f>
        <v/>
      </c>
      <c r="D125" s="4" t="str">
        <f>IF($B125="","",SUMIFS(tbl_ledger[数量],tbl_ledger[ロットID],$B125,tbl_ledger[イベント種類],"搬入")+SUMIFS(tbl_ledger[数量],tbl_ledger[充当先ロットID],$B125,tbl_ledger[イベント種類],"充当",tbl_ledger[元状態],D$1)-SUMIFS(tbl_ledger[数量],tbl_ledger[ロットID],$B125,tbl_ledger[元状態],D$1))</f>
        <v/>
      </c>
      <c r="E125" s="4" t="str">
        <f>IF($B125="","",SUMIFS(tbl_ledger[数量],tbl_ledger[ロットID],$B125,tbl_ledger[イベント種類],"アニール完了")+SUMIFS(tbl_ledger[数量],tbl_ledger[充当先ロットID],$B125,tbl_ledger[イベント種類],"充当",tbl_ledger[元状態],E$1)-SUMIFS(tbl_ledger[数量],tbl_ledger[ロットID],$B125,tbl_ledger[元状態],E$1))</f>
        <v/>
      </c>
      <c r="F125" s="4" t="str">
        <f>IF($B125="","",SUMIFS(tbl_ledger[数量],tbl_ledger[ロットID],$B125,tbl_ledger[イベント種類],"アセンブリ完了")+SUMIFS(tbl_ledger[数量],tbl_ledger[充当先ロットID],$B125,tbl_ledger[イベント種類],"充当",tbl_ledger[元状態],F$1)-SUMIFS(tbl_ledger[数量],tbl_ledger[ロットID],$B125,tbl_ledger[元状態],F$1))</f>
        <v/>
      </c>
      <c r="G125" s="4" t="str">
        <f>IF($B125="","",SUMIFS(tbl_ledger[数量],tbl_ledger[ロットID],$B125,tbl_ledger[イベント種類],"梱包完了")+SUMIFS(tbl_ledger[数量],tbl_ledger[充当先ロットID],$B125,tbl_ledger[イベント種類],"充当",tbl_ledger[元状態],G$1)-SUMIFS(tbl_ledger[数量],tbl_ledger[ロットID],$B125,tbl_ledger[元状態],G$1))</f>
        <v/>
      </c>
      <c r="H125" s="4" t="str">
        <f>IF($B125="","",SUMIFS(tbl_ledger[数量],tbl_ledger[ロットID],$B125,tbl_ledger[イベント種類],"発送準備完了")+SUMIFS(tbl_ledger[数量],tbl_ledger[充当先ロットID],$B125,tbl_ledger[イベント種類],"充当",tbl_ledger[元状態],H$1)-SUMIFS(tbl_ledger[数量],tbl_ledger[ロットID],$B125,tbl_ledger[元状態],H$1))</f>
        <v/>
      </c>
      <c r="I125" s="4" t="str">
        <f>IF($B125="","",SUMIFS(tbl_ledger[数量],tbl_ledger[ロットID],$B125,tbl_ledger[イベント種類],"不良発生")+SUMIFS(tbl_ledger[数量],tbl_ledger[充当先ロットID],$B125,tbl_ledger[イベント種類],"充当",tbl_ledger[元状態],I$1)-SUMIFS(tbl_ledger[数量],tbl_ledger[ロットID],$B125,tbl_ledger[元状態],I$1))</f>
        <v/>
      </c>
      <c r="J125" s="4" t="str">
        <f t="shared" si="3"/>
        <v/>
      </c>
    </row>
    <row r="126" spans="1:10" ht="15" x14ac:dyDescent="0.25">
      <c r="A126" s="4" t="str">
        <f t="shared" si="2"/>
        <v/>
      </c>
      <c r="B126" s="4" t="str">
        <f>IFERROR(IF(COUNTIF($B$1:$B125,INDEX(tbl_plan[ロットID],ROW()-1))&gt;0,"",INDEX(tbl_plan[ロットID],ROW()-1)),"")</f>
        <v/>
      </c>
      <c r="C126" s="4" t="str">
        <f>IF($B126="","",INDEX(tbl_plan[品番],ROW()-1))</f>
        <v/>
      </c>
      <c r="D126" s="4" t="str">
        <f>IF($B126="","",SUMIFS(tbl_ledger[数量],tbl_ledger[ロットID],$B126,tbl_ledger[イベント種類],"搬入")+SUMIFS(tbl_ledger[数量],tbl_ledger[充当先ロットID],$B126,tbl_ledger[イベント種類],"充当",tbl_ledger[元状態],D$1)-SUMIFS(tbl_ledger[数量],tbl_ledger[ロットID],$B126,tbl_ledger[元状態],D$1))</f>
        <v/>
      </c>
      <c r="E126" s="4" t="str">
        <f>IF($B126="","",SUMIFS(tbl_ledger[数量],tbl_ledger[ロットID],$B126,tbl_ledger[イベント種類],"アニール完了")+SUMIFS(tbl_ledger[数量],tbl_ledger[充当先ロットID],$B126,tbl_ledger[イベント種類],"充当",tbl_ledger[元状態],E$1)-SUMIFS(tbl_ledger[数量],tbl_ledger[ロットID],$B126,tbl_ledger[元状態],E$1))</f>
        <v/>
      </c>
      <c r="F126" s="4" t="str">
        <f>IF($B126="","",SUMIFS(tbl_ledger[数量],tbl_ledger[ロットID],$B126,tbl_ledger[イベント種類],"アセンブリ完了")+SUMIFS(tbl_ledger[数量],tbl_ledger[充当先ロットID],$B126,tbl_ledger[イベント種類],"充当",tbl_ledger[元状態],F$1)-SUMIFS(tbl_ledger[数量],tbl_ledger[ロットID],$B126,tbl_ledger[元状態],F$1))</f>
        <v/>
      </c>
      <c r="G126" s="4" t="str">
        <f>IF($B126="","",SUMIFS(tbl_ledger[数量],tbl_ledger[ロットID],$B126,tbl_ledger[イベント種類],"梱包完了")+SUMIFS(tbl_ledger[数量],tbl_ledger[充当先ロットID],$B126,tbl_ledger[イベント種類],"充当",tbl_ledger[元状態],G$1)-SUMIFS(tbl_ledger[数量],tbl_ledger[ロットID],$B126,tbl_ledger[元状態],G$1))</f>
        <v/>
      </c>
      <c r="H126" s="4" t="str">
        <f>IF($B126="","",SUMIFS(tbl_ledger[数量],tbl_ledger[ロットID],$B126,tbl_ledger[イベント種類],"発送準備完了")+SUMIFS(tbl_ledger[数量],tbl_ledger[充当先ロットID],$B126,tbl_ledger[イベント種類],"充当",tbl_ledger[元状態],H$1)-SUMIFS(tbl_ledger[数量],tbl_ledger[ロットID],$B126,tbl_ledger[元状態],H$1))</f>
        <v/>
      </c>
      <c r="I126" s="4" t="str">
        <f>IF($B126="","",SUMIFS(tbl_ledger[数量],tbl_ledger[ロットID],$B126,tbl_ledger[イベント種類],"不良発生")+SUMIFS(tbl_ledger[数量],tbl_ledger[充当先ロットID],$B126,tbl_ledger[イベント種類],"充当",tbl_ledger[元状態],I$1)-SUMIFS(tbl_ledger[数量],tbl_ledger[ロットID],$B126,tbl_ledger[元状態],I$1))</f>
        <v/>
      </c>
      <c r="J126" s="4" t="str">
        <f t="shared" si="3"/>
        <v/>
      </c>
    </row>
    <row r="127" spans="1:10" ht="15" x14ac:dyDescent="0.25">
      <c r="A127" s="4" t="str">
        <f t="shared" si="2"/>
        <v/>
      </c>
      <c r="B127" s="4" t="str">
        <f>IFERROR(IF(COUNTIF($B$1:$B126,INDEX(tbl_plan[ロットID],ROW()-1))&gt;0,"",INDEX(tbl_plan[ロットID],ROW()-1)),"")</f>
        <v/>
      </c>
      <c r="C127" s="4" t="str">
        <f>IF($B127="","",INDEX(tbl_plan[品番],ROW()-1))</f>
        <v/>
      </c>
      <c r="D127" s="4" t="str">
        <f>IF($B127="","",SUMIFS(tbl_ledger[数量],tbl_ledger[ロットID],$B127,tbl_ledger[イベント種類],"搬入")+SUMIFS(tbl_ledger[数量],tbl_ledger[充当先ロットID],$B127,tbl_ledger[イベント種類],"充当",tbl_ledger[元状態],D$1)-SUMIFS(tbl_ledger[数量],tbl_ledger[ロットID],$B127,tbl_ledger[元状態],D$1))</f>
        <v/>
      </c>
      <c r="E127" s="4" t="str">
        <f>IF($B127="","",SUMIFS(tbl_ledger[数量],tbl_ledger[ロットID],$B127,tbl_ledger[イベント種類],"アニール完了")+SUMIFS(tbl_ledger[数量],tbl_ledger[充当先ロットID],$B127,tbl_ledger[イベント種類],"充当",tbl_ledger[元状態],E$1)-SUMIFS(tbl_ledger[数量],tbl_ledger[ロットID],$B127,tbl_ledger[元状態],E$1))</f>
        <v/>
      </c>
      <c r="F127" s="4" t="str">
        <f>IF($B127="","",SUMIFS(tbl_ledger[数量],tbl_ledger[ロットID],$B127,tbl_ledger[イベント種類],"アセンブリ完了")+SUMIFS(tbl_ledger[数量],tbl_ledger[充当先ロットID],$B127,tbl_ledger[イベント種類],"充当",tbl_ledger[元状態],F$1)-SUMIFS(tbl_ledger[数量],tbl_ledger[ロットID],$B127,tbl_ledger[元状態],F$1))</f>
        <v/>
      </c>
      <c r="G127" s="4" t="str">
        <f>IF($B127="","",SUMIFS(tbl_ledger[数量],tbl_ledger[ロットID],$B127,tbl_ledger[イベント種類],"梱包完了")+SUMIFS(tbl_ledger[数量],tbl_ledger[充当先ロットID],$B127,tbl_ledger[イベント種類],"充当",tbl_ledger[元状態],G$1)-SUMIFS(tbl_ledger[数量],tbl_ledger[ロットID],$B127,tbl_ledger[元状態],G$1))</f>
        <v/>
      </c>
      <c r="H127" s="4" t="str">
        <f>IF($B127="","",SUMIFS(tbl_ledger[数量],tbl_ledger[ロットID],$B127,tbl_ledger[イベント種類],"発送準備完了")+SUMIFS(tbl_ledger[数量],tbl_ledger[充当先ロットID],$B127,tbl_ledger[イベント種類],"充当",tbl_ledger[元状態],H$1)-SUMIFS(tbl_ledger[数量],tbl_ledger[ロットID],$B127,tbl_ledger[元状態],H$1))</f>
        <v/>
      </c>
      <c r="I127" s="4" t="str">
        <f>IF($B127="","",SUMIFS(tbl_ledger[数量],tbl_ledger[ロットID],$B127,tbl_ledger[イベント種類],"不良発生")+SUMIFS(tbl_ledger[数量],tbl_ledger[充当先ロットID],$B127,tbl_ledger[イベント種類],"充当",tbl_ledger[元状態],I$1)-SUMIFS(tbl_ledger[数量],tbl_ledger[ロットID],$B127,tbl_ledger[元状態],I$1))</f>
        <v/>
      </c>
      <c r="J127" s="4" t="str">
        <f t="shared" si="3"/>
        <v/>
      </c>
    </row>
    <row r="128" spans="1:10" ht="15" x14ac:dyDescent="0.25">
      <c r="A128" s="4" t="str">
        <f t="shared" si="2"/>
        <v/>
      </c>
      <c r="B128" s="4" t="str">
        <f>IFERROR(IF(COUNTIF($B$1:$B127,INDEX(tbl_plan[ロットID],ROW()-1))&gt;0,"",INDEX(tbl_plan[ロットID],ROW()-1)),"")</f>
        <v/>
      </c>
      <c r="C128" s="4" t="str">
        <f>IF($B128="","",INDEX(tbl_plan[品番],ROW()-1))</f>
        <v/>
      </c>
      <c r="D128" s="4" t="str">
        <f>IF($B128="","",SUMIFS(tbl_ledger[数量],tbl_ledger[ロットID],$B128,tbl_ledger[イベント種類],"搬入")+SUMIFS(tbl_ledger[数量],tbl_ledger[充当先ロットID],$B128,tbl_ledger[イベント種類],"充当",tbl_ledger[元状態],D$1)-SUMIFS(tbl_ledger[数量],tbl_ledger[ロットID],$B128,tbl_ledger[元状態],D$1))</f>
        <v/>
      </c>
      <c r="E128" s="4" t="str">
        <f>IF($B128="","",SUMIFS(tbl_ledger[数量],tbl_ledger[ロットID],$B128,tbl_ledger[イベント種類],"アニール完了")+SUMIFS(tbl_ledger[数量],tbl_ledger[充当先ロットID],$B128,tbl_ledger[イベント種類],"充当",tbl_ledger[元状態],E$1)-SUMIFS(tbl_ledger[数量],tbl_ledger[ロットID],$B128,tbl_ledger[元状態],E$1))</f>
        <v/>
      </c>
      <c r="F128" s="4" t="str">
        <f>IF($B128="","",SUMIFS(tbl_ledger[数量],tbl_ledger[ロットID],$B128,tbl_ledger[イベント種類],"アセンブリ完了")+SUMIFS(tbl_ledger[数量],tbl_ledger[充当先ロットID],$B128,tbl_ledger[イベント種類],"充当",tbl_ledger[元状態],F$1)-SUMIFS(tbl_ledger[数量],tbl_ledger[ロットID],$B128,tbl_ledger[元状態],F$1))</f>
        <v/>
      </c>
      <c r="G128" s="4" t="str">
        <f>IF($B128="","",SUMIFS(tbl_ledger[数量],tbl_ledger[ロットID],$B128,tbl_ledger[イベント種類],"梱包完了")+SUMIFS(tbl_ledger[数量],tbl_ledger[充当先ロットID],$B128,tbl_ledger[イベント種類],"充当",tbl_ledger[元状態],G$1)-SUMIFS(tbl_ledger[数量],tbl_ledger[ロットID],$B128,tbl_ledger[元状態],G$1))</f>
        <v/>
      </c>
      <c r="H128" s="4" t="str">
        <f>IF($B128="","",SUMIFS(tbl_ledger[数量],tbl_ledger[ロットID],$B128,tbl_ledger[イベント種類],"発送準備完了")+SUMIFS(tbl_ledger[数量],tbl_ledger[充当先ロットID],$B128,tbl_ledger[イベント種類],"充当",tbl_ledger[元状態],H$1)-SUMIFS(tbl_ledger[数量],tbl_ledger[ロットID],$B128,tbl_ledger[元状態],H$1))</f>
        <v/>
      </c>
      <c r="I128" s="4" t="str">
        <f>IF($B128="","",SUMIFS(tbl_ledger[数量],tbl_ledger[ロットID],$B128,tbl_ledger[イベント種類],"不良発生")+SUMIFS(tbl_ledger[数量],tbl_ledger[充当先ロットID],$B128,tbl_ledger[イベント種類],"充当",tbl_ledger[元状態],I$1)-SUMIFS(tbl_ledger[数量],tbl_ledger[ロットID],$B128,tbl_ledger[元状態],I$1))</f>
        <v/>
      </c>
      <c r="J128" s="4" t="str">
        <f t="shared" si="3"/>
        <v/>
      </c>
    </row>
    <row r="129" spans="1:10" ht="15" x14ac:dyDescent="0.25">
      <c r="A129" s="4" t="str">
        <f t="shared" si="2"/>
        <v/>
      </c>
      <c r="B129" s="4" t="str">
        <f>IFERROR(IF(COUNTIF($B$1:$B128,INDEX(tbl_plan[ロットID],ROW()-1))&gt;0,"",INDEX(tbl_plan[ロットID],ROW()-1)),"")</f>
        <v/>
      </c>
      <c r="C129" s="4" t="str">
        <f>IF($B129="","",INDEX(tbl_plan[品番],ROW()-1))</f>
        <v/>
      </c>
      <c r="D129" s="4" t="str">
        <f>IF($B129="","",SUMIFS(tbl_ledger[数量],tbl_ledger[ロットID],$B129,tbl_ledger[イベント種類],"搬入")+SUMIFS(tbl_ledger[数量],tbl_ledger[充当先ロットID],$B129,tbl_ledger[イベント種類],"充当",tbl_ledger[元状態],D$1)-SUMIFS(tbl_ledger[数量],tbl_ledger[ロットID],$B129,tbl_ledger[元状態],D$1))</f>
        <v/>
      </c>
      <c r="E129" s="4" t="str">
        <f>IF($B129="","",SUMIFS(tbl_ledger[数量],tbl_ledger[ロットID],$B129,tbl_ledger[イベント種類],"アニール完了")+SUMIFS(tbl_ledger[数量],tbl_ledger[充当先ロットID],$B129,tbl_ledger[イベント種類],"充当",tbl_ledger[元状態],E$1)-SUMIFS(tbl_ledger[数量],tbl_ledger[ロットID],$B129,tbl_ledger[元状態],E$1))</f>
        <v/>
      </c>
      <c r="F129" s="4" t="str">
        <f>IF($B129="","",SUMIFS(tbl_ledger[数量],tbl_ledger[ロットID],$B129,tbl_ledger[イベント種類],"アセンブリ完了")+SUMIFS(tbl_ledger[数量],tbl_ledger[充当先ロットID],$B129,tbl_ledger[イベント種類],"充当",tbl_ledger[元状態],F$1)-SUMIFS(tbl_ledger[数量],tbl_ledger[ロットID],$B129,tbl_ledger[元状態],F$1))</f>
        <v/>
      </c>
      <c r="G129" s="4" t="str">
        <f>IF($B129="","",SUMIFS(tbl_ledger[数量],tbl_ledger[ロットID],$B129,tbl_ledger[イベント種類],"梱包完了")+SUMIFS(tbl_ledger[数量],tbl_ledger[充当先ロットID],$B129,tbl_ledger[イベント種類],"充当",tbl_ledger[元状態],G$1)-SUMIFS(tbl_ledger[数量],tbl_ledger[ロットID],$B129,tbl_ledger[元状態],G$1))</f>
        <v/>
      </c>
      <c r="H129" s="4" t="str">
        <f>IF($B129="","",SUMIFS(tbl_ledger[数量],tbl_ledger[ロットID],$B129,tbl_ledger[イベント種類],"発送準備完了")+SUMIFS(tbl_ledger[数量],tbl_ledger[充当先ロットID],$B129,tbl_ledger[イベント種類],"充当",tbl_ledger[元状態],H$1)-SUMIFS(tbl_ledger[数量],tbl_ledger[ロットID],$B129,tbl_ledger[元状態],H$1))</f>
        <v/>
      </c>
      <c r="I129" s="4" t="str">
        <f>IF($B129="","",SUMIFS(tbl_ledger[数量],tbl_ledger[ロットID],$B129,tbl_ledger[イベント種類],"不良発生")+SUMIFS(tbl_ledger[数量],tbl_ledger[充当先ロットID],$B129,tbl_ledger[イベント種類],"充当",tbl_ledger[元状態],I$1)-SUMIFS(tbl_ledger[数量],tbl_ledger[ロットID],$B129,tbl_ledger[元状態],I$1))</f>
        <v/>
      </c>
      <c r="J129" s="4" t="str">
        <f t="shared" si="3"/>
        <v/>
      </c>
    </row>
    <row r="130" spans="1:10" ht="15" x14ac:dyDescent="0.25">
      <c r="A130" s="4" t="str">
        <f t="shared" ref="A130:A193" si="4">IF($B130="","","ロット")</f>
        <v/>
      </c>
      <c r="B130" s="4" t="str">
        <f>IFERROR(IF(COUNTIF($B$1:$B129,INDEX(tbl_plan[ロットID],ROW()-1))&gt;0,"",INDEX(tbl_plan[ロットID],ROW()-1)),"")</f>
        <v/>
      </c>
      <c r="C130" s="4" t="str">
        <f>IF($B130="","",INDEX(tbl_plan[品番],ROW()-1))</f>
        <v/>
      </c>
      <c r="D130" s="4" t="str">
        <f>IF($B130="","",SUMIFS(tbl_ledger[数量],tbl_ledger[ロットID],$B130,tbl_ledger[イベント種類],"搬入")+SUMIFS(tbl_ledger[数量],tbl_ledger[充当先ロットID],$B130,tbl_ledger[イベント種類],"充当",tbl_ledger[元状態],D$1)-SUMIFS(tbl_ledger[数量],tbl_ledger[ロットID],$B130,tbl_ledger[元状態],D$1))</f>
        <v/>
      </c>
      <c r="E130" s="4" t="str">
        <f>IF($B130="","",SUMIFS(tbl_ledger[数量],tbl_ledger[ロットID],$B130,tbl_ledger[イベント種類],"アニール完了")+SUMIFS(tbl_ledger[数量],tbl_ledger[充当先ロットID],$B130,tbl_ledger[イベント種類],"充当",tbl_ledger[元状態],E$1)-SUMIFS(tbl_ledger[数量],tbl_ledger[ロットID],$B130,tbl_ledger[元状態],E$1))</f>
        <v/>
      </c>
      <c r="F130" s="4" t="str">
        <f>IF($B130="","",SUMIFS(tbl_ledger[数量],tbl_ledger[ロットID],$B130,tbl_ledger[イベント種類],"アセンブリ完了")+SUMIFS(tbl_ledger[数量],tbl_ledger[充当先ロットID],$B130,tbl_ledger[イベント種類],"充当",tbl_ledger[元状態],F$1)-SUMIFS(tbl_ledger[数量],tbl_ledger[ロットID],$B130,tbl_ledger[元状態],F$1))</f>
        <v/>
      </c>
      <c r="G130" s="4" t="str">
        <f>IF($B130="","",SUMIFS(tbl_ledger[数量],tbl_ledger[ロットID],$B130,tbl_ledger[イベント種類],"梱包完了")+SUMIFS(tbl_ledger[数量],tbl_ledger[充当先ロットID],$B130,tbl_ledger[イベント種類],"充当",tbl_ledger[元状態],G$1)-SUMIFS(tbl_ledger[数量],tbl_ledger[ロットID],$B130,tbl_ledger[元状態],G$1))</f>
        <v/>
      </c>
      <c r="H130" s="4" t="str">
        <f>IF($B130="","",SUMIFS(tbl_ledger[数量],tbl_ledger[ロットID],$B130,tbl_ledger[イベント種類],"発送準備完了")+SUMIFS(tbl_ledger[数量],tbl_ledger[充当先ロットID],$B130,tbl_ledger[イベント種類],"充当",tbl_ledger[元状態],H$1)-SUMIFS(tbl_ledger[数量],tbl_ledger[ロットID],$B130,tbl_ledger[元状態],H$1))</f>
        <v/>
      </c>
      <c r="I130" s="4" t="str">
        <f>IF($B130="","",SUMIFS(tbl_ledger[数量],tbl_ledger[ロットID],$B130,tbl_ledger[イベント種類],"不良発生")+SUMIFS(tbl_ledger[数量],tbl_ledger[充当先ロットID],$B130,tbl_ledger[イベント種類],"充当",tbl_ledger[元状態],I$1)-SUMIFS(tbl_ledger[数量],tbl_ledger[ロットID],$B130,tbl_ledger[元状態],I$1))</f>
        <v/>
      </c>
      <c r="J130" s="4" t="str">
        <f t="shared" ref="J130:J193" si="5">IF($B130="","",SUM(D130:I130))</f>
        <v/>
      </c>
    </row>
    <row r="131" spans="1:10" ht="15" x14ac:dyDescent="0.25">
      <c r="A131" s="4" t="str">
        <f t="shared" si="4"/>
        <v/>
      </c>
      <c r="B131" s="4" t="str">
        <f>IFERROR(IF(COUNTIF($B$1:$B130,INDEX(tbl_plan[ロットID],ROW()-1))&gt;0,"",INDEX(tbl_plan[ロットID],ROW()-1)),"")</f>
        <v/>
      </c>
      <c r="C131" s="4" t="str">
        <f>IF($B131="","",INDEX(tbl_plan[品番],ROW()-1))</f>
        <v/>
      </c>
      <c r="D131" s="4" t="str">
        <f>IF($B131="","",SUMIFS(tbl_ledger[数量],tbl_ledger[ロットID],$B131,tbl_ledger[イベント種類],"搬入")+SUMIFS(tbl_ledger[数量],tbl_ledger[充当先ロットID],$B131,tbl_ledger[イベント種類],"充当",tbl_ledger[元状態],D$1)-SUMIFS(tbl_ledger[数量],tbl_ledger[ロットID],$B131,tbl_ledger[元状態],D$1))</f>
        <v/>
      </c>
      <c r="E131" s="4" t="str">
        <f>IF($B131="","",SUMIFS(tbl_ledger[数量],tbl_ledger[ロットID],$B131,tbl_ledger[イベント種類],"アニール完了")+SUMIFS(tbl_ledger[数量],tbl_ledger[充当先ロットID],$B131,tbl_ledger[イベント種類],"充当",tbl_ledger[元状態],E$1)-SUMIFS(tbl_ledger[数量],tbl_ledger[ロットID],$B131,tbl_ledger[元状態],E$1))</f>
        <v/>
      </c>
      <c r="F131" s="4" t="str">
        <f>IF($B131="","",SUMIFS(tbl_ledger[数量],tbl_ledger[ロットID],$B131,tbl_ledger[イベント種類],"アセンブリ完了")+SUMIFS(tbl_ledger[数量],tbl_ledger[充当先ロットID],$B131,tbl_ledger[イベント種類],"充当",tbl_ledger[元状態],F$1)-SUMIFS(tbl_ledger[数量],tbl_ledger[ロットID],$B131,tbl_ledger[元状態],F$1))</f>
        <v/>
      </c>
      <c r="G131" s="4" t="str">
        <f>IF($B131="","",SUMIFS(tbl_ledger[数量],tbl_ledger[ロットID],$B131,tbl_ledger[イベント種類],"梱包完了")+SUMIFS(tbl_ledger[数量],tbl_ledger[充当先ロットID],$B131,tbl_ledger[イベント種類],"充当",tbl_ledger[元状態],G$1)-SUMIFS(tbl_ledger[数量],tbl_ledger[ロットID],$B131,tbl_ledger[元状態],G$1))</f>
        <v/>
      </c>
      <c r="H131" s="4" t="str">
        <f>IF($B131="","",SUMIFS(tbl_ledger[数量],tbl_ledger[ロットID],$B131,tbl_ledger[イベント種類],"発送準備完了")+SUMIFS(tbl_ledger[数量],tbl_ledger[充当先ロットID],$B131,tbl_ledger[イベント種類],"充当",tbl_ledger[元状態],H$1)-SUMIFS(tbl_ledger[数量],tbl_ledger[ロットID],$B131,tbl_ledger[元状態],H$1))</f>
        <v/>
      </c>
      <c r="I131" s="4" t="str">
        <f>IF($B131="","",SUMIFS(tbl_ledger[数量],tbl_ledger[ロットID],$B131,tbl_ledger[イベント種類],"不良発生")+SUMIFS(tbl_ledger[数量],tbl_ledger[充当先ロットID],$B131,tbl_ledger[イベント種類],"充当",tbl_ledger[元状態],I$1)-SUMIFS(tbl_ledger[数量],tbl_ledger[ロットID],$B131,tbl_ledger[元状態],I$1))</f>
        <v/>
      </c>
      <c r="J131" s="4" t="str">
        <f t="shared" si="5"/>
        <v/>
      </c>
    </row>
    <row r="132" spans="1:10" ht="15" x14ac:dyDescent="0.25">
      <c r="A132" s="4" t="str">
        <f t="shared" si="4"/>
        <v/>
      </c>
      <c r="B132" s="4" t="str">
        <f>IFERROR(IF(COUNTIF($B$1:$B131,INDEX(tbl_plan[ロットID],ROW()-1))&gt;0,"",INDEX(tbl_plan[ロットID],ROW()-1)),"")</f>
        <v/>
      </c>
      <c r="C132" s="4" t="str">
        <f>IF($B132="","",INDEX(tbl_plan[品番],ROW()-1))</f>
        <v/>
      </c>
      <c r="D132" s="4" t="str">
        <f>IF($B132="","",SUMIFS(tbl_ledger[数量],tbl_ledger[ロットID],$B132,tbl_ledger[イベント種類],"搬入")+SUMIFS(tbl_ledger[数量],tbl_ledger[充当先ロットID],$B132,tbl_ledger[イベント種類],"充当",tbl_ledger[元状態],D$1)-SUMIFS(tbl_ledger[数量],tbl_ledger[ロットID],$B132,tbl_ledger[元状態],D$1))</f>
        <v/>
      </c>
      <c r="E132" s="4" t="str">
        <f>IF($B132="","",SUMIFS(tbl_ledger[数量],tbl_ledger[ロットID],$B132,tbl_ledger[イベント種類],"アニール完了")+SUMIFS(tbl_ledger[数量],tbl_ledger[充当先ロットID],$B132,tbl_ledger[イベント種類],"充当",tbl_ledger[元状態],E$1)-SUMIFS(tbl_ledger[数量],tbl_ledger[ロットID],$B132,tbl_ledger[元状態],E$1))</f>
        <v/>
      </c>
      <c r="F132" s="4" t="str">
        <f>IF($B132="","",SUMIFS(tbl_ledger[数量],tbl_ledger[ロットID],$B132,tbl_ledger[イベント種類],"アセンブリ完了")+SUMIFS(tbl_ledger[数量],tbl_ledger[充当先ロットID],$B132,tbl_ledger[イベント種類],"充当",tbl_ledger[元状態],F$1)-SUMIFS(tbl_ledger[数量],tbl_ledger[ロットID],$B132,tbl_ledger[元状態],F$1))</f>
        <v/>
      </c>
      <c r="G132" s="4" t="str">
        <f>IF($B132="","",SUMIFS(tbl_ledger[数量],tbl_ledger[ロットID],$B132,tbl_ledger[イベント種類],"梱包完了")+SUMIFS(tbl_ledger[数量],tbl_ledger[充当先ロットID],$B132,tbl_ledger[イベント種類],"充当",tbl_ledger[元状態],G$1)-SUMIFS(tbl_ledger[数量],tbl_ledger[ロットID],$B132,tbl_ledger[元状態],G$1))</f>
        <v/>
      </c>
      <c r="H132" s="4" t="str">
        <f>IF($B132="","",SUMIFS(tbl_ledger[数量],tbl_ledger[ロットID],$B132,tbl_ledger[イベント種類],"発送準備完了")+SUMIFS(tbl_ledger[数量],tbl_ledger[充当先ロットID],$B132,tbl_ledger[イベント種類],"充当",tbl_ledger[元状態],H$1)-SUMIFS(tbl_ledger[数量],tbl_ledger[ロットID],$B132,tbl_ledger[元状態],H$1))</f>
        <v/>
      </c>
      <c r="I132" s="4" t="str">
        <f>IF($B132="","",SUMIFS(tbl_ledger[数量],tbl_ledger[ロットID],$B132,tbl_ledger[イベント種類],"不良発生")+SUMIFS(tbl_ledger[数量],tbl_ledger[充当先ロットID],$B132,tbl_ledger[イベント種類],"充当",tbl_ledger[元状態],I$1)-SUMIFS(tbl_ledger[数量],tbl_ledger[ロットID],$B132,tbl_ledger[元状態],I$1))</f>
        <v/>
      </c>
      <c r="J132" s="4" t="str">
        <f t="shared" si="5"/>
        <v/>
      </c>
    </row>
    <row r="133" spans="1:10" ht="15" x14ac:dyDescent="0.25">
      <c r="A133" s="4" t="str">
        <f t="shared" si="4"/>
        <v/>
      </c>
      <c r="B133" s="4" t="str">
        <f>IFERROR(IF(COUNTIF($B$1:$B132,INDEX(tbl_plan[ロットID],ROW()-1))&gt;0,"",INDEX(tbl_plan[ロットID],ROW()-1)),"")</f>
        <v/>
      </c>
      <c r="C133" s="4" t="str">
        <f>IF($B133="","",INDEX(tbl_plan[品番],ROW()-1))</f>
        <v/>
      </c>
      <c r="D133" s="4" t="str">
        <f>IF($B133="","",SUMIFS(tbl_ledger[数量],tbl_ledger[ロットID],$B133,tbl_ledger[イベント種類],"搬入")+SUMIFS(tbl_ledger[数量],tbl_ledger[充当先ロットID],$B133,tbl_ledger[イベント種類],"充当",tbl_ledger[元状態],D$1)-SUMIFS(tbl_ledger[数量],tbl_ledger[ロットID],$B133,tbl_ledger[元状態],D$1))</f>
        <v/>
      </c>
      <c r="E133" s="4" t="str">
        <f>IF($B133="","",SUMIFS(tbl_ledger[数量],tbl_ledger[ロットID],$B133,tbl_ledger[イベント種類],"アニール完了")+SUMIFS(tbl_ledger[数量],tbl_ledger[充当先ロットID],$B133,tbl_ledger[イベント種類],"充当",tbl_ledger[元状態],E$1)-SUMIFS(tbl_ledger[数量],tbl_ledger[ロットID],$B133,tbl_ledger[元状態],E$1))</f>
        <v/>
      </c>
      <c r="F133" s="4" t="str">
        <f>IF($B133="","",SUMIFS(tbl_ledger[数量],tbl_ledger[ロットID],$B133,tbl_ledger[イベント種類],"アセンブリ完了")+SUMIFS(tbl_ledger[数量],tbl_ledger[充当先ロットID],$B133,tbl_ledger[イベント種類],"充当",tbl_ledger[元状態],F$1)-SUMIFS(tbl_ledger[数量],tbl_ledger[ロットID],$B133,tbl_ledger[元状態],F$1))</f>
        <v/>
      </c>
      <c r="G133" s="4" t="str">
        <f>IF($B133="","",SUMIFS(tbl_ledger[数量],tbl_ledger[ロットID],$B133,tbl_ledger[イベント種類],"梱包完了")+SUMIFS(tbl_ledger[数量],tbl_ledger[充当先ロットID],$B133,tbl_ledger[イベント種類],"充当",tbl_ledger[元状態],G$1)-SUMIFS(tbl_ledger[数量],tbl_ledger[ロットID],$B133,tbl_ledger[元状態],G$1))</f>
        <v/>
      </c>
      <c r="H133" s="4" t="str">
        <f>IF($B133="","",SUMIFS(tbl_ledger[数量],tbl_ledger[ロットID],$B133,tbl_ledger[イベント種類],"発送準備完了")+SUMIFS(tbl_ledger[数量],tbl_ledger[充当先ロットID],$B133,tbl_ledger[イベント種類],"充当",tbl_ledger[元状態],H$1)-SUMIFS(tbl_ledger[数量],tbl_ledger[ロットID],$B133,tbl_ledger[元状態],H$1))</f>
        <v/>
      </c>
      <c r="I133" s="4" t="str">
        <f>IF($B133="","",SUMIFS(tbl_ledger[数量],tbl_ledger[ロットID],$B133,tbl_ledger[イベント種類],"不良発生")+SUMIFS(tbl_ledger[数量],tbl_ledger[充当先ロットID],$B133,tbl_ledger[イベント種類],"充当",tbl_ledger[元状態],I$1)-SUMIFS(tbl_ledger[数量],tbl_ledger[ロットID],$B133,tbl_ledger[元状態],I$1))</f>
        <v/>
      </c>
      <c r="J133" s="4" t="str">
        <f t="shared" si="5"/>
        <v/>
      </c>
    </row>
    <row r="134" spans="1:10" ht="15" x14ac:dyDescent="0.25">
      <c r="A134" s="4" t="str">
        <f t="shared" si="4"/>
        <v/>
      </c>
      <c r="B134" s="4" t="str">
        <f>IFERROR(IF(COUNTIF($B$1:$B133,INDEX(tbl_plan[ロットID],ROW()-1))&gt;0,"",INDEX(tbl_plan[ロットID],ROW()-1)),"")</f>
        <v/>
      </c>
      <c r="C134" s="4" t="str">
        <f>IF($B134="","",INDEX(tbl_plan[品番],ROW()-1))</f>
        <v/>
      </c>
      <c r="D134" s="4" t="str">
        <f>IF($B134="","",SUMIFS(tbl_ledger[数量],tbl_ledger[ロットID],$B134,tbl_ledger[イベント種類],"搬入")+SUMIFS(tbl_ledger[数量],tbl_ledger[充当先ロットID],$B134,tbl_ledger[イベント種類],"充当",tbl_ledger[元状態],D$1)-SUMIFS(tbl_ledger[数量],tbl_ledger[ロットID],$B134,tbl_ledger[元状態],D$1))</f>
        <v/>
      </c>
      <c r="E134" s="4" t="str">
        <f>IF($B134="","",SUMIFS(tbl_ledger[数量],tbl_ledger[ロットID],$B134,tbl_ledger[イベント種類],"アニール完了")+SUMIFS(tbl_ledger[数量],tbl_ledger[充当先ロットID],$B134,tbl_ledger[イベント種類],"充当",tbl_ledger[元状態],E$1)-SUMIFS(tbl_ledger[数量],tbl_ledger[ロットID],$B134,tbl_ledger[元状態],E$1))</f>
        <v/>
      </c>
      <c r="F134" s="4" t="str">
        <f>IF($B134="","",SUMIFS(tbl_ledger[数量],tbl_ledger[ロットID],$B134,tbl_ledger[イベント種類],"アセンブリ完了")+SUMIFS(tbl_ledger[数量],tbl_ledger[充当先ロットID],$B134,tbl_ledger[イベント種類],"充当",tbl_ledger[元状態],F$1)-SUMIFS(tbl_ledger[数量],tbl_ledger[ロットID],$B134,tbl_ledger[元状態],F$1))</f>
        <v/>
      </c>
      <c r="G134" s="4" t="str">
        <f>IF($B134="","",SUMIFS(tbl_ledger[数量],tbl_ledger[ロットID],$B134,tbl_ledger[イベント種類],"梱包完了")+SUMIFS(tbl_ledger[数量],tbl_ledger[充当先ロットID],$B134,tbl_ledger[イベント種類],"充当",tbl_ledger[元状態],G$1)-SUMIFS(tbl_ledger[数量],tbl_ledger[ロットID],$B134,tbl_ledger[元状態],G$1))</f>
        <v/>
      </c>
      <c r="H134" s="4" t="str">
        <f>IF($B134="","",SUMIFS(tbl_ledger[数量],tbl_ledger[ロットID],$B134,tbl_ledger[イベント種類],"発送準備完了")+SUMIFS(tbl_ledger[数量],tbl_ledger[充当先ロットID],$B134,tbl_ledger[イベント種類],"充当",tbl_ledger[元状態],H$1)-SUMIFS(tbl_ledger[数量],tbl_ledger[ロットID],$B134,tbl_ledger[元状態],H$1))</f>
        <v/>
      </c>
      <c r="I134" s="4" t="str">
        <f>IF($B134="","",SUMIFS(tbl_ledger[数量],tbl_ledger[ロットID],$B134,tbl_ledger[イベント種類],"不良発生")+SUMIFS(tbl_ledger[数量],tbl_ledger[充当先ロットID],$B134,tbl_ledger[イベント種類],"充当",tbl_ledger[元状態],I$1)-SUMIFS(tbl_ledger[数量],tbl_ledger[ロットID],$B134,tbl_ledger[元状態],I$1))</f>
        <v/>
      </c>
      <c r="J134" s="4" t="str">
        <f t="shared" si="5"/>
        <v/>
      </c>
    </row>
    <row r="135" spans="1:10" ht="15" x14ac:dyDescent="0.25">
      <c r="A135" s="4" t="str">
        <f t="shared" si="4"/>
        <v/>
      </c>
      <c r="B135" s="4" t="str">
        <f>IFERROR(IF(COUNTIF($B$1:$B134,INDEX(tbl_plan[ロットID],ROW()-1))&gt;0,"",INDEX(tbl_plan[ロットID],ROW()-1)),"")</f>
        <v/>
      </c>
      <c r="C135" s="4" t="str">
        <f>IF($B135="","",INDEX(tbl_plan[品番],ROW()-1))</f>
        <v/>
      </c>
      <c r="D135" s="4" t="str">
        <f>IF($B135="","",SUMIFS(tbl_ledger[数量],tbl_ledger[ロットID],$B135,tbl_ledger[イベント種類],"搬入")+SUMIFS(tbl_ledger[数量],tbl_ledger[充当先ロットID],$B135,tbl_ledger[イベント種類],"充当",tbl_ledger[元状態],D$1)-SUMIFS(tbl_ledger[数量],tbl_ledger[ロットID],$B135,tbl_ledger[元状態],D$1))</f>
        <v/>
      </c>
      <c r="E135" s="4" t="str">
        <f>IF($B135="","",SUMIFS(tbl_ledger[数量],tbl_ledger[ロットID],$B135,tbl_ledger[イベント種類],"アニール完了")+SUMIFS(tbl_ledger[数量],tbl_ledger[充当先ロットID],$B135,tbl_ledger[イベント種類],"充当",tbl_ledger[元状態],E$1)-SUMIFS(tbl_ledger[数量],tbl_ledger[ロットID],$B135,tbl_ledger[元状態],E$1))</f>
        <v/>
      </c>
      <c r="F135" s="4" t="str">
        <f>IF($B135="","",SUMIFS(tbl_ledger[数量],tbl_ledger[ロットID],$B135,tbl_ledger[イベント種類],"アセンブリ完了")+SUMIFS(tbl_ledger[数量],tbl_ledger[充当先ロットID],$B135,tbl_ledger[イベント種類],"充当",tbl_ledger[元状態],F$1)-SUMIFS(tbl_ledger[数量],tbl_ledger[ロットID],$B135,tbl_ledger[元状態],F$1))</f>
        <v/>
      </c>
      <c r="G135" s="4" t="str">
        <f>IF($B135="","",SUMIFS(tbl_ledger[数量],tbl_ledger[ロットID],$B135,tbl_ledger[イベント種類],"梱包完了")+SUMIFS(tbl_ledger[数量],tbl_ledger[充当先ロットID],$B135,tbl_ledger[イベント種類],"充当",tbl_ledger[元状態],G$1)-SUMIFS(tbl_ledger[数量],tbl_ledger[ロットID],$B135,tbl_ledger[元状態],G$1))</f>
        <v/>
      </c>
      <c r="H135" s="4" t="str">
        <f>IF($B135="","",SUMIFS(tbl_ledger[数量],tbl_ledger[ロットID],$B135,tbl_ledger[イベント種類],"発送準備完了")+SUMIFS(tbl_ledger[数量],tbl_ledger[充当先ロットID],$B135,tbl_ledger[イベント種類],"充当",tbl_ledger[元状態],H$1)-SUMIFS(tbl_ledger[数量],tbl_ledger[ロットID],$B135,tbl_ledger[元状態],H$1))</f>
        <v/>
      </c>
      <c r="I135" s="4" t="str">
        <f>IF($B135="","",SUMIFS(tbl_ledger[数量],tbl_ledger[ロットID],$B135,tbl_ledger[イベント種類],"不良発生")+SUMIFS(tbl_ledger[数量],tbl_ledger[充当先ロットID],$B135,tbl_ledger[イベント種類],"充当",tbl_ledger[元状態],I$1)-SUMIFS(tbl_ledger[数量],tbl_ledger[ロットID],$B135,tbl_ledger[元状態],I$1))</f>
        <v/>
      </c>
      <c r="J135" s="4" t="str">
        <f t="shared" si="5"/>
        <v/>
      </c>
    </row>
    <row r="136" spans="1:10" ht="15" x14ac:dyDescent="0.25">
      <c r="A136" s="4" t="str">
        <f t="shared" si="4"/>
        <v/>
      </c>
      <c r="B136" s="4" t="str">
        <f>IFERROR(IF(COUNTIF($B$1:$B135,INDEX(tbl_plan[ロットID],ROW()-1))&gt;0,"",INDEX(tbl_plan[ロットID],ROW()-1)),"")</f>
        <v/>
      </c>
      <c r="C136" s="4" t="str">
        <f>IF($B136="","",INDEX(tbl_plan[品番],ROW()-1))</f>
        <v/>
      </c>
      <c r="D136" s="4" t="str">
        <f>IF($B136="","",SUMIFS(tbl_ledger[数量],tbl_ledger[ロットID],$B136,tbl_ledger[イベント種類],"搬入")+SUMIFS(tbl_ledger[数量],tbl_ledger[充当先ロットID],$B136,tbl_ledger[イベント種類],"充当",tbl_ledger[元状態],D$1)-SUMIFS(tbl_ledger[数量],tbl_ledger[ロットID],$B136,tbl_ledger[元状態],D$1))</f>
        <v/>
      </c>
      <c r="E136" s="4" t="str">
        <f>IF($B136="","",SUMIFS(tbl_ledger[数量],tbl_ledger[ロットID],$B136,tbl_ledger[イベント種類],"アニール完了")+SUMIFS(tbl_ledger[数量],tbl_ledger[充当先ロットID],$B136,tbl_ledger[イベント種類],"充当",tbl_ledger[元状態],E$1)-SUMIFS(tbl_ledger[数量],tbl_ledger[ロットID],$B136,tbl_ledger[元状態],E$1))</f>
        <v/>
      </c>
      <c r="F136" s="4" t="str">
        <f>IF($B136="","",SUMIFS(tbl_ledger[数量],tbl_ledger[ロットID],$B136,tbl_ledger[イベント種類],"アセンブリ完了")+SUMIFS(tbl_ledger[数量],tbl_ledger[充当先ロットID],$B136,tbl_ledger[イベント種類],"充当",tbl_ledger[元状態],F$1)-SUMIFS(tbl_ledger[数量],tbl_ledger[ロットID],$B136,tbl_ledger[元状態],F$1))</f>
        <v/>
      </c>
      <c r="G136" s="4" t="str">
        <f>IF($B136="","",SUMIFS(tbl_ledger[数量],tbl_ledger[ロットID],$B136,tbl_ledger[イベント種類],"梱包完了")+SUMIFS(tbl_ledger[数量],tbl_ledger[充当先ロットID],$B136,tbl_ledger[イベント種類],"充当",tbl_ledger[元状態],G$1)-SUMIFS(tbl_ledger[数量],tbl_ledger[ロットID],$B136,tbl_ledger[元状態],G$1))</f>
        <v/>
      </c>
      <c r="H136" s="4" t="str">
        <f>IF($B136="","",SUMIFS(tbl_ledger[数量],tbl_ledger[ロットID],$B136,tbl_ledger[イベント種類],"発送準備完了")+SUMIFS(tbl_ledger[数量],tbl_ledger[充当先ロットID],$B136,tbl_ledger[イベント種類],"充当",tbl_ledger[元状態],H$1)-SUMIFS(tbl_ledger[数量],tbl_ledger[ロットID],$B136,tbl_ledger[元状態],H$1))</f>
        <v/>
      </c>
      <c r="I136" s="4" t="str">
        <f>IF($B136="","",SUMIFS(tbl_ledger[数量],tbl_ledger[ロットID],$B136,tbl_ledger[イベント種類],"不良発生")+SUMIFS(tbl_ledger[数量],tbl_ledger[充当先ロットID],$B136,tbl_ledger[イベント種類],"充当",tbl_ledger[元状態],I$1)-SUMIFS(tbl_ledger[数量],tbl_ledger[ロットID],$B136,tbl_ledger[元状態],I$1))</f>
        <v/>
      </c>
      <c r="J136" s="4" t="str">
        <f t="shared" si="5"/>
        <v/>
      </c>
    </row>
    <row r="137" spans="1:10" ht="15" x14ac:dyDescent="0.25">
      <c r="A137" s="4" t="str">
        <f t="shared" si="4"/>
        <v/>
      </c>
      <c r="B137" s="4" t="str">
        <f>IFERROR(IF(COUNTIF($B$1:$B136,INDEX(tbl_plan[ロットID],ROW()-1))&gt;0,"",INDEX(tbl_plan[ロットID],ROW()-1)),"")</f>
        <v/>
      </c>
      <c r="C137" s="4" t="str">
        <f>IF($B137="","",INDEX(tbl_plan[品番],ROW()-1))</f>
        <v/>
      </c>
      <c r="D137" s="4" t="str">
        <f>IF($B137="","",SUMIFS(tbl_ledger[数量],tbl_ledger[ロットID],$B137,tbl_ledger[イベント種類],"搬入")+SUMIFS(tbl_ledger[数量],tbl_ledger[充当先ロットID],$B137,tbl_ledger[イベント種類],"充当",tbl_ledger[元状態],D$1)-SUMIFS(tbl_ledger[数量],tbl_ledger[ロットID],$B137,tbl_ledger[元状態],D$1))</f>
        <v/>
      </c>
      <c r="E137" s="4" t="str">
        <f>IF($B137="","",SUMIFS(tbl_ledger[数量],tbl_ledger[ロットID],$B137,tbl_ledger[イベント種類],"アニール完了")+SUMIFS(tbl_ledger[数量],tbl_ledger[充当先ロットID],$B137,tbl_ledger[イベント種類],"充当",tbl_ledger[元状態],E$1)-SUMIFS(tbl_ledger[数量],tbl_ledger[ロットID],$B137,tbl_ledger[元状態],E$1))</f>
        <v/>
      </c>
      <c r="F137" s="4" t="str">
        <f>IF($B137="","",SUMIFS(tbl_ledger[数量],tbl_ledger[ロットID],$B137,tbl_ledger[イベント種類],"アセンブリ完了")+SUMIFS(tbl_ledger[数量],tbl_ledger[充当先ロットID],$B137,tbl_ledger[イベント種類],"充当",tbl_ledger[元状態],F$1)-SUMIFS(tbl_ledger[数量],tbl_ledger[ロットID],$B137,tbl_ledger[元状態],F$1))</f>
        <v/>
      </c>
      <c r="G137" s="4" t="str">
        <f>IF($B137="","",SUMIFS(tbl_ledger[数量],tbl_ledger[ロットID],$B137,tbl_ledger[イベント種類],"梱包完了")+SUMIFS(tbl_ledger[数量],tbl_ledger[充当先ロットID],$B137,tbl_ledger[イベント種類],"充当",tbl_ledger[元状態],G$1)-SUMIFS(tbl_ledger[数量],tbl_ledger[ロットID],$B137,tbl_ledger[元状態],G$1))</f>
        <v/>
      </c>
      <c r="H137" s="4" t="str">
        <f>IF($B137="","",SUMIFS(tbl_ledger[数量],tbl_ledger[ロットID],$B137,tbl_ledger[イベント種類],"発送準備完了")+SUMIFS(tbl_ledger[数量],tbl_ledger[充当先ロットID],$B137,tbl_ledger[イベント種類],"充当",tbl_ledger[元状態],H$1)-SUMIFS(tbl_ledger[数量],tbl_ledger[ロットID],$B137,tbl_ledger[元状態],H$1))</f>
        <v/>
      </c>
      <c r="I137" s="4" t="str">
        <f>IF($B137="","",SUMIFS(tbl_ledger[数量],tbl_ledger[ロットID],$B137,tbl_ledger[イベント種類],"不良発生")+SUMIFS(tbl_ledger[数量],tbl_ledger[充当先ロットID],$B137,tbl_ledger[イベント種類],"充当",tbl_ledger[元状態],I$1)-SUMIFS(tbl_ledger[数量],tbl_ledger[ロットID],$B137,tbl_ledger[元状態],I$1))</f>
        <v/>
      </c>
      <c r="J137" s="4" t="str">
        <f t="shared" si="5"/>
        <v/>
      </c>
    </row>
    <row r="138" spans="1:10" ht="15" x14ac:dyDescent="0.25">
      <c r="A138" s="4" t="str">
        <f t="shared" si="4"/>
        <v/>
      </c>
      <c r="B138" s="4" t="str">
        <f>IFERROR(IF(COUNTIF($B$1:$B137,INDEX(tbl_plan[ロットID],ROW()-1))&gt;0,"",INDEX(tbl_plan[ロットID],ROW()-1)),"")</f>
        <v/>
      </c>
      <c r="C138" s="4" t="str">
        <f>IF($B138="","",INDEX(tbl_plan[品番],ROW()-1))</f>
        <v/>
      </c>
      <c r="D138" s="4" t="str">
        <f>IF($B138="","",SUMIFS(tbl_ledger[数量],tbl_ledger[ロットID],$B138,tbl_ledger[イベント種類],"搬入")+SUMIFS(tbl_ledger[数量],tbl_ledger[充当先ロットID],$B138,tbl_ledger[イベント種類],"充当",tbl_ledger[元状態],D$1)-SUMIFS(tbl_ledger[数量],tbl_ledger[ロットID],$B138,tbl_ledger[元状態],D$1))</f>
        <v/>
      </c>
      <c r="E138" s="4" t="str">
        <f>IF($B138="","",SUMIFS(tbl_ledger[数量],tbl_ledger[ロットID],$B138,tbl_ledger[イベント種類],"アニール完了")+SUMIFS(tbl_ledger[数量],tbl_ledger[充当先ロットID],$B138,tbl_ledger[イベント種類],"充当",tbl_ledger[元状態],E$1)-SUMIFS(tbl_ledger[数量],tbl_ledger[ロットID],$B138,tbl_ledger[元状態],E$1))</f>
        <v/>
      </c>
      <c r="F138" s="4" t="str">
        <f>IF($B138="","",SUMIFS(tbl_ledger[数量],tbl_ledger[ロットID],$B138,tbl_ledger[イベント種類],"アセンブリ完了")+SUMIFS(tbl_ledger[数量],tbl_ledger[充当先ロットID],$B138,tbl_ledger[イベント種類],"充当",tbl_ledger[元状態],F$1)-SUMIFS(tbl_ledger[数量],tbl_ledger[ロットID],$B138,tbl_ledger[元状態],F$1))</f>
        <v/>
      </c>
      <c r="G138" s="4" t="str">
        <f>IF($B138="","",SUMIFS(tbl_ledger[数量],tbl_ledger[ロットID],$B138,tbl_ledger[イベント種類],"梱包完了")+SUMIFS(tbl_ledger[数量],tbl_ledger[充当先ロットID],$B138,tbl_ledger[イベント種類],"充当",tbl_ledger[元状態],G$1)-SUMIFS(tbl_ledger[数量],tbl_ledger[ロットID],$B138,tbl_ledger[元状態],G$1))</f>
        <v/>
      </c>
      <c r="H138" s="4" t="str">
        <f>IF($B138="","",SUMIFS(tbl_ledger[数量],tbl_ledger[ロットID],$B138,tbl_ledger[イベント種類],"発送準備完了")+SUMIFS(tbl_ledger[数量],tbl_ledger[充当先ロットID],$B138,tbl_ledger[イベント種類],"充当",tbl_ledger[元状態],H$1)-SUMIFS(tbl_ledger[数量],tbl_ledger[ロットID],$B138,tbl_ledger[元状態],H$1))</f>
        <v/>
      </c>
      <c r="I138" s="4" t="str">
        <f>IF($B138="","",SUMIFS(tbl_ledger[数量],tbl_ledger[ロットID],$B138,tbl_ledger[イベント種類],"不良発生")+SUMIFS(tbl_ledger[数量],tbl_ledger[充当先ロットID],$B138,tbl_ledger[イベント種類],"充当",tbl_ledger[元状態],I$1)-SUMIFS(tbl_ledger[数量],tbl_ledger[ロットID],$B138,tbl_ledger[元状態],I$1))</f>
        <v/>
      </c>
      <c r="J138" s="4" t="str">
        <f t="shared" si="5"/>
        <v/>
      </c>
    </row>
    <row r="139" spans="1:10" ht="15" x14ac:dyDescent="0.25">
      <c r="A139" s="4" t="str">
        <f t="shared" si="4"/>
        <v/>
      </c>
      <c r="B139" s="4" t="str">
        <f>IFERROR(IF(COUNTIF($B$1:$B138,INDEX(tbl_plan[ロットID],ROW()-1))&gt;0,"",INDEX(tbl_plan[ロットID],ROW()-1)),"")</f>
        <v/>
      </c>
      <c r="C139" s="4" t="str">
        <f>IF($B139="","",INDEX(tbl_plan[品番],ROW()-1))</f>
        <v/>
      </c>
      <c r="D139" s="4" t="str">
        <f>IF($B139="","",SUMIFS(tbl_ledger[数量],tbl_ledger[ロットID],$B139,tbl_ledger[イベント種類],"搬入")+SUMIFS(tbl_ledger[数量],tbl_ledger[充当先ロットID],$B139,tbl_ledger[イベント種類],"充当",tbl_ledger[元状態],D$1)-SUMIFS(tbl_ledger[数量],tbl_ledger[ロットID],$B139,tbl_ledger[元状態],D$1))</f>
        <v/>
      </c>
      <c r="E139" s="4" t="str">
        <f>IF($B139="","",SUMIFS(tbl_ledger[数量],tbl_ledger[ロットID],$B139,tbl_ledger[イベント種類],"アニール完了")+SUMIFS(tbl_ledger[数量],tbl_ledger[充当先ロットID],$B139,tbl_ledger[イベント種類],"充当",tbl_ledger[元状態],E$1)-SUMIFS(tbl_ledger[数量],tbl_ledger[ロットID],$B139,tbl_ledger[元状態],E$1))</f>
        <v/>
      </c>
      <c r="F139" s="4" t="str">
        <f>IF($B139="","",SUMIFS(tbl_ledger[数量],tbl_ledger[ロットID],$B139,tbl_ledger[イベント種類],"アセンブリ完了")+SUMIFS(tbl_ledger[数量],tbl_ledger[充当先ロットID],$B139,tbl_ledger[イベント種類],"充当",tbl_ledger[元状態],F$1)-SUMIFS(tbl_ledger[数量],tbl_ledger[ロットID],$B139,tbl_ledger[元状態],F$1))</f>
        <v/>
      </c>
      <c r="G139" s="4" t="str">
        <f>IF($B139="","",SUMIFS(tbl_ledger[数量],tbl_ledger[ロットID],$B139,tbl_ledger[イベント種類],"梱包完了")+SUMIFS(tbl_ledger[数量],tbl_ledger[充当先ロットID],$B139,tbl_ledger[イベント種類],"充当",tbl_ledger[元状態],G$1)-SUMIFS(tbl_ledger[数量],tbl_ledger[ロットID],$B139,tbl_ledger[元状態],G$1))</f>
        <v/>
      </c>
      <c r="H139" s="4" t="str">
        <f>IF($B139="","",SUMIFS(tbl_ledger[数量],tbl_ledger[ロットID],$B139,tbl_ledger[イベント種類],"発送準備完了")+SUMIFS(tbl_ledger[数量],tbl_ledger[充当先ロットID],$B139,tbl_ledger[イベント種類],"充当",tbl_ledger[元状態],H$1)-SUMIFS(tbl_ledger[数量],tbl_ledger[ロットID],$B139,tbl_ledger[元状態],H$1))</f>
        <v/>
      </c>
      <c r="I139" s="4" t="str">
        <f>IF($B139="","",SUMIFS(tbl_ledger[数量],tbl_ledger[ロットID],$B139,tbl_ledger[イベント種類],"不良発生")+SUMIFS(tbl_ledger[数量],tbl_ledger[充当先ロットID],$B139,tbl_ledger[イベント種類],"充当",tbl_ledger[元状態],I$1)-SUMIFS(tbl_ledger[数量],tbl_ledger[ロットID],$B139,tbl_ledger[元状態],I$1))</f>
        <v/>
      </c>
      <c r="J139" s="4" t="str">
        <f t="shared" si="5"/>
        <v/>
      </c>
    </row>
    <row r="140" spans="1:10" ht="15" x14ac:dyDescent="0.25">
      <c r="A140" s="4" t="str">
        <f t="shared" si="4"/>
        <v/>
      </c>
      <c r="B140" s="4" t="str">
        <f>IFERROR(IF(COUNTIF($B$1:$B139,INDEX(tbl_plan[ロットID],ROW()-1))&gt;0,"",INDEX(tbl_plan[ロットID],ROW()-1)),"")</f>
        <v/>
      </c>
      <c r="C140" s="4" t="str">
        <f>IF($B140="","",INDEX(tbl_plan[品番],ROW()-1))</f>
        <v/>
      </c>
      <c r="D140" s="4" t="str">
        <f>IF($B140="","",SUMIFS(tbl_ledger[数量],tbl_ledger[ロットID],$B140,tbl_ledger[イベント種類],"搬入")+SUMIFS(tbl_ledger[数量],tbl_ledger[充当先ロットID],$B140,tbl_ledger[イベント種類],"充当",tbl_ledger[元状態],D$1)-SUMIFS(tbl_ledger[数量],tbl_ledger[ロットID],$B140,tbl_ledger[元状態],D$1))</f>
        <v/>
      </c>
      <c r="E140" s="4" t="str">
        <f>IF($B140="","",SUMIFS(tbl_ledger[数量],tbl_ledger[ロットID],$B140,tbl_ledger[イベント種類],"アニール完了")+SUMIFS(tbl_ledger[数量],tbl_ledger[充当先ロットID],$B140,tbl_ledger[イベント種類],"充当",tbl_ledger[元状態],E$1)-SUMIFS(tbl_ledger[数量],tbl_ledger[ロットID],$B140,tbl_ledger[元状態],E$1))</f>
        <v/>
      </c>
      <c r="F140" s="4" t="str">
        <f>IF($B140="","",SUMIFS(tbl_ledger[数量],tbl_ledger[ロットID],$B140,tbl_ledger[イベント種類],"アセンブリ完了")+SUMIFS(tbl_ledger[数量],tbl_ledger[充当先ロットID],$B140,tbl_ledger[イベント種類],"充当",tbl_ledger[元状態],F$1)-SUMIFS(tbl_ledger[数量],tbl_ledger[ロットID],$B140,tbl_ledger[元状態],F$1))</f>
        <v/>
      </c>
      <c r="G140" s="4" t="str">
        <f>IF($B140="","",SUMIFS(tbl_ledger[数量],tbl_ledger[ロットID],$B140,tbl_ledger[イベント種類],"梱包完了")+SUMIFS(tbl_ledger[数量],tbl_ledger[充当先ロットID],$B140,tbl_ledger[イベント種類],"充当",tbl_ledger[元状態],G$1)-SUMIFS(tbl_ledger[数量],tbl_ledger[ロットID],$B140,tbl_ledger[元状態],G$1))</f>
        <v/>
      </c>
      <c r="H140" s="4" t="str">
        <f>IF($B140="","",SUMIFS(tbl_ledger[数量],tbl_ledger[ロットID],$B140,tbl_ledger[イベント種類],"発送準備完了")+SUMIFS(tbl_ledger[数量],tbl_ledger[充当先ロットID],$B140,tbl_ledger[イベント種類],"充当",tbl_ledger[元状態],H$1)-SUMIFS(tbl_ledger[数量],tbl_ledger[ロットID],$B140,tbl_ledger[元状態],H$1))</f>
        <v/>
      </c>
      <c r="I140" s="4" t="str">
        <f>IF($B140="","",SUMIFS(tbl_ledger[数量],tbl_ledger[ロットID],$B140,tbl_ledger[イベント種類],"不良発生")+SUMIFS(tbl_ledger[数量],tbl_ledger[充当先ロットID],$B140,tbl_ledger[イベント種類],"充当",tbl_ledger[元状態],I$1)-SUMIFS(tbl_ledger[数量],tbl_ledger[ロットID],$B140,tbl_ledger[元状態],I$1))</f>
        <v/>
      </c>
      <c r="J140" s="4" t="str">
        <f t="shared" si="5"/>
        <v/>
      </c>
    </row>
    <row r="141" spans="1:10" ht="15" x14ac:dyDescent="0.25">
      <c r="A141" s="4" t="str">
        <f t="shared" si="4"/>
        <v/>
      </c>
      <c r="B141" s="4" t="str">
        <f>IFERROR(IF(COUNTIF($B$1:$B140,INDEX(tbl_plan[ロットID],ROW()-1))&gt;0,"",INDEX(tbl_plan[ロットID],ROW()-1)),"")</f>
        <v/>
      </c>
      <c r="C141" s="4" t="str">
        <f>IF($B141="","",INDEX(tbl_plan[品番],ROW()-1))</f>
        <v/>
      </c>
      <c r="D141" s="4" t="str">
        <f>IF($B141="","",SUMIFS(tbl_ledger[数量],tbl_ledger[ロットID],$B141,tbl_ledger[イベント種類],"搬入")+SUMIFS(tbl_ledger[数量],tbl_ledger[充当先ロットID],$B141,tbl_ledger[イベント種類],"充当",tbl_ledger[元状態],D$1)-SUMIFS(tbl_ledger[数量],tbl_ledger[ロットID],$B141,tbl_ledger[元状態],D$1))</f>
        <v/>
      </c>
      <c r="E141" s="4" t="str">
        <f>IF($B141="","",SUMIFS(tbl_ledger[数量],tbl_ledger[ロットID],$B141,tbl_ledger[イベント種類],"アニール完了")+SUMIFS(tbl_ledger[数量],tbl_ledger[充当先ロットID],$B141,tbl_ledger[イベント種類],"充当",tbl_ledger[元状態],E$1)-SUMIFS(tbl_ledger[数量],tbl_ledger[ロットID],$B141,tbl_ledger[元状態],E$1))</f>
        <v/>
      </c>
      <c r="F141" s="4" t="str">
        <f>IF($B141="","",SUMIFS(tbl_ledger[数量],tbl_ledger[ロットID],$B141,tbl_ledger[イベント種類],"アセンブリ完了")+SUMIFS(tbl_ledger[数量],tbl_ledger[充当先ロットID],$B141,tbl_ledger[イベント種類],"充当",tbl_ledger[元状態],F$1)-SUMIFS(tbl_ledger[数量],tbl_ledger[ロットID],$B141,tbl_ledger[元状態],F$1))</f>
        <v/>
      </c>
      <c r="G141" s="4" t="str">
        <f>IF($B141="","",SUMIFS(tbl_ledger[数量],tbl_ledger[ロットID],$B141,tbl_ledger[イベント種類],"梱包完了")+SUMIFS(tbl_ledger[数量],tbl_ledger[充当先ロットID],$B141,tbl_ledger[イベント種類],"充当",tbl_ledger[元状態],G$1)-SUMIFS(tbl_ledger[数量],tbl_ledger[ロットID],$B141,tbl_ledger[元状態],G$1))</f>
        <v/>
      </c>
      <c r="H141" s="4" t="str">
        <f>IF($B141="","",SUMIFS(tbl_ledger[数量],tbl_ledger[ロットID],$B141,tbl_ledger[イベント種類],"発送準備完了")+SUMIFS(tbl_ledger[数量],tbl_ledger[充当先ロットID],$B141,tbl_ledger[イベント種類],"充当",tbl_ledger[元状態],H$1)-SUMIFS(tbl_ledger[数量],tbl_ledger[ロットID],$B141,tbl_ledger[元状態],H$1))</f>
        <v/>
      </c>
      <c r="I141" s="4" t="str">
        <f>IF($B141="","",SUMIFS(tbl_ledger[数量],tbl_ledger[ロットID],$B141,tbl_ledger[イベント種類],"不良発生")+SUMIFS(tbl_ledger[数量],tbl_ledger[充当先ロットID],$B141,tbl_ledger[イベント種類],"充当",tbl_ledger[元状態],I$1)-SUMIFS(tbl_ledger[数量],tbl_ledger[ロットID],$B141,tbl_ledger[元状態],I$1))</f>
        <v/>
      </c>
      <c r="J141" s="4" t="str">
        <f t="shared" si="5"/>
        <v/>
      </c>
    </row>
    <row r="142" spans="1:10" ht="15" x14ac:dyDescent="0.25">
      <c r="A142" s="4" t="str">
        <f t="shared" si="4"/>
        <v/>
      </c>
      <c r="B142" s="4" t="str">
        <f>IFERROR(IF(COUNTIF($B$1:$B141,INDEX(tbl_plan[ロットID],ROW()-1))&gt;0,"",INDEX(tbl_plan[ロットID],ROW()-1)),"")</f>
        <v/>
      </c>
      <c r="C142" s="4" t="str">
        <f>IF($B142="","",INDEX(tbl_plan[品番],ROW()-1))</f>
        <v/>
      </c>
      <c r="D142" s="4" t="str">
        <f>IF($B142="","",SUMIFS(tbl_ledger[数量],tbl_ledger[ロットID],$B142,tbl_ledger[イベント種類],"搬入")+SUMIFS(tbl_ledger[数量],tbl_ledger[充当先ロットID],$B142,tbl_ledger[イベント種類],"充当",tbl_ledger[元状態],D$1)-SUMIFS(tbl_ledger[数量],tbl_ledger[ロットID],$B142,tbl_ledger[元状態],D$1))</f>
        <v/>
      </c>
      <c r="E142" s="4" t="str">
        <f>IF($B142="","",SUMIFS(tbl_ledger[数量],tbl_ledger[ロットID],$B142,tbl_ledger[イベント種類],"アニール完了")+SUMIFS(tbl_ledger[数量],tbl_ledger[充当先ロットID],$B142,tbl_ledger[イベント種類],"充当",tbl_ledger[元状態],E$1)-SUMIFS(tbl_ledger[数量],tbl_ledger[ロットID],$B142,tbl_ledger[元状態],E$1))</f>
        <v/>
      </c>
      <c r="F142" s="4" t="str">
        <f>IF($B142="","",SUMIFS(tbl_ledger[数量],tbl_ledger[ロットID],$B142,tbl_ledger[イベント種類],"アセンブリ完了")+SUMIFS(tbl_ledger[数量],tbl_ledger[充当先ロットID],$B142,tbl_ledger[イベント種類],"充当",tbl_ledger[元状態],F$1)-SUMIFS(tbl_ledger[数量],tbl_ledger[ロットID],$B142,tbl_ledger[元状態],F$1))</f>
        <v/>
      </c>
      <c r="G142" s="4" t="str">
        <f>IF($B142="","",SUMIFS(tbl_ledger[数量],tbl_ledger[ロットID],$B142,tbl_ledger[イベント種類],"梱包完了")+SUMIFS(tbl_ledger[数量],tbl_ledger[充当先ロットID],$B142,tbl_ledger[イベント種類],"充当",tbl_ledger[元状態],G$1)-SUMIFS(tbl_ledger[数量],tbl_ledger[ロットID],$B142,tbl_ledger[元状態],G$1))</f>
        <v/>
      </c>
      <c r="H142" s="4" t="str">
        <f>IF($B142="","",SUMIFS(tbl_ledger[数量],tbl_ledger[ロットID],$B142,tbl_ledger[イベント種類],"発送準備完了")+SUMIFS(tbl_ledger[数量],tbl_ledger[充当先ロットID],$B142,tbl_ledger[イベント種類],"充当",tbl_ledger[元状態],H$1)-SUMIFS(tbl_ledger[数量],tbl_ledger[ロットID],$B142,tbl_ledger[元状態],H$1))</f>
        <v/>
      </c>
      <c r="I142" s="4" t="str">
        <f>IF($B142="","",SUMIFS(tbl_ledger[数量],tbl_ledger[ロットID],$B142,tbl_ledger[イベント種類],"不良発生")+SUMIFS(tbl_ledger[数量],tbl_ledger[充当先ロットID],$B142,tbl_ledger[イベント種類],"充当",tbl_ledger[元状態],I$1)-SUMIFS(tbl_ledger[数量],tbl_ledger[ロットID],$B142,tbl_ledger[元状態],I$1))</f>
        <v/>
      </c>
      <c r="J142" s="4" t="str">
        <f t="shared" si="5"/>
        <v/>
      </c>
    </row>
    <row r="143" spans="1:10" ht="15" x14ac:dyDescent="0.25">
      <c r="A143" s="4" t="str">
        <f t="shared" si="4"/>
        <v/>
      </c>
      <c r="B143" s="4" t="str">
        <f>IFERROR(IF(COUNTIF($B$1:$B142,INDEX(tbl_plan[ロットID],ROW()-1))&gt;0,"",INDEX(tbl_plan[ロットID],ROW()-1)),"")</f>
        <v/>
      </c>
      <c r="C143" s="4" t="str">
        <f>IF($B143="","",INDEX(tbl_plan[品番],ROW()-1))</f>
        <v/>
      </c>
      <c r="D143" s="4" t="str">
        <f>IF($B143="","",SUMIFS(tbl_ledger[数量],tbl_ledger[ロットID],$B143,tbl_ledger[イベント種類],"搬入")+SUMIFS(tbl_ledger[数量],tbl_ledger[充当先ロットID],$B143,tbl_ledger[イベント種類],"充当",tbl_ledger[元状態],D$1)-SUMIFS(tbl_ledger[数量],tbl_ledger[ロットID],$B143,tbl_ledger[元状態],D$1))</f>
        <v/>
      </c>
      <c r="E143" s="4" t="str">
        <f>IF($B143="","",SUMIFS(tbl_ledger[数量],tbl_ledger[ロットID],$B143,tbl_ledger[イベント種類],"アニール完了")+SUMIFS(tbl_ledger[数量],tbl_ledger[充当先ロットID],$B143,tbl_ledger[イベント種類],"充当",tbl_ledger[元状態],E$1)-SUMIFS(tbl_ledger[数量],tbl_ledger[ロットID],$B143,tbl_ledger[元状態],E$1))</f>
        <v/>
      </c>
      <c r="F143" s="4" t="str">
        <f>IF($B143="","",SUMIFS(tbl_ledger[数量],tbl_ledger[ロットID],$B143,tbl_ledger[イベント種類],"アセンブリ完了")+SUMIFS(tbl_ledger[数量],tbl_ledger[充当先ロットID],$B143,tbl_ledger[イベント種類],"充当",tbl_ledger[元状態],F$1)-SUMIFS(tbl_ledger[数量],tbl_ledger[ロットID],$B143,tbl_ledger[元状態],F$1))</f>
        <v/>
      </c>
      <c r="G143" s="4" t="str">
        <f>IF($B143="","",SUMIFS(tbl_ledger[数量],tbl_ledger[ロットID],$B143,tbl_ledger[イベント種類],"梱包完了")+SUMIFS(tbl_ledger[数量],tbl_ledger[充当先ロットID],$B143,tbl_ledger[イベント種類],"充当",tbl_ledger[元状態],G$1)-SUMIFS(tbl_ledger[数量],tbl_ledger[ロットID],$B143,tbl_ledger[元状態],G$1))</f>
        <v/>
      </c>
      <c r="H143" s="4" t="str">
        <f>IF($B143="","",SUMIFS(tbl_ledger[数量],tbl_ledger[ロットID],$B143,tbl_ledger[イベント種類],"発送準備完了")+SUMIFS(tbl_ledger[数量],tbl_ledger[充当先ロットID],$B143,tbl_ledger[イベント種類],"充当",tbl_ledger[元状態],H$1)-SUMIFS(tbl_ledger[数量],tbl_ledger[ロットID],$B143,tbl_ledger[元状態],H$1))</f>
        <v/>
      </c>
      <c r="I143" s="4" t="str">
        <f>IF($B143="","",SUMIFS(tbl_ledger[数量],tbl_ledger[ロットID],$B143,tbl_ledger[イベント種類],"不良発生")+SUMIFS(tbl_ledger[数量],tbl_ledger[充当先ロットID],$B143,tbl_ledger[イベント種類],"充当",tbl_ledger[元状態],I$1)-SUMIFS(tbl_ledger[数量],tbl_ledger[ロットID],$B143,tbl_ledger[元状態],I$1))</f>
        <v/>
      </c>
      <c r="J143" s="4" t="str">
        <f t="shared" si="5"/>
        <v/>
      </c>
    </row>
    <row r="144" spans="1:10" ht="15" x14ac:dyDescent="0.25">
      <c r="A144" s="4" t="str">
        <f t="shared" si="4"/>
        <v/>
      </c>
      <c r="B144" s="4" t="str">
        <f>IFERROR(IF(COUNTIF($B$1:$B143,INDEX(tbl_plan[ロットID],ROW()-1))&gt;0,"",INDEX(tbl_plan[ロットID],ROW()-1)),"")</f>
        <v/>
      </c>
      <c r="C144" s="4" t="str">
        <f>IF($B144="","",INDEX(tbl_plan[品番],ROW()-1))</f>
        <v/>
      </c>
      <c r="D144" s="4" t="str">
        <f>IF($B144="","",SUMIFS(tbl_ledger[数量],tbl_ledger[ロットID],$B144,tbl_ledger[イベント種類],"搬入")+SUMIFS(tbl_ledger[数量],tbl_ledger[充当先ロットID],$B144,tbl_ledger[イベント種類],"充当",tbl_ledger[元状態],D$1)-SUMIFS(tbl_ledger[数量],tbl_ledger[ロットID],$B144,tbl_ledger[元状態],D$1))</f>
        <v/>
      </c>
      <c r="E144" s="4" t="str">
        <f>IF($B144="","",SUMIFS(tbl_ledger[数量],tbl_ledger[ロットID],$B144,tbl_ledger[イベント種類],"アニール完了")+SUMIFS(tbl_ledger[数量],tbl_ledger[充当先ロットID],$B144,tbl_ledger[イベント種類],"充当",tbl_ledger[元状態],E$1)-SUMIFS(tbl_ledger[数量],tbl_ledger[ロットID],$B144,tbl_ledger[元状態],E$1))</f>
        <v/>
      </c>
      <c r="F144" s="4" t="str">
        <f>IF($B144="","",SUMIFS(tbl_ledger[数量],tbl_ledger[ロットID],$B144,tbl_ledger[イベント種類],"アセンブリ完了")+SUMIFS(tbl_ledger[数量],tbl_ledger[充当先ロットID],$B144,tbl_ledger[イベント種類],"充当",tbl_ledger[元状態],F$1)-SUMIFS(tbl_ledger[数量],tbl_ledger[ロットID],$B144,tbl_ledger[元状態],F$1))</f>
        <v/>
      </c>
      <c r="G144" s="4" t="str">
        <f>IF($B144="","",SUMIFS(tbl_ledger[数量],tbl_ledger[ロットID],$B144,tbl_ledger[イベント種類],"梱包完了")+SUMIFS(tbl_ledger[数量],tbl_ledger[充当先ロットID],$B144,tbl_ledger[イベント種類],"充当",tbl_ledger[元状態],G$1)-SUMIFS(tbl_ledger[数量],tbl_ledger[ロットID],$B144,tbl_ledger[元状態],G$1))</f>
        <v/>
      </c>
      <c r="H144" s="4" t="str">
        <f>IF($B144="","",SUMIFS(tbl_ledger[数量],tbl_ledger[ロットID],$B144,tbl_ledger[イベント種類],"発送準備完了")+SUMIFS(tbl_ledger[数量],tbl_ledger[充当先ロットID],$B144,tbl_ledger[イベント種類],"充当",tbl_ledger[元状態],H$1)-SUMIFS(tbl_ledger[数量],tbl_ledger[ロットID],$B144,tbl_ledger[元状態],H$1))</f>
        <v/>
      </c>
      <c r="I144" s="4" t="str">
        <f>IF($B144="","",SUMIFS(tbl_ledger[数量],tbl_ledger[ロットID],$B144,tbl_ledger[イベント種類],"不良発生")+SUMIFS(tbl_ledger[数量],tbl_ledger[充当先ロットID],$B144,tbl_ledger[イベント種類],"充当",tbl_ledger[元状態],I$1)-SUMIFS(tbl_ledger[数量],tbl_ledger[ロットID],$B144,tbl_ledger[元状態],I$1))</f>
        <v/>
      </c>
      <c r="J144" s="4" t="str">
        <f t="shared" si="5"/>
        <v/>
      </c>
    </row>
    <row r="145" spans="1:10" ht="15" x14ac:dyDescent="0.25">
      <c r="A145" s="4" t="str">
        <f t="shared" si="4"/>
        <v/>
      </c>
      <c r="B145" s="4" t="str">
        <f>IFERROR(IF(COUNTIF($B$1:$B144,INDEX(tbl_plan[ロットID],ROW()-1))&gt;0,"",INDEX(tbl_plan[ロットID],ROW()-1)),"")</f>
        <v/>
      </c>
      <c r="C145" s="4" t="str">
        <f>IF($B145="","",INDEX(tbl_plan[品番],ROW()-1))</f>
        <v/>
      </c>
      <c r="D145" s="4" t="str">
        <f>IF($B145="","",SUMIFS(tbl_ledger[数量],tbl_ledger[ロットID],$B145,tbl_ledger[イベント種類],"搬入")+SUMIFS(tbl_ledger[数量],tbl_ledger[充当先ロットID],$B145,tbl_ledger[イベント種類],"充当",tbl_ledger[元状態],D$1)-SUMIFS(tbl_ledger[数量],tbl_ledger[ロットID],$B145,tbl_ledger[元状態],D$1))</f>
        <v/>
      </c>
      <c r="E145" s="4" t="str">
        <f>IF($B145="","",SUMIFS(tbl_ledger[数量],tbl_ledger[ロットID],$B145,tbl_ledger[イベント種類],"アニール完了")+SUMIFS(tbl_ledger[数量],tbl_ledger[充当先ロットID],$B145,tbl_ledger[イベント種類],"充当",tbl_ledger[元状態],E$1)-SUMIFS(tbl_ledger[数量],tbl_ledger[ロットID],$B145,tbl_ledger[元状態],E$1))</f>
        <v/>
      </c>
      <c r="F145" s="4" t="str">
        <f>IF($B145="","",SUMIFS(tbl_ledger[数量],tbl_ledger[ロットID],$B145,tbl_ledger[イベント種類],"アセンブリ完了")+SUMIFS(tbl_ledger[数量],tbl_ledger[充当先ロットID],$B145,tbl_ledger[イベント種類],"充当",tbl_ledger[元状態],F$1)-SUMIFS(tbl_ledger[数量],tbl_ledger[ロットID],$B145,tbl_ledger[元状態],F$1))</f>
        <v/>
      </c>
      <c r="G145" s="4" t="str">
        <f>IF($B145="","",SUMIFS(tbl_ledger[数量],tbl_ledger[ロットID],$B145,tbl_ledger[イベント種類],"梱包完了")+SUMIFS(tbl_ledger[数量],tbl_ledger[充当先ロットID],$B145,tbl_ledger[イベント種類],"充当",tbl_ledger[元状態],G$1)-SUMIFS(tbl_ledger[数量],tbl_ledger[ロットID],$B145,tbl_ledger[元状態],G$1))</f>
        <v/>
      </c>
      <c r="H145" s="4" t="str">
        <f>IF($B145="","",SUMIFS(tbl_ledger[数量],tbl_ledger[ロットID],$B145,tbl_ledger[イベント種類],"発送準備完了")+SUMIFS(tbl_ledger[数量],tbl_ledger[充当先ロットID],$B145,tbl_ledger[イベント種類],"充当",tbl_ledger[元状態],H$1)-SUMIFS(tbl_ledger[数量],tbl_ledger[ロットID],$B145,tbl_ledger[元状態],H$1))</f>
        <v/>
      </c>
      <c r="I145" s="4" t="str">
        <f>IF($B145="","",SUMIFS(tbl_ledger[数量],tbl_ledger[ロットID],$B145,tbl_ledger[イベント種類],"不良発生")+SUMIFS(tbl_ledger[数量],tbl_ledger[充当先ロットID],$B145,tbl_ledger[イベント種類],"充当",tbl_ledger[元状態],I$1)-SUMIFS(tbl_ledger[数量],tbl_ledger[ロットID],$B145,tbl_ledger[元状態],I$1))</f>
        <v/>
      </c>
      <c r="J145" s="4" t="str">
        <f t="shared" si="5"/>
        <v/>
      </c>
    </row>
    <row r="146" spans="1:10" ht="15" x14ac:dyDescent="0.25">
      <c r="A146" s="4" t="str">
        <f t="shared" si="4"/>
        <v/>
      </c>
      <c r="B146" s="4" t="str">
        <f>IFERROR(IF(COUNTIF($B$1:$B145,INDEX(tbl_plan[ロットID],ROW()-1))&gt;0,"",INDEX(tbl_plan[ロットID],ROW()-1)),"")</f>
        <v/>
      </c>
      <c r="C146" s="4" t="str">
        <f>IF($B146="","",INDEX(tbl_plan[品番],ROW()-1))</f>
        <v/>
      </c>
      <c r="D146" s="4" t="str">
        <f>IF($B146="","",SUMIFS(tbl_ledger[数量],tbl_ledger[ロットID],$B146,tbl_ledger[イベント種類],"搬入")+SUMIFS(tbl_ledger[数量],tbl_ledger[充当先ロットID],$B146,tbl_ledger[イベント種類],"充当",tbl_ledger[元状態],D$1)-SUMIFS(tbl_ledger[数量],tbl_ledger[ロットID],$B146,tbl_ledger[元状態],D$1))</f>
        <v/>
      </c>
      <c r="E146" s="4" t="str">
        <f>IF($B146="","",SUMIFS(tbl_ledger[数量],tbl_ledger[ロットID],$B146,tbl_ledger[イベント種類],"アニール完了")+SUMIFS(tbl_ledger[数量],tbl_ledger[充当先ロットID],$B146,tbl_ledger[イベント種類],"充当",tbl_ledger[元状態],E$1)-SUMIFS(tbl_ledger[数量],tbl_ledger[ロットID],$B146,tbl_ledger[元状態],E$1))</f>
        <v/>
      </c>
      <c r="F146" s="4" t="str">
        <f>IF($B146="","",SUMIFS(tbl_ledger[数量],tbl_ledger[ロットID],$B146,tbl_ledger[イベント種類],"アセンブリ完了")+SUMIFS(tbl_ledger[数量],tbl_ledger[充当先ロットID],$B146,tbl_ledger[イベント種類],"充当",tbl_ledger[元状態],F$1)-SUMIFS(tbl_ledger[数量],tbl_ledger[ロットID],$B146,tbl_ledger[元状態],F$1))</f>
        <v/>
      </c>
      <c r="G146" s="4" t="str">
        <f>IF($B146="","",SUMIFS(tbl_ledger[数量],tbl_ledger[ロットID],$B146,tbl_ledger[イベント種類],"梱包完了")+SUMIFS(tbl_ledger[数量],tbl_ledger[充当先ロットID],$B146,tbl_ledger[イベント種類],"充当",tbl_ledger[元状態],G$1)-SUMIFS(tbl_ledger[数量],tbl_ledger[ロットID],$B146,tbl_ledger[元状態],G$1))</f>
        <v/>
      </c>
      <c r="H146" s="4" t="str">
        <f>IF($B146="","",SUMIFS(tbl_ledger[数量],tbl_ledger[ロットID],$B146,tbl_ledger[イベント種類],"発送準備完了")+SUMIFS(tbl_ledger[数量],tbl_ledger[充当先ロットID],$B146,tbl_ledger[イベント種類],"充当",tbl_ledger[元状態],H$1)-SUMIFS(tbl_ledger[数量],tbl_ledger[ロットID],$B146,tbl_ledger[元状態],H$1))</f>
        <v/>
      </c>
      <c r="I146" s="4" t="str">
        <f>IF($B146="","",SUMIFS(tbl_ledger[数量],tbl_ledger[ロットID],$B146,tbl_ledger[イベント種類],"不良発生")+SUMIFS(tbl_ledger[数量],tbl_ledger[充当先ロットID],$B146,tbl_ledger[イベント種類],"充当",tbl_ledger[元状態],I$1)-SUMIFS(tbl_ledger[数量],tbl_ledger[ロットID],$B146,tbl_ledger[元状態],I$1))</f>
        <v/>
      </c>
      <c r="J146" s="4" t="str">
        <f t="shared" si="5"/>
        <v/>
      </c>
    </row>
    <row r="147" spans="1:10" ht="15" x14ac:dyDescent="0.25">
      <c r="A147" s="4" t="str">
        <f t="shared" si="4"/>
        <v/>
      </c>
      <c r="B147" s="4" t="str">
        <f>IFERROR(IF(COUNTIF($B$1:$B146,INDEX(tbl_plan[ロットID],ROW()-1))&gt;0,"",INDEX(tbl_plan[ロットID],ROW()-1)),"")</f>
        <v/>
      </c>
      <c r="C147" s="4" t="str">
        <f>IF($B147="","",INDEX(tbl_plan[品番],ROW()-1))</f>
        <v/>
      </c>
      <c r="D147" s="4" t="str">
        <f>IF($B147="","",SUMIFS(tbl_ledger[数量],tbl_ledger[ロットID],$B147,tbl_ledger[イベント種類],"搬入")+SUMIFS(tbl_ledger[数量],tbl_ledger[充当先ロットID],$B147,tbl_ledger[イベント種類],"充当",tbl_ledger[元状態],D$1)-SUMIFS(tbl_ledger[数量],tbl_ledger[ロットID],$B147,tbl_ledger[元状態],D$1))</f>
        <v/>
      </c>
      <c r="E147" s="4" t="str">
        <f>IF($B147="","",SUMIFS(tbl_ledger[数量],tbl_ledger[ロットID],$B147,tbl_ledger[イベント種類],"アニール完了")+SUMIFS(tbl_ledger[数量],tbl_ledger[充当先ロットID],$B147,tbl_ledger[イベント種類],"充当",tbl_ledger[元状態],E$1)-SUMIFS(tbl_ledger[数量],tbl_ledger[ロットID],$B147,tbl_ledger[元状態],E$1))</f>
        <v/>
      </c>
      <c r="F147" s="4" t="str">
        <f>IF($B147="","",SUMIFS(tbl_ledger[数量],tbl_ledger[ロットID],$B147,tbl_ledger[イベント種類],"アセンブリ完了")+SUMIFS(tbl_ledger[数量],tbl_ledger[充当先ロットID],$B147,tbl_ledger[イベント種類],"充当",tbl_ledger[元状態],F$1)-SUMIFS(tbl_ledger[数量],tbl_ledger[ロットID],$B147,tbl_ledger[元状態],F$1))</f>
        <v/>
      </c>
      <c r="G147" s="4" t="str">
        <f>IF($B147="","",SUMIFS(tbl_ledger[数量],tbl_ledger[ロットID],$B147,tbl_ledger[イベント種類],"梱包完了")+SUMIFS(tbl_ledger[数量],tbl_ledger[充当先ロットID],$B147,tbl_ledger[イベント種類],"充当",tbl_ledger[元状態],G$1)-SUMIFS(tbl_ledger[数量],tbl_ledger[ロットID],$B147,tbl_ledger[元状態],G$1))</f>
        <v/>
      </c>
      <c r="H147" s="4" t="str">
        <f>IF($B147="","",SUMIFS(tbl_ledger[数量],tbl_ledger[ロットID],$B147,tbl_ledger[イベント種類],"発送準備完了")+SUMIFS(tbl_ledger[数量],tbl_ledger[充当先ロットID],$B147,tbl_ledger[イベント種類],"充当",tbl_ledger[元状態],H$1)-SUMIFS(tbl_ledger[数量],tbl_ledger[ロットID],$B147,tbl_ledger[元状態],H$1))</f>
        <v/>
      </c>
      <c r="I147" s="4" t="str">
        <f>IF($B147="","",SUMIFS(tbl_ledger[数量],tbl_ledger[ロットID],$B147,tbl_ledger[イベント種類],"不良発生")+SUMIFS(tbl_ledger[数量],tbl_ledger[充当先ロットID],$B147,tbl_ledger[イベント種類],"充当",tbl_ledger[元状態],I$1)-SUMIFS(tbl_ledger[数量],tbl_ledger[ロットID],$B147,tbl_ledger[元状態],I$1))</f>
        <v/>
      </c>
      <c r="J147" s="4" t="str">
        <f t="shared" si="5"/>
        <v/>
      </c>
    </row>
    <row r="148" spans="1:10" ht="15" x14ac:dyDescent="0.25">
      <c r="A148" s="4" t="str">
        <f t="shared" si="4"/>
        <v/>
      </c>
      <c r="B148" s="4" t="str">
        <f>IFERROR(IF(COUNTIF($B$1:$B147,INDEX(tbl_plan[ロットID],ROW()-1))&gt;0,"",INDEX(tbl_plan[ロットID],ROW()-1)),"")</f>
        <v/>
      </c>
      <c r="C148" s="4" t="str">
        <f>IF($B148="","",INDEX(tbl_plan[品番],ROW()-1))</f>
        <v/>
      </c>
      <c r="D148" s="4" t="str">
        <f>IF($B148="","",SUMIFS(tbl_ledger[数量],tbl_ledger[ロットID],$B148,tbl_ledger[イベント種類],"搬入")+SUMIFS(tbl_ledger[数量],tbl_ledger[充当先ロットID],$B148,tbl_ledger[イベント種類],"充当",tbl_ledger[元状態],D$1)-SUMIFS(tbl_ledger[数量],tbl_ledger[ロットID],$B148,tbl_ledger[元状態],D$1))</f>
        <v/>
      </c>
      <c r="E148" s="4" t="str">
        <f>IF($B148="","",SUMIFS(tbl_ledger[数量],tbl_ledger[ロットID],$B148,tbl_ledger[イベント種類],"アニール完了")+SUMIFS(tbl_ledger[数量],tbl_ledger[充当先ロットID],$B148,tbl_ledger[イベント種類],"充当",tbl_ledger[元状態],E$1)-SUMIFS(tbl_ledger[数量],tbl_ledger[ロットID],$B148,tbl_ledger[元状態],E$1))</f>
        <v/>
      </c>
      <c r="F148" s="4" t="str">
        <f>IF($B148="","",SUMIFS(tbl_ledger[数量],tbl_ledger[ロットID],$B148,tbl_ledger[イベント種類],"アセンブリ完了")+SUMIFS(tbl_ledger[数量],tbl_ledger[充当先ロットID],$B148,tbl_ledger[イベント種類],"充当",tbl_ledger[元状態],F$1)-SUMIFS(tbl_ledger[数量],tbl_ledger[ロットID],$B148,tbl_ledger[元状態],F$1))</f>
        <v/>
      </c>
      <c r="G148" s="4" t="str">
        <f>IF($B148="","",SUMIFS(tbl_ledger[数量],tbl_ledger[ロットID],$B148,tbl_ledger[イベント種類],"梱包完了")+SUMIFS(tbl_ledger[数量],tbl_ledger[充当先ロットID],$B148,tbl_ledger[イベント種類],"充当",tbl_ledger[元状態],G$1)-SUMIFS(tbl_ledger[数量],tbl_ledger[ロットID],$B148,tbl_ledger[元状態],G$1))</f>
        <v/>
      </c>
      <c r="H148" s="4" t="str">
        <f>IF($B148="","",SUMIFS(tbl_ledger[数量],tbl_ledger[ロットID],$B148,tbl_ledger[イベント種類],"発送準備完了")+SUMIFS(tbl_ledger[数量],tbl_ledger[充当先ロットID],$B148,tbl_ledger[イベント種類],"充当",tbl_ledger[元状態],H$1)-SUMIFS(tbl_ledger[数量],tbl_ledger[ロットID],$B148,tbl_ledger[元状態],H$1))</f>
        <v/>
      </c>
      <c r="I148" s="4" t="str">
        <f>IF($B148="","",SUMIFS(tbl_ledger[数量],tbl_ledger[ロットID],$B148,tbl_ledger[イベント種類],"不良発生")+SUMIFS(tbl_ledger[数量],tbl_ledger[充当先ロットID],$B148,tbl_ledger[イベント種類],"充当",tbl_ledger[元状態],I$1)-SUMIFS(tbl_ledger[数量],tbl_ledger[ロットID],$B148,tbl_ledger[元状態],I$1))</f>
        <v/>
      </c>
      <c r="J148" s="4" t="str">
        <f t="shared" si="5"/>
        <v/>
      </c>
    </row>
    <row r="149" spans="1:10" ht="15" x14ac:dyDescent="0.25">
      <c r="A149" s="4" t="str">
        <f t="shared" si="4"/>
        <v/>
      </c>
      <c r="B149" s="4" t="str">
        <f>IFERROR(IF(COUNTIF($B$1:$B148,INDEX(tbl_plan[ロットID],ROW()-1))&gt;0,"",INDEX(tbl_plan[ロットID],ROW()-1)),"")</f>
        <v/>
      </c>
      <c r="C149" s="4" t="str">
        <f>IF($B149="","",INDEX(tbl_plan[品番],ROW()-1))</f>
        <v/>
      </c>
      <c r="D149" s="4" t="str">
        <f>IF($B149="","",SUMIFS(tbl_ledger[数量],tbl_ledger[ロットID],$B149,tbl_ledger[イベント種類],"搬入")+SUMIFS(tbl_ledger[数量],tbl_ledger[充当先ロットID],$B149,tbl_ledger[イベント種類],"充当",tbl_ledger[元状態],D$1)-SUMIFS(tbl_ledger[数量],tbl_ledger[ロットID],$B149,tbl_ledger[元状態],D$1))</f>
        <v/>
      </c>
      <c r="E149" s="4" t="str">
        <f>IF($B149="","",SUMIFS(tbl_ledger[数量],tbl_ledger[ロットID],$B149,tbl_ledger[イベント種類],"アニール完了")+SUMIFS(tbl_ledger[数量],tbl_ledger[充当先ロットID],$B149,tbl_ledger[イベント種類],"充当",tbl_ledger[元状態],E$1)-SUMIFS(tbl_ledger[数量],tbl_ledger[ロットID],$B149,tbl_ledger[元状態],E$1))</f>
        <v/>
      </c>
      <c r="F149" s="4" t="str">
        <f>IF($B149="","",SUMIFS(tbl_ledger[数量],tbl_ledger[ロットID],$B149,tbl_ledger[イベント種類],"アセンブリ完了")+SUMIFS(tbl_ledger[数量],tbl_ledger[充当先ロットID],$B149,tbl_ledger[イベント種類],"充当",tbl_ledger[元状態],F$1)-SUMIFS(tbl_ledger[数量],tbl_ledger[ロットID],$B149,tbl_ledger[元状態],F$1))</f>
        <v/>
      </c>
      <c r="G149" s="4" t="str">
        <f>IF($B149="","",SUMIFS(tbl_ledger[数量],tbl_ledger[ロットID],$B149,tbl_ledger[イベント種類],"梱包完了")+SUMIFS(tbl_ledger[数量],tbl_ledger[充当先ロットID],$B149,tbl_ledger[イベント種類],"充当",tbl_ledger[元状態],G$1)-SUMIFS(tbl_ledger[数量],tbl_ledger[ロットID],$B149,tbl_ledger[元状態],G$1))</f>
        <v/>
      </c>
      <c r="H149" s="4" t="str">
        <f>IF($B149="","",SUMIFS(tbl_ledger[数量],tbl_ledger[ロットID],$B149,tbl_ledger[イベント種類],"発送準備完了")+SUMIFS(tbl_ledger[数量],tbl_ledger[充当先ロットID],$B149,tbl_ledger[イベント種類],"充当",tbl_ledger[元状態],H$1)-SUMIFS(tbl_ledger[数量],tbl_ledger[ロットID],$B149,tbl_ledger[元状態],H$1))</f>
        <v/>
      </c>
      <c r="I149" s="4" t="str">
        <f>IF($B149="","",SUMIFS(tbl_ledger[数量],tbl_ledger[ロットID],$B149,tbl_ledger[イベント種類],"不良発生")+SUMIFS(tbl_ledger[数量],tbl_ledger[充当先ロットID],$B149,tbl_ledger[イベント種類],"充当",tbl_ledger[元状態],I$1)-SUMIFS(tbl_ledger[数量],tbl_ledger[ロットID],$B149,tbl_ledger[元状態],I$1))</f>
        <v/>
      </c>
      <c r="J149" s="4" t="str">
        <f t="shared" si="5"/>
        <v/>
      </c>
    </row>
    <row r="150" spans="1:10" ht="15" x14ac:dyDescent="0.25">
      <c r="A150" s="4" t="str">
        <f t="shared" si="4"/>
        <v/>
      </c>
      <c r="B150" s="4" t="str">
        <f>IFERROR(IF(COUNTIF($B$1:$B149,INDEX(tbl_plan[ロットID],ROW()-1))&gt;0,"",INDEX(tbl_plan[ロットID],ROW()-1)),"")</f>
        <v/>
      </c>
      <c r="C150" s="4" t="str">
        <f>IF($B150="","",INDEX(tbl_plan[品番],ROW()-1))</f>
        <v/>
      </c>
      <c r="D150" s="4" t="str">
        <f>IF($B150="","",SUMIFS(tbl_ledger[数量],tbl_ledger[ロットID],$B150,tbl_ledger[イベント種類],"搬入")+SUMIFS(tbl_ledger[数量],tbl_ledger[充当先ロットID],$B150,tbl_ledger[イベント種類],"充当",tbl_ledger[元状態],D$1)-SUMIFS(tbl_ledger[数量],tbl_ledger[ロットID],$B150,tbl_ledger[元状態],D$1))</f>
        <v/>
      </c>
      <c r="E150" s="4" t="str">
        <f>IF($B150="","",SUMIFS(tbl_ledger[数量],tbl_ledger[ロットID],$B150,tbl_ledger[イベント種類],"アニール完了")+SUMIFS(tbl_ledger[数量],tbl_ledger[充当先ロットID],$B150,tbl_ledger[イベント種類],"充当",tbl_ledger[元状態],E$1)-SUMIFS(tbl_ledger[数量],tbl_ledger[ロットID],$B150,tbl_ledger[元状態],E$1))</f>
        <v/>
      </c>
      <c r="F150" s="4" t="str">
        <f>IF($B150="","",SUMIFS(tbl_ledger[数量],tbl_ledger[ロットID],$B150,tbl_ledger[イベント種類],"アセンブリ完了")+SUMIFS(tbl_ledger[数量],tbl_ledger[充当先ロットID],$B150,tbl_ledger[イベント種類],"充当",tbl_ledger[元状態],F$1)-SUMIFS(tbl_ledger[数量],tbl_ledger[ロットID],$B150,tbl_ledger[元状態],F$1))</f>
        <v/>
      </c>
      <c r="G150" s="4" t="str">
        <f>IF($B150="","",SUMIFS(tbl_ledger[数量],tbl_ledger[ロットID],$B150,tbl_ledger[イベント種類],"梱包完了")+SUMIFS(tbl_ledger[数量],tbl_ledger[充当先ロットID],$B150,tbl_ledger[イベント種類],"充当",tbl_ledger[元状態],G$1)-SUMIFS(tbl_ledger[数量],tbl_ledger[ロットID],$B150,tbl_ledger[元状態],G$1))</f>
        <v/>
      </c>
      <c r="H150" s="4" t="str">
        <f>IF($B150="","",SUMIFS(tbl_ledger[数量],tbl_ledger[ロットID],$B150,tbl_ledger[イベント種類],"発送準備完了")+SUMIFS(tbl_ledger[数量],tbl_ledger[充当先ロットID],$B150,tbl_ledger[イベント種類],"充当",tbl_ledger[元状態],H$1)-SUMIFS(tbl_ledger[数量],tbl_ledger[ロットID],$B150,tbl_ledger[元状態],H$1))</f>
        <v/>
      </c>
      <c r="I150" s="4" t="str">
        <f>IF($B150="","",SUMIFS(tbl_ledger[数量],tbl_ledger[ロットID],$B150,tbl_ledger[イベント種類],"不良発生")+SUMIFS(tbl_ledger[数量],tbl_ledger[充当先ロットID],$B150,tbl_ledger[イベント種類],"充当",tbl_ledger[元状態],I$1)-SUMIFS(tbl_ledger[数量],tbl_ledger[ロットID],$B150,tbl_ledger[元状態],I$1))</f>
        <v/>
      </c>
      <c r="J150" s="4" t="str">
        <f t="shared" si="5"/>
        <v/>
      </c>
    </row>
    <row r="151" spans="1:10" ht="15" x14ac:dyDescent="0.25">
      <c r="A151" s="4" t="str">
        <f t="shared" si="4"/>
        <v/>
      </c>
      <c r="B151" s="4" t="str">
        <f>IFERROR(IF(COUNTIF($B$1:$B150,INDEX(tbl_plan[ロットID],ROW()-1))&gt;0,"",INDEX(tbl_plan[ロットID],ROW()-1)),"")</f>
        <v/>
      </c>
      <c r="C151" s="4" t="str">
        <f>IF($B151="","",INDEX(tbl_plan[品番],ROW()-1))</f>
        <v/>
      </c>
      <c r="D151" s="4" t="str">
        <f>IF($B151="","",SUMIFS(tbl_ledger[数量],tbl_ledger[ロットID],$B151,tbl_ledger[イベント種類],"搬入")+SUMIFS(tbl_ledger[数量],tbl_ledger[充当先ロットID],$B151,tbl_ledger[イベント種類],"充当",tbl_ledger[元状態],D$1)-SUMIFS(tbl_ledger[数量],tbl_ledger[ロットID],$B151,tbl_ledger[元状態],D$1))</f>
        <v/>
      </c>
      <c r="E151" s="4" t="str">
        <f>IF($B151="","",SUMIFS(tbl_ledger[数量],tbl_ledger[ロットID],$B151,tbl_ledger[イベント種類],"アニール完了")+SUMIFS(tbl_ledger[数量],tbl_ledger[充当先ロットID],$B151,tbl_ledger[イベント種類],"充当",tbl_ledger[元状態],E$1)-SUMIFS(tbl_ledger[数量],tbl_ledger[ロットID],$B151,tbl_ledger[元状態],E$1))</f>
        <v/>
      </c>
      <c r="F151" s="4" t="str">
        <f>IF($B151="","",SUMIFS(tbl_ledger[数量],tbl_ledger[ロットID],$B151,tbl_ledger[イベント種類],"アセンブリ完了")+SUMIFS(tbl_ledger[数量],tbl_ledger[充当先ロットID],$B151,tbl_ledger[イベント種類],"充当",tbl_ledger[元状態],F$1)-SUMIFS(tbl_ledger[数量],tbl_ledger[ロットID],$B151,tbl_ledger[元状態],F$1))</f>
        <v/>
      </c>
      <c r="G151" s="4" t="str">
        <f>IF($B151="","",SUMIFS(tbl_ledger[数量],tbl_ledger[ロットID],$B151,tbl_ledger[イベント種類],"梱包完了")+SUMIFS(tbl_ledger[数量],tbl_ledger[充当先ロットID],$B151,tbl_ledger[イベント種類],"充当",tbl_ledger[元状態],G$1)-SUMIFS(tbl_ledger[数量],tbl_ledger[ロットID],$B151,tbl_ledger[元状態],G$1))</f>
        <v/>
      </c>
      <c r="H151" s="4" t="str">
        <f>IF($B151="","",SUMIFS(tbl_ledger[数量],tbl_ledger[ロットID],$B151,tbl_ledger[イベント種類],"発送準備完了")+SUMIFS(tbl_ledger[数量],tbl_ledger[充当先ロットID],$B151,tbl_ledger[イベント種類],"充当",tbl_ledger[元状態],H$1)-SUMIFS(tbl_ledger[数量],tbl_ledger[ロットID],$B151,tbl_ledger[元状態],H$1))</f>
        <v/>
      </c>
      <c r="I151" s="4" t="str">
        <f>IF($B151="","",SUMIFS(tbl_ledger[数量],tbl_ledger[ロットID],$B151,tbl_ledger[イベント種類],"不良発生")+SUMIFS(tbl_ledger[数量],tbl_ledger[充当先ロットID],$B151,tbl_ledger[イベント種類],"充当",tbl_ledger[元状態],I$1)-SUMIFS(tbl_ledger[数量],tbl_ledger[ロットID],$B151,tbl_ledger[元状態],I$1))</f>
        <v/>
      </c>
      <c r="J151" s="4" t="str">
        <f t="shared" si="5"/>
        <v/>
      </c>
    </row>
    <row r="152" spans="1:10" ht="15" x14ac:dyDescent="0.25">
      <c r="A152" s="4" t="str">
        <f t="shared" si="4"/>
        <v/>
      </c>
      <c r="B152" s="4" t="str">
        <f>IFERROR(IF(COUNTIF($B$1:$B151,INDEX(tbl_plan[ロットID],ROW()-1))&gt;0,"",INDEX(tbl_plan[ロットID],ROW()-1)),"")</f>
        <v/>
      </c>
      <c r="C152" s="4" t="str">
        <f>IF($B152="","",INDEX(tbl_plan[品番],ROW()-1))</f>
        <v/>
      </c>
      <c r="D152" s="4" t="str">
        <f>IF($B152="","",SUMIFS(tbl_ledger[数量],tbl_ledger[ロットID],$B152,tbl_ledger[イベント種類],"搬入")+SUMIFS(tbl_ledger[数量],tbl_ledger[充当先ロットID],$B152,tbl_ledger[イベント種類],"充当",tbl_ledger[元状態],D$1)-SUMIFS(tbl_ledger[数量],tbl_ledger[ロットID],$B152,tbl_ledger[元状態],D$1))</f>
        <v/>
      </c>
      <c r="E152" s="4" t="str">
        <f>IF($B152="","",SUMIFS(tbl_ledger[数量],tbl_ledger[ロットID],$B152,tbl_ledger[イベント種類],"アニール完了")+SUMIFS(tbl_ledger[数量],tbl_ledger[充当先ロットID],$B152,tbl_ledger[イベント種類],"充当",tbl_ledger[元状態],E$1)-SUMIFS(tbl_ledger[数量],tbl_ledger[ロットID],$B152,tbl_ledger[元状態],E$1))</f>
        <v/>
      </c>
      <c r="F152" s="4" t="str">
        <f>IF($B152="","",SUMIFS(tbl_ledger[数量],tbl_ledger[ロットID],$B152,tbl_ledger[イベント種類],"アセンブリ完了")+SUMIFS(tbl_ledger[数量],tbl_ledger[充当先ロットID],$B152,tbl_ledger[イベント種類],"充当",tbl_ledger[元状態],F$1)-SUMIFS(tbl_ledger[数量],tbl_ledger[ロットID],$B152,tbl_ledger[元状態],F$1))</f>
        <v/>
      </c>
      <c r="G152" s="4" t="str">
        <f>IF($B152="","",SUMIFS(tbl_ledger[数量],tbl_ledger[ロットID],$B152,tbl_ledger[イベント種類],"梱包完了")+SUMIFS(tbl_ledger[数量],tbl_ledger[充当先ロットID],$B152,tbl_ledger[イベント種類],"充当",tbl_ledger[元状態],G$1)-SUMIFS(tbl_ledger[数量],tbl_ledger[ロットID],$B152,tbl_ledger[元状態],G$1))</f>
        <v/>
      </c>
      <c r="H152" s="4" t="str">
        <f>IF($B152="","",SUMIFS(tbl_ledger[数量],tbl_ledger[ロットID],$B152,tbl_ledger[イベント種類],"発送準備完了")+SUMIFS(tbl_ledger[数量],tbl_ledger[充当先ロットID],$B152,tbl_ledger[イベント種類],"充当",tbl_ledger[元状態],H$1)-SUMIFS(tbl_ledger[数量],tbl_ledger[ロットID],$B152,tbl_ledger[元状態],H$1))</f>
        <v/>
      </c>
      <c r="I152" s="4" t="str">
        <f>IF($B152="","",SUMIFS(tbl_ledger[数量],tbl_ledger[ロットID],$B152,tbl_ledger[イベント種類],"不良発生")+SUMIFS(tbl_ledger[数量],tbl_ledger[充当先ロットID],$B152,tbl_ledger[イベント種類],"充当",tbl_ledger[元状態],I$1)-SUMIFS(tbl_ledger[数量],tbl_ledger[ロットID],$B152,tbl_ledger[元状態],I$1))</f>
        <v/>
      </c>
      <c r="J152" s="4" t="str">
        <f t="shared" si="5"/>
        <v/>
      </c>
    </row>
    <row r="153" spans="1:10" ht="15" x14ac:dyDescent="0.25">
      <c r="A153" s="4" t="str">
        <f t="shared" si="4"/>
        <v/>
      </c>
      <c r="B153" s="4" t="str">
        <f>IFERROR(IF(COUNTIF($B$1:$B152,INDEX(tbl_plan[ロットID],ROW()-1))&gt;0,"",INDEX(tbl_plan[ロットID],ROW()-1)),"")</f>
        <v/>
      </c>
      <c r="C153" s="4" t="str">
        <f>IF($B153="","",INDEX(tbl_plan[品番],ROW()-1))</f>
        <v/>
      </c>
      <c r="D153" s="4" t="str">
        <f>IF($B153="","",SUMIFS(tbl_ledger[数量],tbl_ledger[ロットID],$B153,tbl_ledger[イベント種類],"搬入")+SUMIFS(tbl_ledger[数量],tbl_ledger[充当先ロットID],$B153,tbl_ledger[イベント種類],"充当",tbl_ledger[元状態],D$1)-SUMIFS(tbl_ledger[数量],tbl_ledger[ロットID],$B153,tbl_ledger[元状態],D$1))</f>
        <v/>
      </c>
      <c r="E153" s="4" t="str">
        <f>IF($B153="","",SUMIFS(tbl_ledger[数量],tbl_ledger[ロットID],$B153,tbl_ledger[イベント種類],"アニール完了")+SUMIFS(tbl_ledger[数量],tbl_ledger[充当先ロットID],$B153,tbl_ledger[イベント種類],"充当",tbl_ledger[元状態],E$1)-SUMIFS(tbl_ledger[数量],tbl_ledger[ロットID],$B153,tbl_ledger[元状態],E$1))</f>
        <v/>
      </c>
      <c r="F153" s="4" t="str">
        <f>IF($B153="","",SUMIFS(tbl_ledger[数量],tbl_ledger[ロットID],$B153,tbl_ledger[イベント種類],"アセンブリ完了")+SUMIFS(tbl_ledger[数量],tbl_ledger[充当先ロットID],$B153,tbl_ledger[イベント種類],"充当",tbl_ledger[元状態],F$1)-SUMIFS(tbl_ledger[数量],tbl_ledger[ロットID],$B153,tbl_ledger[元状態],F$1))</f>
        <v/>
      </c>
      <c r="G153" s="4" t="str">
        <f>IF($B153="","",SUMIFS(tbl_ledger[数量],tbl_ledger[ロットID],$B153,tbl_ledger[イベント種類],"梱包完了")+SUMIFS(tbl_ledger[数量],tbl_ledger[充当先ロットID],$B153,tbl_ledger[イベント種類],"充当",tbl_ledger[元状態],G$1)-SUMIFS(tbl_ledger[数量],tbl_ledger[ロットID],$B153,tbl_ledger[元状態],G$1))</f>
        <v/>
      </c>
      <c r="H153" s="4" t="str">
        <f>IF($B153="","",SUMIFS(tbl_ledger[数量],tbl_ledger[ロットID],$B153,tbl_ledger[イベント種類],"発送準備完了")+SUMIFS(tbl_ledger[数量],tbl_ledger[充当先ロットID],$B153,tbl_ledger[イベント種類],"充当",tbl_ledger[元状態],H$1)-SUMIFS(tbl_ledger[数量],tbl_ledger[ロットID],$B153,tbl_ledger[元状態],H$1))</f>
        <v/>
      </c>
      <c r="I153" s="4" t="str">
        <f>IF($B153="","",SUMIFS(tbl_ledger[数量],tbl_ledger[ロットID],$B153,tbl_ledger[イベント種類],"不良発生")+SUMIFS(tbl_ledger[数量],tbl_ledger[充当先ロットID],$B153,tbl_ledger[イベント種類],"充当",tbl_ledger[元状態],I$1)-SUMIFS(tbl_ledger[数量],tbl_ledger[ロットID],$B153,tbl_ledger[元状態],I$1))</f>
        <v/>
      </c>
      <c r="J153" s="4" t="str">
        <f t="shared" si="5"/>
        <v/>
      </c>
    </row>
    <row r="154" spans="1:10" ht="15" x14ac:dyDescent="0.25">
      <c r="A154" s="4" t="str">
        <f t="shared" si="4"/>
        <v/>
      </c>
      <c r="B154" s="4" t="str">
        <f>IFERROR(IF(COUNTIF($B$1:$B153,INDEX(tbl_plan[ロットID],ROW()-1))&gt;0,"",INDEX(tbl_plan[ロットID],ROW()-1)),"")</f>
        <v/>
      </c>
      <c r="C154" s="4" t="str">
        <f>IF($B154="","",INDEX(tbl_plan[品番],ROW()-1))</f>
        <v/>
      </c>
      <c r="D154" s="4" t="str">
        <f>IF($B154="","",SUMIFS(tbl_ledger[数量],tbl_ledger[ロットID],$B154,tbl_ledger[イベント種類],"搬入")+SUMIFS(tbl_ledger[数量],tbl_ledger[充当先ロットID],$B154,tbl_ledger[イベント種類],"充当",tbl_ledger[元状態],D$1)-SUMIFS(tbl_ledger[数量],tbl_ledger[ロットID],$B154,tbl_ledger[元状態],D$1))</f>
        <v/>
      </c>
      <c r="E154" s="4" t="str">
        <f>IF($B154="","",SUMIFS(tbl_ledger[数量],tbl_ledger[ロットID],$B154,tbl_ledger[イベント種類],"アニール完了")+SUMIFS(tbl_ledger[数量],tbl_ledger[充当先ロットID],$B154,tbl_ledger[イベント種類],"充当",tbl_ledger[元状態],E$1)-SUMIFS(tbl_ledger[数量],tbl_ledger[ロットID],$B154,tbl_ledger[元状態],E$1))</f>
        <v/>
      </c>
      <c r="F154" s="4" t="str">
        <f>IF($B154="","",SUMIFS(tbl_ledger[数量],tbl_ledger[ロットID],$B154,tbl_ledger[イベント種類],"アセンブリ完了")+SUMIFS(tbl_ledger[数量],tbl_ledger[充当先ロットID],$B154,tbl_ledger[イベント種類],"充当",tbl_ledger[元状態],F$1)-SUMIFS(tbl_ledger[数量],tbl_ledger[ロットID],$B154,tbl_ledger[元状態],F$1))</f>
        <v/>
      </c>
      <c r="G154" s="4" t="str">
        <f>IF($B154="","",SUMIFS(tbl_ledger[数量],tbl_ledger[ロットID],$B154,tbl_ledger[イベント種類],"梱包完了")+SUMIFS(tbl_ledger[数量],tbl_ledger[充当先ロットID],$B154,tbl_ledger[イベント種類],"充当",tbl_ledger[元状態],G$1)-SUMIFS(tbl_ledger[数量],tbl_ledger[ロットID],$B154,tbl_ledger[元状態],G$1))</f>
        <v/>
      </c>
      <c r="H154" s="4" t="str">
        <f>IF($B154="","",SUMIFS(tbl_ledger[数量],tbl_ledger[ロットID],$B154,tbl_ledger[イベント種類],"発送準備完了")+SUMIFS(tbl_ledger[数量],tbl_ledger[充当先ロットID],$B154,tbl_ledger[イベント種類],"充当",tbl_ledger[元状態],H$1)-SUMIFS(tbl_ledger[数量],tbl_ledger[ロットID],$B154,tbl_ledger[元状態],H$1))</f>
        <v/>
      </c>
      <c r="I154" s="4" t="str">
        <f>IF($B154="","",SUMIFS(tbl_ledger[数量],tbl_ledger[ロットID],$B154,tbl_ledger[イベント種類],"不良発生")+SUMIFS(tbl_ledger[数量],tbl_ledger[充当先ロットID],$B154,tbl_ledger[イベント種類],"充当",tbl_ledger[元状態],I$1)-SUMIFS(tbl_ledger[数量],tbl_ledger[ロットID],$B154,tbl_ledger[元状態],I$1))</f>
        <v/>
      </c>
      <c r="J154" s="4" t="str">
        <f t="shared" si="5"/>
        <v/>
      </c>
    </row>
    <row r="155" spans="1:10" ht="15" x14ac:dyDescent="0.25">
      <c r="A155" s="4" t="str">
        <f t="shared" si="4"/>
        <v/>
      </c>
      <c r="B155" s="4" t="str">
        <f>IFERROR(IF(COUNTIF($B$1:$B154,INDEX(tbl_plan[ロットID],ROW()-1))&gt;0,"",INDEX(tbl_plan[ロットID],ROW()-1)),"")</f>
        <v/>
      </c>
      <c r="C155" s="4" t="str">
        <f>IF($B155="","",INDEX(tbl_plan[品番],ROW()-1))</f>
        <v/>
      </c>
      <c r="D155" s="4" t="str">
        <f>IF($B155="","",SUMIFS(tbl_ledger[数量],tbl_ledger[ロットID],$B155,tbl_ledger[イベント種類],"搬入")+SUMIFS(tbl_ledger[数量],tbl_ledger[充当先ロットID],$B155,tbl_ledger[イベント種類],"充当",tbl_ledger[元状態],D$1)-SUMIFS(tbl_ledger[数量],tbl_ledger[ロットID],$B155,tbl_ledger[元状態],D$1))</f>
        <v/>
      </c>
      <c r="E155" s="4" t="str">
        <f>IF($B155="","",SUMIFS(tbl_ledger[数量],tbl_ledger[ロットID],$B155,tbl_ledger[イベント種類],"アニール完了")+SUMIFS(tbl_ledger[数量],tbl_ledger[充当先ロットID],$B155,tbl_ledger[イベント種類],"充当",tbl_ledger[元状態],E$1)-SUMIFS(tbl_ledger[数量],tbl_ledger[ロットID],$B155,tbl_ledger[元状態],E$1))</f>
        <v/>
      </c>
      <c r="F155" s="4" t="str">
        <f>IF($B155="","",SUMIFS(tbl_ledger[数量],tbl_ledger[ロットID],$B155,tbl_ledger[イベント種類],"アセンブリ完了")+SUMIFS(tbl_ledger[数量],tbl_ledger[充当先ロットID],$B155,tbl_ledger[イベント種類],"充当",tbl_ledger[元状態],F$1)-SUMIFS(tbl_ledger[数量],tbl_ledger[ロットID],$B155,tbl_ledger[元状態],F$1))</f>
        <v/>
      </c>
      <c r="G155" s="4" t="str">
        <f>IF($B155="","",SUMIFS(tbl_ledger[数量],tbl_ledger[ロットID],$B155,tbl_ledger[イベント種類],"梱包完了")+SUMIFS(tbl_ledger[数量],tbl_ledger[充当先ロットID],$B155,tbl_ledger[イベント種類],"充当",tbl_ledger[元状態],G$1)-SUMIFS(tbl_ledger[数量],tbl_ledger[ロットID],$B155,tbl_ledger[元状態],G$1))</f>
        <v/>
      </c>
      <c r="H155" s="4" t="str">
        <f>IF($B155="","",SUMIFS(tbl_ledger[数量],tbl_ledger[ロットID],$B155,tbl_ledger[イベント種類],"発送準備完了")+SUMIFS(tbl_ledger[数量],tbl_ledger[充当先ロットID],$B155,tbl_ledger[イベント種類],"充当",tbl_ledger[元状態],H$1)-SUMIFS(tbl_ledger[数量],tbl_ledger[ロットID],$B155,tbl_ledger[元状態],H$1))</f>
        <v/>
      </c>
      <c r="I155" s="4" t="str">
        <f>IF($B155="","",SUMIFS(tbl_ledger[数量],tbl_ledger[ロットID],$B155,tbl_ledger[イベント種類],"不良発生")+SUMIFS(tbl_ledger[数量],tbl_ledger[充当先ロットID],$B155,tbl_ledger[イベント種類],"充当",tbl_ledger[元状態],I$1)-SUMIFS(tbl_ledger[数量],tbl_ledger[ロットID],$B155,tbl_ledger[元状態],I$1))</f>
        <v/>
      </c>
      <c r="J155" s="4" t="str">
        <f t="shared" si="5"/>
        <v/>
      </c>
    </row>
    <row r="156" spans="1:10" ht="15" x14ac:dyDescent="0.25">
      <c r="A156" s="4" t="str">
        <f t="shared" si="4"/>
        <v/>
      </c>
      <c r="B156" s="4" t="str">
        <f>IFERROR(IF(COUNTIF($B$1:$B155,INDEX(tbl_plan[ロットID],ROW()-1))&gt;0,"",INDEX(tbl_plan[ロットID],ROW()-1)),"")</f>
        <v/>
      </c>
      <c r="C156" s="4" t="str">
        <f>IF($B156="","",INDEX(tbl_plan[品番],ROW()-1))</f>
        <v/>
      </c>
      <c r="D156" s="4" t="str">
        <f>IF($B156="","",SUMIFS(tbl_ledger[数量],tbl_ledger[ロットID],$B156,tbl_ledger[イベント種類],"搬入")+SUMIFS(tbl_ledger[数量],tbl_ledger[充当先ロットID],$B156,tbl_ledger[イベント種類],"充当",tbl_ledger[元状態],D$1)-SUMIFS(tbl_ledger[数量],tbl_ledger[ロットID],$B156,tbl_ledger[元状態],D$1))</f>
        <v/>
      </c>
      <c r="E156" s="4" t="str">
        <f>IF($B156="","",SUMIFS(tbl_ledger[数量],tbl_ledger[ロットID],$B156,tbl_ledger[イベント種類],"アニール完了")+SUMIFS(tbl_ledger[数量],tbl_ledger[充当先ロットID],$B156,tbl_ledger[イベント種類],"充当",tbl_ledger[元状態],E$1)-SUMIFS(tbl_ledger[数量],tbl_ledger[ロットID],$B156,tbl_ledger[元状態],E$1))</f>
        <v/>
      </c>
      <c r="F156" s="4" t="str">
        <f>IF($B156="","",SUMIFS(tbl_ledger[数量],tbl_ledger[ロットID],$B156,tbl_ledger[イベント種類],"アセンブリ完了")+SUMIFS(tbl_ledger[数量],tbl_ledger[充当先ロットID],$B156,tbl_ledger[イベント種類],"充当",tbl_ledger[元状態],F$1)-SUMIFS(tbl_ledger[数量],tbl_ledger[ロットID],$B156,tbl_ledger[元状態],F$1))</f>
        <v/>
      </c>
      <c r="G156" s="4" t="str">
        <f>IF($B156="","",SUMIFS(tbl_ledger[数量],tbl_ledger[ロットID],$B156,tbl_ledger[イベント種類],"梱包完了")+SUMIFS(tbl_ledger[数量],tbl_ledger[充当先ロットID],$B156,tbl_ledger[イベント種類],"充当",tbl_ledger[元状態],G$1)-SUMIFS(tbl_ledger[数量],tbl_ledger[ロットID],$B156,tbl_ledger[元状態],G$1))</f>
        <v/>
      </c>
      <c r="H156" s="4" t="str">
        <f>IF($B156="","",SUMIFS(tbl_ledger[数量],tbl_ledger[ロットID],$B156,tbl_ledger[イベント種類],"発送準備完了")+SUMIFS(tbl_ledger[数量],tbl_ledger[充当先ロットID],$B156,tbl_ledger[イベント種類],"充当",tbl_ledger[元状態],H$1)-SUMIFS(tbl_ledger[数量],tbl_ledger[ロットID],$B156,tbl_ledger[元状態],H$1))</f>
        <v/>
      </c>
      <c r="I156" s="4" t="str">
        <f>IF($B156="","",SUMIFS(tbl_ledger[数量],tbl_ledger[ロットID],$B156,tbl_ledger[イベント種類],"不良発生")+SUMIFS(tbl_ledger[数量],tbl_ledger[充当先ロットID],$B156,tbl_ledger[イベント種類],"充当",tbl_ledger[元状態],I$1)-SUMIFS(tbl_ledger[数量],tbl_ledger[ロットID],$B156,tbl_ledger[元状態],I$1))</f>
        <v/>
      </c>
      <c r="J156" s="4" t="str">
        <f t="shared" si="5"/>
        <v/>
      </c>
    </row>
    <row r="157" spans="1:10" ht="15" x14ac:dyDescent="0.25">
      <c r="A157" s="4" t="str">
        <f t="shared" si="4"/>
        <v/>
      </c>
      <c r="B157" s="4" t="str">
        <f>IFERROR(IF(COUNTIF($B$1:$B156,INDEX(tbl_plan[ロットID],ROW()-1))&gt;0,"",INDEX(tbl_plan[ロットID],ROW()-1)),"")</f>
        <v/>
      </c>
      <c r="C157" s="4" t="str">
        <f>IF($B157="","",INDEX(tbl_plan[品番],ROW()-1))</f>
        <v/>
      </c>
      <c r="D157" s="4" t="str">
        <f>IF($B157="","",SUMIFS(tbl_ledger[数量],tbl_ledger[ロットID],$B157,tbl_ledger[イベント種類],"搬入")+SUMIFS(tbl_ledger[数量],tbl_ledger[充当先ロットID],$B157,tbl_ledger[イベント種類],"充当",tbl_ledger[元状態],D$1)-SUMIFS(tbl_ledger[数量],tbl_ledger[ロットID],$B157,tbl_ledger[元状態],D$1))</f>
        <v/>
      </c>
      <c r="E157" s="4" t="str">
        <f>IF($B157="","",SUMIFS(tbl_ledger[数量],tbl_ledger[ロットID],$B157,tbl_ledger[イベント種類],"アニール完了")+SUMIFS(tbl_ledger[数量],tbl_ledger[充当先ロットID],$B157,tbl_ledger[イベント種類],"充当",tbl_ledger[元状態],E$1)-SUMIFS(tbl_ledger[数量],tbl_ledger[ロットID],$B157,tbl_ledger[元状態],E$1))</f>
        <v/>
      </c>
      <c r="F157" s="4" t="str">
        <f>IF($B157="","",SUMIFS(tbl_ledger[数量],tbl_ledger[ロットID],$B157,tbl_ledger[イベント種類],"アセンブリ完了")+SUMIFS(tbl_ledger[数量],tbl_ledger[充当先ロットID],$B157,tbl_ledger[イベント種類],"充当",tbl_ledger[元状態],F$1)-SUMIFS(tbl_ledger[数量],tbl_ledger[ロットID],$B157,tbl_ledger[元状態],F$1))</f>
        <v/>
      </c>
      <c r="G157" s="4" t="str">
        <f>IF($B157="","",SUMIFS(tbl_ledger[数量],tbl_ledger[ロットID],$B157,tbl_ledger[イベント種類],"梱包完了")+SUMIFS(tbl_ledger[数量],tbl_ledger[充当先ロットID],$B157,tbl_ledger[イベント種類],"充当",tbl_ledger[元状態],G$1)-SUMIFS(tbl_ledger[数量],tbl_ledger[ロットID],$B157,tbl_ledger[元状態],G$1))</f>
        <v/>
      </c>
      <c r="H157" s="4" t="str">
        <f>IF($B157="","",SUMIFS(tbl_ledger[数量],tbl_ledger[ロットID],$B157,tbl_ledger[イベント種類],"発送準備完了")+SUMIFS(tbl_ledger[数量],tbl_ledger[充当先ロットID],$B157,tbl_ledger[イベント種類],"充当",tbl_ledger[元状態],H$1)-SUMIFS(tbl_ledger[数量],tbl_ledger[ロットID],$B157,tbl_ledger[元状態],H$1))</f>
        <v/>
      </c>
      <c r="I157" s="4" t="str">
        <f>IF($B157="","",SUMIFS(tbl_ledger[数量],tbl_ledger[ロットID],$B157,tbl_ledger[イベント種類],"不良発生")+SUMIFS(tbl_ledger[数量],tbl_ledger[充当先ロットID],$B157,tbl_ledger[イベント種類],"充当",tbl_ledger[元状態],I$1)-SUMIFS(tbl_ledger[数量],tbl_ledger[ロットID],$B157,tbl_ledger[元状態],I$1))</f>
        <v/>
      </c>
      <c r="J157" s="4" t="str">
        <f t="shared" si="5"/>
        <v/>
      </c>
    </row>
    <row r="158" spans="1:10" ht="15" x14ac:dyDescent="0.25">
      <c r="A158" s="4" t="str">
        <f t="shared" si="4"/>
        <v/>
      </c>
      <c r="B158" s="4" t="str">
        <f>IFERROR(IF(COUNTIF($B$1:$B157,INDEX(tbl_plan[ロットID],ROW()-1))&gt;0,"",INDEX(tbl_plan[ロットID],ROW()-1)),"")</f>
        <v/>
      </c>
      <c r="C158" s="4" t="str">
        <f>IF($B158="","",INDEX(tbl_plan[品番],ROW()-1))</f>
        <v/>
      </c>
      <c r="D158" s="4" t="str">
        <f>IF($B158="","",SUMIFS(tbl_ledger[数量],tbl_ledger[ロットID],$B158,tbl_ledger[イベント種類],"搬入")+SUMIFS(tbl_ledger[数量],tbl_ledger[充当先ロットID],$B158,tbl_ledger[イベント種類],"充当",tbl_ledger[元状態],D$1)-SUMIFS(tbl_ledger[数量],tbl_ledger[ロットID],$B158,tbl_ledger[元状態],D$1))</f>
        <v/>
      </c>
      <c r="E158" s="4" t="str">
        <f>IF($B158="","",SUMIFS(tbl_ledger[数量],tbl_ledger[ロットID],$B158,tbl_ledger[イベント種類],"アニール完了")+SUMIFS(tbl_ledger[数量],tbl_ledger[充当先ロットID],$B158,tbl_ledger[イベント種類],"充当",tbl_ledger[元状態],E$1)-SUMIFS(tbl_ledger[数量],tbl_ledger[ロットID],$B158,tbl_ledger[元状態],E$1))</f>
        <v/>
      </c>
      <c r="F158" s="4" t="str">
        <f>IF($B158="","",SUMIFS(tbl_ledger[数量],tbl_ledger[ロットID],$B158,tbl_ledger[イベント種類],"アセンブリ完了")+SUMIFS(tbl_ledger[数量],tbl_ledger[充当先ロットID],$B158,tbl_ledger[イベント種類],"充当",tbl_ledger[元状態],F$1)-SUMIFS(tbl_ledger[数量],tbl_ledger[ロットID],$B158,tbl_ledger[元状態],F$1))</f>
        <v/>
      </c>
      <c r="G158" s="4" t="str">
        <f>IF($B158="","",SUMIFS(tbl_ledger[数量],tbl_ledger[ロットID],$B158,tbl_ledger[イベント種類],"梱包完了")+SUMIFS(tbl_ledger[数量],tbl_ledger[充当先ロットID],$B158,tbl_ledger[イベント種類],"充当",tbl_ledger[元状態],G$1)-SUMIFS(tbl_ledger[数量],tbl_ledger[ロットID],$B158,tbl_ledger[元状態],G$1))</f>
        <v/>
      </c>
      <c r="H158" s="4" t="str">
        <f>IF($B158="","",SUMIFS(tbl_ledger[数量],tbl_ledger[ロットID],$B158,tbl_ledger[イベント種類],"発送準備完了")+SUMIFS(tbl_ledger[数量],tbl_ledger[充当先ロットID],$B158,tbl_ledger[イベント種類],"充当",tbl_ledger[元状態],H$1)-SUMIFS(tbl_ledger[数量],tbl_ledger[ロットID],$B158,tbl_ledger[元状態],H$1))</f>
        <v/>
      </c>
      <c r="I158" s="4" t="str">
        <f>IF($B158="","",SUMIFS(tbl_ledger[数量],tbl_ledger[ロットID],$B158,tbl_ledger[イベント種類],"不良発生")+SUMIFS(tbl_ledger[数量],tbl_ledger[充当先ロットID],$B158,tbl_ledger[イベント種類],"充当",tbl_ledger[元状態],I$1)-SUMIFS(tbl_ledger[数量],tbl_ledger[ロットID],$B158,tbl_ledger[元状態],I$1))</f>
        <v/>
      </c>
      <c r="J158" s="4" t="str">
        <f t="shared" si="5"/>
        <v/>
      </c>
    </row>
    <row r="159" spans="1:10" ht="15" x14ac:dyDescent="0.25">
      <c r="A159" s="4" t="str">
        <f t="shared" si="4"/>
        <v/>
      </c>
      <c r="B159" s="4" t="str">
        <f>IFERROR(IF(COUNTIF($B$1:$B158,INDEX(tbl_plan[ロットID],ROW()-1))&gt;0,"",INDEX(tbl_plan[ロットID],ROW()-1)),"")</f>
        <v/>
      </c>
      <c r="C159" s="4" t="str">
        <f>IF($B159="","",INDEX(tbl_plan[品番],ROW()-1))</f>
        <v/>
      </c>
      <c r="D159" s="4" t="str">
        <f>IF($B159="","",SUMIFS(tbl_ledger[数量],tbl_ledger[ロットID],$B159,tbl_ledger[イベント種類],"搬入")+SUMIFS(tbl_ledger[数量],tbl_ledger[充当先ロットID],$B159,tbl_ledger[イベント種類],"充当",tbl_ledger[元状態],D$1)-SUMIFS(tbl_ledger[数量],tbl_ledger[ロットID],$B159,tbl_ledger[元状態],D$1))</f>
        <v/>
      </c>
      <c r="E159" s="4" t="str">
        <f>IF($B159="","",SUMIFS(tbl_ledger[数量],tbl_ledger[ロットID],$B159,tbl_ledger[イベント種類],"アニール完了")+SUMIFS(tbl_ledger[数量],tbl_ledger[充当先ロットID],$B159,tbl_ledger[イベント種類],"充当",tbl_ledger[元状態],E$1)-SUMIFS(tbl_ledger[数量],tbl_ledger[ロットID],$B159,tbl_ledger[元状態],E$1))</f>
        <v/>
      </c>
      <c r="F159" s="4" t="str">
        <f>IF($B159="","",SUMIFS(tbl_ledger[数量],tbl_ledger[ロットID],$B159,tbl_ledger[イベント種類],"アセンブリ完了")+SUMIFS(tbl_ledger[数量],tbl_ledger[充当先ロットID],$B159,tbl_ledger[イベント種類],"充当",tbl_ledger[元状態],F$1)-SUMIFS(tbl_ledger[数量],tbl_ledger[ロットID],$B159,tbl_ledger[元状態],F$1))</f>
        <v/>
      </c>
      <c r="G159" s="4" t="str">
        <f>IF($B159="","",SUMIFS(tbl_ledger[数量],tbl_ledger[ロットID],$B159,tbl_ledger[イベント種類],"梱包完了")+SUMIFS(tbl_ledger[数量],tbl_ledger[充当先ロットID],$B159,tbl_ledger[イベント種類],"充当",tbl_ledger[元状態],G$1)-SUMIFS(tbl_ledger[数量],tbl_ledger[ロットID],$B159,tbl_ledger[元状態],G$1))</f>
        <v/>
      </c>
      <c r="H159" s="4" t="str">
        <f>IF($B159="","",SUMIFS(tbl_ledger[数量],tbl_ledger[ロットID],$B159,tbl_ledger[イベント種類],"発送準備完了")+SUMIFS(tbl_ledger[数量],tbl_ledger[充当先ロットID],$B159,tbl_ledger[イベント種類],"充当",tbl_ledger[元状態],H$1)-SUMIFS(tbl_ledger[数量],tbl_ledger[ロットID],$B159,tbl_ledger[元状態],H$1))</f>
        <v/>
      </c>
      <c r="I159" s="4" t="str">
        <f>IF($B159="","",SUMIFS(tbl_ledger[数量],tbl_ledger[ロットID],$B159,tbl_ledger[イベント種類],"不良発生")+SUMIFS(tbl_ledger[数量],tbl_ledger[充当先ロットID],$B159,tbl_ledger[イベント種類],"充当",tbl_ledger[元状態],I$1)-SUMIFS(tbl_ledger[数量],tbl_ledger[ロットID],$B159,tbl_ledger[元状態],I$1))</f>
        <v/>
      </c>
      <c r="J159" s="4" t="str">
        <f t="shared" si="5"/>
        <v/>
      </c>
    </row>
    <row r="160" spans="1:10" ht="15" x14ac:dyDescent="0.25">
      <c r="A160" s="4" t="str">
        <f t="shared" si="4"/>
        <v/>
      </c>
      <c r="B160" s="4" t="str">
        <f>IFERROR(IF(COUNTIF($B$1:$B159,INDEX(tbl_plan[ロットID],ROW()-1))&gt;0,"",INDEX(tbl_plan[ロットID],ROW()-1)),"")</f>
        <v/>
      </c>
      <c r="C160" s="4" t="str">
        <f>IF($B160="","",INDEX(tbl_plan[品番],ROW()-1))</f>
        <v/>
      </c>
      <c r="D160" s="4" t="str">
        <f>IF($B160="","",SUMIFS(tbl_ledger[数量],tbl_ledger[ロットID],$B160,tbl_ledger[イベント種類],"搬入")+SUMIFS(tbl_ledger[数量],tbl_ledger[充当先ロットID],$B160,tbl_ledger[イベント種類],"充当",tbl_ledger[元状態],D$1)-SUMIFS(tbl_ledger[数量],tbl_ledger[ロットID],$B160,tbl_ledger[元状態],D$1))</f>
        <v/>
      </c>
      <c r="E160" s="4" t="str">
        <f>IF($B160="","",SUMIFS(tbl_ledger[数量],tbl_ledger[ロットID],$B160,tbl_ledger[イベント種類],"アニール完了")+SUMIFS(tbl_ledger[数量],tbl_ledger[充当先ロットID],$B160,tbl_ledger[イベント種類],"充当",tbl_ledger[元状態],E$1)-SUMIFS(tbl_ledger[数量],tbl_ledger[ロットID],$B160,tbl_ledger[元状態],E$1))</f>
        <v/>
      </c>
      <c r="F160" s="4" t="str">
        <f>IF($B160="","",SUMIFS(tbl_ledger[数量],tbl_ledger[ロットID],$B160,tbl_ledger[イベント種類],"アセンブリ完了")+SUMIFS(tbl_ledger[数量],tbl_ledger[充当先ロットID],$B160,tbl_ledger[イベント種類],"充当",tbl_ledger[元状態],F$1)-SUMIFS(tbl_ledger[数量],tbl_ledger[ロットID],$B160,tbl_ledger[元状態],F$1))</f>
        <v/>
      </c>
      <c r="G160" s="4" t="str">
        <f>IF($B160="","",SUMIFS(tbl_ledger[数量],tbl_ledger[ロットID],$B160,tbl_ledger[イベント種類],"梱包完了")+SUMIFS(tbl_ledger[数量],tbl_ledger[充当先ロットID],$B160,tbl_ledger[イベント種類],"充当",tbl_ledger[元状態],G$1)-SUMIFS(tbl_ledger[数量],tbl_ledger[ロットID],$B160,tbl_ledger[元状態],G$1))</f>
        <v/>
      </c>
      <c r="H160" s="4" t="str">
        <f>IF($B160="","",SUMIFS(tbl_ledger[数量],tbl_ledger[ロットID],$B160,tbl_ledger[イベント種類],"発送準備完了")+SUMIFS(tbl_ledger[数量],tbl_ledger[充当先ロットID],$B160,tbl_ledger[イベント種類],"充当",tbl_ledger[元状態],H$1)-SUMIFS(tbl_ledger[数量],tbl_ledger[ロットID],$B160,tbl_ledger[元状態],H$1))</f>
        <v/>
      </c>
      <c r="I160" s="4" t="str">
        <f>IF($B160="","",SUMIFS(tbl_ledger[数量],tbl_ledger[ロットID],$B160,tbl_ledger[イベント種類],"不良発生")+SUMIFS(tbl_ledger[数量],tbl_ledger[充当先ロットID],$B160,tbl_ledger[イベント種類],"充当",tbl_ledger[元状態],I$1)-SUMIFS(tbl_ledger[数量],tbl_ledger[ロットID],$B160,tbl_ledger[元状態],I$1))</f>
        <v/>
      </c>
      <c r="J160" s="4" t="str">
        <f t="shared" si="5"/>
        <v/>
      </c>
    </row>
    <row r="161" spans="1:10" ht="15" x14ac:dyDescent="0.25">
      <c r="A161" s="4" t="str">
        <f t="shared" si="4"/>
        <v/>
      </c>
      <c r="B161" s="4" t="str">
        <f>IFERROR(IF(COUNTIF($B$1:$B160,INDEX(tbl_plan[ロットID],ROW()-1))&gt;0,"",INDEX(tbl_plan[ロットID],ROW()-1)),"")</f>
        <v/>
      </c>
      <c r="C161" s="4" t="str">
        <f>IF($B161="","",INDEX(tbl_plan[品番],ROW()-1))</f>
        <v/>
      </c>
      <c r="D161" s="4" t="str">
        <f>IF($B161="","",SUMIFS(tbl_ledger[数量],tbl_ledger[ロットID],$B161,tbl_ledger[イベント種類],"搬入")+SUMIFS(tbl_ledger[数量],tbl_ledger[充当先ロットID],$B161,tbl_ledger[イベント種類],"充当",tbl_ledger[元状態],D$1)-SUMIFS(tbl_ledger[数量],tbl_ledger[ロットID],$B161,tbl_ledger[元状態],D$1))</f>
        <v/>
      </c>
      <c r="E161" s="4" t="str">
        <f>IF($B161="","",SUMIFS(tbl_ledger[数量],tbl_ledger[ロットID],$B161,tbl_ledger[イベント種類],"アニール完了")+SUMIFS(tbl_ledger[数量],tbl_ledger[充当先ロットID],$B161,tbl_ledger[イベント種類],"充当",tbl_ledger[元状態],E$1)-SUMIFS(tbl_ledger[数量],tbl_ledger[ロットID],$B161,tbl_ledger[元状態],E$1))</f>
        <v/>
      </c>
      <c r="F161" s="4" t="str">
        <f>IF($B161="","",SUMIFS(tbl_ledger[数量],tbl_ledger[ロットID],$B161,tbl_ledger[イベント種類],"アセンブリ完了")+SUMIFS(tbl_ledger[数量],tbl_ledger[充当先ロットID],$B161,tbl_ledger[イベント種類],"充当",tbl_ledger[元状態],F$1)-SUMIFS(tbl_ledger[数量],tbl_ledger[ロットID],$B161,tbl_ledger[元状態],F$1))</f>
        <v/>
      </c>
      <c r="G161" s="4" t="str">
        <f>IF($B161="","",SUMIFS(tbl_ledger[数量],tbl_ledger[ロットID],$B161,tbl_ledger[イベント種類],"梱包完了")+SUMIFS(tbl_ledger[数量],tbl_ledger[充当先ロットID],$B161,tbl_ledger[イベント種類],"充当",tbl_ledger[元状態],G$1)-SUMIFS(tbl_ledger[数量],tbl_ledger[ロットID],$B161,tbl_ledger[元状態],G$1))</f>
        <v/>
      </c>
      <c r="H161" s="4" t="str">
        <f>IF($B161="","",SUMIFS(tbl_ledger[数量],tbl_ledger[ロットID],$B161,tbl_ledger[イベント種類],"発送準備完了")+SUMIFS(tbl_ledger[数量],tbl_ledger[充当先ロットID],$B161,tbl_ledger[イベント種類],"充当",tbl_ledger[元状態],H$1)-SUMIFS(tbl_ledger[数量],tbl_ledger[ロットID],$B161,tbl_ledger[元状態],H$1))</f>
        <v/>
      </c>
      <c r="I161" s="4" t="str">
        <f>IF($B161="","",SUMIFS(tbl_ledger[数量],tbl_ledger[ロットID],$B161,tbl_ledger[イベント種類],"不良発生")+SUMIFS(tbl_ledger[数量],tbl_ledger[充当先ロットID],$B161,tbl_ledger[イベント種類],"充当",tbl_ledger[元状態],I$1)-SUMIFS(tbl_ledger[数量],tbl_ledger[ロットID],$B161,tbl_ledger[元状態],I$1))</f>
        <v/>
      </c>
      <c r="J161" s="4" t="str">
        <f t="shared" si="5"/>
        <v/>
      </c>
    </row>
    <row r="162" spans="1:10" ht="15" x14ac:dyDescent="0.25">
      <c r="A162" s="4" t="str">
        <f t="shared" si="4"/>
        <v/>
      </c>
      <c r="B162" s="4" t="str">
        <f>IFERROR(IF(COUNTIF($B$1:$B161,INDEX(tbl_plan[ロットID],ROW()-1))&gt;0,"",INDEX(tbl_plan[ロットID],ROW()-1)),"")</f>
        <v/>
      </c>
      <c r="C162" s="4" t="str">
        <f>IF($B162="","",INDEX(tbl_plan[品番],ROW()-1))</f>
        <v/>
      </c>
      <c r="D162" s="4" t="str">
        <f>IF($B162="","",SUMIFS(tbl_ledger[数量],tbl_ledger[ロットID],$B162,tbl_ledger[イベント種類],"搬入")+SUMIFS(tbl_ledger[数量],tbl_ledger[充当先ロットID],$B162,tbl_ledger[イベント種類],"充当",tbl_ledger[元状態],D$1)-SUMIFS(tbl_ledger[数量],tbl_ledger[ロットID],$B162,tbl_ledger[元状態],D$1))</f>
        <v/>
      </c>
      <c r="E162" s="4" t="str">
        <f>IF($B162="","",SUMIFS(tbl_ledger[数量],tbl_ledger[ロットID],$B162,tbl_ledger[イベント種類],"アニール完了")+SUMIFS(tbl_ledger[数量],tbl_ledger[充当先ロットID],$B162,tbl_ledger[イベント種類],"充当",tbl_ledger[元状態],E$1)-SUMIFS(tbl_ledger[数量],tbl_ledger[ロットID],$B162,tbl_ledger[元状態],E$1))</f>
        <v/>
      </c>
      <c r="F162" s="4" t="str">
        <f>IF($B162="","",SUMIFS(tbl_ledger[数量],tbl_ledger[ロットID],$B162,tbl_ledger[イベント種類],"アセンブリ完了")+SUMIFS(tbl_ledger[数量],tbl_ledger[充当先ロットID],$B162,tbl_ledger[イベント種類],"充当",tbl_ledger[元状態],F$1)-SUMIFS(tbl_ledger[数量],tbl_ledger[ロットID],$B162,tbl_ledger[元状態],F$1))</f>
        <v/>
      </c>
      <c r="G162" s="4" t="str">
        <f>IF($B162="","",SUMIFS(tbl_ledger[数量],tbl_ledger[ロットID],$B162,tbl_ledger[イベント種類],"梱包完了")+SUMIFS(tbl_ledger[数量],tbl_ledger[充当先ロットID],$B162,tbl_ledger[イベント種類],"充当",tbl_ledger[元状態],G$1)-SUMIFS(tbl_ledger[数量],tbl_ledger[ロットID],$B162,tbl_ledger[元状態],G$1))</f>
        <v/>
      </c>
      <c r="H162" s="4" t="str">
        <f>IF($B162="","",SUMIFS(tbl_ledger[数量],tbl_ledger[ロットID],$B162,tbl_ledger[イベント種類],"発送準備完了")+SUMIFS(tbl_ledger[数量],tbl_ledger[充当先ロットID],$B162,tbl_ledger[イベント種類],"充当",tbl_ledger[元状態],H$1)-SUMIFS(tbl_ledger[数量],tbl_ledger[ロットID],$B162,tbl_ledger[元状態],H$1))</f>
        <v/>
      </c>
      <c r="I162" s="4" t="str">
        <f>IF($B162="","",SUMIFS(tbl_ledger[数量],tbl_ledger[ロットID],$B162,tbl_ledger[イベント種類],"不良発生")+SUMIFS(tbl_ledger[数量],tbl_ledger[充当先ロットID],$B162,tbl_ledger[イベント種類],"充当",tbl_ledger[元状態],I$1)-SUMIFS(tbl_ledger[数量],tbl_ledger[ロットID],$B162,tbl_ledger[元状態],I$1))</f>
        <v/>
      </c>
      <c r="J162" s="4" t="str">
        <f t="shared" si="5"/>
        <v/>
      </c>
    </row>
    <row r="163" spans="1:10" ht="15" x14ac:dyDescent="0.25">
      <c r="A163" s="4" t="str">
        <f t="shared" si="4"/>
        <v/>
      </c>
      <c r="B163" s="4" t="str">
        <f>IFERROR(IF(COUNTIF($B$1:$B162,INDEX(tbl_plan[ロットID],ROW()-1))&gt;0,"",INDEX(tbl_plan[ロットID],ROW()-1)),"")</f>
        <v/>
      </c>
      <c r="C163" s="4" t="str">
        <f>IF($B163="","",INDEX(tbl_plan[品番],ROW()-1))</f>
        <v/>
      </c>
      <c r="D163" s="4" t="str">
        <f>IF($B163="","",SUMIFS(tbl_ledger[数量],tbl_ledger[ロットID],$B163,tbl_ledger[イベント種類],"搬入")+SUMIFS(tbl_ledger[数量],tbl_ledger[充当先ロットID],$B163,tbl_ledger[イベント種類],"充当",tbl_ledger[元状態],D$1)-SUMIFS(tbl_ledger[数量],tbl_ledger[ロットID],$B163,tbl_ledger[元状態],D$1))</f>
        <v/>
      </c>
      <c r="E163" s="4" t="str">
        <f>IF($B163="","",SUMIFS(tbl_ledger[数量],tbl_ledger[ロットID],$B163,tbl_ledger[イベント種類],"アニール完了")+SUMIFS(tbl_ledger[数量],tbl_ledger[充当先ロットID],$B163,tbl_ledger[イベント種類],"充当",tbl_ledger[元状態],E$1)-SUMIFS(tbl_ledger[数量],tbl_ledger[ロットID],$B163,tbl_ledger[元状態],E$1))</f>
        <v/>
      </c>
      <c r="F163" s="4" t="str">
        <f>IF($B163="","",SUMIFS(tbl_ledger[数量],tbl_ledger[ロットID],$B163,tbl_ledger[イベント種類],"アセンブリ完了")+SUMIFS(tbl_ledger[数量],tbl_ledger[充当先ロットID],$B163,tbl_ledger[イベント種類],"充当",tbl_ledger[元状態],F$1)-SUMIFS(tbl_ledger[数量],tbl_ledger[ロットID],$B163,tbl_ledger[元状態],F$1))</f>
        <v/>
      </c>
      <c r="G163" s="4" t="str">
        <f>IF($B163="","",SUMIFS(tbl_ledger[数量],tbl_ledger[ロットID],$B163,tbl_ledger[イベント種類],"梱包完了")+SUMIFS(tbl_ledger[数量],tbl_ledger[充当先ロットID],$B163,tbl_ledger[イベント種類],"充当",tbl_ledger[元状態],G$1)-SUMIFS(tbl_ledger[数量],tbl_ledger[ロットID],$B163,tbl_ledger[元状態],G$1))</f>
        <v/>
      </c>
      <c r="H163" s="4" t="str">
        <f>IF($B163="","",SUMIFS(tbl_ledger[数量],tbl_ledger[ロットID],$B163,tbl_ledger[イベント種類],"発送準備完了")+SUMIFS(tbl_ledger[数量],tbl_ledger[充当先ロットID],$B163,tbl_ledger[イベント種類],"充当",tbl_ledger[元状態],H$1)-SUMIFS(tbl_ledger[数量],tbl_ledger[ロットID],$B163,tbl_ledger[元状態],H$1))</f>
        <v/>
      </c>
      <c r="I163" s="4" t="str">
        <f>IF($B163="","",SUMIFS(tbl_ledger[数量],tbl_ledger[ロットID],$B163,tbl_ledger[イベント種類],"不良発生")+SUMIFS(tbl_ledger[数量],tbl_ledger[充当先ロットID],$B163,tbl_ledger[イベント種類],"充当",tbl_ledger[元状態],I$1)-SUMIFS(tbl_ledger[数量],tbl_ledger[ロットID],$B163,tbl_ledger[元状態],I$1))</f>
        <v/>
      </c>
      <c r="J163" s="4" t="str">
        <f t="shared" si="5"/>
        <v/>
      </c>
    </row>
    <row r="164" spans="1:10" ht="15" x14ac:dyDescent="0.25">
      <c r="A164" s="4" t="str">
        <f t="shared" si="4"/>
        <v/>
      </c>
      <c r="B164" s="4" t="str">
        <f>IFERROR(IF(COUNTIF($B$1:$B163,INDEX(tbl_plan[ロットID],ROW()-1))&gt;0,"",INDEX(tbl_plan[ロットID],ROW()-1)),"")</f>
        <v/>
      </c>
      <c r="C164" s="4" t="str">
        <f>IF($B164="","",INDEX(tbl_plan[品番],ROW()-1))</f>
        <v/>
      </c>
      <c r="D164" s="4" t="str">
        <f>IF($B164="","",SUMIFS(tbl_ledger[数量],tbl_ledger[ロットID],$B164,tbl_ledger[イベント種類],"搬入")+SUMIFS(tbl_ledger[数量],tbl_ledger[充当先ロットID],$B164,tbl_ledger[イベント種類],"充当",tbl_ledger[元状態],D$1)-SUMIFS(tbl_ledger[数量],tbl_ledger[ロットID],$B164,tbl_ledger[元状態],D$1))</f>
        <v/>
      </c>
      <c r="E164" s="4" t="str">
        <f>IF($B164="","",SUMIFS(tbl_ledger[数量],tbl_ledger[ロットID],$B164,tbl_ledger[イベント種類],"アニール完了")+SUMIFS(tbl_ledger[数量],tbl_ledger[充当先ロットID],$B164,tbl_ledger[イベント種類],"充当",tbl_ledger[元状態],E$1)-SUMIFS(tbl_ledger[数量],tbl_ledger[ロットID],$B164,tbl_ledger[元状態],E$1))</f>
        <v/>
      </c>
      <c r="F164" s="4" t="str">
        <f>IF($B164="","",SUMIFS(tbl_ledger[数量],tbl_ledger[ロットID],$B164,tbl_ledger[イベント種類],"アセンブリ完了")+SUMIFS(tbl_ledger[数量],tbl_ledger[充当先ロットID],$B164,tbl_ledger[イベント種類],"充当",tbl_ledger[元状態],F$1)-SUMIFS(tbl_ledger[数量],tbl_ledger[ロットID],$B164,tbl_ledger[元状態],F$1))</f>
        <v/>
      </c>
      <c r="G164" s="4" t="str">
        <f>IF($B164="","",SUMIFS(tbl_ledger[数量],tbl_ledger[ロットID],$B164,tbl_ledger[イベント種類],"梱包完了")+SUMIFS(tbl_ledger[数量],tbl_ledger[充当先ロットID],$B164,tbl_ledger[イベント種類],"充当",tbl_ledger[元状態],G$1)-SUMIFS(tbl_ledger[数量],tbl_ledger[ロットID],$B164,tbl_ledger[元状態],G$1))</f>
        <v/>
      </c>
      <c r="H164" s="4" t="str">
        <f>IF($B164="","",SUMIFS(tbl_ledger[数量],tbl_ledger[ロットID],$B164,tbl_ledger[イベント種類],"発送準備完了")+SUMIFS(tbl_ledger[数量],tbl_ledger[充当先ロットID],$B164,tbl_ledger[イベント種類],"充当",tbl_ledger[元状態],H$1)-SUMIFS(tbl_ledger[数量],tbl_ledger[ロットID],$B164,tbl_ledger[元状態],H$1))</f>
        <v/>
      </c>
      <c r="I164" s="4" t="str">
        <f>IF($B164="","",SUMIFS(tbl_ledger[数量],tbl_ledger[ロットID],$B164,tbl_ledger[イベント種類],"不良発生")+SUMIFS(tbl_ledger[数量],tbl_ledger[充当先ロットID],$B164,tbl_ledger[イベント種類],"充当",tbl_ledger[元状態],I$1)-SUMIFS(tbl_ledger[数量],tbl_ledger[ロットID],$B164,tbl_ledger[元状態],I$1))</f>
        <v/>
      </c>
      <c r="J164" s="4" t="str">
        <f t="shared" si="5"/>
        <v/>
      </c>
    </row>
    <row r="165" spans="1:10" ht="15" x14ac:dyDescent="0.25">
      <c r="A165" s="4" t="str">
        <f t="shared" si="4"/>
        <v/>
      </c>
      <c r="B165" s="4" t="str">
        <f>IFERROR(IF(COUNTIF($B$1:$B164,INDEX(tbl_plan[ロットID],ROW()-1))&gt;0,"",INDEX(tbl_plan[ロットID],ROW()-1)),"")</f>
        <v/>
      </c>
      <c r="C165" s="4" t="str">
        <f>IF($B165="","",INDEX(tbl_plan[品番],ROW()-1))</f>
        <v/>
      </c>
      <c r="D165" s="4" t="str">
        <f>IF($B165="","",SUMIFS(tbl_ledger[数量],tbl_ledger[ロットID],$B165,tbl_ledger[イベント種類],"搬入")+SUMIFS(tbl_ledger[数量],tbl_ledger[充当先ロットID],$B165,tbl_ledger[イベント種類],"充当",tbl_ledger[元状態],D$1)-SUMIFS(tbl_ledger[数量],tbl_ledger[ロットID],$B165,tbl_ledger[元状態],D$1))</f>
        <v/>
      </c>
      <c r="E165" s="4" t="str">
        <f>IF($B165="","",SUMIFS(tbl_ledger[数量],tbl_ledger[ロットID],$B165,tbl_ledger[イベント種類],"アニール完了")+SUMIFS(tbl_ledger[数量],tbl_ledger[充当先ロットID],$B165,tbl_ledger[イベント種類],"充当",tbl_ledger[元状態],E$1)-SUMIFS(tbl_ledger[数量],tbl_ledger[ロットID],$B165,tbl_ledger[元状態],E$1))</f>
        <v/>
      </c>
      <c r="F165" s="4" t="str">
        <f>IF($B165="","",SUMIFS(tbl_ledger[数量],tbl_ledger[ロットID],$B165,tbl_ledger[イベント種類],"アセンブリ完了")+SUMIFS(tbl_ledger[数量],tbl_ledger[充当先ロットID],$B165,tbl_ledger[イベント種類],"充当",tbl_ledger[元状態],F$1)-SUMIFS(tbl_ledger[数量],tbl_ledger[ロットID],$B165,tbl_ledger[元状態],F$1))</f>
        <v/>
      </c>
      <c r="G165" s="4" t="str">
        <f>IF($B165="","",SUMIFS(tbl_ledger[数量],tbl_ledger[ロットID],$B165,tbl_ledger[イベント種類],"梱包完了")+SUMIFS(tbl_ledger[数量],tbl_ledger[充当先ロットID],$B165,tbl_ledger[イベント種類],"充当",tbl_ledger[元状態],G$1)-SUMIFS(tbl_ledger[数量],tbl_ledger[ロットID],$B165,tbl_ledger[元状態],G$1))</f>
        <v/>
      </c>
      <c r="H165" s="4" t="str">
        <f>IF($B165="","",SUMIFS(tbl_ledger[数量],tbl_ledger[ロットID],$B165,tbl_ledger[イベント種類],"発送準備完了")+SUMIFS(tbl_ledger[数量],tbl_ledger[充当先ロットID],$B165,tbl_ledger[イベント種類],"充当",tbl_ledger[元状態],H$1)-SUMIFS(tbl_ledger[数量],tbl_ledger[ロットID],$B165,tbl_ledger[元状態],H$1))</f>
        <v/>
      </c>
      <c r="I165" s="4" t="str">
        <f>IF($B165="","",SUMIFS(tbl_ledger[数量],tbl_ledger[ロットID],$B165,tbl_ledger[イベント種類],"不良発生")+SUMIFS(tbl_ledger[数量],tbl_ledger[充当先ロットID],$B165,tbl_ledger[イベント種類],"充当",tbl_ledger[元状態],I$1)-SUMIFS(tbl_ledger[数量],tbl_ledger[ロットID],$B165,tbl_ledger[元状態],I$1))</f>
        <v/>
      </c>
      <c r="J165" s="4" t="str">
        <f t="shared" si="5"/>
        <v/>
      </c>
    </row>
    <row r="166" spans="1:10" ht="15" x14ac:dyDescent="0.25">
      <c r="A166" s="4" t="str">
        <f t="shared" si="4"/>
        <v/>
      </c>
      <c r="B166" s="4" t="str">
        <f>IFERROR(IF(COUNTIF($B$1:$B165,INDEX(tbl_plan[ロットID],ROW()-1))&gt;0,"",INDEX(tbl_plan[ロットID],ROW()-1)),"")</f>
        <v/>
      </c>
      <c r="C166" s="4" t="str">
        <f>IF($B166="","",INDEX(tbl_plan[品番],ROW()-1))</f>
        <v/>
      </c>
      <c r="D166" s="4" t="str">
        <f>IF($B166="","",SUMIFS(tbl_ledger[数量],tbl_ledger[ロットID],$B166,tbl_ledger[イベント種類],"搬入")+SUMIFS(tbl_ledger[数量],tbl_ledger[充当先ロットID],$B166,tbl_ledger[イベント種類],"充当",tbl_ledger[元状態],D$1)-SUMIFS(tbl_ledger[数量],tbl_ledger[ロットID],$B166,tbl_ledger[元状態],D$1))</f>
        <v/>
      </c>
      <c r="E166" s="4" t="str">
        <f>IF($B166="","",SUMIFS(tbl_ledger[数量],tbl_ledger[ロットID],$B166,tbl_ledger[イベント種類],"アニール完了")+SUMIFS(tbl_ledger[数量],tbl_ledger[充当先ロットID],$B166,tbl_ledger[イベント種類],"充当",tbl_ledger[元状態],E$1)-SUMIFS(tbl_ledger[数量],tbl_ledger[ロットID],$B166,tbl_ledger[元状態],E$1))</f>
        <v/>
      </c>
      <c r="F166" s="4" t="str">
        <f>IF($B166="","",SUMIFS(tbl_ledger[数量],tbl_ledger[ロットID],$B166,tbl_ledger[イベント種類],"アセンブリ完了")+SUMIFS(tbl_ledger[数量],tbl_ledger[充当先ロットID],$B166,tbl_ledger[イベント種類],"充当",tbl_ledger[元状態],F$1)-SUMIFS(tbl_ledger[数量],tbl_ledger[ロットID],$B166,tbl_ledger[元状態],F$1))</f>
        <v/>
      </c>
      <c r="G166" s="4" t="str">
        <f>IF($B166="","",SUMIFS(tbl_ledger[数量],tbl_ledger[ロットID],$B166,tbl_ledger[イベント種類],"梱包完了")+SUMIFS(tbl_ledger[数量],tbl_ledger[充当先ロットID],$B166,tbl_ledger[イベント種類],"充当",tbl_ledger[元状態],G$1)-SUMIFS(tbl_ledger[数量],tbl_ledger[ロットID],$B166,tbl_ledger[元状態],G$1))</f>
        <v/>
      </c>
      <c r="H166" s="4" t="str">
        <f>IF($B166="","",SUMIFS(tbl_ledger[数量],tbl_ledger[ロットID],$B166,tbl_ledger[イベント種類],"発送準備完了")+SUMIFS(tbl_ledger[数量],tbl_ledger[充当先ロットID],$B166,tbl_ledger[イベント種類],"充当",tbl_ledger[元状態],H$1)-SUMIFS(tbl_ledger[数量],tbl_ledger[ロットID],$B166,tbl_ledger[元状態],H$1))</f>
        <v/>
      </c>
      <c r="I166" s="4" t="str">
        <f>IF($B166="","",SUMIFS(tbl_ledger[数量],tbl_ledger[ロットID],$B166,tbl_ledger[イベント種類],"不良発生")+SUMIFS(tbl_ledger[数量],tbl_ledger[充当先ロットID],$B166,tbl_ledger[イベント種類],"充当",tbl_ledger[元状態],I$1)-SUMIFS(tbl_ledger[数量],tbl_ledger[ロットID],$B166,tbl_ledger[元状態],I$1))</f>
        <v/>
      </c>
      <c r="J166" s="4" t="str">
        <f t="shared" si="5"/>
        <v/>
      </c>
    </row>
    <row r="167" spans="1:10" ht="15" x14ac:dyDescent="0.25">
      <c r="A167" s="4" t="str">
        <f t="shared" si="4"/>
        <v/>
      </c>
      <c r="B167" s="4" t="str">
        <f>IFERROR(IF(COUNTIF($B$1:$B166,INDEX(tbl_plan[ロットID],ROW()-1))&gt;0,"",INDEX(tbl_plan[ロットID],ROW()-1)),"")</f>
        <v/>
      </c>
      <c r="C167" s="4" t="str">
        <f>IF($B167="","",INDEX(tbl_plan[品番],ROW()-1))</f>
        <v/>
      </c>
      <c r="D167" s="4" t="str">
        <f>IF($B167="","",SUMIFS(tbl_ledger[数量],tbl_ledger[ロットID],$B167,tbl_ledger[イベント種類],"搬入")+SUMIFS(tbl_ledger[数量],tbl_ledger[充当先ロットID],$B167,tbl_ledger[イベント種類],"充当",tbl_ledger[元状態],D$1)-SUMIFS(tbl_ledger[数量],tbl_ledger[ロットID],$B167,tbl_ledger[元状態],D$1))</f>
        <v/>
      </c>
      <c r="E167" s="4" t="str">
        <f>IF($B167="","",SUMIFS(tbl_ledger[数量],tbl_ledger[ロットID],$B167,tbl_ledger[イベント種類],"アニール完了")+SUMIFS(tbl_ledger[数量],tbl_ledger[充当先ロットID],$B167,tbl_ledger[イベント種類],"充当",tbl_ledger[元状態],E$1)-SUMIFS(tbl_ledger[数量],tbl_ledger[ロットID],$B167,tbl_ledger[元状態],E$1))</f>
        <v/>
      </c>
      <c r="F167" s="4" t="str">
        <f>IF($B167="","",SUMIFS(tbl_ledger[数量],tbl_ledger[ロットID],$B167,tbl_ledger[イベント種類],"アセンブリ完了")+SUMIFS(tbl_ledger[数量],tbl_ledger[充当先ロットID],$B167,tbl_ledger[イベント種類],"充当",tbl_ledger[元状態],F$1)-SUMIFS(tbl_ledger[数量],tbl_ledger[ロットID],$B167,tbl_ledger[元状態],F$1))</f>
        <v/>
      </c>
      <c r="G167" s="4" t="str">
        <f>IF($B167="","",SUMIFS(tbl_ledger[数量],tbl_ledger[ロットID],$B167,tbl_ledger[イベント種類],"梱包完了")+SUMIFS(tbl_ledger[数量],tbl_ledger[充当先ロットID],$B167,tbl_ledger[イベント種類],"充当",tbl_ledger[元状態],G$1)-SUMIFS(tbl_ledger[数量],tbl_ledger[ロットID],$B167,tbl_ledger[元状態],G$1))</f>
        <v/>
      </c>
      <c r="H167" s="4" t="str">
        <f>IF($B167="","",SUMIFS(tbl_ledger[数量],tbl_ledger[ロットID],$B167,tbl_ledger[イベント種類],"発送準備完了")+SUMIFS(tbl_ledger[数量],tbl_ledger[充当先ロットID],$B167,tbl_ledger[イベント種類],"充当",tbl_ledger[元状態],H$1)-SUMIFS(tbl_ledger[数量],tbl_ledger[ロットID],$B167,tbl_ledger[元状態],H$1))</f>
        <v/>
      </c>
      <c r="I167" s="4" t="str">
        <f>IF($B167="","",SUMIFS(tbl_ledger[数量],tbl_ledger[ロットID],$B167,tbl_ledger[イベント種類],"不良発生")+SUMIFS(tbl_ledger[数量],tbl_ledger[充当先ロットID],$B167,tbl_ledger[イベント種類],"充当",tbl_ledger[元状態],I$1)-SUMIFS(tbl_ledger[数量],tbl_ledger[ロットID],$B167,tbl_ledger[元状態],I$1))</f>
        <v/>
      </c>
      <c r="J167" s="4" t="str">
        <f t="shared" si="5"/>
        <v/>
      </c>
    </row>
    <row r="168" spans="1:10" ht="15" x14ac:dyDescent="0.25">
      <c r="A168" s="4" t="str">
        <f t="shared" si="4"/>
        <v/>
      </c>
      <c r="B168" s="4" t="str">
        <f>IFERROR(IF(COUNTIF($B$1:$B167,INDEX(tbl_plan[ロットID],ROW()-1))&gt;0,"",INDEX(tbl_plan[ロットID],ROW()-1)),"")</f>
        <v/>
      </c>
      <c r="C168" s="4" t="str">
        <f>IF($B168="","",INDEX(tbl_plan[品番],ROW()-1))</f>
        <v/>
      </c>
      <c r="D168" s="4" t="str">
        <f>IF($B168="","",SUMIFS(tbl_ledger[数量],tbl_ledger[ロットID],$B168,tbl_ledger[イベント種類],"搬入")+SUMIFS(tbl_ledger[数量],tbl_ledger[充当先ロットID],$B168,tbl_ledger[イベント種類],"充当",tbl_ledger[元状態],D$1)-SUMIFS(tbl_ledger[数量],tbl_ledger[ロットID],$B168,tbl_ledger[元状態],D$1))</f>
        <v/>
      </c>
      <c r="E168" s="4" t="str">
        <f>IF($B168="","",SUMIFS(tbl_ledger[数量],tbl_ledger[ロットID],$B168,tbl_ledger[イベント種類],"アニール完了")+SUMIFS(tbl_ledger[数量],tbl_ledger[充当先ロットID],$B168,tbl_ledger[イベント種類],"充当",tbl_ledger[元状態],E$1)-SUMIFS(tbl_ledger[数量],tbl_ledger[ロットID],$B168,tbl_ledger[元状態],E$1))</f>
        <v/>
      </c>
      <c r="F168" s="4" t="str">
        <f>IF($B168="","",SUMIFS(tbl_ledger[数量],tbl_ledger[ロットID],$B168,tbl_ledger[イベント種類],"アセンブリ完了")+SUMIFS(tbl_ledger[数量],tbl_ledger[充当先ロットID],$B168,tbl_ledger[イベント種類],"充当",tbl_ledger[元状態],F$1)-SUMIFS(tbl_ledger[数量],tbl_ledger[ロットID],$B168,tbl_ledger[元状態],F$1))</f>
        <v/>
      </c>
      <c r="G168" s="4" t="str">
        <f>IF($B168="","",SUMIFS(tbl_ledger[数量],tbl_ledger[ロットID],$B168,tbl_ledger[イベント種類],"梱包完了")+SUMIFS(tbl_ledger[数量],tbl_ledger[充当先ロットID],$B168,tbl_ledger[イベント種類],"充当",tbl_ledger[元状態],G$1)-SUMIFS(tbl_ledger[数量],tbl_ledger[ロットID],$B168,tbl_ledger[元状態],G$1))</f>
        <v/>
      </c>
      <c r="H168" s="4" t="str">
        <f>IF($B168="","",SUMIFS(tbl_ledger[数量],tbl_ledger[ロットID],$B168,tbl_ledger[イベント種類],"発送準備完了")+SUMIFS(tbl_ledger[数量],tbl_ledger[充当先ロットID],$B168,tbl_ledger[イベント種類],"充当",tbl_ledger[元状態],H$1)-SUMIFS(tbl_ledger[数量],tbl_ledger[ロットID],$B168,tbl_ledger[元状態],H$1))</f>
        <v/>
      </c>
      <c r="I168" s="4" t="str">
        <f>IF($B168="","",SUMIFS(tbl_ledger[数量],tbl_ledger[ロットID],$B168,tbl_ledger[イベント種類],"不良発生")+SUMIFS(tbl_ledger[数量],tbl_ledger[充当先ロットID],$B168,tbl_ledger[イベント種類],"充当",tbl_ledger[元状態],I$1)-SUMIFS(tbl_ledger[数量],tbl_ledger[ロットID],$B168,tbl_ledger[元状態],I$1))</f>
        <v/>
      </c>
      <c r="J168" s="4" t="str">
        <f t="shared" si="5"/>
        <v/>
      </c>
    </row>
    <row r="169" spans="1:10" ht="15" x14ac:dyDescent="0.25">
      <c r="A169" s="4" t="str">
        <f t="shared" si="4"/>
        <v/>
      </c>
      <c r="B169" s="4" t="str">
        <f>IFERROR(IF(COUNTIF($B$1:$B168,INDEX(tbl_plan[ロットID],ROW()-1))&gt;0,"",INDEX(tbl_plan[ロットID],ROW()-1)),"")</f>
        <v/>
      </c>
      <c r="C169" s="4" t="str">
        <f>IF($B169="","",INDEX(tbl_plan[品番],ROW()-1))</f>
        <v/>
      </c>
      <c r="D169" s="4" t="str">
        <f>IF($B169="","",SUMIFS(tbl_ledger[数量],tbl_ledger[ロットID],$B169,tbl_ledger[イベント種類],"搬入")+SUMIFS(tbl_ledger[数量],tbl_ledger[充当先ロットID],$B169,tbl_ledger[イベント種類],"充当",tbl_ledger[元状態],D$1)-SUMIFS(tbl_ledger[数量],tbl_ledger[ロットID],$B169,tbl_ledger[元状態],D$1))</f>
        <v/>
      </c>
      <c r="E169" s="4" t="str">
        <f>IF($B169="","",SUMIFS(tbl_ledger[数量],tbl_ledger[ロットID],$B169,tbl_ledger[イベント種類],"アニール完了")+SUMIFS(tbl_ledger[数量],tbl_ledger[充当先ロットID],$B169,tbl_ledger[イベント種類],"充当",tbl_ledger[元状態],E$1)-SUMIFS(tbl_ledger[数量],tbl_ledger[ロットID],$B169,tbl_ledger[元状態],E$1))</f>
        <v/>
      </c>
      <c r="F169" s="4" t="str">
        <f>IF($B169="","",SUMIFS(tbl_ledger[数量],tbl_ledger[ロットID],$B169,tbl_ledger[イベント種類],"アセンブリ完了")+SUMIFS(tbl_ledger[数量],tbl_ledger[充当先ロットID],$B169,tbl_ledger[イベント種類],"充当",tbl_ledger[元状態],F$1)-SUMIFS(tbl_ledger[数量],tbl_ledger[ロットID],$B169,tbl_ledger[元状態],F$1))</f>
        <v/>
      </c>
      <c r="G169" s="4" t="str">
        <f>IF($B169="","",SUMIFS(tbl_ledger[数量],tbl_ledger[ロットID],$B169,tbl_ledger[イベント種類],"梱包完了")+SUMIFS(tbl_ledger[数量],tbl_ledger[充当先ロットID],$B169,tbl_ledger[イベント種類],"充当",tbl_ledger[元状態],G$1)-SUMIFS(tbl_ledger[数量],tbl_ledger[ロットID],$B169,tbl_ledger[元状態],G$1))</f>
        <v/>
      </c>
      <c r="H169" s="4" t="str">
        <f>IF($B169="","",SUMIFS(tbl_ledger[数量],tbl_ledger[ロットID],$B169,tbl_ledger[イベント種類],"発送準備完了")+SUMIFS(tbl_ledger[数量],tbl_ledger[充当先ロットID],$B169,tbl_ledger[イベント種類],"充当",tbl_ledger[元状態],H$1)-SUMIFS(tbl_ledger[数量],tbl_ledger[ロットID],$B169,tbl_ledger[元状態],H$1))</f>
        <v/>
      </c>
      <c r="I169" s="4" t="str">
        <f>IF($B169="","",SUMIFS(tbl_ledger[数量],tbl_ledger[ロットID],$B169,tbl_ledger[イベント種類],"不良発生")+SUMIFS(tbl_ledger[数量],tbl_ledger[充当先ロットID],$B169,tbl_ledger[イベント種類],"充当",tbl_ledger[元状態],I$1)-SUMIFS(tbl_ledger[数量],tbl_ledger[ロットID],$B169,tbl_ledger[元状態],I$1))</f>
        <v/>
      </c>
      <c r="J169" s="4" t="str">
        <f t="shared" si="5"/>
        <v/>
      </c>
    </row>
    <row r="170" spans="1:10" ht="15" x14ac:dyDescent="0.25">
      <c r="A170" s="4" t="str">
        <f t="shared" si="4"/>
        <v/>
      </c>
      <c r="B170" s="4" t="str">
        <f>IFERROR(IF(COUNTIF($B$1:$B169,INDEX(tbl_plan[ロットID],ROW()-1))&gt;0,"",INDEX(tbl_plan[ロットID],ROW()-1)),"")</f>
        <v/>
      </c>
      <c r="C170" s="4" t="str">
        <f>IF($B170="","",INDEX(tbl_plan[品番],ROW()-1))</f>
        <v/>
      </c>
      <c r="D170" s="4" t="str">
        <f>IF($B170="","",SUMIFS(tbl_ledger[数量],tbl_ledger[ロットID],$B170,tbl_ledger[イベント種類],"搬入")+SUMIFS(tbl_ledger[数量],tbl_ledger[充当先ロットID],$B170,tbl_ledger[イベント種類],"充当",tbl_ledger[元状態],D$1)-SUMIFS(tbl_ledger[数量],tbl_ledger[ロットID],$B170,tbl_ledger[元状態],D$1))</f>
        <v/>
      </c>
      <c r="E170" s="4" t="str">
        <f>IF($B170="","",SUMIFS(tbl_ledger[数量],tbl_ledger[ロットID],$B170,tbl_ledger[イベント種類],"アニール完了")+SUMIFS(tbl_ledger[数量],tbl_ledger[充当先ロットID],$B170,tbl_ledger[イベント種類],"充当",tbl_ledger[元状態],E$1)-SUMIFS(tbl_ledger[数量],tbl_ledger[ロットID],$B170,tbl_ledger[元状態],E$1))</f>
        <v/>
      </c>
      <c r="F170" s="4" t="str">
        <f>IF($B170="","",SUMIFS(tbl_ledger[数量],tbl_ledger[ロットID],$B170,tbl_ledger[イベント種類],"アセンブリ完了")+SUMIFS(tbl_ledger[数量],tbl_ledger[充当先ロットID],$B170,tbl_ledger[イベント種類],"充当",tbl_ledger[元状態],F$1)-SUMIFS(tbl_ledger[数量],tbl_ledger[ロットID],$B170,tbl_ledger[元状態],F$1))</f>
        <v/>
      </c>
      <c r="G170" s="4" t="str">
        <f>IF($B170="","",SUMIFS(tbl_ledger[数量],tbl_ledger[ロットID],$B170,tbl_ledger[イベント種類],"梱包完了")+SUMIFS(tbl_ledger[数量],tbl_ledger[充当先ロットID],$B170,tbl_ledger[イベント種類],"充当",tbl_ledger[元状態],G$1)-SUMIFS(tbl_ledger[数量],tbl_ledger[ロットID],$B170,tbl_ledger[元状態],G$1))</f>
        <v/>
      </c>
      <c r="H170" s="4" t="str">
        <f>IF($B170="","",SUMIFS(tbl_ledger[数量],tbl_ledger[ロットID],$B170,tbl_ledger[イベント種類],"発送準備完了")+SUMIFS(tbl_ledger[数量],tbl_ledger[充当先ロットID],$B170,tbl_ledger[イベント種類],"充当",tbl_ledger[元状態],H$1)-SUMIFS(tbl_ledger[数量],tbl_ledger[ロットID],$B170,tbl_ledger[元状態],H$1))</f>
        <v/>
      </c>
      <c r="I170" s="4" t="str">
        <f>IF($B170="","",SUMIFS(tbl_ledger[数量],tbl_ledger[ロットID],$B170,tbl_ledger[イベント種類],"不良発生")+SUMIFS(tbl_ledger[数量],tbl_ledger[充当先ロットID],$B170,tbl_ledger[イベント種類],"充当",tbl_ledger[元状態],I$1)-SUMIFS(tbl_ledger[数量],tbl_ledger[ロットID],$B170,tbl_ledger[元状態],I$1))</f>
        <v/>
      </c>
      <c r="J170" s="4" t="str">
        <f t="shared" si="5"/>
        <v/>
      </c>
    </row>
    <row r="171" spans="1:10" ht="15" x14ac:dyDescent="0.25">
      <c r="A171" s="4" t="str">
        <f t="shared" si="4"/>
        <v/>
      </c>
      <c r="B171" s="4" t="str">
        <f>IFERROR(IF(COUNTIF($B$1:$B170,INDEX(tbl_plan[ロットID],ROW()-1))&gt;0,"",INDEX(tbl_plan[ロットID],ROW()-1)),"")</f>
        <v/>
      </c>
      <c r="C171" s="4" t="str">
        <f>IF($B171="","",INDEX(tbl_plan[品番],ROW()-1))</f>
        <v/>
      </c>
      <c r="D171" s="4" t="str">
        <f>IF($B171="","",SUMIFS(tbl_ledger[数量],tbl_ledger[ロットID],$B171,tbl_ledger[イベント種類],"搬入")+SUMIFS(tbl_ledger[数量],tbl_ledger[充当先ロットID],$B171,tbl_ledger[イベント種類],"充当",tbl_ledger[元状態],D$1)-SUMIFS(tbl_ledger[数量],tbl_ledger[ロットID],$B171,tbl_ledger[元状態],D$1))</f>
        <v/>
      </c>
      <c r="E171" s="4" t="str">
        <f>IF($B171="","",SUMIFS(tbl_ledger[数量],tbl_ledger[ロットID],$B171,tbl_ledger[イベント種類],"アニール完了")+SUMIFS(tbl_ledger[数量],tbl_ledger[充当先ロットID],$B171,tbl_ledger[イベント種類],"充当",tbl_ledger[元状態],E$1)-SUMIFS(tbl_ledger[数量],tbl_ledger[ロットID],$B171,tbl_ledger[元状態],E$1))</f>
        <v/>
      </c>
      <c r="F171" s="4" t="str">
        <f>IF($B171="","",SUMIFS(tbl_ledger[数量],tbl_ledger[ロットID],$B171,tbl_ledger[イベント種類],"アセンブリ完了")+SUMIFS(tbl_ledger[数量],tbl_ledger[充当先ロットID],$B171,tbl_ledger[イベント種類],"充当",tbl_ledger[元状態],F$1)-SUMIFS(tbl_ledger[数量],tbl_ledger[ロットID],$B171,tbl_ledger[元状態],F$1))</f>
        <v/>
      </c>
      <c r="G171" s="4" t="str">
        <f>IF($B171="","",SUMIFS(tbl_ledger[数量],tbl_ledger[ロットID],$B171,tbl_ledger[イベント種類],"梱包完了")+SUMIFS(tbl_ledger[数量],tbl_ledger[充当先ロットID],$B171,tbl_ledger[イベント種類],"充当",tbl_ledger[元状態],G$1)-SUMIFS(tbl_ledger[数量],tbl_ledger[ロットID],$B171,tbl_ledger[元状態],G$1))</f>
        <v/>
      </c>
      <c r="H171" s="4" t="str">
        <f>IF($B171="","",SUMIFS(tbl_ledger[数量],tbl_ledger[ロットID],$B171,tbl_ledger[イベント種類],"発送準備完了")+SUMIFS(tbl_ledger[数量],tbl_ledger[充当先ロットID],$B171,tbl_ledger[イベント種類],"充当",tbl_ledger[元状態],H$1)-SUMIFS(tbl_ledger[数量],tbl_ledger[ロットID],$B171,tbl_ledger[元状態],H$1))</f>
        <v/>
      </c>
      <c r="I171" s="4" t="str">
        <f>IF($B171="","",SUMIFS(tbl_ledger[数量],tbl_ledger[ロットID],$B171,tbl_ledger[イベント種類],"不良発生")+SUMIFS(tbl_ledger[数量],tbl_ledger[充当先ロットID],$B171,tbl_ledger[イベント種類],"充当",tbl_ledger[元状態],I$1)-SUMIFS(tbl_ledger[数量],tbl_ledger[ロットID],$B171,tbl_ledger[元状態],I$1))</f>
        <v/>
      </c>
      <c r="J171" s="4" t="str">
        <f t="shared" si="5"/>
        <v/>
      </c>
    </row>
    <row r="172" spans="1:10" ht="15" x14ac:dyDescent="0.25">
      <c r="A172" s="4" t="str">
        <f t="shared" si="4"/>
        <v/>
      </c>
      <c r="B172" s="4" t="str">
        <f>IFERROR(IF(COUNTIF($B$1:$B171,INDEX(tbl_plan[ロットID],ROW()-1))&gt;0,"",INDEX(tbl_plan[ロットID],ROW()-1)),"")</f>
        <v/>
      </c>
      <c r="C172" s="4" t="str">
        <f>IF($B172="","",INDEX(tbl_plan[品番],ROW()-1))</f>
        <v/>
      </c>
      <c r="D172" s="4" t="str">
        <f>IF($B172="","",SUMIFS(tbl_ledger[数量],tbl_ledger[ロットID],$B172,tbl_ledger[イベント種類],"搬入")+SUMIFS(tbl_ledger[数量],tbl_ledger[充当先ロットID],$B172,tbl_ledger[イベント種類],"充当",tbl_ledger[元状態],D$1)-SUMIFS(tbl_ledger[数量],tbl_ledger[ロットID],$B172,tbl_ledger[元状態],D$1))</f>
        <v/>
      </c>
      <c r="E172" s="4" t="str">
        <f>IF($B172="","",SUMIFS(tbl_ledger[数量],tbl_ledger[ロットID],$B172,tbl_ledger[イベント種類],"アニール完了")+SUMIFS(tbl_ledger[数量],tbl_ledger[充当先ロットID],$B172,tbl_ledger[イベント種類],"充当",tbl_ledger[元状態],E$1)-SUMIFS(tbl_ledger[数量],tbl_ledger[ロットID],$B172,tbl_ledger[元状態],E$1))</f>
        <v/>
      </c>
      <c r="F172" s="4" t="str">
        <f>IF($B172="","",SUMIFS(tbl_ledger[数量],tbl_ledger[ロットID],$B172,tbl_ledger[イベント種類],"アセンブリ完了")+SUMIFS(tbl_ledger[数量],tbl_ledger[充当先ロットID],$B172,tbl_ledger[イベント種類],"充当",tbl_ledger[元状態],F$1)-SUMIFS(tbl_ledger[数量],tbl_ledger[ロットID],$B172,tbl_ledger[元状態],F$1))</f>
        <v/>
      </c>
      <c r="G172" s="4" t="str">
        <f>IF($B172="","",SUMIFS(tbl_ledger[数量],tbl_ledger[ロットID],$B172,tbl_ledger[イベント種類],"梱包完了")+SUMIFS(tbl_ledger[数量],tbl_ledger[充当先ロットID],$B172,tbl_ledger[イベント種類],"充当",tbl_ledger[元状態],G$1)-SUMIFS(tbl_ledger[数量],tbl_ledger[ロットID],$B172,tbl_ledger[元状態],G$1))</f>
        <v/>
      </c>
      <c r="H172" s="4" t="str">
        <f>IF($B172="","",SUMIFS(tbl_ledger[数量],tbl_ledger[ロットID],$B172,tbl_ledger[イベント種類],"発送準備完了")+SUMIFS(tbl_ledger[数量],tbl_ledger[充当先ロットID],$B172,tbl_ledger[イベント種類],"充当",tbl_ledger[元状態],H$1)-SUMIFS(tbl_ledger[数量],tbl_ledger[ロットID],$B172,tbl_ledger[元状態],H$1))</f>
        <v/>
      </c>
      <c r="I172" s="4" t="str">
        <f>IF($B172="","",SUMIFS(tbl_ledger[数量],tbl_ledger[ロットID],$B172,tbl_ledger[イベント種類],"不良発生")+SUMIFS(tbl_ledger[数量],tbl_ledger[充当先ロットID],$B172,tbl_ledger[イベント種類],"充当",tbl_ledger[元状態],I$1)-SUMIFS(tbl_ledger[数量],tbl_ledger[ロットID],$B172,tbl_ledger[元状態],I$1))</f>
        <v/>
      </c>
      <c r="J172" s="4" t="str">
        <f t="shared" si="5"/>
        <v/>
      </c>
    </row>
    <row r="173" spans="1:10" ht="15" x14ac:dyDescent="0.25">
      <c r="A173" s="4" t="str">
        <f t="shared" si="4"/>
        <v/>
      </c>
      <c r="B173" s="4" t="str">
        <f>IFERROR(IF(COUNTIF($B$1:$B172,INDEX(tbl_plan[ロットID],ROW()-1))&gt;0,"",INDEX(tbl_plan[ロットID],ROW()-1)),"")</f>
        <v/>
      </c>
      <c r="C173" s="4" t="str">
        <f>IF($B173="","",INDEX(tbl_plan[品番],ROW()-1))</f>
        <v/>
      </c>
      <c r="D173" s="4" t="str">
        <f>IF($B173="","",SUMIFS(tbl_ledger[数量],tbl_ledger[ロットID],$B173,tbl_ledger[イベント種類],"搬入")+SUMIFS(tbl_ledger[数量],tbl_ledger[充当先ロットID],$B173,tbl_ledger[イベント種類],"充当",tbl_ledger[元状態],D$1)-SUMIFS(tbl_ledger[数量],tbl_ledger[ロットID],$B173,tbl_ledger[元状態],D$1))</f>
        <v/>
      </c>
      <c r="E173" s="4" t="str">
        <f>IF($B173="","",SUMIFS(tbl_ledger[数量],tbl_ledger[ロットID],$B173,tbl_ledger[イベント種類],"アニール完了")+SUMIFS(tbl_ledger[数量],tbl_ledger[充当先ロットID],$B173,tbl_ledger[イベント種類],"充当",tbl_ledger[元状態],E$1)-SUMIFS(tbl_ledger[数量],tbl_ledger[ロットID],$B173,tbl_ledger[元状態],E$1))</f>
        <v/>
      </c>
      <c r="F173" s="4" t="str">
        <f>IF($B173="","",SUMIFS(tbl_ledger[数量],tbl_ledger[ロットID],$B173,tbl_ledger[イベント種類],"アセンブリ完了")+SUMIFS(tbl_ledger[数量],tbl_ledger[充当先ロットID],$B173,tbl_ledger[イベント種類],"充当",tbl_ledger[元状態],F$1)-SUMIFS(tbl_ledger[数量],tbl_ledger[ロットID],$B173,tbl_ledger[元状態],F$1))</f>
        <v/>
      </c>
      <c r="G173" s="4" t="str">
        <f>IF($B173="","",SUMIFS(tbl_ledger[数量],tbl_ledger[ロットID],$B173,tbl_ledger[イベント種類],"梱包完了")+SUMIFS(tbl_ledger[数量],tbl_ledger[充当先ロットID],$B173,tbl_ledger[イベント種類],"充当",tbl_ledger[元状態],G$1)-SUMIFS(tbl_ledger[数量],tbl_ledger[ロットID],$B173,tbl_ledger[元状態],G$1))</f>
        <v/>
      </c>
      <c r="H173" s="4" t="str">
        <f>IF($B173="","",SUMIFS(tbl_ledger[数量],tbl_ledger[ロットID],$B173,tbl_ledger[イベント種類],"発送準備完了")+SUMIFS(tbl_ledger[数量],tbl_ledger[充当先ロットID],$B173,tbl_ledger[イベント種類],"充当",tbl_ledger[元状態],H$1)-SUMIFS(tbl_ledger[数量],tbl_ledger[ロットID],$B173,tbl_ledger[元状態],H$1))</f>
        <v/>
      </c>
      <c r="I173" s="4" t="str">
        <f>IF($B173="","",SUMIFS(tbl_ledger[数量],tbl_ledger[ロットID],$B173,tbl_ledger[イベント種類],"不良発生")+SUMIFS(tbl_ledger[数量],tbl_ledger[充当先ロットID],$B173,tbl_ledger[イベント種類],"充当",tbl_ledger[元状態],I$1)-SUMIFS(tbl_ledger[数量],tbl_ledger[ロットID],$B173,tbl_ledger[元状態],I$1))</f>
        <v/>
      </c>
      <c r="J173" s="4" t="str">
        <f t="shared" si="5"/>
        <v/>
      </c>
    </row>
    <row r="174" spans="1:10" ht="15" x14ac:dyDescent="0.25">
      <c r="A174" s="4" t="str">
        <f t="shared" si="4"/>
        <v/>
      </c>
      <c r="B174" s="4" t="str">
        <f>IFERROR(IF(COUNTIF($B$1:$B173,INDEX(tbl_plan[ロットID],ROW()-1))&gt;0,"",INDEX(tbl_plan[ロットID],ROW()-1)),"")</f>
        <v/>
      </c>
      <c r="C174" s="4" t="str">
        <f>IF($B174="","",INDEX(tbl_plan[品番],ROW()-1))</f>
        <v/>
      </c>
      <c r="D174" s="4" t="str">
        <f>IF($B174="","",SUMIFS(tbl_ledger[数量],tbl_ledger[ロットID],$B174,tbl_ledger[イベント種類],"搬入")+SUMIFS(tbl_ledger[数量],tbl_ledger[充当先ロットID],$B174,tbl_ledger[イベント種類],"充当",tbl_ledger[元状態],D$1)-SUMIFS(tbl_ledger[数量],tbl_ledger[ロットID],$B174,tbl_ledger[元状態],D$1))</f>
        <v/>
      </c>
      <c r="E174" s="4" t="str">
        <f>IF($B174="","",SUMIFS(tbl_ledger[数量],tbl_ledger[ロットID],$B174,tbl_ledger[イベント種類],"アニール完了")+SUMIFS(tbl_ledger[数量],tbl_ledger[充当先ロットID],$B174,tbl_ledger[イベント種類],"充当",tbl_ledger[元状態],E$1)-SUMIFS(tbl_ledger[数量],tbl_ledger[ロットID],$B174,tbl_ledger[元状態],E$1))</f>
        <v/>
      </c>
      <c r="F174" s="4" t="str">
        <f>IF($B174="","",SUMIFS(tbl_ledger[数量],tbl_ledger[ロットID],$B174,tbl_ledger[イベント種類],"アセンブリ完了")+SUMIFS(tbl_ledger[数量],tbl_ledger[充当先ロットID],$B174,tbl_ledger[イベント種類],"充当",tbl_ledger[元状態],F$1)-SUMIFS(tbl_ledger[数量],tbl_ledger[ロットID],$B174,tbl_ledger[元状態],F$1))</f>
        <v/>
      </c>
      <c r="G174" s="4" t="str">
        <f>IF($B174="","",SUMIFS(tbl_ledger[数量],tbl_ledger[ロットID],$B174,tbl_ledger[イベント種類],"梱包完了")+SUMIFS(tbl_ledger[数量],tbl_ledger[充当先ロットID],$B174,tbl_ledger[イベント種類],"充当",tbl_ledger[元状態],G$1)-SUMIFS(tbl_ledger[数量],tbl_ledger[ロットID],$B174,tbl_ledger[元状態],G$1))</f>
        <v/>
      </c>
      <c r="H174" s="4" t="str">
        <f>IF($B174="","",SUMIFS(tbl_ledger[数量],tbl_ledger[ロットID],$B174,tbl_ledger[イベント種類],"発送準備完了")+SUMIFS(tbl_ledger[数量],tbl_ledger[充当先ロットID],$B174,tbl_ledger[イベント種類],"充当",tbl_ledger[元状態],H$1)-SUMIFS(tbl_ledger[数量],tbl_ledger[ロットID],$B174,tbl_ledger[元状態],H$1))</f>
        <v/>
      </c>
      <c r="I174" s="4" t="str">
        <f>IF($B174="","",SUMIFS(tbl_ledger[数量],tbl_ledger[ロットID],$B174,tbl_ledger[イベント種類],"不良発生")+SUMIFS(tbl_ledger[数量],tbl_ledger[充当先ロットID],$B174,tbl_ledger[イベント種類],"充当",tbl_ledger[元状態],I$1)-SUMIFS(tbl_ledger[数量],tbl_ledger[ロットID],$B174,tbl_ledger[元状態],I$1))</f>
        <v/>
      </c>
      <c r="J174" s="4" t="str">
        <f t="shared" si="5"/>
        <v/>
      </c>
    </row>
    <row r="175" spans="1:10" ht="15" x14ac:dyDescent="0.25">
      <c r="A175" s="4" t="str">
        <f t="shared" si="4"/>
        <v/>
      </c>
      <c r="B175" s="4" t="str">
        <f>IFERROR(IF(COUNTIF($B$1:$B174,INDEX(tbl_plan[ロットID],ROW()-1))&gt;0,"",INDEX(tbl_plan[ロットID],ROW()-1)),"")</f>
        <v/>
      </c>
      <c r="C175" s="4" t="str">
        <f>IF($B175="","",INDEX(tbl_plan[品番],ROW()-1))</f>
        <v/>
      </c>
      <c r="D175" s="4" t="str">
        <f>IF($B175="","",SUMIFS(tbl_ledger[数量],tbl_ledger[ロットID],$B175,tbl_ledger[イベント種類],"搬入")+SUMIFS(tbl_ledger[数量],tbl_ledger[充当先ロットID],$B175,tbl_ledger[イベント種類],"充当",tbl_ledger[元状態],D$1)-SUMIFS(tbl_ledger[数量],tbl_ledger[ロットID],$B175,tbl_ledger[元状態],D$1))</f>
        <v/>
      </c>
      <c r="E175" s="4" t="str">
        <f>IF($B175="","",SUMIFS(tbl_ledger[数量],tbl_ledger[ロットID],$B175,tbl_ledger[イベント種類],"アニール完了")+SUMIFS(tbl_ledger[数量],tbl_ledger[充当先ロットID],$B175,tbl_ledger[イベント種類],"充当",tbl_ledger[元状態],E$1)-SUMIFS(tbl_ledger[数量],tbl_ledger[ロットID],$B175,tbl_ledger[元状態],E$1))</f>
        <v/>
      </c>
      <c r="F175" s="4" t="str">
        <f>IF($B175="","",SUMIFS(tbl_ledger[数量],tbl_ledger[ロットID],$B175,tbl_ledger[イベント種類],"アセンブリ完了")+SUMIFS(tbl_ledger[数量],tbl_ledger[充当先ロットID],$B175,tbl_ledger[イベント種類],"充当",tbl_ledger[元状態],F$1)-SUMIFS(tbl_ledger[数量],tbl_ledger[ロットID],$B175,tbl_ledger[元状態],F$1))</f>
        <v/>
      </c>
      <c r="G175" s="4" t="str">
        <f>IF($B175="","",SUMIFS(tbl_ledger[数量],tbl_ledger[ロットID],$B175,tbl_ledger[イベント種類],"梱包完了")+SUMIFS(tbl_ledger[数量],tbl_ledger[充当先ロットID],$B175,tbl_ledger[イベント種類],"充当",tbl_ledger[元状態],G$1)-SUMIFS(tbl_ledger[数量],tbl_ledger[ロットID],$B175,tbl_ledger[元状態],G$1))</f>
        <v/>
      </c>
      <c r="H175" s="4" t="str">
        <f>IF($B175="","",SUMIFS(tbl_ledger[数量],tbl_ledger[ロットID],$B175,tbl_ledger[イベント種類],"発送準備完了")+SUMIFS(tbl_ledger[数量],tbl_ledger[充当先ロットID],$B175,tbl_ledger[イベント種類],"充当",tbl_ledger[元状態],H$1)-SUMIFS(tbl_ledger[数量],tbl_ledger[ロットID],$B175,tbl_ledger[元状態],H$1))</f>
        <v/>
      </c>
      <c r="I175" s="4" t="str">
        <f>IF($B175="","",SUMIFS(tbl_ledger[数量],tbl_ledger[ロットID],$B175,tbl_ledger[イベント種類],"不良発生")+SUMIFS(tbl_ledger[数量],tbl_ledger[充当先ロットID],$B175,tbl_ledger[イベント種類],"充当",tbl_ledger[元状態],I$1)-SUMIFS(tbl_ledger[数量],tbl_ledger[ロットID],$B175,tbl_ledger[元状態],I$1))</f>
        <v/>
      </c>
      <c r="J175" s="4" t="str">
        <f t="shared" si="5"/>
        <v/>
      </c>
    </row>
    <row r="176" spans="1:10" ht="15" x14ac:dyDescent="0.25">
      <c r="A176" s="4" t="str">
        <f t="shared" si="4"/>
        <v/>
      </c>
      <c r="B176" s="4" t="str">
        <f>IFERROR(IF(COUNTIF($B$1:$B175,INDEX(tbl_plan[ロットID],ROW()-1))&gt;0,"",INDEX(tbl_plan[ロットID],ROW()-1)),"")</f>
        <v/>
      </c>
      <c r="C176" s="4" t="str">
        <f>IF($B176="","",INDEX(tbl_plan[品番],ROW()-1))</f>
        <v/>
      </c>
      <c r="D176" s="4" t="str">
        <f>IF($B176="","",SUMIFS(tbl_ledger[数量],tbl_ledger[ロットID],$B176,tbl_ledger[イベント種類],"搬入")+SUMIFS(tbl_ledger[数量],tbl_ledger[充当先ロットID],$B176,tbl_ledger[イベント種類],"充当",tbl_ledger[元状態],D$1)-SUMIFS(tbl_ledger[数量],tbl_ledger[ロットID],$B176,tbl_ledger[元状態],D$1))</f>
        <v/>
      </c>
      <c r="E176" s="4" t="str">
        <f>IF($B176="","",SUMIFS(tbl_ledger[数量],tbl_ledger[ロットID],$B176,tbl_ledger[イベント種類],"アニール完了")+SUMIFS(tbl_ledger[数量],tbl_ledger[充当先ロットID],$B176,tbl_ledger[イベント種類],"充当",tbl_ledger[元状態],E$1)-SUMIFS(tbl_ledger[数量],tbl_ledger[ロットID],$B176,tbl_ledger[元状態],E$1))</f>
        <v/>
      </c>
      <c r="F176" s="4" t="str">
        <f>IF($B176="","",SUMIFS(tbl_ledger[数量],tbl_ledger[ロットID],$B176,tbl_ledger[イベント種類],"アセンブリ完了")+SUMIFS(tbl_ledger[数量],tbl_ledger[充当先ロットID],$B176,tbl_ledger[イベント種類],"充当",tbl_ledger[元状態],F$1)-SUMIFS(tbl_ledger[数量],tbl_ledger[ロットID],$B176,tbl_ledger[元状態],F$1))</f>
        <v/>
      </c>
      <c r="G176" s="4" t="str">
        <f>IF($B176="","",SUMIFS(tbl_ledger[数量],tbl_ledger[ロットID],$B176,tbl_ledger[イベント種類],"梱包完了")+SUMIFS(tbl_ledger[数量],tbl_ledger[充当先ロットID],$B176,tbl_ledger[イベント種類],"充当",tbl_ledger[元状態],G$1)-SUMIFS(tbl_ledger[数量],tbl_ledger[ロットID],$B176,tbl_ledger[元状態],G$1))</f>
        <v/>
      </c>
      <c r="H176" s="4" t="str">
        <f>IF($B176="","",SUMIFS(tbl_ledger[数量],tbl_ledger[ロットID],$B176,tbl_ledger[イベント種類],"発送準備完了")+SUMIFS(tbl_ledger[数量],tbl_ledger[充当先ロットID],$B176,tbl_ledger[イベント種類],"充当",tbl_ledger[元状態],H$1)-SUMIFS(tbl_ledger[数量],tbl_ledger[ロットID],$B176,tbl_ledger[元状態],H$1))</f>
        <v/>
      </c>
      <c r="I176" s="4" t="str">
        <f>IF($B176="","",SUMIFS(tbl_ledger[数量],tbl_ledger[ロットID],$B176,tbl_ledger[イベント種類],"不良発生")+SUMIFS(tbl_ledger[数量],tbl_ledger[充当先ロットID],$B176,tbl_ledger[イベント種類],"充当",tbl_ledger[元状態],I$1)-SUMIFS(tbl_ledger[数量],tbl_ledger[ロットID],$B176,tbl_ledger[元状態],I$1))</f>
        <v/>
      </c>
      <c r="J176" s="4" t="str">
        <f t="shared" si="5"/>
        <v/>
      </c>
    </row>
    <row r="177" spans="1:10" ht="15" x14ac:dyDescent="0.25">
      <c r="A177" s="4" t="str">
        <f t="shared" si="4"/>
        <v/>
      </c>
      <c r="B177" s="4" t="str">
        <f>IFERROR(IF(COUNTIF($B$1:$B176,INDEX(tbl_plan[ロットID],ROW()-1))&gt;0,"",INDEX(tbl_plan[ロットID],ROW()-1)),"")</f>
        <v/>
      </c>
      <c r="C177" s="4" t="str">
        <f>IF($B177="","",INDEX(tbl_plan[品番],ROW()-1))</f>
        <v/>
      </c>
      <c r="D177" s="4" t="str">
        <f>IF($B177="","",SUMIFS(tbl_ledger[数量],tbl_ledger[ロットID],$B177,tbl_ledger[イベント種類],"搬入")+SUMIFS(tbl_ledger[数量],tbl_ledger[充当先ロットID],$B177,tbl_ledger[イベント種類],"充当",tbl_ledger[元状態],D$1)-SUMIFS(tbl_ledger[数量],tbl_ledger[ロットID],$B177,tbl_ledger[元状態],D$1))</f>
        <v/>
      </c>
      <c r="E177" s="4" t="str">
        <f>IF($B177="","",SUMIFS(tbl_ledger[数量],tbl_ledger[ロットID],$B177,tbl_ledger[イベント種類],"アニール完了")+SUMIFS(tbl_ledger[数量],tbl_ledger[充当先ロットID],$B177,tbl_ledger[イベント種類],"充当",tbl_ledger[元状態],E$1)-SUMIFS(tbl_ledger[数量],tbl_ledger[ロットID],$B177,tbl_ledger[元状態],E$1))</f>
        <v/>
      </c>
      <c r="F177" s="4" t="str">
        <f>IF($B177="","",SUMIFS(tbl_ledger[数量],tbl_ledger[ロットID],$B177,tbl_ledger[イベント種類],"アセンブリ完了")+SUMIFS(tbl_ledger[数量],tbl_ledger[充当先ロットID],$B177,tbl_ledger[イベント種類],"充当",tbl_ledger[元状態],F$1)-SUMIFS(tbl_ledger[数量],tbl_ledger[ロットID],$B177,tbl_ledger[元状態],F$1))</f>
        <v/>
      </c>
      <c r="G177" s="4" t="str">
        <f>IF($B177="","",SUMIFS(tbl_ledger[数量],tbl_ledger[ロットID],$B177,tbl_ledger[イベント種類],"梱包完了")+SUMIFS(tbl_ledger[数量],tbl_ledger[充当先ロットID],$B177,tbl_ledger[イベント種類],"充当",tbl_ledger[元状態],G$1)-SUMIFS(tbl_ledger[数量],tbl_ledger[ロットID],$B177,tbl_ledger[元状態],G$1))</f>
        <v/>
      </c>
      <c r="H177" s="4" t="str">
        <f>IF($B177="","",SUMIFS(tbl_ledger[数量],tbl_ledger[ロットID],$B177,tbl_ledger[イベント種類],"発送準備完了")+SUMIFS(tbl_ledger[数量],tbl_ledger[充当先ロットID],$B177,tbl_ledger[イベント種類],"充当",tbl_ledger[元状態],H$1)-SUMIFS(tbl_ledger[数量],tbl_ledger[ロットID],$B177,tbl_ledger[元状態],H$1))</f>
        <v/>
      </c>
      <c r="I177" s="4" t="str">
        <f>IF($B177="","",SUMIFS(tbl_ledger[数量],tbl_ledger[ロットID],$B177,tbl_ledger[イベント種類],"不良発生")+SUMIFS(tbl_ledger[数量],tbl_ledger[充当先ロットID],$B177,tbl_ledger[イベント種類],"充当",tbl_ledger[元状態],I$1)-SUMIFS(tbl_ledger[数量],tbl_ledger[ロットID],$B177,tbl_ledger[元状態],I$1))</f>
        <v/>
      </c>
      <c r="J177" s="4" t="str">
        <f t="shared" si="5"/>
        <v/>
      </c>
    </row>
    <row r="178" spans="1:10" ht="15" x14ac:dyDescent="0.25">
      <c r="A178" s="4" t="str">
        <f t="shared" si="4"/>
        <v/>
      </c>
      <c r="B178" s="4" t="str">
        <f>IFERROR(IF(COUNTIF($B$1:$B177,INDEX(tbl_plan[ロットID],ROW()-1))&gt;0,"",INDEX(tbl_plan[ロットID],ROW()-1)),"")</f>
        <v/>
      </c>
      <c r="C178" s="4" t="str">
        <f>IF($B178="","",INDEX(tbl_plan[品番],ROW()-1))</f>
        <v/>
      </c>
      <c r="D178" s="4" t="str">
        <f>IF($B178="","",SUMIFS(tbl_ledger[数量],tbl_ledger[ロットID],$B178,tbl_ledger[イベント種類],"搬入")+SUMIFS(tbl_ledger[数量],tbl_ledger[充当先ロットID],$B178,tbl_ledger[イベント種類],"充当",tbl_ledger[元状態],D$1)-SUMIFS(tbl_ledger[数量],tbl_ledger[ロットID],$B178,tbl_ledger[元状態],D$1))</f>
        <v/>
      </c>
      <c r="E178" s="4" t="str">
        <f>IF($B178="","",SUMIFS(tbl_ledger[数量],tbl_ledger[ロットID],$B178,tbl_ledger[イベント種類],"アニール完了")+SUMIFS(tbl_ledger[数量],tbl_ledger[充当先ロットID],$B178,tbl_ledger[イベント種類],"充当",tbl_ledger[元状態],E$1)-SUMIFS(tbl_ledger[数量],tbl_ledger[ロットID],$B178,tbl_ledger[元状態],E$1))</f>
        <v/>
      </c>
      <c r="F178" s="4" t="str">
        <f>IF($B178="","",SUMIFS(tbl_ledger[数量],tbl_ledger[ロットID],$B178,tbl_ledger[イベント種類],"アセンブリ完了")+SUMIFS(tbl_ledger[数量],tbl_ledger[充当先ロットID],$B178,tbl_ledger[イベント種類],"充当",tbl_ledger[元状態],F$1)-SUMIFS(tbl_ledger[数量],tbl_ledger[ロットID],$B178,tbl_ledger[元状態],F$1))</f>
        <v/>
      </c>
      <c r="G178" s="4" t="str">
        <f>IF($B178="","",SUMIFS(tbl_ledger[数量],tbl_ledger[ロットID],$B178,tbl_ledger[イベント種類],"梱包完了")+SUMIFS(tbl_ledger[数量],tbl_ledger[充当先ロットID],$B178,tbl_ledger[イベント種類],"充当",tbl_ledger[元状態],G$1)-SUMIFS(tbl_ledger[数量],tbl_ledger[ロットID],$B178,tbl_ledger[元状態],G$1))</f>
        <v/>
      </c>
      <c r="H178" s="4" t="str">
        <f>IF($B178="","",SUMIFS(tbl_ledger[数量],tbl_ledger[ロットID],$B178,tbl_ledger[イベント種類],"発送準備完了")+SUMIFS(tbl_ledger[数量],tbl_ledger[充当先ロットID],$B178,tbl_ledger[イベント種類],"充当",tbl_ledger[元状態],H$1)-SUMIFS(tbl_ledger[数量],tbl_ledger[ロットID],$B178,tbl_ledger[元状態],H$1))</f>
        <v/>
      </c>
      <c r="I178" s="4" t="str">
        <f>IF($B178="","",SUMIFS(tbl_ledger[数量],tbl_ledger[ロットID],$B178,tbl_ledger[イベント種類],"不良発生")+SUMIFS(tbl_ledger[数量],tbl_ledger[充当先ロットID],$B178,tbl_ledger[イベント種類],"充当",tbl_ledger[元状態],I$1)-SUMIFS(tbl_ledger[数量],tbl_ledger[ロットID],$B178,tbl_ledger[元状態],I$1))</f>
        <v/>
      </c>
      <c r="J178" s="4" t="str">
        <f t="shared" si="5"/>
        <v/>
      </c>
    </row>
    <row r="179" spans="1:10" ht="15" x14ac:dyDescent="0.25">
      <c r="A179" s="4" t="str">
        <f t="shared" si="4"/>
        <v/>
      </c>
      <c r="B179" s="4" t="str">
        <f>IFERROR(IF(COUNTIF($B$1:$B178,INDEX(tbl_plan[ロットID],ROW()-1))&gt;0,"",INDEX(tbl_plan[ロットID],ROW()-1)),"")</f>
        <v/>
      </c>
      <c r="C179" s="4" t="str">
        <f>IF($B179="","",INDEX(tbl_plan[品番],ROW()-1))</f>
        <v/>
      </c>
      <c r="D179" s="4" t="str">
        <f>IF($B179="","",SUMIFS(tbl_ledger[数量],tbl_ledger[ロットID],$B179,tbl_ledger[イベント種類],"搬入")+SUMIFS(tbl_ledger[数量],tbl_ledger[充当先ロットID],$B179,tbl_ledger[イベント種類],"充当",tbl_ledger[元状態],D$1)-SUMIFS(tbl_ledger[数量],tbl_ledger[ロットID],$B179,tbl_ledger[元状態],D$1))</f>
        <v/>
      </c>
      <c r="E179" s="4" t="str">
        <f>IF($B179="","",SUMIFS(tbl_ledger[数量],tbl_ledger[ロットID],$B179,tbl_ledger[イベント種類],"アニール完了")+SUMIFS(tbl_ledger[数量],tbl_ledger[充当先ロットID],$B179,tbl_ledger[イベント種類],"充当",tbl_ledger[元状態],E$1)-SUMIFS(tbl_ledger[数量],tbl_ledger[ロットID],$B179,tbl_ledger[元状態],E$1))</f>
        <v/>
      </c>
      <c r="F179" s="4" t="str">
        <f>IF($B179="","",SUMIFS(tbl_ledger[数量],tbl_ledger[ロットID],$B179,tbl_ledger[イベント種類],"アセンブリ完了")+SUMIFS(tbl_ledger[数量],tbl_ledger[充当先ロットID],$B179,tbl_ledger[イベント種類],"充当",tbl_ledger[元状態],F$1)-SUMIFS(tbl_ledger[数量],tbl_ledger[ロットID],$B179,tbl_ledger[元状態],F$1))</f>
        <v/>
      </c>
      <c r="G179" s="4" t="str">
        <f>IF($B179="","",SUMIFS(tbl_ledger[数量],tbl_ledger[ロットID],$B179,tbl_ledger[イベント種類],"梱包完了")+SUMIFS(tbl_ledger[数量],tbl_ledger[充当先ロットID],$B179,tbl_ledger[イベント種類],"充当",tbl_ledger[元状態],G$1)-SUMIFS(tbl_ledger[数量],tbl_ledger[ロットID],$B179,tbl_ledger[元状態],G$1))</f>
        <v/>
      </c>
      <c r="H179" s="4" t="str">
        <f>IF($B179="","",SUMIFS(tbl_ledger[数量],tbl_ledger[ロットID],$B179,tbl_ledger[イベント種類],"発送準備完了")+SUMIFS(tbl_ledger[数量],tbl_ledger[充当先ロットID],$B179,tbl_ledger[イベント種類],"充当",tbl_ledger[元状態],H$1)-SUMIFS(tbl_ledger[数量],tbl_ledger[ロットID],$B179,tbl_ledger[元状態],H$1))</f>
        <v/>
      </c>
      <c r="I179" s="4" t="str">
        <f>IF($B179="","",SUMIFS(tbl_ledger[数量],tbl_ledger[ロットID],$B179,tbl_ledger[イベント種類],"不良発生")+SUMIFS(tbl_ledger[数量],tbl_ledger[充当先ロットID],$B179,tbl_ledger[イベント種類],"充当",tbl_ledger[元状態],I$1)-SUMIFS(tbl_ledger[数量],tbl_ledger[ロットID],$B179,tbl_ledger[元状態],I$1))</f>
        <v/>
      </c>
      <c r="J179" s="4" t="str">
        <f t="shared" si="5"/>
        <v/>
      </c>
    </row>
    <row r="180" spans="1:10" ht="15" x14ac:dyDescent="0.25">
      <c r="A180" s="4" t="str">
        <f t="shared" si="4"/>
        <v/>
      </c>
      <c r="B180" s="4" t="str">
        <f>IFERROR(IF(COUNTIF($B$1:$B179,INDEX(tbl_plan[ロットID],ROW()-1))&gt;0,"",INDEX(tbl_plan[ロットID],ROW()-1)),"")</f>
        <v/>
      </c>
      <c r="C180" s="4" t="str">
        <f>IF($B180="","",INDEX(tbl_plan[品番],ROW()-1))</f>
        <v/>
      </c>
      <c r="D180" s="4" t="str">
        <f>IF($B180="","",SUMIFS(tbl_ledger[数量],tbl_ledger[ロットID],$B180,tbl_ledger[イベント種類],"搬入")+SUMIFS(tbl_ledger[数量],tbl_ledger[充当先ロットID],$B180,tbl_ledger[イベント種類],"充当",tbl_ledger[元状態],D$1)-SUMIFS(tbl_ledger[数量],tbl_ledger[ロットID],$B180,tbl_ledger[元状態],D$1))</f>
        <v/>
      </c>
      <c r="E180" s="4" t="str">
        <f>IF($B180="","",SUMIFS(tbl_ledger[数量],tbl_ledger[ロットID],$B180,tbl_ledger[イベント種類],"アニール完了")+SUMIFS(tbl_ledger[数量],tbl_ledger[充当先ロットID],$B180,tbl_ledger[イベント種類],"充当",tbl_ledger[元状態],E$1)-SUMIFS(tbl_ledger[数量],tbl_ledger[ロットID],$B180,tbl_ledger[元状態],E$1))</f>
        <v/>
      </c>
      <c r="F180" s="4" t="str">
        <f>IF($B180="","",SUMIFS(tbl_ledger[数量],tbl_ledger[ロットID],$B180,tbl_ledger[イベント種類],"アセンブリ完了")+SUMIFS(tbl_ledger[数量],tbl_ledger[充当先ロットID],$B180,tbl_ledger[イベント種類],"充当",tbl_ledger[元状態],F$1)-SUMIFS(tbl_ledger[数量],tbl_ledger[ロットID],$B180,tbl_ledger[元状態],F$1))</f>
        <v/>
      </c>
      <c r="G180" s="4" t="str">
        <f>IF($B180="","",SUMIFS(tbl_ledger[数量],tbl_ledger[ロットID],$B180,tbl_ledger[イベント種類],"梱包完了")+SUMIFS(tbl_ledger[数量],tbl_ledger[充当先ロットID],$B180,tbl_ledger[イベント種類],"充当",tbl_ledger[元状態],G$1)-SUMIFS(tbl_ledger[数量],tbl_ledger[ロットID],$B180,tbl_ledger[元状態],G$1))</f>
        <v/>
      </c>
      <c r="H180" s="4" t="str">
        <f>IF($B180="","",SUMIFS(tbl_ledger[数量],tbl_ledger[ロットID],$B180,tbl_ledger[イベント種類],"発送準備完了")+SUMIFS(tbl_ledger[数量],tbl_ledger[充当先ロットID],$B180,tbl_ledger[イベント種類],"充当",tbl_ledger[元状態],H$1)-SUMIFS(tbl_ledger[数量],tbl_ledger[ロットID],$B180,tbl_ledger[元状態],H$1))</f>
        <v/>
      </c>
      <c r="I180" s="4" t="str">
        <f>IF($B180="","",SUMIFS(tbl_ledger[数量],tbl_ledger[ロットID],$B180,tbl_ledger[イベント種類],"不良発生")+SUMIFS(tbl_ledger[数量],tbl_ledger[充当先ロットID],$B180,tbl_ledger[イベント種類],"充当",tbl_ledger[元状態],I$1)-SUMIFS(tbl_ledger[数量],tbl_ledger[ロットID],$B180,tbl_ledger[元状態],I$1))</f>
        <v/>
      </c>
      <c r="J180" s="4" t="str">
        <f t="shared" si="5"/>
        <v/>
      </c>
    </row>
    <row r="181" spans="1:10" ht="15" x14ac:dyDescent="0.25">
      <c r="A181" s="4" t="str">
        <f t="shared" si="4"/>
        <v/>
      </c>
      <c r="B181" s="4" t="str">
        <f>IFERROR(IF(COUNTIF($B$1:$B180,INDEX(tbl_plan[ロットID],ROW()-1))&gt;0,"",INDEX(tbl_plan[ロットID],ROW()-1)),"")</f>
        <v/>
      </c>
      <c r="C181" s="4" t="str">
        <f>IF($B181="","",INDEX(tbl_plan[品番],ROW()-1))</f>
        <v/>
      </c>
      <c r="D181" s="4" t="str">
        <f>IF($B181="","",SUMIFS(tbl_ledger[数量],tbl_ledger[ロットID],$B181,tbl_ledger[イベント種類],"搬入")+SUMIFS(tbl_ledger[数量],tbl_ledger[充当先ロットID],$B181,tbl_ledger[イベント種類],"充当",tbl_ledger[元状態],D$1)-SUMIFS(tbl_ledger[数量],tbl_ledger[ロットID],$B181,tbl_ledger[元状態],D$1))</f>
        <v/>
      </c>
      <c r="E181" s="4" t="str">
        <f>IF($B181="","",SUMIFS(tbl_ledger[数量],tbl_ledger[ロットID],$B181,tbl_ledger[イベント種類],"アニール完了")+SUMIFS(tbl_ledger[数量],tbl_ledger[充当先ロットID],$B181,tbl_ledger[イベント種類],"充当",tbl_ledger[元状態],E$1)-SUMIFS(tbl_ledger[数量],tbl_ledger[ロットID],$B181,tbl_ledger[元状態],E$1))</f>
        <v/>
      </c>
      <c r="F181" s="4" t="str">
        <f>IF($B181="","",SUMIFS(tbl_ledger[数量],tbl_ledger[ロットID],$B181,tbl_ledger[イベント種類],"アセンブリ完了")+SUMIFS(tbl_ledger[数量],tbl_ledger[充当先ロットID],$B181,tbl_ledger[イベント種類],"充当",tbl_ledger[元状態],F$1)-SUMIFS(tbl_ledger[数量],tbl_ledger[ロットID],$B181,tbl_ledger[元状態],F$1))</f>
        <v/>
      </c>
      <c r="G181" s="4" t="str">
        <f>IF($B181="","",SUMIFS(tbl_ledger[数量],tbl_ledger[ロットID],$B181,tbl_ledger[イベント種類],"梱包完了")+SUMIFS(tbl_ledger[数量],tbl_ledger[充当先ロットID],$B181,tbl_ledger[イベント種類],"充当",tbl_ledger[元状態],G$1)-SUMIFS(tbl_ledger[数量],tbl_ledger[ロットID],$B181,tbl_ledger[元状態],G$1))</f>
        <v/>
      </c>
      <c r="H181" s="4" t="str">
        <f>IF($B181="","",SUMIFS(tbl_ledger[数量],tbl_ledger[ロットID],$B181,tbl_ledger[イベント種類],"発送準備完了")+SUMIFS(tbl_ledger[数量],tbl_ledger[充当先ロットID],$B181,tbl_ledger[イベント種類],"充当",tbl_ledger[元状態],H$1)-SUMIFS(tbl_ledger[数量],tbl_ledger[ロットID],$B181,tbl_ledger[元状態],H$1))</f>
        <v/>
      </c>
      <c r="I181" s="4" t="str">
        <f>IF($B181="","",SUMIFS(tbl_ledger[数量],tbl_ledger[ロットID],$B181,tbl_ledger[イベント種類],"不良発生")+SUMIFS(tbl_ledger[数量],tbl_ledger[充当先ロットID],$B181,tbl_ledger[イベント種類],"充当",tbl_ledger[元状態],I$1)-SUMIFS(tbl_ledger[数量],tbl_ledger[ロットID],$B181,tbl_ledger[元状態],I$1))</f>
        <v/>
      </c>
      <c r="J181" s="4" t="str">
        <f t="shared" si="5"/>
        <v/>
      </c>
    </row>
    <row r="182" spans="1:10" ht="15" x14ac:dyDescent="0.25">
      <c r="A182" s="4" t="str">
        <f t="shared" si="4"/>
        <v/>
      </c>
      <c r="B182" s="4" t="str">
        <f>IFERROR(IF(COUNTIF($B$1:$B181,INDEX(tbl_plan[ロットID],ROW()-1))&gt;0,"",INDEX(tbl_plan[ロットID],ROW()-1)),"")</f>
        <v/>
      </c>
      <c r="C182" s="4" t="str">
        <f>IF($B182="","",INDEX(tbl_plan[品番],ROW()-1))</f>
        <v/>
      </c>
      <c r="D182" s="4" t="str">
        <f>IF($B182="","",SUMIFS(tbl_ledger[数量],tbl_ledger[ロットID],$B182,tbl_ledger[イベント種類],"搬入")+SUMIFS(tbl_ledger[数量],tbl_ledger[充当先ロットID],$B182,tbl_ledger[イベント種類],"充当",tbl_ledger[元状態],D$1)-SUMIFS(tbl_ledger[数量],tbl_ledger[ロットID],$B182,tbl_ledger[元状態],D$1))</f>
        <v/>
      </c>
      <c r="E182" s="4" t="str">
        <f>IF($B182="","",SUMIFS(tbl_ledger[数量],tbl_ledger[ロットID],$B182,tbl_ledger[イベント種類],"アニール完了")+SUMIFS(tbl_ledger[数量],tbl_ledger[充当先ロットID],$B182,tbl_ledger[イベント種類],"充当",tbl_ledger[元状態],E$1)-SUMIFS(tbl_ledger[数量],tbl_ledger[ロットID],$B182,tbl_ledger[元状態],E$1))</f>
        <v/>
      </c>
      <c r="F182" s="4" t="str">
        <f>IF($B182="","",SUMIFS(tbl_ledger[数量],tbl_ledger[ロットID],$B182,tbl_ledger[イベント種類],"アセンブリ完了")+SUMIFS(tbl_ledger[数量],tbl_ledger[充当先ロットID],$B182,tbl_ledger[イベント種類],"充当",tbl_ledger[元状態],F$1)-SUMIFS(tbl_ledger[数量],tbl_ledger[ロットID],$B182,tbl_ledger[元状態],F$1))</f>
        <v/>
      </c>
      <c r="G182" s="4" t="str">
        <f>IF($B182="","",SUMIFS(tbl_ledger[数量],tbl_ledger[ロットID],$B182,tbl_ledger[イベント種類],"梱包完了")+SUMIFS(tbl_ledger[数量],tbl_ledger[充当先ロットID],$B182,tbl_ledger[イベント種類],"充当",tbl_ledger[元状態],G$1)-SUMIFS(tbl_ledger[数量],tbl_ledger[ロットID],$B182,tbl_ledger[元状態],G$1))</f>
        <v/>
      </c>
      <c r="H182" s="4" t="str">
        <f>IF($B182="","",SUMIFS(tbl_ledger[数量],tbl_ledger[ロットID],$B182,tbl_ledger[イベント種類],"発送準備完了")+SUMIFS(tbl_ledger[数量],tbl_ledger[充当先ロットID],$B182,tbl_ledger[イベント種類],"充当",tbl_ledger[元状態],H$1)-SUMIFS(tbl_ledger[数量],tbl_ledger[ロットID],$B182,tbl_ledger[元状態],H$1))</f>
        <v/>
      </c>
      <c r="I182" s="4" t="str">
        <f>IF($B182="","",SUMIFS(tbl_ledger[数量],tbl_ledger[ロットID],$B182,tbl_ledger[イベント種類],"不良発生")+SUMIFS(tbl_ledger[数量],tbl_ledger[充当先ロットID],$B182,tbl_ledger[イベント種類],"充当",tbl_ledger[元状態],I$1)-SUMIFS(tbl_ledger[数量],tbl_ledger[ロットID],$B182,tbl_ledger[元状態],I$1))</f>
        <v/>
      </c>
      <c r="J182" s="4" t="str">
        <f t="shared" si="5"/>
        <v/>
      </c>
    </row>
    <row r="183" spans="1:10" ht="15" x14ac:dyDescent="0.25">
      <c r="A183" s="4" t="str">
        <f t="shared" si="4"/>
        <v/>
      </c>
      <c r="B183" s="4" t="str">
        <f>IFERROR(IF(COUNTIF($B$1:$B182,INDEX(tbl_plan[ロットID],ROW()-1))&gt;0,"",INDEX(tbl_plan[ロットID],ROW()-1)),"")</f>
        <v/>
      </c>
      <c r="C183" s="4" t="str">
        <f>IF($B183="","",INDEX(tbl_plan[品番],ROW()-1))</f>
        <v/>
      </c>
      <c r="D183" s="4" t="str">
        <f>IF($B183="","",SUMIFS(tbl_ledger[数量],tbl_ledger[ロットID],$B183,tbl_ledger[イベント種類],"搬入")+SUMIFS(tbl_ledger[数量],tbl_ledger[充当先ロットID],$B183,tbl_ledger[イベント種類],"充当",tbl_ledger[元状態],D$1)-SUMIFS(tbl_ledger[数量],tbl_ledger[ロットID],$B183,tbl_ledger[元状態],D$1))</f>
        <v/>
      </c>
      <c r="E183" s="4" t="str">
        <f>IF($B183="","",SUMIFS(tbl_ledger[数量],tbl_ledger[ロットID],$B183,tbl_ledger[イベント種類],"アニール完了")+SUMIFS(tbl_ledger[数量],tbl_ledger[充当先ロットID],$B183,tbl_ledger[イベント種類],"充当",tbl_ledger[元状態],E$1)-SUMIFS(tbl_ledger[数量],tbl_ledger[ロットID],$B183,tbl_ledger[元状態],E$1))</f>
        <v/>
      </c>
      <c r="F183" s="4" t="str">
        <f>IF($B183="","",SUMIFS(tbl_ledger[数量],tbl_ledger[ロットID],$B183,tbl_ledger[イベント種類],"アセンブリ完了")+SUMIFS(tbl_ledger[数量],tbl_ledger[充当先ロットID],$B183,tbl_ledger[イベント種類],"充当",tbl_ledger[元状態],F$1)-SUMIFS(tbl_ledger[数量],tbl_ledger[ロットID],$B183,tbl_ledger[元状態],F$1))</f>
        <v/>
      </c>
      <c r="G183" s="4" t="str">
        <f>IF($B183="","",SUMIFS(tbl_ledger[数量],tbl_ledger[ロットID],$B183,tbl_ledger[イベント種類],"梱包完了")+SUMIFS(tbl_ledger[数量],tbl_ledger[充当先ロットID],$B183,tbl_ledger[イベント種類],"充当",tbl_ledger[元状態],G$1)-SUMIFS(tbl_ledger[数量],tbl_ledger[ロットID],$B183,tbl_ledger[元状態],G$1))</f>
        <v/>
      </c>
      <c r="H183" s="4" t="str">
        <f>IF($B183="","",SUMIFS(tbl_ledger[数量],tbl_ledger[ロットID],$B183,tbl_ledger[イベント種類],"発送準備完了")+SUMIFS(tbl_ledger[数量],tbl_ledger[充当先ロットID],$B183,tbl_ledger[イベント種類],"充当",tbl_ledger[元状態],H$1)-SUMIFS(tbl_ledger[数量],tbl_ledger[ロットID],$B183,tbl_ledger[元状態],H$1))</f>
        <v/>
      </c>
      <c r="I183" s="4" t="str">
        <f>IF($B183="","",SUMIFS(tbl_ledger[数量],tbl_ledger[ロットID],$B183,tbl_ledger[イベント種類],"不良発生")+SUMIFS(tbl_ledger[数量],tbl_ledger[充当先ロットID],$B183,tbl_ledger[イベント種類],"充当",tbl_ledger[元状態],I$1)-SUMIFS(tbl_ledger[数量],tbl_ledger[ロットID],$B183,tbl_ledger[元状態],I$1))</f>
        <v/>
      </c>
      <c r="J183" s="4" t="str">
        <f t="shared" si="5"/>
        <v/>
      </c>
    </row>
    <row r="184" spans="1:10" ht="15" x14ac:dyDescent="0.25">
      <c r="A184" s="4" t="str">
        <f t="shared" si="4"/>
        <v/>
      </c>
      <c r="B184" s="4" t="str">
        <f>IFERROR(IF(COUNTIF($B$1:$B183,INDEX(tbl_plan[ロットID],ROW()-1))&gt;0,"",INDEX(tbl_plan[ロットID],ROW()-1)),"")</f>
        <v/>
      </c>
      <c r="C184" s="4" t="str">
        <f>IF($B184="","",INDEX(tbl_plan[品番],ROW()-1))</f>
        <v/>
      </c>
      <c r="D184" s="4" t="str">
        <f>IF($B184="","",SUMIFS(tbl_ledger[数量],tbl_ledger[ロットID],$B184,tbl_ledger[イベント種類],"搬入")+SUMIFS(tbl_ledger[数量],tbl_ledger[充当先ロットID],$B184,tbl_ledger[イベント種類],"充当",tbl_ledger[元状態],D$1)-SUMIFS(tbl_ledger[数量],tbl_ledger[ロットID],$B184,tbl_ledger[元状態],D$1))</f>
        <v/>
      </c>
      <c r="E184" s="4" t="str">
        <f>IF($B184="","",SUMIFS(tbl_ledger[数量],tbl_ledger[ロットID],$B184,tbl_ledger[イベント種類],"アニール完了")+SUMIFS(tbl_ledger[数量],tbl_ledger[充当先ロットID],$B184,tbl_ledger[イベント種類],"充当",tbl_ledger[元状態],E$1)-SUMIFS(tbl_ledger[数量],tbl_ledger[ロットID],$B184,tbl_ledger[元状態],E$1))</f>
        <v/>
      </c>
      <c r="F184" s="4" t="str">
        <f>IF($B184="","",SUMIFS(tbl_ledger[数量],tbl_ledger[ロットID],$B184,tbl_ledger[イベント種類],"アセンブリ完了")+SUMIFS(tbl_ledger[数量],tbl_ledger[充当先ロットID],$B184,tbl_ledger[イベント種類],"充当",tbl_ledger[元状態],F$1)-SUMIFS(tbl_ledger[数量],tbl_ledger[ロットID],$B184,tbl_ledger[元状態],F$1))</f>
        <v/>
      </c>
      <c r="G184" s="4" t="str">
        <f>IF($B184="","",SUMIFS(tbl_ledger[数量],tbl_ledger[ロットID],$B184,tbl_ledger[イベント種類],"梱包完了")+SUMIFS(tbl_ledger[数量],tbl_ledger[充当先ロットID],$B184,tbl_ledger[イベント種類],"充当",tbl_ledger[元状態],G$1)-SUMIFS(tbl_ledger[数量],tbl_ledger[ロットID],$B184,tbl_ledger[元状態],G$1))</f>
        <v/>
      </c>
      <c r="H184" s="4" t="str">
        <f>IF($B184="","",SUMIFS(tbl_ledger[数量],tbl_ledger[ロットID],$B184,tbl_ledger[イベント種類],"発送準備完了")+SUMIFS(tbl_ledger[数量],tbl_ledger[充当先ロットID],$B184,tbl_ledger[イベント種類],"充当",tbl_ledger[元状態],H$1)-SUMIFS(tbl_ledger[数量],tbl_ledger[ロットID],$B184,tbl_ledger[元状態],H$1))</f>
        <v/>
      </c>
      <c r="I184" s="4" t="str">
        <f>IF($B184="","",SUMIFS(tbl_ledger[数量],tbl_ledger[ロットID],$B184,tbl_ledger[イベント種類],"不良発生")+SUMIFS(tbl_ledger[数量],tbl_ledger[充当先ロットID],$B184,tbl_ledger[イベント種類],"充当",tbl_ledger[元状態],I$1)-SUMIFS(tbl_ledger[数量],tbl_ledger[ロットID],$B184,tbl_ledger[元状態],I$1))</f>
        <v/>
      </c>
      <c r="J184" s="4" t="str">
        <f t="shared" si="5"/>
        <v/>
      </c>
    </row>
    <row r="185" spans="1:10" ht="15" x14ac:dyDescent="0.25">
      <c r="A185" s="4" t="str">
        <f t="shared" si="4"/>
        <v/>
      </c>
      <c r="B185" s="4" t="str">
        <f>IFERROR(IF(COUNTIF($B$1:$B184,INDEX(tbl_plan[ロットID],ROW()-1))&gt;0,"",INDEX(tbl_plan[ロットID],ROW()-1)),"")</f>
        <v/>
      </c>
      <c r="C185" s="4" t="str">
        <f>IF($B185="","",INDEX(tbl_plan[品番],ROW()-1))</f>
        <v/>
      </c>
      <c r="D185" s="4" t="str">
        <f>IF($B185="","",SUMIFS(tbl_ledger[数量],tbl_ledger[ロットID],$B185,tbl_ledger[イベント種類],"搬入")+SUMIFS(tbl_ledger[数量],tbl_ledger[充当先ロットID],$B185,tbl_ledger[イベント種類],"充当",tbl_ledger[元状態],D$1)-SUMIFS(tbl_ledger[数量],tbl_ledger[ロットID],$B185,tbl_ledger[元状態],D$1))</f>
        <v/>
      </c>
      <c r="E185" s="4" t="str">
        <f>IF($B185="","",SUMIFS(tbl_ledger[数量],tbl_ledger[ロットID],$B185,tbl_ledger[イベント種類],"アニール完了")+SUMIFS(tbl_ledger[数量],tbl_ledger[充当先ロットID],$B185,tbl_ledger[イベント種類],"充当",tbl_ledger[元状態],E$1)-SUMIFS(tbl_ledger[数量],tbl_ledger[ロットID],$B185,tbl_ledger[元状態],E$1))</f>
        <v/>
      </c>
      <c r="F185" s="4" t="str">
        <f>IF($B185="","",SUMIFS(tbl_ledger[数量],tbl_ledger[ロットID],$B185,tbl_ledger[イベント種類],"アセンブリ完了")+SUMIFS(tbl_ledger[数量],tbl_ledger[充当先ロットID],$B185,tbl_ledger[イベント種類],"充当",tbl_ledger[元状態],F$1)-SUMIFS(tbl_ledger[数量],tbl_ledger[ロットID],$B185,tbl_ledger[元状態],F$1))</f>
        <v/>
      </c>
      <c r="G185" s="4" t="str">
        <f>IF($B185="","",SUMIFS(tbl_ledger[数量],tbl_ledger[ロットID],$B185,tbl_ledger[イベント種類],"梱包完了")+SUMIFS(tbl_ledger[数量],tbl_ledger[充当先ロットID],$B185,tbl_ledger[イベント種類],"充当",tbl_ledger[元状態],G$1)-SUMIFS(tbl_ledger[数量],tbl_ledger[ロットID],$B185,tbl_ledger[元状態],G$1))</f>
        <v/>
      </c>
      <c r="H185" s="4" t="str">
        <f>IF($B185="","",SUMIFS(tbl_ledger[数量],tbl_ledger[ロットID],$B185,tbl_ledger[イベント種類],"発送準備完了")+SUMIFS(tbl_ledger[数量],tbl_ledger[充当先ロットID],$B185,tbl_ledger[イベント種類],"充当",tbl_ledger[元状態],H$1)-SUMIFS(tbl_ledger[数量],tbl_ledger[ロットID],$B185,tbl_ledger[元状態],H$1))</f>
        <v/>
      </c>
      <c r="I185" s="4" t="str">
        <f>IF($B185="","",SUMIFS(tbl_ledger[数量],tbl_ledger[ロットID],$B185,tbl_ledger[イベント種類],"不良発生")+SUMIFS(tbl_ledger[数量],tbl_ledger[充当先ロットID],$B185,tbl_ledger[イベント種類],"充当",tbl_ledger[元状態],I$1)-SUMIFS(tbl_ledger[数量],tbl_ledger[ロットID],$B185,tbl_ledger[元状態],I$1))</f>
        <v/>
      </c>
      <c r="J185" s="4" t="str">
        <f t="shared" si="5"/>
        <v/>
      </c>
    </row>
    <row r="186" spans="1:10" ht="15" x14ac:dyDescent="0.25">
      <c r="A186" s="4" t="str">
        <f t="shared" si="4"/>
        <v/>
      </c>
      <c r="B186" s="4" t="str">
        <f>IFERROR(IF(COUNTIF($B$1:$B185,INDEX(tbl_plan[ロットID],ROW()-1))&gt;0,"",INDEX(tbl_plan[ロットID],ROW()-1)),"")</f>
        <v/>
      </c>
      <c r="C186" s="4" t="str">
        <f>IF($B186="","",INDEX(tbl_plan[品番],ROW()-1))</f>
        <v/>
      </c>
      <c r="D186" s="4" t="str">
        <f>IF($B186="","",SUMIFS(tbl_ledger[数量],tbl_ledger[ロットID],$B186,tbl_ledger[イベント種類],"搬入")+SUMIFS(tbl_ledger[数量],tbl_ledger[充当先ロットID],$B186,tbl_ledger[イベント種類],"充当",tbl_ledger[元状態],D$1)-SUMIFS(tbl_ledger[数量],tbl_ledger[ロットID],$B186,tbl_ledger[元状態],D$1))</f>
        <v/>
      </c>
      <c r="E186" s="4" t="str">
        <f>IF($B186="","",SUMIFS(tbl_ledger[数量],tbl_ledger[ロットID],$B186,tbl_ledger[イベント種類],"アニール完了")+SUMIFS(tbl_ledger[数量],tbl_ledger[充当先ロットID],$B186,tbl_ledger[イベント種類],"充当",tbl_ledger[元状態],E$1)-SUMIFS(tbl_ledger[数量],tbl_ledger[ロットID],$B186,tbl_ledger[元状態],E$1))</f>
        <v/>
      </c>
      <c r="F186" s="4" t="str">
        <f>IF($B186="","",SUMIFS(tbl_ledger[数量],tbl_ledger[ロットID],$B186,tbl_ledger[イベント種類],"アセンブリ完了")+SUMIFS(tbl_ledger[数量],tbl_ledger[充当先ロットID],$B186,tbl_ledger[イベント種類],"充当",tbl_ledger[元状態],F$1)-SUMIFS(tbl_ledger[数量],tbl_ledger[ロットID],$B186,tbl_ledger[元状態],F$1))</f>
        <v/>
      </c>
      <c r="G186" s="4" t="str">
        <f>IF($B186="","",SUMIFS(tbl_ledger[数量],tbl_ledger[ロットID],$B186,tbl_ledger[イベント種類],"梱包完了")+SUMIFS(tbl_ledger[数量],tbl_ledger[充当先ロットID],$B186,tbl_ledger[イベント種類],"充当",tbl_ledger[元状態],G$1)-SUMIFS(tbl_ledger[数量],tbl_ledger[ロットID],$B186,tbl_ledger[元状態],G$1))</f>
        <v/>
      </c>
      <c r="H186" s="4" t="str">
        <f>IF($B186="","",SUMIFS(tbl_ledger[数量],tbl_ledger[ロットID],$B186,tbl_ledger[イベント種類],"発送準備完了")+SUMIFS(tbl_ledger[数量],tbl_ledger[充当先ロットID],$B186,tbl_ledger[イベント種類],"充当",tbl_ledger[元状態],H$1)-SUMIFS(tbl_ledger[数量],tbl_ledger[ロットID],$B186,tbl_ledger[元状態],H$1))</f>
        <v/>
      </c>
      <c r="I186" s="4" t="str">
        <f>IF($B186="","",SUMIFS(tbl_ledger[数量],tbl_ledger[ロットID],$B186,tbl_ledger[イベント種類],"不良発生")+SUMIFS(tbl_ledger[数量],tbl_ledger[充当先ロットID],$B186,tbl_ledger[イベント種類],"充当",tbl_ledger[元状態],I$1)-SUMIFS(tbl_ledger[数量],tbl_ledger[ロットID],$B186,tbl_ledger[元状態],I$1))</f>
        <v/>
      </c>
      <c r="J186" s="4" t="str">
        <f t="shared" si="5"/>
        <v/>
      </c>
    </row>
    <row r="187" spans="1:10" ht="15" x14ac:dyDescent="0.25">
      <c r="A187" s="4" t="str">
        <f t="shared" si="4"/>
        <v/>
      </c>
      <c r="B187" s="4" t="str">
        <f>IFERROR(IF(COUNTIF($B$1:$B186,INDEX(tbl_plan[ロットID],ROW()-1))&gt;0,"",INDEX(tbl_plan[ロットID],ROW()-1)),"")</f>
        <v/>
      </c>
      <c r="C187" s="4" t="str">
        <f>IF($B187="","",INDEX(tbl_plan[品番],ROW()-1))</f>
        <v/>
      </c>
      <c r="D187" s="4" t="str">
        <f>IF($B187="","",SUMIFS(tbl_ledger[数量],tbl_ledger[ロットID],$B187,tbl_ledger[イベント種類],"搬入")+SUMIFS(tbl_ledger[数量],tbl_ledger[充当先ロットID],$B187,tbl_ledger[イベント種類],"充当",tbl_ledger[元状態],D$1)-SUMIFS(tbl_ledger[数量],tbl_ledger[ロットID],$B187,tbl_ledger[元状態],D$1))</f>
        <v/>
      </c>
      <c r="E187" s="4" t="str">
        <f>IF($B187="","",SUMIFS(tbl_ledger[数量],tbl_ledger[ロットID],$B187,tbl_ledger[イベント種類],"アニール完了")+SUMIFS(tbl_ledger[数量],tbl_ledger[充当先ロットID],$B187,tbl_ledger[イベント種類],"充当",tbl_ledger[元状態],E$1)-SUMIFS(tbl_ledger[数量],tbl_ledger[ロットID],$B187,tbl_ledger[元状態],E$1))</f>
        <v/>
      </c>
      <c r="F187" s="4" t="str">
        <f>IF($B187="","",SUMIFS(tbl_ledger[数量],tbl_ledger[ロットID],$B187,tbl_ledger[イベント種類],"アセンブリ完了")+SUMIFS(tbl_ledger[数量],tbl_ledger[充当先ロットID],$B187,tbl_ledger[イベント種類],"充当",tbl_ledger[元状態],F$1)-SUMIFS(tbl_ledger[数量],tbl_ledger[ロットID],$B187,tbl_ledger[元状態],F$1))</f>
        <v/>
      </c>
      <c r="G187" s="4" t="str">
        <f>IF($B187="","",SUMIFS(tbl_ledger[数量],tbl_ledger[ロットID],$B187,tbl_ledger[イベント種類],"梱包完了")+SUMIFS(tbl_ledger[数量],tbl_ledger[充当先ロットID],$B187,tbl_ledger[イベント種類],"充当",tbl_ledger[元状態],G$1)-SUMIFS(tbl_ledger[数量],tbl_ledger[ロットID],$B187,tbl_ledger[元状態],G$1))</f>
        <v/>
      </c>
      <c r="H187" s="4" t="str">
        <f>IF($B187="","",SUMIFS(tbl_ledger[数量],tbl_ledger[ロットID],$B187,tbl_ledger[イベント種類],"発送準備完了")+SUMIFS(tbl_ledger[数量],tbl_ledger[充当先ロットID],$B187,tbl_ledger[イベント種類],"充当",tbl_ledger[元状態],H$1)-SUMIFS(tbl_ledger[数量],tbl_ledger[ロットID],$B187,tbl_ledger[元状態],H$1))</f>
        <v/>
      </c>
      <c r="I187" s="4" t="str">
        <f>IF($B187="","",SUMIFS(tbl_ledger[数量],tbl_ledger[ロットID],$B187,tbl_ledger[イベント種類],"不良発生")+SUMIFS(tbl_ledger[数量],tbl_ledger[充当先ロットID],$B187,tbl_ledger[イベント種類],"充当",tbl_ledger[元状態],I$1)-SUMIFS(tbl_ledger[数量],tbl_ledger[ロットID],$B187,tbl_ledger[元状態],I$1))</f>
        <v/>
      </c>
      <c r="J187" s="4" t="str">
        <f t="shared" si="5"/>
        <v/>
      </c>
    </row>
    <row r="188" spans="1:10" ht="15" x14ac:dyDescent="0.25">
      <c r="A188" s="4" t="str">
        <f t="shared" si="4"/>
        <v/>
      </c>
      <c r="B188" s="4" t="str">
        <f>IFERROR(IF(COUNTIF($B$1:$B187,INDEX(tbl_plan[ロットID],ROW()-1))&gt;0,"",INDEX(tbl_plan[ロットID],ROW()-1)),"")</f>
        <v/>
      </c>
      <c r="C188" s="4" t="str">
        <f>IF($B188="","",INDEX(tbl_plan[品番],ROW()-1))</f>
        <v/>
      </c>
      <c r="D188" s="4" t="str">
        <f>IF($B188="","",SUMIFS(tbl_ledger[数量],tbl_ledger[ロットID],$B188,tbl_ledger[イベント種類],"搬入")+SUMIFS(tbl_ledger[数量],tbl_ledger[充当先ロットID],$B188,tbl_ledger[イベント種類],"充当",tbl_ledger[元状態],D$1)-SUMIFS(tbl_ledger[数量],tbl_ledger[ロットID],$B188,tbl_ledger[元状態],D$1))</f>
        <v/>
      </c>
      <c r="E188" s="4" t="str">
        <f>IF($B188="","",SUMIFS(tbl_ledger[数量],tbl_ledger[ロットID],$B188,tbl_ledger[イベント種類],"アニール完了")+SUMIFS(tbl_ledger[数量],tbl_ledger[充当先ロットID],$B188,tbl_ledger[イベント種類],"充当",tbl_ledger[元状態],E$1)-SUMIFS(tbl_ledger[数量],tbl_ledger[ロットID],$B188,tbl_ledger[元状態],E$1))</f>
        <v/>
      </c>
      <c r="F188" s="4" t="str">
        <f>IF($B188="","",SUMIFS(tbl_ledger[数量],tbl_ledger[ロットID],$B188,tbl_ledger[イベント種類],"アセンブリ完了")+SUMIFS(tbl_ledger[数量],tbl_ledger[充当先ロットID],$B188,tbl_ledger[イベント種類],"充当",tbl_ledger[元状態],F$1)-SUMIFS(tbl_ledger[数量],tbl_ledger[ロットID],$B188,tbl_ledger[元状態],F$1))</f>
        <v/>
      </c>
      <c r="G188" s="4" t="str">
        <f>IF($B188="","",SUMIFS(tbl_ledger[数量],tbl_ledger[ロットID],$B188,tbl_ledger[イベント種類],"梱包完了")+SUMIFS(tbl_ledger[数量],tbl_ledger[充当先ロットID],$B188,tbl_ledger[イベント種類],"充当",tbl_ledger[元状態],G$1)-SUMIFS(tbl_ledger[数量],tbl_ledger[ロットID],$B188,tbl_ledger[元状態],G$1))</f>
        <v/>
      </c>
      <c r="H188" s="4" t="str">
        <f>IF($B188="","",SUMIFS(tbl_ledger[数量],tbl_ledger[ロットID],$B188,tbl_ledger[イベント種類],"発送準備完了")+SUMIFS(tbl_ledger[数量],tbl_ledger[充当先ロットID],$B188,tbl_ledger[イベント種類],"充当",tbl_ledger[元状態],H$1)-SUMIFS(tbl_ledger[数量],tbl_ledger[ロットID],$B188,tbl_ledger[元状態],H$1))</f>
        <v/>
      </c>
      <c r="I188" s="4" t="str">
        <f>IF($B188="","",SUMIFS(tbl_ledger[数量],tbl_ledger[ロットID],$B188,tbl_ledger[イベント種類],"不良発生")+SUMIFS(tbl_ledger[数量],tbl_ledger[充当先ロットID],$B188,tbl_ledger[イベント種類],"充当",tbl_ledger[元状態],I$1)-SUMIFS(tbl_ledger[数量],tbl_ledger[ロットID],$B188,tbl_ledger[元状態],I$1))</f>
        <v/>
      </c>
      <c r="J188" s="4" t="str">
        <f t="shared" si="5"/>
        <v/>
      </c>
    </row>
    <row r="189" spans="1:10" ht="15" x14ac:dyDescent="0.25">
      <c r="A189" s="4" t="str">
        <f t="shared" si="4"/>
        <v/>
      </c>
      <c r="B189" s="4" t="str">
        <f>IFERROR(IF(COUNTIF($B$1:$B188,INDEX(tbl_plan[ロットID],ROW()-1))&gt;0,"",INDEX(tbl_plan[ロットID],ROW()-1)),"")</f>
        <v/>
      </c>
      <c r="C189" s="4" t="str">
        <f>IF($B189="","",INDEX(tbl_plan[品番],ROW()-1))</f>
        <v/>
      </c>
      <c r="D189" s="4" t="str">
        <f>IF($B189="","",SUMIFS(tbl_ledger[数量],tbl_ledger[ロットID],$B189,tbl_ledger[イベント種類],"搬入")+SUMIFS(tbl_ledger[数量],tbl_ledger[充当先ロットID],$B189,tbl_ledger[イベント種類],"充当",tbl_ledger[元状態],D$1)-SUMIFS(tbl_ledger[数量],tbl_ledger[ロットID],$B189,tbl_ledger[元状態],D$1))</f>
        <v/>
      </c>
      <c r="E189" s="4" t="str">
        <f>IF($B189="","",SUMIFS(tbl_ledger[数量],tbl_ledger[ロットID],$B189,tbl_ledger[イベント種類],"アニール完了")+SUMIFS(tbl_ledger[数量],tbl_ledger[充当先ロットID],$B189,tbl_ledger[イベント種類],"充当",tbl_ledger[元状態],E$1)-SUMIFS(tbl_ledger[数量],tbl_ledger[ロットID],$B189,tbl_ledger[元状態],E$1))</f>
        <v/>
      </c>
      <c r="F189" s="4" t="str">
        <f>IF($B189="","",SUMIFS(tbl_ledger[数量],tbl_ledger[ロットID],$B189,tbl_ledger[イベント種類],"アセンブリ完了")+SUMIFS(tbl_ledger[数量],tbl_ledger[充当先ロットID],$B189,tbl_ledger[イベント種類],"充当",tbl_ledger[元状態],F$1)-SUMIFS(tbl_ledger[数量],tbl_ledger[ロットID],$B189,tbl_ledger[元状態],F$1))</f>
        <v/>
      </c>
      <c r="G189" s="4" t="str">
        <f>IF($B189="","",SUMIFS(tbl_ledger[数量],tbl_ledger[ロットID],$B189,tbl_ledger[イベント種類],"梱包完了")+SUMIFS(tbl_ledger[数量],tbl_ledger[充当先ロットID],$B189,tbl_ledger[イベント種類],"充当",tbl_ledger[元状態],G$1)-SUMIFS(tbl_ledger[数量],tbl_ledger[ロットID],$B189,tbl_ledger[元状態],G$1))</f>
        <v/>
      </c>
      <c r="H189" s="4" t="str">
        <f>IF($B189="","",SUMIFS(tbl_ledger[数量],tbl_ledger[ロットID],$B189,tbl_ledger[イベント種類],"発送準備完了")+SUMIFS(tbl_ledger[数量],tbl_ledger[充当先ロットID],$B189,tbl_ledger[イベント種類],"充当",tbl_ledger[元状態],H$1)-SUMIFS(tbl_ledger[数量],tbl_ledger[ロットID],$B189,tbl_ledger[元状態],H$1))</f>
        <v/>
      </c>
      <c r="I189" s="4" t="str">
        <f>IF($B189="","",SUMIFS(tbl_ledger[数量],tbl_ledger[ロットID],$B189,tbl_ledger[イベント種類],"不良発生")+SUMIFS(tbl_ledger[数量],tbl_ledger[充当先ロットID],$B189,tbl_ledger[イベント種類],"充当",tbl_ledger[元状態],I$1)-SUMIFS(tbl_ledger[数量],tbl_ledger[ロットID],$B189,tbl_ledger[元状態],I$1))</f>
        <v/>
      </c>
      <c r="J189" s="4" t="str">
        <f t="shared" si="5"/>
        <v/>
      </c>
    </row>
    <row r="190" spans="1:10" ht="15" x14ac:dyDescent="0.25">
      <c r="A190" s="4" t="str">
        <f t="shared" si="4"/>
        <v/>
      </c>
      <c r="B190" s="4" t="str">
        <f>IFERROR(IF(COUNTIF($B$1:$B189,INDEX(tbl_plan[ロットID],ROW()-1))&gt;0,"",INDEX(tbl_plan[ロットID],ROW()-1)),"")</f>
        <v/>
      </c>
      <c r="C190" s="4" t="str">
        <f>IF($B190="","",INDEX(tbl_plan[品番],ROW()-1))</f>
        <v/>
      </c>
      <c r="D190" s="4" t="str">
        <f>IF($B190="","",SUMIFS(tbl_ledger[数量],tbl_ledger[ロットID],$B190,tbl_ledger[イベント種類],"搬入")+SUMIFS(tbl_ledger[数量],tbl_ledger[充当先ロットID],$B190,tbl_ledger[イベント種類],"充当",tbl_ledger[元状態],D$1)-SUMIFS(tbl_ledger[数量],tbl_ledger[ロットID],$B190,tbl_ledger[元状態],D$1))</f>
        <v/>
      </c>
      <c r="E190" s="4" t="str">
        <f>IF($B190="","",SUMIFS(tbl_ledger[数量],tbl_ledger[ロットID],$B190,tbl_ledger[イベント種類],"アニール完了")+SUMIFS(tbl_ledger[数量],tbl_ledger[充当先ロットID],$B190,tbl_ledger[イベント種類],"充当",tbl_ledger[元状態],E$1)-SUMIFS(tbl_ledger[数量],tbl_ledger[ロットID],$B190,tbl_ledger[元状態],E$1))</f>
        <v/>
      </c>
      <c r="F190" s="4" t="str">
        <f>IF($B190="","",SUMIFS(tbl_ledger[数量],tbl_ledger[ロットID],$B190,tbl_ledger[イベント種類],"アセンブリ完了")+SUMIFS(tbl_ledger[数量],tbl_ledger[充当先ロットID],$B190,tbl_ledger[イベント種類],"充当",tbl_ledger[元状態],F$1)-SUMIFS(tbl_ledger[数量],tbl_ledger[ロットID],$B190,tbl_ledger[元状態],F$1))</f>
        <v/>
      </c>
      <c r="G190" s="4" t="str">
        <f>IF($B190="","",SUMIFS(tbl_ledger[数量],tbl_ledger[ロットID],$B190,tbl_ledger[イベント種類],"梱包完了")+SUMIFS(tbl_ledger[数量],tbl_ledger[充当先ロットID],$B190,tbl_ledger[イベント種類],"充当",tbl_ledger[元状態],G$1)-SUMIFS(tbl_ledger[数量],tbl_ledger[ロットID],$B190,tbl_ledger[元状態],G$1))</f>
        <v/>
      </c>
      <c r="H190" s="4" t="str">
        <f>IF($B190="","",SUMIFS(tbl_ledger[数量],tbl_ledger[ロットID],$B190,tbl_ledger[イベント種類],"発送準備完了")+SUMIFS(tbl_ledger[数量],tbl_ledger[充当先ロットID],$B190,tbl_ledger[イベント種類],"充当",tbl_ledger[元状態],H$1)-SUMIFS(tbl_ledger[数量],tbl_ledger[ロットID],$B190,tbl_ledger[元状態],H$1))</f>
        <v/>
      </c>
      <c r="I190" s="4" t="str">
        <f>IF($B190="","",SUMIFS(tbl_ledger[数量],tbl_ledger[ロットID],$B190,tbl_ledger[イベント種類],"不良発生")+SUMIFS(tbl_ledger[数量],tbl_ledger[充当先ロットID],$B190,tbl_ledger[イベント種類],"充当",tbl_ledger[元状態],I$1)-SUMIFS(tbl_ledger[数量],tbl_ledger[ロットID],$B190,tbl_ledger[元状態],I$1))</f>
        <v/>
      </c>
      <c r="J190" s="4" t="str">
        <f t="shared" si="5"/>
        <v/>
      </c>
    </row>
    <row r="191" spans="1:10" ht="15" x14ac:dyDescent="0.25">
      <c r="A191" s="4" t="str">
        <f t="shared" si="4"/>
        <v/>
      </c>
      <c r="B191" s="4" t="str">
        <f>IFERROR(IF(COUNTIF($B$1:$B190,INDEX(tbl_plan[ロットID],ROW()-1))&gt;0,"",INDEX(tbl_plan[ロットID],ROW()-1)),"")</f>
        <v/>
      </c>
      <c r="C191" s="4" t="str">
        <f>IF($B191="","",INDEX(tbl_plan[品番],ROW()-1))</f>
        <v/>
      </c>
      <c r="D191" s="4" t="str">
        <f>IF($B191="","",SUMIFS(tbl_ledger[数量],tbl_ledger[ロットID],$B191,tbl_ledger[イベント種類],"搬入")+SUMIFS(tbl_ledger[数量],tbl_ledger[充当先ロットID],$B191,tbl_ledger[イベント種類],"充当",tbl_ledger[元状態],D$1)-SUMIFS(tbl_ledger[数量],tbl_ledger[ロットID],$B191,tbl_ledger[元状態],D$1))</f>
        <v/>
      </c>
      <c r="E191" s="4" t="str">
        <f>IF($B191="","",SUMIFS(tbl_ledger[数量],tbl_ledger[ロットID],$B191,tbl_ledger[イベント種類],"アニール完了")+SUMIFS(tbl_ledger[数量],tbl_ledger[充当先ロットID],$B191,tbl_ledger[イベント種類],"充当",tbl_ledger[元状態],E$1)-SUMIFS(tbl_ledger[数量],tbl_ledger[ロットID],$B191,tbl_ledger[元状態],E$1))</f>
        <v/>
      </c>
      <c r="F191" s="4" t="str">
        <f>IF($B191="","",SUMIFS(tbl_ledger[数量],tbl_ledger[ロットID],$B191,tbl_ledger[イベント種類],"アセンブリ完了")+SUMIFS(tbl_ledger[数量],tbl_ledger[充当先ロットID],$B191,tbl_ledger[イベント種類],"充当",tbl_ledger[元状態],F$1)-SUMIFS(tbl_ledger[数量],tbl_ledger[ロットID],$B191,tbl_ledger[元状態],F$1))</f>
        <v/>
      </c>
      <c r="G191" s="4" t="str">
        <f>IF($B191="","",SUMIFS(tbl_ledger[数量],tbl_ledger[ロットID],$B191,tbl_ledger[イベント種類],"梱包完了")+SUMIFS(tbl_ledger[数量],tbl_ledger[充当先ロットID],$B191,tbl_ledger[イベント種類],"充当",tbl_ledger[元状態],G$1)-SUMIFS(tbl_ledger[数量],tbl_ledger[ロットID],$B191,tbl_ledger[元状態],G$1))</f>
        <v/>
      </c>
      <c r="H191" s="4" t="str">
        <f>IF($B191="","",SUMIFS(tbl_ledger[数量],tbl_ledger[ロットID],$B191,tbl_ledger[イベント種類],"発送準備完了")+SUMIFS(tbl_ledger[数量],tbl_ledger[充当先ロットID],$B191,tbl_ledger[イベント種類],"充当",tbl_ledger[元状態],H$1)-SUMIFS(tbl_ledger[数量],tbl_ledger[ロットID],$B191,tbl_ledger[元状態],H$1))</f>
        <v/>
      </c>
      <c r="I191" s="4" t="str">
        <f>IF($B191="","",SUMIFS(tbl_ledger[数量],tbl_ledger[ロットID],$B191,tbl_ledger[イベント種類],"不良発生")+SUMIFS(tbl_ledger[数量],tbl_ledger[充当先ロットID],$B191,tbl_ledger[イベント種類],"充当",tbl_ledger[元状態],I$1)-SUMIFS(tbl_ledger[数量],tbl_ledger[ロットID],$B191,tbl_ledger[元状態],I$1))</f>
        <v/>
      </c>
      <c r="J191" s="4" t="str">
        <f t="shared" si="5"/>
        <v/>
      </c>
    </row>
    <row r="192" spans="1:10" ht="15" x14ac:dyDescent="0.25">
      <c r="A192" s="4" t="str">
        <f t="shared" si="4"/>
        <v/>
      </c>
      <c r="B192" s="4" t="str">
        <f>IFERROR(IF(COUNTIF($B$1:$B191,INDEX(tbl_plan[ロットID],ROW()-1))&gt;0,"",INDEX(tbl_plan[ロットID],ROW()-1)),"")</f>
        <v/>
      </c>
      <c r="C192" s="4" t="str">
        <f>IF($B192="","",INDEX(tbl_plan[品番],ROW()-1))</f>
        <v/>
      </c>
      <c r="D192" s="4" t="str">
        <f>IF($B192="","",SUMIFS(tbl_ledger[数量],tbl_ledger[ロットID],$B192,tbl_ledger[イベント種類],"搬入")+SUMIFS(tbl_ledger[数量],tbl_ledger[充当先ロットID],$B192,tbl_ledger[イベント種類],"充当",tbl_ledger[元状態],D$1)-SUMIFS(tbl_ledger[数量],tbl_ledger[ロットID],$B192,tbl_ledger[元状態],D$1))</f>
        <v/>
      </c>
      <c r="E192" s="4" t="str">
        <f>IF($B192="","",SUMIFS(tbl_ledger[数量],tbl_ledger[ロットID],$B192,tbl_ledger[イベント種類],"アニール完了")+SUMIFS(tbl_ledger[数量],tbl_ledger[充当先ロットID],$B192,tbl_ledger[イベント種類],"充当",tbl_ledger[元状態],E$1)-SUMIFS(tbl_ledger[数量],tbl_ledger[ロットID],$B192,tbl_ledger[元状態],E$1))</f>
        <v/>
      </c>
      <c r="F192" s="4" t="str">
        <f>IF($B192="","",SUMIFS(tbl_ledger[数量],tbl_ledger[ロットID],$B192,tbl_ledger[イベント種類],"アセンブリ完了")+SUMIFS(tbl_ledger[数量],tbl_ledger[充当先ロットID],$B192,tbl_ledger[イベント種類],"充当",tbl_ledger[元状態],F$1)-SUMIFS(tbl_ledger[数量],tbl_ledger[ロットID],$B192,tbl_ledger[元状態],F$1))</f>
        <v/>
      </c>
      <c r="G192" s="4" t="str">
        <f>IF($B192="","",SUMIFS(tbl_ledger[数量],tbl_ledger[ロットID],$B192,tbl_ledger[イベント種類],"梱包完了")+SUMIFS(tbl_ledger[数量],tbl_ledger[充当先ロットID],$B192,tbl_ledger[イベント種類],"充当",tbl_ledger[元状態],G$1)-SUMIFS(tbl_ledger[数量],tbl_ledger[ロットID],$B192,tbl_ledger[元状態],G$1))</f>
        <v/>
      </c>
      <c r="H192" s="4" t="str">
        <f>IF($B192="","",SUMIFS(tbl_ledger[数量],tbl_ledger[ロットID],$B192,tbl_ledger[イベント種類],"発送準備完了")+SUMIFS(tbl_ledger[数量],tbl_ledger[充当先ロットID],$B192,tbl_ledger[イベント種類],"充当",tbl_ledger[元状態],H$1)-SUMIFS(tbl_ledger[数量],tbl_ledger[ロットID],$B192,tbl_ledger[元状態],H$1))</f>
        <v/>
      </c>
      <c r="I192" s="4" t="str">
        <f>IF($B192="","",SUMIFS(tbl_ledger[数量],tbl_ledger[ロットID],$B192,tbl_ledger[イベント種類],"不良発生")+SUMIFS(tbl_ledger[数量],tbl_ledger[充当先ロットID],$B192,tbl_ledger[イベント種類],"充当",tbl_ledger[元状態],I$1)-SUMIFS(tbl_ledger[数量],tbl_ledger[ロットID],$B192,tbl_ledger[元状態],I$1))</f>
        <v/>
      </c>
      <c r="J192" s="4" t="str">
        <f t="shared" si="5"/>
        <v/>
      </c>
    </row>
    <row r="193" spans="1:10" ht="15" x14ac:dyDescent="0.25">
      <c r="A193" s="4" t="str">
        <f t="shared" si="4"/>
        <v/>
      </c>
      <c r="B193" s="4" t="str">
        <f>IFERROR(IF(COUNTIF($B$1:$B192,INDEX(tbl_plan[ロットID],ROW()-1))&gt;0,"",INDEX(tbl_plan[ロットID],ROW()-1)),"")</f>
        <v/>
      </c>
      <c r="C193" s="4" t="str">
        <f>IF($B193="","",INDEX(tbl_plan[品番],ROW()-1))</f>
        <v/>
      </c>
      <c r="D193" s="4" t="str">
        <f>IF($B193="","",SUMIFS(tbl_ledger[数量],tbl_ledger[ロットID],$B193,tbl_ledger[イベント種類],"搬入")+SUMIFS(tbl_ledger[数量],tbl_ledger[充当先ロットID],$B193,tbl_ledger[イベント種類],"充当",tbl_ledger[元状態],D$1)-SUMIFS(tbl_ledger[数量],tbl_ledger[ロットID],$B193,tbl_ledger[元状態],D$1))</f>
        <v/>
      </c>
      <c r="E193" s="4" t="str">
        <f>IF($B193="","",SUMIFS(tbl_ledger[数量],tbl_ledger[ロットID],$B193,tbl_ledger[イベント種類],"アニール完了")+SUMIFS(tbl_ledger[数量],tbl_ledger[充当先ロットID],$B193,tbl_ledger[イベント種類],"充当",tbl_ledger[元状態],E$1)-SUMIFS(tbl_ledger[数量],tbl_ledger[ロットID],$B193,tbl_ledger[元状態],E$1))</f>
        <v/>
      </c>
      <c r="F193" s="4" t="str">
        <f>IF($B193="","",SUMIFS(tbl_ledger[数量],tbl_ledger[ロットID],$B193,tbl_ledger[イベント種類],"アセンブリ完了")+SUMIFS(tbl_ledger[数量],tbl_ledger[充当先ロットID],$B193,tbl_ledger[イベント種類],"充当",tbl_ledger[元状態],F$1)-SUMIFS(tbl_ledger[数量],tbl_ledger[ロットID],$B193,tbl_ledger[元状態],F$1))</f>
        <v/>
      </c>
      <c r="G193" s="4" t="str">
        <f>IF($B193="","",SUMIFS(tbl_ledger[数量],tbl_ledger[ロットID],$B193,tbl_ledger[イベント種類],"梱包完了")+SUMIFS(tbl_ledger[数量],tbl_ledger[充当先ロットID],$B193,tbl_ledger[イベント種類],"充当",tbl_ledger[元状態],G$1)-SUMIFS(tbl_ledger[数量],tbl_ledger[ロットID],$B193,tbl_ledger[元状態],G$1))</f>
        <v/>
      </c>
      <c r="H193" s="4" t="str">
        <f>IF($B193="","",SUMIFS(tbl_ledger[数量],tbl_ledger[ロットID],$B193,tbl_ledger[イベント種類],"発送準備完了")+SUMIFS(tbl_ledger[数量],tbl_ledger[充当先ロットID],$B193,tbl_ledger[イベント種類],"充当",tbl_ledger[元状態],H$1)-SUMIFS(tbl_ledger[数量],tbl_ledger[ロットID],$B193,tbl_ledger[元状態],H$1))</f>
        <v/>
      </c>
      <c r="I193" s="4" t="str">
        <f>IF($B193="","",SUMIFS(tbl_ledger[数量],tbl_ledger[ロットID],$B193,tbl_ledger[イベント種類],"不良発生")+SUMIFS(tbl_ledger[数量],tbl_ledger[充当先ロットID],$B193,tbl_ledger[イベント種類],"充当",tbl_ledger[元状態],I$1)-SUMIFS(tbl_ledger[数量],tbl_ledger[ロットID],$B193,tbl_ledger[元状態],I$1))</f>
        <v/>
      </c>
      <c r="J193" s="4" t="str">
        <f t="shared" si="5"/>
        <v/>
      </c>
    </row>
    <row r="194" spans="1:10" ht="15" x14ac:dyDescent="0.25">
      <c r="A194" s="4" t="str">
        <f t="shared" ref="A194:A257" si="6">IF($B194="","","ロット")</f>
        <v/>
      </c>
      <c r="B194" s="4" t="str">
        <f>IFERROR(IF(COUNTIF($B$1:$B193,INDEX(tbl_plan[ロットID],ROW()-1))&gt;0,"",INDEX(tbl_plan[ロットID],ROW()-1)),"")</f>
        <v/>
      </c>
      <c r="C194" s="4" t="str">
        <f>IF($B194="","",INDEX(tbl_plan[品番],ROW()-1))</f>
        <v/>
      </c>
      <c r="D194" s="4" t="str">
        <f>IF($B194="","",SUMIFS(tbl_ledger[数量],tbl_ledger[ロットID],$B194,tbl_ledger[イベント種類],"搬入")+SUMIFS(tbl_ledger[数量],tbl_ledger[充当先ロットID],$B194,tbl_ledger[イベント種類],"充当",tbl_ledger[元状態],D$1)-SUMIFS(tbl_ledger[数量],tbl_ledger[ロットID],$B194,tbl_ledger[元状態],D$1))</f>
        <v/>
      </c>
      <c r="E194" s="4" t="str">
        <f>IF($B194="","",SUMIFS(tbl_ledger[数量],tbl_ledger[ロットID],$B194,tbl_ledger[イベント種類],"アニール完了")+SUMIFS(tbl_ledger[数量],tbl_ledger[充当先ロットID],$B194,tbl_ledger[イベント種類],"充当",tbl_ledger[元状態],E$1)-SUMIFS(tbl_ledger[数量],tbl_ledger[ロットID],$B194,tbl_ledger[元状態],E$1))</f>
        <v/>
      </c>
      <c r="F194" s="4" t="str">
        <f>IF($B194="","",SUMIFS(tbl_ledger[数量],tbl_ledger[ロットID],$B194,tbl_ledger[イベント種類],"アセンブリ完了")+SUMIFS(tbl_ledger[数量],tbl_ledger[充当先ロットID],$B194,tbl_ledger[イベント種類],"充当",tbl_ledger[元状態],F$1)-SUMIFS(tbl_ledger[数量],tbl_ledger[ロットID],$B194,tbl_ledger[元状態],F$1))</f>
        <v/>
      </c>
      <c r="G194" s="4" t="str">
        <f>IF($B194="","",SUMIFS(tbl_ledger[数量],tbl_ledger[ロットID],$B194,tbl_ledger[イベント種類],"梱包完了")+SUMIFS(tbl_ledger[数量],tbl_ledger[充当先ロットID],$B194,tbl_ledger[イベント種類],"充当",tbl_ledger[元状態],G$1)-SUMIFS(tbl_ledger[数量],tbl_ledger[ロットID],$B194,tbl_ledger[元状態],G$1))</f>
        <v/>
      </c>
      <c r="H194" s="4" t="str">
        <f>IF($B194="","",SUMIFS(tbl_ledger[数量],tbl_ledger[ロットID],$B194,tbl_ledger[イベント種類],"発送準備完了")+SUMIFS(tbl_ledger[数量],tbl_ledger[充当先ロットID],$B194,tbl_ledger[イベント種類],"充当",tbl_ledger[元状態],H$1)-SUMIFS(tbl_ledger[数量],tbl_ledger[ロットID],$B194,tbl_ledger[元状態],H$1))</f>
        <v/>
      </c>
      <c r="I194" s="4" t="str">
        <f>IF($B194="","",SUMIFS(tbl_ledger[数量],tbl_ledger[ロットID],$B194,tbl_ledger[イベント種類],"不良発生")+SUMIFS(tbl_ledger[数量],tbl_ledger[充当先ロットID],$B194,tbl_ledger[イベント種類],"充当",tbl_ledger[元状態],I$1)-SUMIFS(tbl_ledger[数量],tbl_ledger[ロットID],$B194,tbl_ledger[元状態],I$1))</f>
        <v/>
      </c>
      <c r="J194" s="4" t="str">
        <f t="shared" ref="J194:J257" si="7">IF($B194="","",SUM(D194:I194))</f>
        <v/>
      </c>
    </row>
    <row r="195" spans="1:10" ht="15" x14ac:dyDescent="0.25">
      <c r="A195" s="4" t="str">
        <f t="shared" si="6"/>
        <v/>
      </c>
      <c r="B195" s="4" t="str">
        <f>IFERROR(IF(COUNTIF($B$1:$B194,INDEX(tbl_plan[ロットID],ROW()-1))&gt;0,"",INDEX(tbl_plan[ロットID],ROW()-1)),"")</f>
        <v/>
      </c>
      <c r="C195" s="4" t="str">
        <f>IF($B195="","",INDEX(tbl_plan[品番],ROW()-1))</f>
        <v/>
      </c>
      <c r="D195" s="4" t="str">
        <f>IF($B195="","",SUMIFS(tbl_ledger[数量],tbl_ledger[ロットID],$B195,tbl_ledger[イベント種類],"搬入")+SUMIFS(tbl_ledger[数量],tbl_ledger[充当先ロットID],$B195,tbl_ledger[イベント種類],"充当",tbl_ledger[元状態],D$1)-SUMIFS(tbl_ledger[数量],tbl_ledger[ロットID],$B195,tbl_ledger[元状態],D$1))</f>
        <v/>
      </c>
      <c r="E195" s="4" t="str">
        <f>IF($B195="","",SUMIFS(tbl_ledger[数量],tbl_ledger[ロットID],$B195,tbl_ledger[イベント種類],"アニール完了")+SUMIFS(tbl_ledger[数量],tbl_ledger[充当先ロットID],$B195,tbl_ledger[イベント種類],"充当",tbl_ledger[元状態],E$1)-SUMIFS(tbl_ledger[数量],tbl_ledger[ロットID],$B195,tbl_ledger[元状態],E$1))</f>
        <v/>
      </c>
      <c r="F195" s="4" t="str">
        <f>IF($B195="","",SUMIFS(tbl_ledger[数量],tbl_ledger[ロットID],$B195,tbl_ledger[イベント種類],"アセンブリ完了")+SUMIFS(tbl_ledger[数量],tbl_ledger[充当先ロットID],$B195,tbl_ledger[イベント種類],"充当",tbl_ledger[元状態],F$1)-SUMIFS(tbl_ledger[数量],tbl_ledger[ロットID],$B195,tbl_ledger[元状態],F$1))</f>
        <v/>
      </c>
      <c r="G195" s="4" t="str">
        <f>IF($B195="","",SUMIFS(tbl_ledger[数量],tbl_ledger[ロットID],$B195,tbl_ledger[イベント種類],"梱包完了")+SUMIFS(tbl_ledger[数量],tbl_ledger[充当先ロットID],$B195,tbl_ledger[イベント種類],"充当",tbl_ledger[元状態],G$1)-SUMIFS(tbl_ledger[数量],tbl_ledger[ロットID],$B195,tbl_ledger[元状態],G$1))</f>
        <v/>
      </c>
      <c r="H195" s="4" t="str">
        <f>IF($B195="","",SUMIFS(tbl_ledger[数量],tbl_ledger[ロットID],$B195,tbl_ledger[イベント種類],"発送準備完了")+SUMIFS(tbl_ledger[数量],tbl_ledger[充当先ロットID],$B195,tbl_ledger[イベント種類],"充当",tbl_ledger[元状態],H$1)-SUMIFS(tbl_ledger[数量],tbl_ledger[ロットID],$B195,tbl_ledger[元状態],H$1))</f>
        <v/>
      </c>
      <c r="I195" s="4" t="str">
        <f>IF($B195="","",SUMIFS(tbl_ledger[数量],tbl_ledger[ロットID],$B195,tbl_ledger[イベント種類],"不良発生")+SUMIFS(tbl_ledger[数量],tbl_ledger[充当先ロットID],$B195,tbl_ledger[イベント種類],"充当",tbl_ledger[元状態],I$1)-SUMIFS(tbl_ledger[数量],tbl_ledger[ロットID],$B195,tbl_ledger[元状態],I$1))</f>
        <v/>
      </c>
      <c r="J195" s="4" t="str">
        <f t="shared" si="7"/>
        <v/>
      </c>
    </row>
    <row r="196" spans="1:10" ht="15" x14ac:dyDescent="0.25">
      <c r="A196" s="4" t="str">
        <f t="shared" si="6"/>
        <v/>
      </c>
      <c r="B196" s="4" t="str">
        <f>IFERROR(IF(COUNTIF($B$1:$B195,INDEX(tbl_plan[ロットID],ROW()-1))&gt;0,"",INDEX(tbl_plan[ロットID],ROW()-1)),"")</f>
        <v/>
      </c>
      <c r="C196" s="4" t="str">
        <f>IF($B196="","",INDEX(tbl_plan[品番],ROW()-1))</f>
        <v/>
      </c>
      <c r="D196" s="4" t="str">
        <f>IF($B196="","",SUMIFS(tbl_ledger[数量],tbl_ledger[ロットID],$B196,tbl_ledger[イベント種類],"搬入")+SUMIFS(tbl_ledger[数量],tbl_ledger[充当先ロットID],$B196,tbl_ledger[イベント種類],"充当",tbl_ledger[元状態],D$1)-SUMIFS(tbl_ledger[数量],tbl_ledger[ロットID],$B196,tbl_ledger[元状態],D$1))</f>
        <v/>
      </c>
      <c r="E196" s="4" t="str">
        <f>IF($B196="","",SUMIFS(tbl_ledger[数量],tbl_ledger[ロットID],$B196,tbl_ledger[イベント種類],"アニール完了")+SUMIFS(tbl_ledger[数量],tbl_ledger[充当先ロットID],$B196,tbl_ledger[イベント種類],"充当",tbl_ledger[元状態],E$1)-SUMIFS(tbl_ledger[数量],tbl_ledger[ロットID],$B196,tbl_ledger[元状態],E$1))</f>
        <v/>
      </c>
      <c r="F196" s="4" t="str">
        <f>IF($B196="","",SUMIFS(tbl_ledger[数量],tbl_ledger[ロットID],$B196,tbl_ledger[イベント種類],"アセンブリ完了")+SUMIFS(tbl_ledger[数量],tbl_ledger[充当先ロットID],$B196,tbl_ledger[イベント種類],"充当",tbl_ledger[元状態],F$1)-SUMIFS(tbl_ledger[数量],tbl_ledger[ロットID],$B196,tbl_ledger[元状態],F$1))</f>
        <v/>
      </c>
      <c r="G196" s="4" t="str">
        <f>IF($B196="","",SUMIFS(tbl_ledger[数量],tbl_ledger[ロットID],$B196,tbl_ledger[イベント種類],"梱包完了")+SUMIFS(tbl_ledger[数量],tbl_ledger[充当先ロットID],$B196,tbl_ledger[イベント種類],"充当",tbl_ledger[元状態],G$1)-SUMIFS(tbl_ledger[数量],tbl_ledger[ロットID],$B196,tbl_ledger[元状態],G$1))</f>
        <v/>
      </c>
      <c r="H196" s="4" t="str">
        <f>IF($B196="","",SUMIFS(tbl_ledger[数量],tbl_ledger[ロットID],$B196,tbl_ledger[イベント種類],"発送準備完了")+SUMIFS(tbl_ledger[数量],tbl_ledger[充当先ロットID],$B196,tbl_ledger[イベント種類],"充当",tbl_ledger[元状態],H$1)-SUMIFS(tbl_ledger[数量],tbl_ledger[ロットID],$B196,tbl_ledger[元状態],H$1))</f>
        <v/>
      </c>
      <c r="I196" s="4" t="str">
        <f>IF($B196="","",SUMIFS(tbl_ledger[数量],tbl_ledger[ロットID],$B196,tbl_ledger[イベント種類],"不良発生")+SUMIFS(tbl_ledger[数量],tbl_ledger[充当先ロットID],$B196,tbl_ledger[イベント種類],"充当",tbl_ledger[元状態],I$1)-SUMIFS(tbl_ledger[数量],tbl_ledger[ロットID],$B196,tbl_ledger[元状態],I$1))</f>
        <v/>
      </c>
      <c r="J196" s="4" t="str">
        <f t="shared" si="7"/>
        <v/>
      </c>
    </row>
    <row r="197" spans="1:10" ht="15" x14ac:dyDescent="0.25">
      <c r="A197" s="4" t="str">
        <f t="shared" si="6"/>
        <v/>
      </c>
      <c r="B197" s="4" t="str">
        <f>IFERROR(IF(COUNTIF($B$1:$B196,INDEX(tbl_plan[ロットID],ROW()-1))&gt;0,"",INDEX(tbl_plan[ロットID],ROW()-1)),"")</f>
        <v/>
      </c>
      <c r="C197" s="4" t="str">
        <f>IF($B197="","",INDEX(tbl_plan[品番],ROW()-1))</f>
        <v/>
      </c>
      <c r="D197" s="4" t="str">
        <f>IF($B197="","",SUMIFS(tbl_ledger[数量],tbl_ledger[ロットID],$B197,tbl_ledger[イベント種類],"搬入")+SUMIFS(tbl_ledger[数量],tbl_ledger[充当先ロットID],$B197,tbl_ledger[イベント種類],"充当",tbl_ledger[元状態],D$1)-SUMIFS(tbl_ledger[数量],tbl_ledger[ロットID],$B197,tbl_ledger[元状態],D$1))</f>
        <v/>
      </c>
      <c r="E197" s="4" t="str">
        <f>IF($B197="","",SUMIFS(tbl_ledger[数量],tbl_ledger[ロットID],$B197,tbl_ledger[イベント種類],"アニール完了")+SUMIFS(tbl_ledger[数量],tbl_ledger[充当先ロットID],$B197,tbl_ledger[イベント種類],"充当",tbl_ledger[元状態],E$1)-SUMIFS(tbl_ledger[数量],tbl_ledger[ロットID],$B197,tbl_ledger[元状態],E$1))</f>
        <v/>
      </c>
      <c r="F197" s="4" t="str">
        <f>IF($B197="","",SUMIFS(tbl_ledger[数量],tbl_ledger[ロットID],$B197,tbl_ledger[イベント種類],"アセンブリ完了")+SUMIFS(tbl_ledger[数量],tbl_ledger[充当先ロットID],$B197,tbl_ledger[イベント種類],"充当",tbl_ledger[元状態],F$1)-SUMIFS(tbl_ledger[数量],tbl_ledger[ロットID],$B197,tbl_ledger[元状態],F$1))</f>
        <v/>
      </c>
      <c r="G197" s="4" t="str">
        <f>IF($B197="","",SUMIFS(tbl_ledger[数量],tbl_ledger[ロットID],$B197,tbl_ledger[イベント種類],"梱包完了")+SUMIFS(tbl_ledger[数量],tbl_ledger[充当先ロットID],$B197,tbl_ledger[イベント種類],"充当",tbl_ledger[元状態],G$1)-SUMIFS(tbl_ledger[数量],tbl_ledger[ロットID],$B197,tbl_ledger[元状態],G$1))</f>
        <v/>
      </c>
      <c r="H197" s="4" t="str">
        <f>IF($B197="","",SUMIFS(tbl_ledger[数量],tbl_ledger[ロットID],$B197,tbl_ledger[イベント種類],"発送準備完了")+SUMIFS(tbl_ledger[数量],tbl_ledger[充当先ロットID],$B197,tbl_ledger[イベント種類],"充当",tbl_ledger[元状態],H$1)-SUMIFS(tbl_ledger[数量],tbl_ledger[ロットID],$B197,tbl_ledger[元状態],H$1))</f>
        <v/>
      </c>
      <c r="I197" s="4" t="str">
        <f>IF($B197="","",SUMIFS(tbl_ledger[数量],tbl_ledger[ロットID],$B197,tbl_ledger[イベント種類],"不良発生")+SUMIFS(tbl_ledger[数量],tbl_ledger[充当先ロットID],$B197,tbl_ledger[イベント種類],"充当",tbl_ledger[元状態],I$1)-SUMIFS(tbl_ledger[数量],tbl_ledger[ロットID],$B197,tbl_ledger[元状態],I$1))</f>
        <v/>
      </c>
      <c r="J197" s="4" t="str">
        <f t="shared" si="7"/>
        <v/>
      </c>
    </row>
    <row r="198" spans="1:10" ht="15" x14ac:dyDescent="0.25">
      <c r="A198" s="4" t="str">
        <f t="shared" si="6"/>
        <v/>
      </c>
      <c r="B198" s="4" t="str">
        <f>IFERROR(IF(COUNTIF($B$1:$B197,INDEX(tbl_plan[ロットID],ROW()-1))&gt;0,"",INDEX(tbl_plan[ロットID],ROW()-1)),"")</f>
        <v/>
      </c>
      <c r="C198" s="4" t="str">
        <f>IF($B198="","",INDEX(tbl_plan[品番],ROW()-1))</f>
        <v/>
      </c>
      <c r="D198" s="4" t="str">
        <f>IF($B198="","",SUMIFS(tbl_ledger[数量],tbl_ledger[ロットID],$B198,tbl_ledger[イベント種類],"搬入")+SUMIFS(tbl_ledger[数量],tbl_ledger[充当先ロットID],$B198,tbl_ledger[イベント種類],"充当",tbl_ledger[元状態],D$1)-SUMIFS(tbl_ledger[数量],tbl_ledger[ロットID],$B198,tbl_ledger[元状態],D$1))</f>
        <v/>
      </c>
      <c r="E198" s="4" t="str">
        <f>IF($B198="","",SUMIFS(tbl_ledger[数量],tbl_ledger[ロットID],$B198,tbl_ledger[イベント種類],"アニール完了")+SUMIFS(tbl_ledger[数量],tbl_ledger[充当先ロットID],$B198,tbl_ledger[イベント種類],"充当",tbl_ledger[元状態],E$1)-SUMIFS(tbl_ledger[数量],tbl_ledger[ロットID],$B198,tbl_ledger[元状態],E$1))</f>
        <v/>
      </c>
      <c r="F198" s="4" t="str">
        <f>IF($B198="","",SUMIFS(tbl_ledger[数量],tbl_ledger[ロットID],$B198,tbl_ledger[イベント種類],"アセンブリ完了")+SUMIFS(tbl_ledger[数量],tbl_ledger[充当先ロットID],$B198,tbl_ledger[イベント種類],"充当",tbl_ledger[元状態],F$1)-SUMIFS(tbl_ledger[数量],tbl_ledger[ロットID],$B198,tbl_ledger[元状態],F$1))</f>
        <v/>
      </c>
      <c r="G198" s="4" t="str">
        <f>IF($B198="","",SUMIFS(tbl_ledger[数量],tbl_ledger[ロットID],$B198,tbl_ledger[イベント種類],"梱包完了")+SUMIFS(tbl_ledger[数量],tbl_ledger[充当先ロットID],$B198,tbl_ledger[イベント種類],"充当",tbl_ledger[元状態],G$1)-SUMIFS(tbl_ledger[数量],tbl_ledger[ロットID],$B198,tbl_ledger[元状態],G$1))</f>
        <v/>
      </c>
      <c r="H198" s="4" t="str">
        <f>IF($B198="","",SUMIFS(tbl_ledger[数量],tbl_ledger[ロットID],$B198,tbl_ledger[イベント種類],"発送準備完了")+SUMIFS(tbl_ledger[数量],tbl_ledger[充当先ロットID],$B198,tbl_ledger[イベント種類],"充当",tbl_ledger[元状態],H$1)-SUMIFS(tbl_ledger[数量],tbl_ledger[ロットID],$B198,tbl_ledger[元状態],H$1))</f>
        <v/>
      </c>
      <c r="I198" s="4" t="str">
        <f>IF($B198="","",SUMIFS(tbl_ledger[数量],tbl_ledger[ロットID],$B198,tbl_ledger[イベント種類],"不良発生")+SUMIFS(tbl_ledger[数量],tbl_ledger[充当先ロットID],$B198,tbl_ledger[イベント種類],"充当",tbl_ledger[元状態],I$1)-SUMIFS(tbl_ledger[数量],tbl_ledger[ロットID],$B198,tbl_ledger[元状態],I$1))</f>
        <v/>
      </c>
      <c r="J198" s="4" t="str">
        <f t="shared" si="7"/>
        <v/>
      </c>
    </row>
    <row r="199" spans="1:10" ht="15" x14ac:dyDescent="0.25">
      <c r="A199" s="4" t="str">
        <f t="shared" si="6"/>
        <v/>
      </c>
      <c r="B199" s="4" t="str">
        <f>IFERROR(IF(COUNTIF($B$1:$B198,INDEX(tbl_plan[ロットID],ROW()-1))&gt;0,"",INDEX(tbl_plan[ロットID],ROW()-1)),"")</f>
        <v/>
      </c>
      <c r="C199" s="4" t="str">
        <f>IF($B199="","",INDEX(tbl_plan[品番],ROW()-1))</f>
        <v/>
      </c>
      <c r="D199" s="4" t="str">
        <f>IF($B199="","",SUMIFS(tbl_ledger[数量],tbl_ledger[ロットID],$B199,tbl_ledger[イベント種類],"搬入")+SUMIFS(tbl_ledger[数量],tbl_ledger[充当先ロットID],$B199,tbl_ledger[イベント種類],"充当",tbl_ledger[元状態],D$1)-SUMIFS(tbl_ledger[数量],tbl_ledger[ロットID],$B199,tbl_ledger[元状態],D$1))</f>
        <v/>
      </c>
      <c r="E199" s="4" t="str">
        <f>IF($B199="","",SUMIFS(tbl_ledger[数量],tbl_ledger[ロットID],$B199,tbl_ledger[イベント種類],"アニール完了")+SUMIFS(tbl_ledger[数量],tbl_ledger[充当先ロットID],$B199,tbl_ledger[イベント種類],"充当",tbl_ledger[元状態],E$1)-SUMIFS(tbl_ledger[数量],tbl_ledger[ロットID],$B199,tbl_ledger[元状態],E$1))</f>
        <v/>
      </c>
      <c r="F199" s="4" t="str">
        <f>IF($B199="","",SUMIFS(tbl_ledger[数量],tbl_ledger[ロットID],$B199,tbl_ledger[イベント種類],"アセンブリ完了")+SUMIFS(tbl_ledger[数量],tbl_ledger[充当先ロットID],$B199,tbl_ledger[イベント種類],"充当",tbl_ledger[元状態],F$1)-SUMIFS(tbl_ledger[数量],tbl_ledger[ロットID],$B199,tbl_ledger[元状態],F$1))</f>
        <v/>
      </c>
      <c r="G199" s="4" t="str">
        <f>IF($B199="","",SUMIFS(tbl_ledger[数量],tbl_ledger[ロットID],$B199,tbl_ledger[イベント種類],"梱包完了")+SUMIFS(tbl_ledger[数量],tbl_ledger[充当先ロットID],$B199,tbl_ledger[イベント種類],"充当",tbl_ledger[元状態],G$1)-SUMIFS(tbl_ledger[数量],tbl_ledger[ロットID],$B199,tbl_ledger[元状態],G$1))</f>
        <v/>
      </c>
      <c r="H199" s="4" t="str">
        <f>IF($B199="","",SUMIFS(tbl_ledger[数量],tbl_ledger[ロットID],$B199,tbl_ledger[イベント種類],"発送準備完了")+SUMIFS(tbl_ledger[数量],tbl_ledger[充当先ロットID],$B199,tbl_ledger[イベント種類],"充当",tbl_ledger[元状態],H$1)-SUMIFS(tbl_ledger[数量],tbl_ledger[ロットID],$B199,tbl_ledger[元状態],H$1))</f>
        <v/>
      </c>
      <c r="I199" s="4" t="str">
        <f>IF($B199="","",SUMIFS(tbl_ledger[数量],tbl_ledger[ロットID],$B199,tbl_ledger[イベント種類],"不良発生")+SUMIFS(tbl_ledger[数量],tbl_ledger[充当先ロットID],$B199,tbl_ledger[イベント種類],"充当",tbl_ledger[元状態],I$1)-SUMIFS(tbl_ledger[数量],tbl_ledger[ロットID],$B199,tbl_ledger[元状態],I$1))</f>
        <v/>
      </c>
      <c r="J199" s="4" t="str">
        <f t="shared" si="7"/>
        <v/>
      </c>
    </row>
    <row r="200" spans="1:10" ht="15" x14ac:dyDescent="0.25">
      <c r="A200" s="4" t="str">
        <f t="shared" si="6"/>
        <v/>
      </c>
      <c r="B200" s="4" t="str">
        <f>IFERROR(IF(COUNTIF($B$1:$B199,INDEX(tbl_plan[ロットID],ROW()-1))&gt;0,"",INDEX(tbl_plan[ロットID],ROW()-1)),"")</f>
        <v/>
      </c>
      <c r="C200" s="4" t="str">
        <f>IF($B200="","",INDEX(tbl_plan[品番],ROW()-1))</f>
        <v/>
      </c>
      <c r="D200" s="4" t="str">
        <f>IF($B200="","",SUMIFS(tbl_ledger[数量],tbl_ledger[ロットID],$B200,tbl_ledger[イベント種類],"搬入")+SUMIFS(tbl_ledger[数量],tbl_ledger[充当先ロットID],$B200,tbl_ledger[イベント種類],"充当",tbl_ledger[元状態],D$1)-SUMIFS(tbl_ledger[数量],tbl_ledger[ロットID],$B200,tbl_ledger[元状態],D$1))</f>
        <v/>
      </c>
      <c r="E200" s="4" t="str">
        <f>IF($B200="","",SUMIFS(tbl_ledger[数量],tbl_ledger[ロットID],$B200,tbl_ledger[イベント種類],"アニール完了")+SUMIFS(tbl_ledger[数量],tbl_ledger[充当先ロットID],$B200,tbl_ledger[イベント種類],"充当",tbl_ledger[元状態],E$1)-SUMIFS(tbl_ledger[数量],tbl_ledger[ロットID],$B200,tbl_ledger[元状態],E$1))</f>
        <v/>
      </c>
      <c r="F200" s="4" t="str">
        <f>IF($B200="","",SUMIFS(tbl_ledger[数量],tbl_ledger[ロットID],$B200,tbl_ledger[イベント種類],"アセンブリ完了")+SUMIFS(tbl_ledger[数量],tbl_ledger[充当先ロットID],$B200,tbl_ledger[イベント種類],"充当",tbl_ledger[元状態],F$1)-SUMIFS(tbl_ledger[数量],tbl_ledger[ロットID],$B200,tbl_ledger[元状態],F$1))</f>
        <v/>
      </c>
      <c r="G200" s="4" t="str">
        <f>IF($B200="","",SUMIFS(tbl_ledger[数量],tbl_ledger[ロットID],$B200,tbl_ledger[イベント種類],"梱包完了")+SUMIFS(tbl_ledger[数量],tbl_ledger[充当先ロットID],$B200,tbl_ledger[イベント種類],"充当",tbl_ledger[元状態],G$1)-SUMIFS(tbl_ledger[数量],tbl_ledger[ロットID],$B200,tbl_ledger[元状態],G$1))</f>
        <v/>
      </c>
      <c r="H200" s="4" t="str">
        <f>IF($B200="","",SUMIFS(tbl_ledger[数量],tbl_ledger[ロットID],$B200,tbl_ledger[イベント種類],"発送準備完了")+SUMIFS(tbl_ledger[数量],tbl_ledger[充当先ロットID],$B200,tbl_ledger[イベント種類],"充当",tbl_ledger[元状態],H$1)-SUMIFS(tbl_ledger[数量],tbl_ledger[ロットID],$B200,tbl_ledger[元状態],H$1))</f>
        <v/>
      </c>
      <c r="I200" s="4" t="str">
        <f>IF($B200="","",SUMIFS(tbl_ledger[数量],tbl_ledger[ロットID],$B200,tbl_ledger[イベント種類],"不良発生")+SUMIFS(tbl_ledger[数量],tbl_ledger[充当先ロットID],$B200,tbl_ledger[イベント種類],"充当",tbl_ledger[元状態],I$1)-SUMIFS(tbl_ledger[数量],tbl_ledger[ロットID],$B200,tbl_ledger[元状態],I$1))</f>
        <v/>
      </c>
      <c r="J200" s="4" t="str">
        <f t="shared" si="7"/>
        <v/>
      </c>
    </row>
    <row r="201" spans="1:10" ht="15" x14ac:dyDescent="0.25">
      <c r="A201" s="4" t="str">
        <f t="shared" si="6"/>
        <v/>
      </c>
      <c r="B201" s="4" t="str">
        <f>IFERROR(IF(COUNTIF($B$1:$B200,INDEX(tbl_plan[ロットID],ROW()-1))&gt;0,"",INDEX(tbl_plan[ロットID],ROW()-1)),"")</f>
        <v/>
      </c>
      <c r="C201" s="4" t="str">
        <f>IF($B201="","",INDEX(tbl_plan[品番],ROW()-1))</f>
        <v/>
      </c>
      <c r="D201" s="4" t="str">
        <f>IF($B201="","",SUMIFS(tbl_ledger[数量],tbl_ledger[ロットID],$B201,tbl_ledger[イベント種類],"搬入")+SUMIFS(tbl_ledger[数量],tbl_ledger[充当先ロットID],$B201,tbl_ledger[イベント種類],"充当",tbl_ledger[元状態],D$1)-SUMIFS(tbl_ledger[数量],tbl_ledger[ロットID],$B201,tbl_ledger[元状態],D$1))</f>
        <v/>
      </c>
      <c r="E201" s="4" t="str">
        <f>IF($B201="","",SUMIFS(tbl_ledger[数量],tbl_ledger[ロットID],$B201,tbl_ledger[イベント種類],"アニール完了")+SUMIFS(tbl_ledger[数量],tbl_ledger[充当先ロットID],$B201,tbl_ledger[イベント種類],"充当",tbl_ledger[元状態],E$1)-SUMIFS(tbl_ledger[数量],tbl_ledger[ロットID],$B201,tbl_ledger[元状態],E$1))</f>
        <v/>
      </c>
      <c r="F201" s="4" t="str">
        <f>IF($B201="","",SUMIFS(tbl_ledger[数量],tbl_ledger[ロットID],$B201,tbl_ledger[イベント種類],"アセンブリ完了")+SUMIFS(tbl_ledger[数量],tbl_ledger[充当先ロットID],$B201,tbl_ledger[イベント種類],"充当",tbl_ledger[元状態],F$1)-SUMIFS(tbl_ledger[数量],tbl_ledger[ロットID],$B201,tbl_ledger[元状態],F$1))</f>
        <v/>
      </c>
      <c r="G201" s="4" t="str">
        <f>IF($B201="","",SUMIFS(tbl_ledger[数量],tbl_ledger[ロットID],$B201,tbl_ledger[イベント種類],"梱包完了")+SUMIFS(tbl_ledger[数量],tbl_ledger[充当先ロットID],$B201,tbl_ledger[イベント種類],"充当",tbl_ledger[元状態],G$1)-SUMIFS(tbl_ledger[数量],tbl_ledger[ロットID],$B201,tbl_ledger[元状態],G$1))</f>
        <v/>
      </c>
      <c r="H201" s="4" t="str">
        <f>IF($B201="","",SUMIFS(tbl_ledger[数量],tbl_ledger[ロットID],$B201,tbl_ledger[イベント種類],"発送準備完了")+SUMIFS(tbl_ledger[数量],tbl_ledger[充当先ロットID],$B201,tbl_ledger[イベント種類],"充当",tbl_ledger[元状態],H$1)-SUMIFS(tbl_ledger[数量],tbl_ledger[ロットID],$B201,tbl_ledger[元状態],H$1))</f>
        <v/>
      </c>
      <c r="I201" s="4" t="str">
        <f>IF($B201="","",SUMIFS(tbl_ledger[数量],tbl_ledger[ロットID],$B201,tbl_ledger[イベント種類],"不良発生")+SUMIFS(tbl_ledger[数量],tbl_ledger[充当先ロットID],$B201,tbl_ledger[イベント種類],"充当",tbl_ledger[元状態],I$1)-SUMIFS(tbl_ledger[数量],tbl_ledger[ロットID],$B201,tbl_ledger[元状態],I$1))</f>
        <v/>
      </c>
      <c r="J201" s="4" t="str">
        <f t="shared" si="7"/>
        <v/>
      </c>
    </row>
    <row r="202" spans="1:10" ht="15" x14ac:dyDescent="0.25">
      <c r="A202" s="4" t="str">
        <f t="shared" si="6"/>
        <v/>
      </c>
      <c r="B202" s="4" t="str">
        <f>IFERROR(IF(COUNTIF($B$1:$B201,INDEX(tbl_plan[ロットID],ROW()-1))&gt;0,"",INDEX(tbl_plan[ロットID],ROW()-1)),"")</f>
        <v/>
      </c>
      <c r="C202" s="4" t="str">
        <f>IF($B202="","",INDEX(tbl_plan[品番],ROW()-1))</f>
        <v/>
      </c>
      <c r="D202" s="4" t="str">
        <f>IF($B202="","",SUMIFS(tbl_ledger[数量],tbl_ledger[ロットID],$B202,tbl_ledger[イベント種類],"搬入")+SUMIFS(tbl_ledger[数量],tbl_ledger[充当先ロットID],$B202,tbl_ledger[イベント種類],"充当",tbl_ledger[元状態],D$1)-SUMIFS(tbl_ledger[数量],tbl_ledger[ロットID],$B202,tbl_ledger[元状態],D$1))</f>
        <v/>
      </c>
      <c r="E202" s="4" t="str">
        <f>IF($B202="","",SUMIFS(tbl_ledger[数量],tbl_ledger[ロットID],$B202,tbl_ledger[イベント種類],"アニール完了")+SUMIFS(tbl_ledger[数量],tbl_ledger[充当先ロットID],$B202,tbl_ledger[イベント種類],"充当",tbl_ledger[元状態],E$1)-SUMIFS(tbl_ledger[数量],tbl_ledger[ロットID],$B202,tbl_ledger[元状態],E$1))</f>
        <v/>
      </c>
      <c r="F202" s="4" t="str">
        <f>IF($B202="","",SUMIFS(tbl_ledger[数量],tbl_ledger[ロットID],$B202,tbl_ledger[イベント種類],"アセンブリ完了")+SUMIFS(tbl_ledger[数量],tbl_ledger[充当先ロットID],$B202,tbl_ledger[イベント種類],"充当",tbl_ledger[元状態],F$1)-SUMIFS(tbl_ledger[数量],tbl_ledger[ロットID],$B202,tbl_ledger[元状態],F$1))</f>
        <v/>
      </c>
      <c r="G202" s="4" t="str">
        <f>IF($B202="","",SUMIFS(tbl_ledger[数量],tbl_ledger[ロットID],$B202,tbl_ledger[イベント種類],"梱包完了")+SUMIFS(tbl_ledger[数量],tbl_ledger[充当先ロットID],$B202,tbl_ledger[イベント種類],"充当",tbl_ledger[元状態],G$1)-SUMIFS(tbl_ledger[数量],tbl_ledger[ロットID],$B202,tbl_ledger[元状態],G$1))</f>
        <v/>
      </c>
      <c r="H202" s="4" t="str">
        <f>IF($B202="","",SUMIFS(tbl_ledger[数量],tbl_ledger[ロットID],$B202,tbl_ledger[イベント種類],"発送準備完了")+SUMIFS(tbl_ledger[数量],tbl_ledger[充当先ロットID],$B202,tbl_ledger[イベント種類],"充当",tbl_ledger[元状態],H$1)-SUMIFS(tbl_ledger[数量],tbl_ledger[ロットID],$B202,tbl_ledger[元状態],H$1))</f>
        <v/>
      </c>
      <c r="I202" s="4" t="str">
        <f>IF($B202="","",SUMIFS(tbl_ledger[数量],tbl_ledger[ロットID],$B202,tbl_ledger[イベント種類],"不良発生")+SUMIFS(tbl_ledger[数量],tbl_ledger[充当先ロットID],$B202,tbl_ledger[イベント種類],"充当",tbl_ledger[元状態],I$1)-SUMIFS(tbl_ledger[数量],tbl_ledger[ロットID],$B202,tbl_ledger[元状態],I$1))</f>
        <v/>
      </c>
      <c r="J202" s="4" t="str">
        <f t="shared" si="7"/>
        <v/>
      </c>
    </row>
    <row r="203" spans="1:10" ht="15" x14ac:dyDescent="0.25">
      <c r="A203" s="4" t="str">
        <f t="shared" si="6"/>
        <v/>
      </c>
      <c r="B203" s="4" t="str">
        <f>IFERROR(IF(COUNTIF($B$1:$B202,INDEX(tbl_plan[ロットID],ROW()-1))&gt;0,"",INDEX(tbl_plan[ロットID],ROW()-1)),"")</f>
        <v/>
      </c>
      <c r="C203" s="4" t="str">
        <f>IF($B203="","",INDEX(tbl_plan[品番],ROW()-1))</f>
        <v/>
      </c>
      <c r="D203" s="4" t="str">
        <f>IF($B203="","",SUMIFS(tbl_ledger[数量],tbl_ledger[ロットID],$B203,tbl_ledger[イベント種類],"搬入")+SUMIFS(tbl_ledger[数量],tbl_ledger[充当先ロットID],$B203,tbl_ledger[イベント種類],"充当",tbl_ledger[元状態],D$1)-SUMIFS(tbl_ledger[数量],tbl_ledger[ロットID],$B203,tbl_ledger[元状態],D$1))</f>
        <v/>
      </c>
      <c r="E203" s="4" t="str">
        <f>IF($B203="","",SUMIFS(tbl_ledger[数量],tbl_ledger[ロットID],$B203,tbl_ledger[イベント種類],"アニール完了")+SUMIFS(tbl_ledger[数量],tbl_ledger[充当先ロットID],$B203,tbl_ledger[イベント種類],"充当",tbl_ledger[元状態],E$1)-SUMIFS(tbl_ledger[数量],tbl_ledger[ロットID],$B203,tbl_ledger[元状態],E$1))</f>
        <v/>
      </c>
      <c r="F203" s="4" t="str">
        <f>IF($B203="","",SUMIFS(tbl_ledger[数量],tbl_ledger[ロットID],$B203,tbl_ledger[イベント種類],"アセンブリ完了")+SUMIFS(tbl_ledger[数量],tbl_ledger[充当先ロットID],$B203,tbl_ledger[イベント種類],"充当",tbl_ledger[元状態],F$1)-SUMIFS(tbl_ledger[数量],tbl_ledger[ロットID],$B203,tbl_ledger[元状態],F$1))</f>
        <v/>
      </c>
      <c r="G203" s="4" t="str">
        <f>IF($B203="","",SUMIFS(tbl_ledger[数量],tbl_ledger[ロットID],$B203,tbl_ledger[イベント種類],"梱包完了")+SUMIFS(tbl_ledger[数量],tbl_ledger[充当先ロットID],$B203,tbl_ledger[イベント種類],"充当",tbl_ledger[元状態],G$1)-SUMIFS(tbl_ledger[数量],tbl_ledger[ロットID],$B203,tbl_ledger[元状態],G$1))</f>
        <v/>
      </c>
      <c r="H203" s="4" t="str">
        <f>IF($B203="","",SUMIFS(tbl_ledger[数量],tbl_ledger[ロットID],$B203,tbl_ledger[イベント種類],"発送準備完了")+SUMIFS(tbl_ledger[数量],tbl_ledger[充当先ロットID],$B203,tbl_ledger[イベント種類],"充当",tbl_ledger[元状態],H$1)-SUMIFS(tbl_ledger[数量],tbl_ledger[ロットID],$B203,tbl_ledger[元状態],H$1))</f>
        <v/>
      </c>
      <c r="I203" s="4" t="str">
        <f>IF($B203="","",SUMIFS(tbl_ledger[数量],tbl_ledger[ロットID],$B203,tbl_ledger[イベント種類],"不良発生")+SUMIFS(tbl_ledger[数量],tbl_ledger[充当先ロットID],$B203,tbl_ledger[イベント種類],"充当",tbl_ledger[元状態],I$1)-SUMIFS(tbl_ledger[数量],tbl_ledger[ロットID],$B203,tbl_ledger[元状態],I$1))</f>
        <v/>
      </c>
      <c r="J203" s="4" t="str">
        <f t="shared" si="7"/>
        <v/>
      </c>
    </row>
    <row r="204" spans="1:10" ht="15" x14ac:dyDescent="0.25">
      <c r="A204" s="4" t="str">
        <f t="shared" si="6"/>
        <v/>
      </c>
      <c r="B204" s="4" t="str">
        <f>IFERROR(IF(COUNTIF($B$1:$B203,INDEX(tbl_plan[ロットID],ROW()-1))&gt;0,"",INDEX(tbl_plan[ロットID],ROW()-1)),"")</f>
        <v/>
      </c>
      <c r="C204" s="4" t="str">
        <f>IF($B204="","",INDEX(tbl_plan[品番],ROW()-1))</f>
        <v/>
      </c>
      <c r="D204" s="4" t="str">
        <f>IF($B204="","",SUMIFS(tbl_ledger[数量],tbl_ledger[ロットID],$B204,tbl_ledger[イベント種類],"搬入")+SUMIFS(tbl_ledger[数量],tbl_ledger[充当先ロットID],$B204,tbl_ledger[イベント種類],"充当",tbl_ledger[元状態],D$1)-SUMIFS(tbl_ledger[数量],tbl_ledger[ロットID],$B204,tbl_ledger[元状態],D$1))</f>
        <v/>
      </c>
      <c r="E204" s="4" t="str">
        <f>IF($B204="","",SUMIFS(tbl_ledger[数量],tbl_ledger[ロットID],$B204,tbl_ledger[イベント種類],"アニール完了")+SUMIFS(tbl_ledger[数量],tbl_ledger[充当先ロットID],$B204,tbl_ledger[イベント種類],"充当",tbl_ledger[元状態],E$1)-SUMIFS(tbl_ledger[数量],tbl_ledger[ロットID],$B204,tbl_ledger[元状態],E$1))</f>
        <v/>
      </c>
      <c r="F204" s="4" t="str">
        <f>IF($B204="","",SUMIFS(tbl_ledger[数量],tbl_ledger[ロットID],$B204,tbl_ledger[イベント種類],"アセンブリ完了")+SUMIFS(tbl_ledger[数量],tbl_ledger[充当先ロットID],$B204,tbl_ledger[イベント種類],"充当",tbl_ledger[元状態],F$1)-SUMIFS(tbl_ledger[数量],tbl_ledger[ロットID],$B204,tbl_ledger[元状態],F$1))</f>
        <v/>
      </c>
      <c r="G204" s="4" t="str">
        <f>IF($B204="","",SUMIFS(tbl_ledger[数量],tbl_ledger[ロットID],$B204,tbl_ledger[イベント種類],"梱包完了")+SUMIFS(tbl_ledger[数量],tbl_ledger[充当先ロットID],$B204,tbl_ledger[イベント種類],"充当",tbl_ledger[元状態],G$1)-SUMIFS(tbl_ledger[数量],tbl_ledger[ロットID],$B204,tbl_ledger[元状態],G$1))</f>
        <v/>
      </c>
      <c r="H204" s="4" t="str">
        <f>IF($B204="","",SUMIFS(tbl_ledger[数量],tbl_ledger[ロットID],$B204,tbl_ledger[イベント種類],"発送準備完了")+SUMIFS(tbl_ledger[数量],tbl_ledger[充当先ロットID],$B204,tbl_ledger[イベント種類],"充当",tbl_ledger[元状態],H$1)-SUMIFS(tbl_ledger[数量],tbl_ledger[ロットID],$B204,tbl_ledger[元状態],H$1))</f>
        <v/>
      </c>
      <c r="I204" s="4" t="str">
        <f>IF($B204="","",SUMIFS(tbl_ledger[数量],tbl_ledger[ロットID],$B204,tbl_ledger[イベント種類],"不良発生")+SUMIFS(tbl_ledger[数量],tbl_ledger[充当先ロットID],$B204,tbl_ledger[イベント種類],"充当",tbl_ledger[元状態],I$1)-SUMIFS(tbl_ledger[数量],tbl_ledger[ロットID],$B204,tbl_ledger[元状態],I$1))</f>
        <v/>
      </c>
      <c r="J204" s="4" t="str">
        <f t="shared" si="7"/>
        <v/>
      </c>
    </row>
    <row r="205" spans="1:10" ht="15" x14ac:dyDescent="0.25">
      <c r="A205" s="4" t="str">
        <f t="shared" si="6"/>
        <v/>
      </c>
      <c r="B205" s="4" t="str">
        <f>IFERROR(IF(COUNTIF($B$1:$B204,INDEX(tbl_plan[ロットID],ROW()-1))&gt;0,"",INDEX(tbl_plan[ロットID],ROW()-1)),"")</f>
        <v/>
      </c>
      <c r="C205" s="4" t="str">
        <f>IF($B205="","",INDEX(tbl_plan[品番],ROW()-1))</f>
        <v/>
      </c>
      <c r="D205" s="4" t="str">
        <f>IF($B205="","",SUMIFS(tbl_ledger[数量],tbl_ledger[ロットID],$B205,tbl_ledger[イベント種類],"搬入")+SUMIFS(tbl_ledger[数量],tbl_ledger[充当先ロットID],$B205,tbl_ledger[イベント種類],"充当",tbl_ledger[元状態],D$1)-SUMIFS(tbl_ledger[数量],tbl_ledger[ロットID],$B205,tbl_ledger[元状態],D$1))</f>
        <v/>
      </c>
      <c r="E205" s="4" t="str">
        <f>IF($B205="","",SUMIFS(tbl_ledger[数量],tbl_ledger[ロットID],$B205,tbl_ledger[イベント種類],"アニール完了")+SUMIFS(tbl_ledger[数量],tbl_ledger[充当先ロットID],$B205,tbl_ledger[イベント種類],"充当",tbl_ledger[元状態],E$1)-SUMIFS(tbl_ledger[数量],tbl_ledger[ロットID],$B205,tbl_ledger[元状態],E$1))</f>
        <v/>
      </c>
      <c r="F205" s="4" t="str">
        <f>IF($B205="","",SUMIFS(tbl_ledger[数量],tbl_ledger[ロットID],$B205,tbl_ledger[イベント種類],"アセンブリ完了")+SUMIFS(tbl_ledger[数量],tbl_ledger[充当先ロットID],$B205,tbl_ledger[イベント種類],"充当",tbl_ledger[元状態],F$1)-SUMIFS(tbl_ledger[数量],tbl_ledger[ロットID],$B205,tbl_ledger[元状態],F$1))</f>
        <v/>
      </c>
      <c r="G205" s="4" t="str">
        <f>IF($B205="","",SUMIFS(tbl_ledger[数量],tbl_ledger[ロットID],$B205,tbl_ledger[イベント種類],"梱包完了")+SUMIFS(tbl_ledger[数量],tbl_ledger[充当先ロットID],$B205,tbl_ledger[イベント種類],"充当",tbl_ledger[元状態],G$1)-SUMIFS(tbl_ledger[数量],tbl_ledger[ロットID],$B205,tbl_ledger[元状態],G$1))</f>
        <v/>
      </c>
      <c r="H205" s="4" t="str">
        <f>IF($B205="","",SUMIFS(tbl_ledger[数量],tbl_ledger[ロットID],$B205,tbl_ledger[イベント種類],"発送準備完了")+SUMIFS(tbl_ledger[数量],tbl_ledger[充当先ロットID],$B205,tbl_ledger[イベント種類],"充当",tbl_ledger[元状態],H$1)-SUMIFS(tbl_ledger[数量],tbl_ledger[ロットID],$B205,tbl_ledger[元状態],H$1))</f>
        <v/>
      </c>
      <c r="I205" s="4" t="str">
        <f>IF($B205="","",SUMIFS(tbl_ledger[数量],tbl_ledger[ロットID],$B205,tbl_ledger[イベント種類],"不良発生")+SUMIFS(tbl_ledger[数量],tbl_ledger[充当先ロットID],$B205,tbl_ledger[イベント種類],"充当",tbl_ledger[元状態],I$1)-SUMIFS(tbl_ledger[数量],tbl_ledger[ロットID],$B205,tbl_ledger[元状態],I$1))</f>
        <v/>
      </c>
      <c r="J205" s="4" t="str">
        <f t="shared" si="7"/>
        <v/>
      </c>
    </row>
    <row r="206" spans="1:10" ht="15" x14ac:dyDescent="0.25">
      <c r="A206" s="4" t="str">
        <f t="shared" si="6"/>
        <v/>
      </c>
      <c r="B206" s="4" t="str">
        <f>IFERROR(IF(COUNTIF($B$1:$B205,INDEX(tbl_plan[ロットID],ROW()-1))&gt;0,"",INDEX(tbl_plan[ロットID],ROW()-1)),"")</f>
        <v/>
      </c>
      <c r="C206" s="4" t="str">
        <f>IF($B206="","",INDEX(tbl_plan[品番],ROW()-1))</f>
        <v/>
      </c>
      <c r="D206" s="4" t="str">
        <f>IF($B206="","",SUMIFS(tbl_ledger[数量],tbl_ledger[ロットID],$B206,tbl_ledger[イベント種類],"搬入")+SUMIFS(tbl_ledger[数量],tbl_ledger[充当先ロットID],$B206,tbl_ledger[イベント種類],"充当",tbl_ledger[元状態],D$1)-SUMIFS(tbl_ledger[数量],tbl_ledger[ロットID],$B206,tbl_ledger[元状態],D$1))</f>
        <v/>
      </c>
      <c r="E206" s="4" t="str">
        <f>IF($B206="","",SUMIFS(tbl_ledger[数量],tbl_ledger[ロットID],$B206,tbl_ledger[イベント種類],"アニール完了")+SUMIFS(tbl_ledger[数量],tbl_ledger[充当先ロットID],$B206,tbl_ledger[イベント種類],"充当",tbl_ledger[元状態],E$1)-SUMIFS(tbl_ledger[数量],tbl_ledger[ロットID],$B206,tbl_ledger[元状態],E$1))</f>
        <v/>
      </c>
      <c r="F206" s="4" t="str">
        <f>IF($B206="","",SUMIFS(tbl_ledger[数量],tbl_ledger[ロットID],$B206,tbl_ledger[イベント種類],"アセンブリ完了")+SUMIFS(tbl_ledger[数量],tbl_ledger[充当先ロットID],$B206,tbl_ledger[イベント種類],"充当",tbl_ledger[元状態],F$1)-SUMIFS(tbl_ledger[数量],tbl_ledger[ロットID],$B206,tbl_ledger[元状態],F$1))</f>
        <v/>
      </c>
      <c r="G206" s="4" t="str">
        <f>IF($B206="","",SUMIFS(tbl_ledger[数量],tbl_ledger[ロットID],$B206,tbl_ledger[イベント種類],"梱包完了")+SUMIFS(tbl_ledger[数量],tbl_ledger[充当先ロットID],$B206,tbl_ledger[イベント種類],"充当",tbl_ledger[元状態],G$1)-SUMIFS(tbl_ledger[数量],tbl_ledger[ロットID],$B206,tbl_ledger[元状態],G$1))</f>
        <v/>
      </c>
      <c r="H206" s="4" t="str">
        <f>IF($B206="","",SUMIFS(tbl_ledger[数量],tbl_ledger[ロットID],$B206,tbl_ledger[イベント種類],"発送準備完了")+SUMIFS(tbl_ledger[数量],tbl_ledger[充当先ロットID],$B206,tbl_ledger[イベント種類],"充当",tbl_ledger[元状態],H$1)-SUMIFS(tbl_ledger[数量],tbl_ledger[ロットID],$B206,tbl_ledger[元状態],H$1))</f>
        <v/>
      </c>
      <c r="I206" s="4" t="str">
        <f>IF($B206="","",SUMIFS(tbl_ledger[数量],tbl_ledger[ロットID],$B206,tbl_ledger[イベント種類],"不良発生")+SUMIFS(tbl_ledger[数量],tbl_ledger[充当先ロットID],$B206,tbl_ledger[イベント種類],"充当",tbl_ledger[元状態],I$1)-SUMIFS(tbl_ledger[数量],tbl_ledger[ロットID],$B206,tbl_ledger[元状態],I$1))</f>
        <v/>
      </c>
      <c r="J206" s="4" t="str">
        <f t="shared" si="7"/>
        <v/>
      </c>
    </row>
    <row r="207" spans="1:10" ht="15" x14ac:dyDescent="0.25">
      <c r="A207" s="4" t="str">
        <f t="shared" si="6"/>
        <v/>
      </c>
      <c r="B207" s="4" t="str">
        <f>IFERROR(IF(COUNTIF($B$1:$B206,INDEX(tbl_plan[ロットID],ROW()-1))&gt;0,"",INDEX(tbl_plan[ロットID],ROW()-1)),"")</f>
        <v/>
      </c>
      <c r="C207" s="4" t="str">
        <f>IF($B207="","",INDEX(tbl_plan[品番],ROW()-1))</f>
        <v/>
      </c>
      <c r="D207" s="4" t="str">
        <f>IF($B207="","",SUMIFS(tbl_ledger[数量],tbl_ledger[ロットID],$B207,tbl_ledger[イベント種類],"搬入")+SUMIFS(tbl_ledger[数量],tbl_ledger[充当先ロットID],$B207,tbl_ledger[イベント種類],"充当",tbl_ledger[元状態],D$1)-SUMIFS(tbl_ledger[数量],tbl_ledger[ロットID],$B207,tbl_ledger[元状態],D$1))</f>
        <v/>
      </c>
      <c r="E207" s="4" t="str">
        <f>IF($B207="","",SUMIFS(tbl_ledger[数量],tbl_ledger[ロットID],$B207,tbl_ledger[イベント種類],"アニール完了")+SUMIFS(tbl_ledger[数量],tbl_ledger[充当先ロットID],$B207,tbl_ledger[イベント種類],"充当",tbl_ledger[元状態],E$1)-SUMIFS(tbl_ledger[数量],tbl_ledger[ロットID],$B207,tbl_ledger[元状態],E$1))</f>
        <v/>
      </c>
      <c r="F207" s="4" t="str">
        <f>IF($B207="","",SUMIFS(tbl_ledger[数量],tbl_ledger[ロットID],$B207,tbl_ledger[イベント種類],"アセンブリ完了")+SUMIFS(tbl_ledger[数量],tbl_ledger[充当先ロットID],$B207,tbl_ledger[イベント種類],"充当",tbl_ledger[元状態],F$1)-SUMIFS(tbl_ledger[数量],tbl_ledger[ロットID],$B207,tbl_ledger[元状態],F$1))</f>
        <v/>
      </c>
      <c r="G207" s="4" t="str">
        <f>IF($B207="","",SUMIFS(tbl_ledger[数量],tbl_ledger[ロットID],$B207,tbl_ledger[イベント種類],"梱包完了")+SUMIFS(tbl_ledger[数量],tbl_ledger[充当先ロットID],$B207,tbl_ledger[イベント種類],"充当",tbl_ledger[元状態],G$1)-SUMIFS(tbl_ledger[数量],tbl_ledger[ロットID],$B207,tbl_ledger[元状態],G$1))</f>
        <v/>
      </c>
      <c r="H207" s="4" t="str">
        <f>IF($B207="","",SUMIFS(tbl_ledger[数量],tbl_ledger[ロットID],$B207,tbl_ledger[イベント種類],"発送準備完了")+SUMIFS(tbl_ledger[数量],tbl_ledger[充当先ロットID],$B207,tbl_ledger[イベント種類],"充当",tbl_ledger[元状態],H$1)-SUMIFS(tbl_ledger[数量],tbl_ledger[ロットID],$B207,tbl_ledger[元状態],H$1))</f>
        <v/>
      </c>
      <c r="I207" s="4" t="str">
        <f>IF($B207="","",SUMIFS(tbl_ledger[数量],tbl_ledger[ロットID],$B207,tbl_ledger[イベント種類],"不良発生")+SUMIFS(tbl_ledger[数量],tbl_ledger[充当先ロットID],$B207,tbl_ledger[イベント種類],"充当",tbl_ledger[元状態],I$1)-SUMIFS(tbl_ledger[数量],tbl_ledger[ロットID],$B207,tbl_ledger[元状態],I$1))</f>
        <v/>
      </c>
      <c r="J207" s="4" t="str">
        <f t="shared" si="7"/>
        <v/>
      </c>
    </row>
    <row r="208" spans="1:10" ht="15" x14ac:dyDescent="0.25">
      <c r="A208" s="4" t="str">
        <f t="shared" si="6"/>
        <v/>
      </c>
      <c r="B208" s="4" t="str">
        <f>IFERROR(IF(COUNTIF($B$1:$B207,INDEX(tbl_plan[ロットID],ROW()-1))&gt;0,"",INDEX(tbl_plan[ロットID],ROW()-1)),"")</f>
        <v/>
      </c>
      <c r="C208" s="4" t="str">
        <f>IF($B208="","",INDEX(tbl_plan[品番],ROW()-1))</f>
        <v/>
      </c>
      <c r="D208" s="4" t="str">
        <f>IF($B208="","",SUMIFS(tbl_ledger[数量],tbl_ledger[ロットID],$B208,tbl_ledger[イベント種類],"搬入")+SUMIFS(tbl_ledger[数量],tbl_ledger[充当先ロットID],$B208,tbl_ledger[イベント種類],"充当",tbl_ledger[元状態],D$1)-SUMIFS(tbl_ledger[数量],tbl_ledger[ロットID],$B208,tbl_ledger[元状態],D$1))</f>
        <v/>
      </c>
      <c r="E208" s="4" t="str">
        <f>IF($B208="","",SUMIFS(tbl_ledger[数量],tbl_ledger[ロットID],$B208,tbl_ledger[イベント種類],"アニール完了")+SUMIFS(tbl_ledger[数量],tbl_ledger[充当先ロットID],$B208,tbl_ledger[イベント種類],"充当",tbl_ledger[元状態],E$1)-SUMIFS(tbl_ledger[数量],tbl_ledger[ロットID],$B208,tbl_ledger[元状態],E$1))</f>
        <v/>
      </c>
      <c r="F208" s="4" t="str">
        <f>IF($B208="","",SUMIFS(tbl_ledger[数量],tbl_ledger[ロットID],$B208,tbl_ledger[イベント種類],"アセンブリ完了")+SUMIFS(tbl_ledger[数量],tbl_ledger[充当先ロットID],$B208,tbl_ledger[イベント種類],"充当",tbl_ledger[元状態],F$1)-SUMIFS(tbl_ledger[数量],tbl_ledger[ロットID],$B208,tbl_ledger[元状態],F$1))</f>
        <v/>
      </c>
      <c r="G208" s="4" t="str">
        <f>IF($B208="","",SUMIFS(tbl_ledger[数量],tbl_ledger[ロットID],$B208,tbl_ledger[イベント種類],"梱包完了")+SUMIFS(tbl_ledger[数量],tbl_ledger[充当先ロットID],$B208,tbl_ledger[イベント種類],"充当",tbl_ledger[元状態],G$1)-SUMIFS(tbl_ledger[数量],tbl_ledger[ロットID],$B208,tbl_ledger[元状態],G$1))</f>
        <v/>
      </c>
      <c r="H208" s="4" t="str">
        <f>IF($B208="","",SUMIFS(tbl_ledger[数量],tbl_ledger[ロットID],$B208,tbl_ledger[イベント種類],"発送準備完了")+SUMIFS(tbl_ledger[数量],tbl_ledger[充当先ロットID],$B208,tbl_ledger[イベント種類],"充当",tbl_ledger[元状態],H$1)-SUMIFS(tbl_ledger[数量],tbl_ledger[ロットID],$B208,tbl_ledger[元状態],H$1))</f>
        <v/>
      </c>
      <c r="I208" s="4" t="str">
        <f>IF($B208="","",SUMIFS(tbl_ledger[数量],tbl_ledger[ロットID],$B208,tbl_ledger[イベント種類],"不良発生")+SUMIFS(tbl_ledger[数量],tbl_ledger[充当先ロットID],$B208,tbl_ledger[イベント種類],"充当",tbl_ledger[元状態],I$1)-SUMIFS(tbl_ledger[数量],tbl_ledger[ロットID],$B208,tbl_ledger[元状態],I$1))</f>
        <v/>
      </c>
      <c r="J208" s="4" t="str">
        <f t="shared" si="7"/>
        <v/>
      </c>
    </row>
    <row r="209" spans="1:10" ht="15" x14ac:dyDescent="0.25">
      <c r="A209" s="4" t="str">
        <f t="shared" si="6"/>
        <v/>
      </c>
      <c r="B209" s="4" t="str">
        <f>IFERROR(IF(COUNTIF($B$1:$B208,INDEX(tbl_plan[ロットID],ROW()-1))&gt;0,"",INDEX(tbl_plan[ロットID],ROW()-1)),"")</f>
        <v/>
      </c>
      <c r="C209" s="4" t="str">
        <f>IF($B209="","",INDEX(tbl_plan[品番],ROW()-1))</f>
        <v/>
      </c>
      <c r="D209" s="4" t="str">
        <f>IF($B209="","",SUMIFS(tbl_ledger[数量],tbl_ledger[ロットID],$B209,tbl_ledger[イベント種類],"搬入")+SUMIFS(tbl_ledger[数量],tbl_ledger[充当先ロットID],$B209,tbl_ledger[イベント種類],"充当",tbl_ledger[元状態],D$1)-SUMIFS(tbl_ledger[数量],tbl_ledger[ロットID],$B209,tbl_ledger[元状態],D$1))</f>
        <v/>
      </c>
      <c r="E209" s="4" t="str">
        <f>IF($B209="","",SUMIFS(tbl_ledger[数量],tbl_ledger[ロットID],$B209,tbl_ledger[イベント種類],"アニール完了")+SUMIFS(tbl_ledger[数量],tbl_ledger[充当先ロットID],$B209,tbl_ledger[イベント種類],"充当",tbl_ledger[元状態],E$1)-SUMIFS(tbl_ledger[数量],tbl_ledger[ロットID],$B209,tbl_ledger[元状態],E$1))</f>
        <v/>
      </c>
      <c r="F209" s="4" t="str">
        <f>IF($B209="","",SUMIFS(tbl_ledger[数量],tbl_ledger[ロットID],$B209,tbl_ledger[イベント種類],"アセンブリ完了")+SUMIFS(tbl_ledger[数量],tbl_ledger[充当先ロットID],$B209,tbl_ledger[イベント種類],"充当",tbl_ledger[元状態],F$1)-SUMIFS(tbl_ledger[数量],tbl_ledger[ロットID],$B209,tbl_ledger[元状態],F$1))</f>
        <v/>
      </c>
      <c r="G209" s="4" t="str">
        <f>IF($B209="","",SUMIFS(tbl_ledger[数量],tbl_ledger[ロットID],$B209,tbl_ledger[イベント種類],"梱包完了")+SUMIFS(tbl_ledger[数量],tbl_ledger[充当先ロットID],$B209,tbl_ledger[イベント種類],"充当",tbl_ledger[元状態],G$1)-SUMIFS(tbl_ledger[数量],tbl_ledger[ロットID],$B209,tbl_ledger[元状態],G$1))</f>
        <v/>
      </c>
      <c r="H209" s="4" t="str">
        <f>IF($B209="","",SUMIFS(tbl_ledger[数量],tbl_ledger[ロットID],$B209,tbl_ledger[イベント種類],"発送準備完了")+SUMIFS(tbl_ledger[数量],tbl_ledger[充当先ロットID],$B209,tbl_ledger[イベント種類],"充当",tbl_ledger[元状態],H$1)-SUMIFS(tbl_ledger[数量],tbl_ledger[ロットID],$B209,tbl_ledger[元状態],H$1))</f>
        <v/>
      </c>
      <c r="I209" s="4" t="str">
        <f>IF($B209="","",SUMIFS(tbl_ledger[数量],tbl_ledger[ロットID],$B209,tbl_ledger[イベント種類],"不良発生")+SUMIFS(tbl_ledger[数量],tbl_ledger[充当先ロットID],$B209,tbl_ledger[イベント種類],"充当",tbl_ledger[元状態],I$1)-SUMIFS(tbl_ledger[数量],tbl_ledger[ロットID],$B209,tbl_ledger[元状態],I$1))</f>
        <v/>
      </c>
      <c r="J209" s="4" t="str">
        <f t="shared" si="7"/>
        <v/>
      </c>
    </row>
    <row r="210" spans="1:10" ht="15" x14ac:dyDescent="0.25">
      <c r="A210" s="4" t="str">
        <f t="shared" si="6"/>
        <v/>
      </c>
      <c r="B210" s="4" t="str">
        <f>IFERROR(IF(COUNTIF($B$1:$B209,INDEX(tbl_plan[ロットID],ROW()-1))&gt;0,"",INDEX(tbl_plan[ロットID],ROW()-1)),"")</f>
        <v/>
      </c>
      <c r="C210" s="4" t="str">
        <f>IF($B210="","",INDEX(tbl_plan[品番],ROW()-1))</f>
        <v/>
      </c>
      <c r="D210" s="4" t="str">
        <f>IF($B210="","",SUMIFS(tbl_ledger[数量],tbl_ledger[ロットID],$B210,tbl_ledger[イベント種類],"搬入")+SUMIFS(tbl_ledger[数量],tbl_ledger[充当先ロットID],$B210,tbl_ledger[イベント種類],"充当",tbl_ledger[元状態],D$1)-SUMIFS(tbl_ledger[数量],tbl_ledger[ロットID],$B210,tbl_ledger[元状態],D$1))</f>
        <v/>
      </c>
      <c r="E210" s="4" t="str">
        <f>IF($B210="","",SUMIFS(tbl_ledger[数量],tbl_ledger[ロットID],$B210,tbl_ledger[イベント種類],"アニール完了")+SUMIFS(tbl_ledger[数量],tbl_ledger[充当先ロットID],$B210,tbl_ledger[イベント種類],"充当",tbl_ledger[元状態],E$1)-SUMIFS(tbl_ledger[数量],tbl_ledger[ロットID],$B210,tbl_ledger[元状態],E$1))</f>
        <v/>
      </c>
      <c r="F210" s="4" t="str">
        <f>IF($B210="","",SUMIFS(tbl_ledger[数量],tbl_ledger[ロットID],$B210,tbl_ledger[イベント種類],"アセンブリ完了")+SUMIFS(tbl_ledger[数量],tbl_ledger[充当先ロットID],$B210,tbl_ledger[イベント種類],"充当",tbl_ledger[元状態],F$1)-SUMIFS(tbl_ledger[数量],tbl_ledger[ロットID],$B210,tbl_ledger[元状態],F$1))</f>
        <v/>
      </c>
      <c r="G210" s="4" t="str">
        <f>IF($B210="","",SUMIFS(tbl_ledger[数量],tbl_ledger[ロットID],$B210,tbl_ledger[イベント種類],"梱包完了")+SUMIFS(tbl_ledger[数量],tbl_ledger[充当先ロットID],$B210,tbl_ledger[イベント種類],"充当",tbl_ledger[元状態],G$1)-SUMIFS(tbl_ledger[数量],tbl_ledger[ロットID],$B210,tbl_ledger[元状態],G$1))</f>
        <v/>
      </c>
      <c r="H210" s="4" t="str">
        <f>IF($B210="","",SUMIFS(tbl_ledger[数量],tbl_ledger[ロットID],$B210,tbl_ledger[イベント種類],"発送準備完了")+SUMIFS(tbl_ledger[数量],tbl_ledger[充当先ロットID],$B210,tbl_ledger[イベント種類],"充当",tbl_ledger[元状態],H$1)-SUMIFS(tbl_ledger[数量],tbl_ledger[ロットID],$B210,tbl_ledger[元状態],H$1))</f>
        <v/>
      </c>
      <c r="I210" s="4" t="str">
        <f>IF($B210="","",SUMIFS(tbl_ledger[数量],tbl_ledger[ロットID],$B210,tbl_ledger[イベント種類],"不良発生")+SUMIFS(tbl_ledger[数量],tbl_ledger[充当先ロットID],$B210,tbl_ledger[イベント種類],"充当",tbl_ledger[元状態],I$1)-SUMIFS(tbl_ledger[数量],tbl_ledger[ロットID],$B210,tbl_ledger[元状態],I$1))</f>
        <v/>
      </c>
      <c r="J210" s="4" t="str">
        <f t="shared" si="7"/>
        <v/>
      </c>
    </row>
    <row r="211" spans="1:10" ht="15" x14ac:dyDescent="0.25">
      <c r="A211" s="4" t="str">
        <f t="shared" si="6"/>
        <v/>
      </c>
      <c r="B211" s="4" t="str">
        <f>IFERROR(IF(COUNTIF($B$1:$B210,INDEX(tbl_plan[ロットID],ROW()-1))&gt;0,"",INDEX(tbl_plan[ロットID],ROW()-1)),"")</f>
        <v/>
      </c>
      <c r="C211" s="4" t="str">
        <f>IF($B211="","",INDEX(tbl_plan[品番],ROW()-1))</f>
        <v/>
      </c>
      <c r="D211" s="4" t="str">
        <f>IF($B211="","",SUMIFS(tbl_ledger[数量],tbl_ledger[ロットID],$B211,tbl_ledger[イベント種類],"搬入")+SUMIFS(tbl_ledger[数量],tbl_ledger[充当先ロットID],$B211,tbl_ledger[イベント種類],"充当",tbl_ledger[元状態],D$1)-SUMIFS(tbl_ledger[数量],tbl_ledger[ロットID],$B211,tbl_ledger[元状態],D$1))</f>
        <v/>
      </c>
      <c r="E211" s="4" t="str">
        <f>IF($B211="","",SUMIFS(tbl_ledger[数量],tbl_ledger[ロットID],$B211,tbl_ledger[イベント種類],"アニール完了")+SUMIFS(tbl_ledger[数量],tbl_ledger[充当先ロットID],$B211,tbl_ledger[イベント種類],"充当",tbl_ledger[元状態],E$1)-SUMIFS(tbl_ledger[数量],tbl_ledger[ロットID],$B211,tbl_ledger[元状態],E$1))</f>
        <v/>
      </c>
      <c r="F211" s="4" t="str">
        <f>IF($B211="","",SUMIFS(tbl_ledger[数量],tbl_ledger[ロットID],$B211,tbl_ledger[イベント種類],"アセンブリ完了")+SUMIFS(tbl_ledger[数量],tbl_ledger[充当先ロットID],$B211,tbl_ledger[イベント種類],"充当",tbl_ledger[元状態],F$1)-SUMIFS(tbl_ledger[数量],tbl_ledger[ロットID],$B211,tbl_ledger[元状態],F$1))</f>
        <v/>
      </c>
      <c r="G211" s="4" t="str">
        <f>IF($B211="","",SUMIFS(tbl_ledger[数量],tbl_ledger[ロットID],$B211,tbl_ledger[イベント種類],"梱包完了")+SUMIFS(tbl_ledger[数量],tbl_ledger[充当先ロットID],$B211,tbl_ledger[イベント種類],"充当",tbl_ledger[元状態],G$1)-SUMIFS(tbl_ledger[数量],tbl_ledger[ロットID],$B211,tbl_ledger[元状態],G$1))</f>
        <v/>
      </c>
      <c r="H211" s="4" t="str">
        <f>IF($B211="","",SUMIFS(tbl_ledger[数量],tbl_ledger[ロットID],$B211,tbl_ledger[イベント種類],"発送準備完了")+SUMIFS(tbl_ledger[数量],tbl_ledger[充当先ロットID],$B211,tbl_ledger[イベント種類],"充当",tbl_ledger[元状態],H$1)-SUMIFS(tbl_ledger[数量],tbl_ledger[ロットID],$B211,tbl_ledger[元状態],H$1))</f>
        <v/>
      </c>
      <c r="I211" s="4" t="str">
        <f>IF($B211="","",SUMIFS(tbl_ledger[数量],tbl_ledger[ロットID],$B211,tbl_ledger[イベント種類],"不良発生")+SUMIFS(tbl_ledger[数量],tbl_ledger[充当先ロットID],$B211,tbl_ledger[イベント種類],"充当",tbl_ledger[元状態],I$1)-SUMIFS(tbl_ledger[数量],tbl_ledger[ロットID],$B211,tbl_ledger[元状態],I$1))</f>
        <v/>
      </c>
      <c r="J211" s="4" t="str">
        <f t="shared" si="7"/>
        <v/>
      </c>
    </row>
    <row r="212" spans="1:10" ht="15" x14ac:dyDescent="0.25">
      <c r="A212" s="4" t="str">
        <f t="shared" si="6"/>
        <v/>
      </c>
      <c r="B212" s="4" t="str">
        <f>IFERROR(IF(COUNTIF($B$1:$B211,INDEX(tbl_plan[ロットID],ROW()-1))&gt;0,"",INDEX(tbl_plan[ロットID],ROW()-1)),"")</f>
        <v/>
      </c>
      <c r="C212" s="4" t="str">
        <f>IF($B212="","",INDEX(tbl_plan[品番],ROW()-1))</f>
        <v/>
      </c>
      <c r="D212" s="4" t="str">
        <f>IF($B212="","",SUMIFS(tbl_ledger[数量],tbl_ledger[ロットID],$B212,tbl_ledger[イベント種類],"搬入")+SUMIFS(tbl_ledger[数量],tbl_ledger[充当先ロットID],$B212,tbl_ledger[イベント種類],"充当",tbl_ledger[元状態],D$1)-SUMIFS(tbl_ledger[数量],tbl_ledger[ロットID],$B212,tbl_ledger[元状態],D$1))</f>
        <v/>
      </c>
      <c r="E212" s="4" t="str">
        <f>IF($B212="","",SUMIFS(tbl_ledger[数量],tbl_ledger[ロットID],$B212,tbl_ledger[イベント種類],"アニール完了")+SUMIFS(tbl_ledger[数量],tbl_ledger[充当先ロットID],$B212,tbl_ledger[イベント種類],"充当",tbl_ledger[元状態],E$1)-SUMIFS(tbl_ledger[数量],tbl_ledger[ロットID],$B212,tbl_ledger[元状態],E$1))</f>
        <v/>
      </c>
      <c r="F212" s="4" t="str">
        <f>IF($B212="","",SUMIFS(tbl_ledger[数量],tbl_ledger[ロットID],$B212,tbl_ledger[イベント種類],"アセンブリ完了")+SUMIFS(tbl_ledger[数量],tbl_ledger[充当先ロットID],$B212,tbl_ledger[イベント種類],"充当",tbl_ledger[元状態],F$1)-SUMIFS(tbl_ledger[数量],tbl_ledger[ロットID],$B212,tbl_ledger[元状態],F$1))</f>
        <v/>
      </c>
      <c r="G212" s="4" t="str">
        <f>IF($B212="","",SUMIFS(tbl_ledger[数量],tbl_ledger[ロットID],$B212,tbl_ledger[イベント種類],"梱包完了")+SUMIFS(tbl_ledger[数量],tbl_ledger[充当先ロットID],$B212,tbl_ledger[イベント種類],"充当",tbl_ledger[元状態],G$1)-SUMIFS(tbl_ledger[数量],tbl_ledger[ロットID],$B212,tbl_ledger[元状態],G$1))</f>
        <v/>
      </c>
      <c r="H212" s="4" t="str">
        <f>IF($B212="","",SUMIFS(tbl_ledger[数量],tbl_ledger[ロットID],$B212,tbl_ledger[イベント種類],"発送準備完了")+SUMIFS(tbl_ledger[数量],tbl_ledger[充当先ロットID],$B212,tbl_ledger[イベント種類],"充当",tbl_ledger[元状態],H$1)-SUMIFS(tbl_ledger[数量],tbl_ledger[ロットID],$B212,tbl_ledger[元状態],H$1))</f>
        <v/>
      </c>
      <c r="I212" s="4" t="str">
        <f>IF($B212="","",SUMIFS(tbl_ledger[数量],tbl_ledger[ロットID],$B212,tbl_ledger[イベント種類],"不良発生")+SUMIFS(tbl_ledger[数量],tbl_ledger[充当先ロットID],$B212,tbl_ledger[イベント種類],"充当",tbl_ledger[元状態],I$1)-SUMIFS(tbl_ledger[数量],tbl_ledger[ロットID],$B212,tbl_ledger[元状態],I$1))</f>
        <v/>
      </c>
      <c r="J212" s="4" t="str">
        <f t="shared" si="7"/>
        <v/>
      </c>
    </row>
    <row r="213" spans="1:10" ht="15" x14ac:dyDescent="0.25">
      <c r="A213" s="4" t="str">
        <f t="shared" si="6"/>
        <v/>
      </c>
      <c r="B213" s="4" t="str">
        <f>IFERROR(IF(COUNTIF($B$1:$B212,INDEX(tbl_plan[ロットID],ROW()-1))&gt;0,"",INDEX(tbl_plan[ロットID],ROW()-1)),"")</f>
        <v/>
      </c>
      <c r="C213" s="4" t="str">
        <f>IF($B213="","",INDEX(tbl_plan[品番],ROW()-1))</f>
        <v/>
      </c>
      <c r="D213" s="4" t="str">
        <f>IF($B213="","",SUMIFS(tbl_ledger[数量],tbl_ledger[ロットID],$B213,tbl_ledger[イベント種類],"搬入")+SUMIFS(tbl_ledger[数量],tbl_ledger[充当先ロットID],$B213,tbl_ledger[イベント種類],"充当",tbl_ledger[元状態],D$1)-SUMIFS(tbl_ledger[数量],tbl_ledger[ロットID],$B213,tbl_ledger[元状態],D$1))</f>
        <v/>
      </c>
      <c r="E213" s="4" t="str">
        <f>IF($B213="","",SUMIFS(tbl_ledger[数量],tbl_ledger[ロットID],$B213,tbl_ledger[イベント種類],"アニール完了")+SUMIFS(tbl_ledger[数量],tbl_ledger[充当先ロットID],$B213,tbl_ledger[イベント種類],"充当",tbl_ledger[元状態],E$1)-SUMIFS(tbl_ledger[数量],tbl_ledger[ロットID],$B213,tbl_ledger[元状態],E$1))</f>
        <v/>
      </c>
      <c r="F213" s="4" t="str">
        <f>IF($B213="","",SUMIFS(tbl_ledger[数量],tbl_ledger[ロットID],$B213,tbl_ledger[イベント種類],"アセンブリ完了")+SUMIFS(tbl_ledger[数量],tbl_ledger[充当先ロットID],$B213,tbl_ledger[イベント種類],"充当",tbl_ledger[元状態],F$1)-SUMIFS(tbl_ledger[数量],tbl_ledger[ロットID],$B213,tbl_ledger[元状態],F$1))</f>
        <v/>
      </c>
      <c r="G213" s="4" t="str">
        <f>IF($B213="","",SUMIFS(tbl_ledger[数量],tbl_ledger[ロットID],$B213,tbl_ledger[イベント種類],"梱包完了")+SUMIFS(tbl_ledger[数量],tbl_ledger[充当先ロットID],$B213,tbl_ledger[イベント種類],"充当",tbl_ledger[元状態],G$1)-SUMIFS(tbl_ledger[数量],tbl_ledger[ロットID],$B213,tbl_ledger[元状態],G$1))</f>
        <v/>
      </c>
      <c r="H213" s="4" t="str">
        <f>IF($B213="","",SUMIFS(tbl_ledger[数量],tbl_ledger[ロットID],$B213,tbl_ledger[イベント種類],"発送準備完了")+SUMIFS(tbl_ledger[数量],tbl_ledger[充当先ロットID],$B213,tbl_ledger[イベント種類],"充当",tbl_ledger[元状態],H$1)-SUMIFS(tbl_ledger[数量],tbl_ledger[ロットID],$B213,tbl_ledger[元状態],H$1))</f>
        <v/>
      </c>
      <c r="I213" s="4" t="str">
        <f>IF($B213="","",SUMIFS(tbl_ledger[数量],tbl_ledger[ロットID],$B213,tbl_ledger[イベント種類],"不良発生")+SUMIFS(tbl_ledger[数量],tbl_ledger[充当先ロットID],$B213,tbl_ledger[イベント種類],"充当",tbl_ledger[元状態],I$1)-SUMIFS(tbl_ledger[数量],tbl_ledger[ロットID],$B213,tbl_ledger[元状態],I$1))</f>
        <v/>
      </c>
      <c r="J213" s="4" t="str">
        <f t="shared" si="7"/>
        <v/>
      </c>
    </row>
    <row r="214" spans="1:10" ht="15" x14ac:dyDescent="0.25">
      <c r="A214" s="4" t="str">
        <f t="shared" si="6"/>
        <v/>
      </c>
      <c r="B214" s="4" t="str">
        <f>IFERROR(IF(COUNTIF($B$1:$B213,INDEX(tbl_plan[ロットID],ROW()-1))&gt;0,"",INDEX(tbl_plan[ロットID],ROW()-1)),"")</f>
        <v/>
      </c>
      <c r="C214" s="4" t="str">
        <f>IF($B214="","",INDEX(tbl_plan[品番],ROW()-1))</f>
        <v/>
      </c>
      <c r="D214" s="4" t="str">
        <f>IF($B214="","",SUMIFS(tbl_ledger[数量],tbl_ledger[ロットID],$B214,tbl_ledger[イベント種類],"搬入")+SUMIFS(tbl_ledger[数量],tbl_ledger[充当先ロットID],$B214,tbl_ledger[イベント種類],"充当",tbl_ledger[元状態],D$1)-SUMIFS(tbl_ledger[数量],tbl_ledger[ロットID],$B214,tbl_ledger[元状態],D$1))</f>
        <v/>
      </c>
      <c r="E214" s="4" t="str">
        <f>IF($B214="","",SUMIFS(tbl_ledger[数量],tbl_ledger[ロットID],$B214,tbl_ledger[イベント種類],"アニール完了")+SUMIFS(tbl_ledger[数量],tbl_ledger[充当先ロットID],$B214,tbl_ledger[イベント種類],"充当",tbl_ledger[元状態],E$1)-SUMIFS(tbl_ledger[数量],tbl_ledger[ロットID],$B214,tbl_ledger[元状態],E$1))</f>
        <v/>
      </c>
      <c r="F214" s="4" t="str">
        <f>IF($B214="","",SUMIFS(tbl_ledger[数量],tbl_ledger[ロットID],$B214,tbl_ledger[イベント種類],"アセンブリ完了")+SUMIFS(tbl_ledger[数量],tbl_ledger[充当先ロットID],$B214,tbl_ledger[イベント種類],"充当",tbl_ledger[元状態],F$1)-SUMIFS(tbl_ledger[数量],tbl_ledger[ロットID],$B214,tbl_ledger[元状態],F$1))</f>
        <v/>
      </c>
      <c r="G214" s="4" t="str">
        <f>IF($B214="","",SUMIFS(tbl_ledger[数量],tbl_ledger[ロットID],$B214,tbl_ledger[イベント種類],"梱包完了")+SUMIFS(tbl_ledger[数量],tbl_ledger[充当先ロットID],$B214,tbl_ledger[イベント種類],"充当",tbl_ledger[元状態],G$1)-SUMIFS(tbl_ledger[数量],tbl_ledger[ロットID],$B214,tbl_ledger[元状態],G$1))</f>
        <v/>
      </c>
      <c r="H214" s="4" t="str">
        <f>IF($B214="","",SUMIFS(tbl_ledger[数量],tbl_ledger[ロットID],$B214,tbl_ledger[イベント種類],"発送準備完了")+SUMIFS(tbl_ledger[数量],tbl_ledger[充当先ロットID],$B214,tbl_ledger[イベント種類],"充当",tbl_ledger[元状態],H$1)-SUMIFS(tbl_ledger[数量],tbl_ledger[ロットID],$B214,tbl_ledger[元状態],H$1))</f>
        <v/>
      </c>
      <c r="I214" s="4" t="str">
        <f>IF($B214="","",SUMIFS(tbl_ledger[数量],tbl_ledger[ロットID],$B214,tbl_ledger[イベント種類],"不良発生")+SUMIFS(tbl_ledger[数量],tbl_ledger[充当先ロットID],$B214,tbl_ledger[イベント種類],"充当",tbl_ledger[元状態],I$1)-SUMIFS(tbl_ledger[数量],tbl_ledger[ロットID],$B214,tbl_ledger[元状態],I$1))</f>
        <v/>
      </c>
      <c r="J214" s="4" t="str">
        <f t="shared" si="7"/>
        <v/>
      </c>
    </row>
    <row r="215" spans="1:10" ht="15" x14ac:dyDescent="0.25">
      <c r="A215" s="4" t="str">
        <f t="shared" si="6"/>
        <v/>
      </c>
      <c r="B215" s="4" t="str">
        <f>IFERROR(IF(COUNTIF($B$1:$B214,INDEX(tbl_plan[ロットID],ROW()-1))&gt;0,"",INDEX(tbl_plan[ロットID],ROW()-1)),"")</f>
        <v/>
      </c>
      <c r="C215" s="4" t="str">
        <f>IF($B215="","",INDEX(tbl_plan[品番],ROW()-1))</f>
        <v/>
      </c>
      <c r="D215" s="4" t="str">
        <f>IF($B215="","",SUMIFS(tbl_ledger[数量],tbl_ledger[ロットID],$B215,tbl_ledger[イベント種類],"搬入")+SUMIFS(tbl_ledger[数量],tbl_ledger[充当先ロットID],$B215,tbl_ledger[イベント種類],"充当",tbl_ledger[元状態],D$1)-SUMIFS(tbl_ledger[数量],tbl_ledger[ロットID],$B215,tbl_ledger[元状態],D$1))</f>
        <v/>
      </c>
      <c r="E215" s="4" t="str">
        <f>IF($B215="","",SUMIFS(tbl_ledger[数量],tbl_ledger[ロットID],$B215,tbl_ledger[イベント種類],"アニール完了")+SUMIFS(tbl_ledger[数量],tbl_ledger[充当先ロットID],$B215,tbl_ledger[イベント種類],"充当",tbl_ledger[元状態],E$1)-SUMIFS(tbl_ledger[数量],tbl_ledger[ロットID],$B215,tbl_ledger[元状態],E$1))</f>
        <v/>
      </c>
      <c r="F215" s="4" t="str">
        <f>IF($B215="","",SUMIFS(tbl_ledger[数量],tbl_ledger[ロットID],$B215,tbl_ledger[イベント種類],"アセンブリ完了")+SUMIFS(tbl_ledger[数量],tbl_ledger[充当先ロットID],$B215,tbl_ledger[イベント種類],"充当",tbl_ledger[元状態],F$1)-SUMIFS(tbl_ledger[数量],tbl_ledger[ロットID],$B215,tbl_ledger[元状態],F$1))</f>
        <v/>
      </c>
      <c r="G215" s="4" t="str">
        <f>IF($B215="","",SUMIFS(tbl_ledger[数量],tbl_ledger[ロットID],$B215,tbl_ledger[イベント種類],"梱包完了")+SUMIFS(tbl_ledger[数量],tbl_ledger[充当先ロットID],$B215,tbl_ledger[イベント種類],"充当",tbl_ledger[元状態],G$1)-SUMIFS(tbl_ledger[数量],tbl_ledger[ロットID],$B215,tbl_ledger[元状態],G$1))</f>
        <v/>
      </c>
      <c r="H215" s="4" t="str">
        <f>IF($B215="","",SUMIFS(tbl_ledger[数量],tbl_ledger[ロットID],$B215,tbl_ledger[イベント種類],"発送準備完了")+SUMIFS(tbl_ledger[数量],tbl_ledger[充当先ロットID],$B215,tbl_ledger[イベント種類],"充当",tbl_ledger[元状態],H$1)-SUMIFS(tbl_ledger[数量],tbl_ledger[ロットID],$B215,tbl_ledger[元状態],H$1))</f>
        <v/>
      </c>
      <c r="I215" s="4" t="str">
        <f>IF($B215="","",SUMIFS(tbl_ledger[数量],tbl_ledger[ロットID],$B215,tbl_ledger[イベント種類],"不良発生")+SUMIFS(tbl_ledger[数量],tbl_ledger[充当先ロットID],$B215,tbl_ledger[イベント種類],"充当",tbl_ledger[元状態],I$1)-SUMIFS(tbl_ledger[数量],tbl_ledger[ロットID],$B215,tbl_ledger[元状態],I$1))</f>
        <v/>
      </c>
      <c r="J215" s="4" t="str">
        <f t="shared" si="7"/>
        <v/>
      </c>
    </row>
    <row r="216" spans="1:10" ht="15" x14ac:dyDescent="0.25">
      <c r="A216" s="4" t="str">
        <f t="shared" si="6"/>
        <v/>
      </c>
      <c r="B216" s="4" t="str">
        <f>IFERROR(IF(COUNTIF($B$1:$B215,INDEX(tbl_plan[ロットID],ROW()-1))&gt;0,"",INDEX(tbl_plan[ロットID],ROW()-1)),"")</f>
        <v/>
      </c>
      <c r="C216" s="4" t="str">
        <f>IF($B216="","",INDEX(tbl_plan[品番],ROW()-1))</f>
        <v/>
      </c>
      <c r="D216" s="4" t="str">
        <f>IF($B216="","",SUMIFS(tbl_ledger[数量],tbl_ledger[ロットID],$B216,tbl_ledger[イベント種類],"搬入")+SUMIFS(tbl_ledger[数量],tbl_ledger[充当先ロットID],$B216,tbl_ledger[イベント種類],"充当",tbl_ledger[元状態],D$1)-SUMIFS(tbl_ledger[数量],tbl_ledger[ロットID],$B216,tbl_ledger[元状態],D$1))</f>
        <v/>
      </c>
      <c r="E216" s="4" t="str">
        <f>IF($B216="","",SUMIFS(tbl_ledger[数量],tbl_ledger[ロットID],$B216,tbl_ledger[イベント種類],"アニール完了")+SUMIFS(tbl_ledger[数量],tbl_ledger[充当先ロットID],$B216,tbl_ledger[イベント種類],"充当",tbl_ledger[元状態],E$1)-SUMIFS(tbl_ledger[数量],tbl_ledger[ロットID],$B216,tbl_ledger[元状態],E$1))</f>
        <v/>
      </c>
      <c r="F216" s="4" t="str">
        <f>IF($B216="","",SUMIFS(tbl_ledger[数量],tbl_ledger[ロットID],$B216,tbl_ledger[イベント種類],"アセンブリ完了")+SUMIFS(tbl_ledger[数量],tbl_ledger[充当先ロットID],$B216,tbl_ledger[イベント種類],"充当",tbl_ledger[元状態],F$1)-SUMIFS(tbl_ledger[数量],tbl_ledger[ロットID],$B216,tbl_ledger[元状態],F$1))</f>
        <v/>
      </c>
      <c r="G216" s="4" t="str">
        <f>IF($B216="","",SUMIFS(tbl_ledger[数量],tbl_ledger[ロットID],$B216,tbl_ledger[イベント種類],"梱包完了")+SUMIFS(tbl_ledger[数量],tbl_ledger[充当先ロットID],$B216,tbl_ledger[イベント種類],"充当",tbl_ledger[元状態],G$1)-SUMIFS(tbl_ledger[数量],tbl_ledger[ロットID],$B216,tbl_ledger[元状態],G$1))</f>
        <v/>
      </c>
      <c r="H216" s="4" t="str">
        <f>IF($B216="","",SUMIFS(tbl_ledger[数量],tbl_ledger[ロットID],$B216,tbl_ledger[イベント種類],"発送準備完了")+SUMIFS(tbl_ledger[数量],tbl_ledger[充当先ロットID],$B216,tbl_ledger[イベント種類],"充当",tbl_ledger[元状態],H$1)-SUMIFS(tbl_ledger[数量],tbl_ledger[ロットID],$B216,tbl_ledger[元状態],H$1))</f>
        <v/>
      </c>
      <c r="I216" s="4" t="str">
        <f>IF($B216="","",SUMIFS(tbl_ledger[数量],tbl_ledger[ロットID],$B216,tbl_ledger[イベント種類],"不良発生")+SUMIFS(tbl_ledger[数量],tbl_ledger[充当先ロットID],$B216,tbl_ledger[イベント種類],"充当",tbl_ledger[元状態],I$1)-SUMIFS(tbl_ledger[数量],tbl_ledger[ロットID],$B216,tbl_ledger[元状態],I$1))</f>
        <v/>
      </c>
      <c r="J216" s="4" t="str">
        <f t="shared" si="7"/>
        <v/>
      </c>
    </row>
    <row r="217" spans="1:10" ht="15" x14ac:dyDescent="0.25">
      <c r="A217" s="4" t="str">
        <f t="shared" si="6"/>
        <v/>
      </c>
      <c r="B217" s="4" t="str">
        <f>IFERROR(IF(COUNTIF($B$1:$B216,INDEX(tbl_plan[ロットID],ROW()-1))&gt;0,"",INDEX(tbl_plan[ロットID],ROW()-1)),"")</f>
        <v/>
      </c>
      <c r="C217" s="4" t="str">
        <f>IF($B217="","",INDEX(tbl_plan[品番],ROW()-1))</f>
        <v/>
      </c>
      <c r="D217" s="4" t="str">
        <f>IF($B217="","",SUMIFS(tbl_ledger[数量],tbl_ledger[ロットID],$B217,tbl_ledger[イベント種類],"搬入")+SUMIFS(tbl_ledger[数量],tbl_ledger[充当先ロットID],$B217,tbl_ledger[イベント種類],"充当",tbl_ledger[元状態],D$1)-SUMIFS(tbl_ledger[数量],tbl_ledger[ロットID],$B217,tbl_ledger[元状態],D$1))</f>
        <v/>
      </c>
      <c r="E217" s="4" t="str">
        <f>IF($B217="","",SUMIFS(tbl_ledger[数量],tbl_ledger[ロットID],$B217,tbl_ledger[イベント種類],"アニール完了")+SUMIFS(tbl_ledger[数量],tbl_ledger[充当先ロットID],$B217,tbl_ledger[イベント種類],"充当",tbl_ledger[元状態],E$1)-SUMIFS(tbl_ledger[数量],tbl_ledger[ロットID],$B217,tbl_ledger[元状態],E$1))</f>
        <v/>
      </c>
      <c r="F217" s="4" t="str">
        <f>IF($B217="","",SUMIFS(tbl_ledger[数量],tbl_ledger[ロットID],$B217,tbl_ledger[イベント種類],"アセンブリ完了")+SUMIFS(tbl_ledger[数量],tbl_ledger[充当先ロットID],$B217,tbl_ledger[イベント種類],"充当",tbl_ledger[元状態],F$1)-SUMIFS(tbl_ledger[数量],tbl_ledger[ロットID],$B217,tbl_ledger[元状態],F$1))</f>
        <v/>
      </c>
      <c r="G217" s="4" t="str">
        <f>IF($B217="","",SUMIFS(tbl_ledger[数量],tbl_ledger[ロットID],$B217,tbl_ledger[イベント種類],"梱包完了")+SUMIFS(tbl_ledger[数量],tbl_ledger[充当先ロットID],$B217,tbl_ledger[イベント種類],"充当",tbl_ledger[元状態],G$1)-SUMIFS(tbl_ledger[数量],tbl_ledger[ロットID],$B217,tbl_ledger[元状態],G$1))</f>
        <v/>
      </c>
      <c r="H217" s="4" t="str">
        <f>IF($B217="","",SUMIFS(tbl_ledger[数量],tbl_ledger[ロットID],$B217,tbl_ledger[イベント種類],"発送準備完了")+SUMIFS(tbl_ledger[数量],tbl_ledger[充当先ロットID],$B217,tbl_ledger[イベント種類],"充当",tbl_ledger[元状態],H$1)-SUMIFS(tbl_ledger[数量],tbl_ledger[ロットID],$B217,tbl_ledger[元状態],H$1))</f>
        <v/>
      </c>
      <c r="I217" s="4" t="str">
        <f>IF($B217="","",SUMIFS(tbl_ledger[数量],tbl_ledger[ロットID],$B217,tbl_ledger[イベント種類],"不良発生")+SUMIFS(tbl_ledger[数量],tbl_ledger[充当先ロットID],$B217,tbl_ledger[イベント種類],"充当",tbl_ledger[元状態],I$1)-SUMIFS(tbl_ledger[数量],tbl_ledger[ロットID],$B217,tbl_ledger[元状態],I$1))</f>
        <v/>
      </c>
      <c r="J217" s="4" t="str">
        <f t="shared" si="7"/>
        <v/>
      </c>
    </row>
    <row r="218" spans="1:10" ht="15" x14ac:dyDescent="0.25">
      <c r="A218" s="4" t="str">
        <f t="shared" si="6"/>
        <v/>
      </c>
      <c r="B218" s="4" t="str">
        <f>IFERROR(IF(COUNTIF($B$1:$B217,INDEX(tbl_plan[ロットID],ROW()-1))&gt;0,"",INDEX(tbl_plan[ロットID],ROW()-1)),"")</f>
        <v/>
      </c>
      <c r="C218" s="4" t="str">
        <f>IF($B218="","",INDEX(tbl_plan[品番],ROW()-1))</f>
        <v/>
      </c>
      <c r="D218" s="4" t="str">
        <f>IF($B218="","",SUMIFS(tbl_ledger[数量],tbl_ledger[ロットID],$B218,tbl_ledger[イベント種類],"搬入")+SUMIFS(tbl_ledger[数量],tbl_ledger[充当先ロットID],$B218,tbl_ledger[イベント種類],"充当",tbl_ledger[元状態],D$1)-SUMIFS(tbl_ledger[数量],tbl_ledger[ロットID],$B218,tbl_ledger[元状態],D$1))</f>
        <v/>
      </c>
      <c r="E218" s="4" t="str">
        <f>IF($B218="","",SUMIFS(tbl_ledger[数量],tbl_ledger[ロットID],$B218,tbl_ledger[イベント種類],"アニール完了")+SUMIFS(tbl_ledger[数量],tbl_ledger[充当先ロットID],$B218,tbl_ledger[イベント種類],"充当",tbl_ledger[元状態],E$1)-SUMIFS(tbl_ledger[数量],tbl_ledger[ロットID],$B218,tbl_ledger[元状態],E$1))</f>
        <v/>
      </c>
      <c r="F218" s="4" t="str">
        <f>IF($B218="","",SUMIFS(tbl_ledger[数量],tbl_ledger[ロットID],$B218,tbl_ledger[イベント種類],"アセンブリ完了")+SUMIFS(tbl_ledger[数量],tbl_ledger[充当先ロットID],$B218,tbl_ledger[イベント種類],"充当",tbl_ledger[元状態],F$1)-SUMIFS(tbl_ledger[数量],tbl_ledger[ロットID],$B218,tbl_ledger[元状態],F$1))</f>
        <v/>
      </c>
      <c r="G218" s="4" t="str">
        <f>IF($B218="","",SUMIFS(tbl_ledger[数量],tbl_ledger[ロットID],$B218,tbl_ledger[イベント種類],"梱包完了")+SUMIFS(tbl_ledger[数量],tbl_ledger[充当先ロットID],$B218,tbl_ledger[イベント種類],"充当",tbl_ledger[元状態],G$1)-SUMIFS(tbl_ledger[数量],tbl_ledger[ロットID],$B218,tbl_ledger[元状態],G$1))</f>
        <v/>
      </c>
      <c r="H218" s="4" t="str">
        <f>IF($B218="","",SUMIFS(tbl_ledger[数量],tbl_ledger[ロットID],$B218,tbl_ledger[イベント種類],"発送準備完了")+SUMIFS(tbl_ledger[数量],tbl_ledger[充当先ロットID],$B218,tbl_ledger[イベント種類],"充当",tbl_ledger[元状態],H$1)-SUMIFS(tbl_ledger[数量],tbl_ledger[ロットID],$B218,tbl_ledger[元状態],H$1))</f>
        <v/>
      </c>
      <c r="I218" s="4" t="str">
        <f>IF($B218="","",SUMIFS(tbl_ledger[数量],tbl_ledger[ロットID],$B218,tbl_ledger[イベント種類],"不良発生")+SUMIFS(tbl_ledger[数量],tbl_ledger[充当先ロットID],$B218,tbl_ledger[イベント種類],"充当",tbl_ledger[元状態],I$1)-SUMIFS(tbl_ledger[数量],tbl_ledger[ロットID],$B218,tbl_ledger[元状態],I$1))</f>
        <v/>
      </c>
      <c r="J218" s="4" t="str">
        <f t="shared" si="7"/>
        <v/>
      </c>
    </row>
    <row r="219" spans="1:10" ht="15" x14ac:dyDescent="0.25">
      <c r="A219" s="4" t="str">
        <f t="shared" si="6"/>
        <v/>
      </c>
      <c r="B219" s="4" t="str">
        <f>IFERROR(IF(COUNTIF($B$1:$B218,INDEX(tbl_plan[ロットID],ROW()-1))&gt;0,"",INDEX(tbl_plan[ロットID],ROW()-1)),"")</f>
        <v/>
      </c>
      <c r="C219" s="4" t="str">
        <f>IF($B219="","",INDEX(tbl_plan[品番],ROW()-1))</f>
        <v/>
      </c>
      <c r="D219" s="4" t="str">
        <f>IF($B219="","",SUMIFS(tbl_ledger[数量],tbl_ledger[ロットID],$B219,tbl_ledger[イベント種類],"搬入")+SUMIFS(tbl_ledger[数量],tbl_ledger[充当先ロットID],$B219,tbl_ledger[イベント種類],"充当",tbl_ledger[元状態],D$1)-SUMIFS(tbl_ledger[数量],tbl_ledger[ロットID],$B219,tbl_ledger[元状態],D$1))</f>
        <v/>
      </c>
      <c r="E219" s="4" t="str">
        <f>IF($B219="","",SUMIFS(tbl_ledger[数量],tbl_ledger[ロットID],$B219,tbl_ledger[イベント種類],"アニール完了")+SUMIFS(tbl_ledger[数量],tbl_ledger[充当先ロットID],$B219,tbl_ledger[イベント種類],"充当",tbl_ledger[元状態],E$1)-SUMIFS(tbl_ledger[数量],tbl_ledger[ロットID],$B219,tbl_ledger[元状態],E$1))</f>
        <v/>
      </c>
      <c r="F219" s="4" t="str">
        <f>IF($B219="","",SUMIFS(tbl_ledger[数量],tbl_ledger[ロットID],$B219,tbl_ledger[イベント種類],"アセンブリ完了")+SUMIFS(tbl_ledger[数量],tbl_ledger[充当先ロットID],$B219,tbl_ledger[イベント種類],"充当",tbl_ledger[元状態],F$1)-SUMIFS(tbl_ledger[数量],tbl_ledger[ロットID],$B219,tbl_ledger[元状態],F$1))</f>
        <v/>
      </c>
      <c r="G219" s="4" t="str">
        <f>IF($B219="","",SUMIFS(tbl_ledger[数量],tbl_ledger[ロットID],$B219,tbl_ledger[イベント種類],"梱包完了")+SUMIFS(tbl_ledger[数量],tbl_ledger[充当先ロットID],$B219,tbl_ledger[イベント種類],"充当",tbl_ledger[元状態],G$1)-SUMIFS(tbl_ledger[数量],tbl_ledger[ロットID],$B219,tbl_ledger[元状態],G$1))</f>
        <v/>
      </c>
      <c r="H219" s="4" t="str">
        <f>IF($B219="","",SUMIFS(tbl_ledger[数量],tbl_ledger[ロットID],$B219,tbl_ledger[イベント種類],"発送準備完了")+SUMIFS(tbl_ledger[数量],tbl_ledger[充当先ロットID],$B219,tbl_ledger[イベント種類],"充当",tbl_ledger[元状態],H$1)-SUMIFS(tbl_ledger[数量],tbl_ledger[ロットID],$B219,tbl_ledger[元状態],H$1))</f>
        <v/>
      </c>
      <c r="I219" s="4" t="str">
        <f>IF($B219="","",SUMIFS(tbl_ledger[数量],tbl_ledger[ロットID],$B219,tbl_ledger[イベント種類],"不良発生")+SUMIFS(tbl_ledger[数量],tbl_ledger[充当先ロットID],$B219,tbl_ledger[イベント種類],"充当",tbl_ledger[元状態],I$1)-SUMIFS(tbl_ledger[数量],tbl_ledger[ロットID],$B219,tbl_ledger[元状態],I$1))</f>
        <v/>
      </c>
      <c r="J219" s="4" t="str">
        <f t="shared" si="7"/>
        <v/>
      </c>
    </row>
    <row r="220" spans="1:10" ht="15" x14ac:dyDescent="0.25">
      <c r="A220" s="4" t="str">
        <f t="shared" si="6"/>
        <v/>
      </c>
      <c r="B220" s="4" t="str">
        <f>IFERROR(IF(COUNTIF($B$1:$B219,INDEX(tbl_plan[ロットID],ROW()-1))&gt;0,"",INDEX(tbl_plan[ロットID],ROW()-1)),"")</f>
        <v/>
      </c>
      <c r="C220" s="4" t="str">
        <f>IF($B220="","",INDEX(tbl_plan[品番],ROW()-1))</f>
        <v/>
      </c>
      <c r="D220" s="4" t="str">
        <f>IF($B220="","",SUMIFS(tbl_ledger[数量],tbl_ledger[ロットID],$B220,tbl_ledger[イベント種類],"搬入")+SUMIFS(tbl_ledger[数量],tbl_ledger[充当先ロットID],$B220,tbl_ledger[イベント種類],"充当",tbl_ledger[元状態],D$1)-SUMIFS(tbl_ledger[数量],tbl_ledger[ロットID],$B220,tbl_ledger[元状態],D$1))</f>
        <v/>
      </c>
      <c r="E220" s="4" t="str">
        <f>IF($B220="","",SUMIFS(tbl_ledger[数量],tbl_ledger[ロットID],$B220,tbl_ledger[イベント種類],"アニール完了")+SUMIFS(tbl_ledger[数量],tbl_ledger[充当先ロットID],$B220,tbl_ledger[イベント種類],"充当",tbl_ledger[元状態],E$1)-SUMIFS(tbl_ledger[数量],tbl_ledger[ロットID],$B220,tbl_ledger[元状態],E$1))</f>
        <v/>
      </c>
      <c r="F220" s="4" t="str">
        <f>IF($B220="","",SUMIFS(tbl_ledger[数量],tbl_ledger[ロットID],$B220,tbl_ledger[イベント種類],"アセンブリ完了")+SUMIFS(tbl_ledger[数量],tbl_ledger[充当先ロットID],$B220,tbl_ledger[イベント種類],"充当",tbl_ledger[元状態],F$1)-SUMIFS(tbl_ledger[数量],tbl_ledger[ロットID],$B220,tbl_ledger[元状態],F$1))</f>
        <v/>
      </c>
      <c r="G220" s="4" t="str">
        <f>IF($B220="","",SUMIFS(tbl_ledger[数量],tbl_ledger[ロットID],$B220,tbl_ledger[イベント種類],"梱包完了")+SUMIFS(tbl_ledger[数量],tbl_ledger[充当先ロットID],$B220,tbl_ledger[イベント種類],"充当",tbl_ledger[元状態],G$1)-SUMIFS(tbl_ledger[数量],tbl_ledger[ロットID],$B220,tbl_ledger[元状態],G$1))</f>
        <v/>
      </c>
      <c r="H220" s="4" t="str">
        <f>IF($B220="","",SUMIFS(tbl_ledger[数量],tbl_ledger[ロットID],$B220,tbl_ledger[イベント種類],"発送準備完了")+SUMIFS(tbl_ledger[数量],tbl_ledger[充当先ロットID],$B220,tbl_ledger[イベント種類],"充当",tbl_ledger[元状態],H$1)-SUMIFS(tbl_ledger[数量],tbl_ledger[ロットID],$B220,tbl_ledger[元状態],H$1))</f>
        <v/>
      </c>
      <c r="I220" s="4" t="str">
        <f>IF($B220="","",SUMIFS(tbl_ledger[数量],tbl_ledger[ロットID],$B220,tbl_ledger[イベント種類],"不良発生")+SUMIFS(tbl_ledger[数量],tbl_ledger[充当先ロットID],$B220,tbl_ledger[イベント種類],"充当",tbl_ledger[元状態],I$1)-SUMIFS(tbl_ledger[数量],tbl_ledger[ロットID],$B220,tbl_ledger[元状態],I$1))</f>
        <v/>
      </c>
      <c r="J220" s="4" t="str">
        <f t="shared" si="7"/>
        <v/>
      </c>
    </row>
    <row r="221" spans="1:10" ht="15" x14ac:dyDescent="0.25">
      <c r="A221" s="4" t="str">
        <f t="shared" si="6"/>
        <v/>
      </c>
      <c r="B221" s="4" t="str">
        <f>IFERROR(IF(COUNTIF($B$1:$B220,INDEX(tbl_plan[ロットID],ROW()-1))&gt;0,"",INDEX(tbl_plan[ロットID],ROW()-1)),"")</f>
        <v/>
      </c>
      <c r="C221" s="4" t="str">
        <f>IF($B221="","",INDEX(tbl_plan[品番],ROW()-1))</f>
        <v/>
      </c>
      <c r="D221" s="4" t="str">
        <f>IF($B221="","",SUMIFS(tbl_ledger[数量],tbl_ledger[ロットID],$B221,tbl_ledger[イベント種類],"搬入")+SUMIFS(tbl_ledger[数量],tbl_ledger[充当先ロットID],$B221,tbl_ledger[イベント種類],"充当",tbl_ledger[元状態],D$1)-SUMIFS(tbl_ledger[数量],tbl_ledger[ロットID],$B221,tbl_ledger[元状態],D$1))</f>
        <v/>
      </c>
      <c r="E221" s="4" t="str">
        <f>IF($B221="","",SUMIFS(tbl_ledger[数量],tbl_ledger[ロットID],$B221,tbl_ledger[イベント種類],"アニール完了")+SUMIFS(tbl_ledger[数量],tbl_ledger[充当先ロットID],$B221,tbl_ledger[イベント種類],"充当",tbl_ledger[元状態],E$1)-SUMIFS(tbl_ledger[数量],tbl_ledger[ロットID],$B221,tbl_ledger[元状態],E$1))</f>
        <v/>
      </c>
      <c r="F221" s="4" t="str">
        <f>IF($B221="","",SUMIFS(tbl_ledger[数量],tbl_ledger[ロットID],$B221,tbl_ledger[イベント種類],"アセンブリ完了")+SUMIFS(tbl_ledger[数量],tbl_ledger[充当先ロットID],$B221,tbl_ledger[イベント種類],"充当",tbl_ledger[元状態],F$1)-SUMIFS(tbl_ledger[数量],tbl_ledger[ロットID],$B221,tbl_ledger[元状態],F$1))</f>
        <v/>
      </c>
      <c r="G221" s="4" t="str">
        <f>IF($B221="","",SUMIFS(tbl_ledger[数量],tbl_ledger[ロットID],$B221,tbl_ledger[イベント種類],"梱包完了")+SUMIFS(tbl_ledger[数量],tbl_ledger[充当先ロットID],$B221,tbl_ledger[イベント種類],"充当",tbl_ledger[元状態],G$1)-SUMIFS(tbl_ledger[数量],tbl_ledger[ロットID],$B221,tbl_ledger[元状態],G$1))</f>
        <v/>
      </c>
      <c r="H221" s="4" t="str">
        <f>IF($B221="","",SUMIFS(tbl_ledger[数量],tbl_ledger[ロットID],$B221,tbl_ledger[イベント種類],"発送準備完了")+SUMIFS(tbl_ledger[数量],tbl_ledger[充当先ロットID],$B221,tbl_ledger[イベント種類],"充当",tbl_ledger[元状態],H$1)-SUMIFS(tbl_ledger[数量],tbl_ledger[ロットID],$B221,tbl_ledger[元状態],H$1))</f>
        <v/>
      </c>
      <c r="I221" s="4" t="str">
        <f>IF($B221="","",SUMIFS(tbl_ledger[数量],tbl_ledger[ロットID],$B221,tbl_ledger[イベント種類],"不良発生")+SUMIFS(tbl_ledger[数量],tbl_ledger[充当先ロットID],$B221,tbl_ledger[イベント種類],"充当",tbl_ledger[元状態],I$1)-SUMIFS(tbl_ledger[数量],tbl_ledger[ロットID],$B221,tbl_ledger[元状態],I$1))</f>
        <v/>
      </c>
      <c r="J221" s="4" t="str">
        <f t="shared" si="7"/>
        <v/>
      </c>
    </row>
    <row r="222" spans="1:10" ht="15" x14ac:dyDescent="0.25">
      <c r="A222" s="4" t="str">
        <f t="shared" si="6"/>
        <v/>
      </c>
      <c r="B222" s="4" t="str">
        <f>IFERROR(IF(COUNTIF($B$1:$B221,INDEX(tbl_plan[ロットID],ROW()-1))&gt;0,"",INDEX(tbl_plan[ロットID],ROW()-1)),"")</f>
        <v/>
      </c>
      <c r="C222" s="4" t="str">
        <f>IF($B222="","",INDEX(tbl_plan[品番],ROW()-1))</f>
        <v/>
      </c>
      <c r="D222" s="4" t="str">
        <f>IF($B222="","",SUMIFS(tbl_ledger[数量],tbl_ledger[ロットID],$B222,tbl_ledger[イベント種類],"搬入")+SUMIFS(tbl_ledger[数量],tbl_ledger[充当先ロットID],$B222,tbl_ledger[イベント種類],"充当",tbl_ledger[元状態],D$1)-SUMIFS(tbl_ledger[数量],tbl_ledger[ロットID],$B222,tbl_ledger[元状態],D$1))</f>
        <v/>
      </c>
      <c r="E222" s="4" t="str">
        <f>IF($B222="","",SUMIFS(tbl_ledger[数量],tbl_ledger[ロットID],$B222,tbl_ledger[イベント種類],"アニール完了")+SUMIFS(tbl_ledger[数量],tbl_ledger[充当先ロットID],$B222,tbl_ledger[イベント種類],"充当",tbl_ledger[元状態],E$1)-SUMIFS(tbl_ledger[数量],tbl_ledger[ロットID],$B222,tbl_ledger[元状態],E$1))</f>
        <v/>
      </c>
      <c r="F222" s="4" t="str">
        <f>IF($B222="","",SUMIFS(tbl_ledger[数量],tbl_ledger[ロットID],$B222,tbl_ledger[イベント種類],"アセンブリ完了")+SUMIFS(tbl_ledger[数量],tbl_ledger[充当先ロットID],$B222,tbl_ledger[イベント種類],"充当",tbl_ledger[元状態],F$1)-SUMIFS(tbl_ledger[数量],tbl_ledger[ロットID],$B222,tbl_ledger[元状態],F$1))</f>
        <v/>
      </c>
      <c r="G222" s="4" t="str">
        <f>IF($B222="","",SUMIFS(tbl_ledger[数量],tbl_ledger[ロットID],$B222,tbl_ledger[イベント種類],"梱包完了")+SUMIFS(tbl_ledger[数量],tbl_ledger[充当先ロットID],$B222,tbl_ledger[イベント種類],"充当",tbl_ledger[元状態],G$1)-SUMIFS(tbl_ledger[数量],tbl_ledger[ロットID],$B222,tbl_ledger[元状態],G$1))</f>
        <v/>
      </c>
      <c r="H222" s="4" t="str">
        <f>IF($B222="","",SUMIFS(tbl_ledger[数量],tbl_ledger[ロットID],$B222,tbl_ledger[イベント種類],"発送準備完了")+SUMIFS(tbl_ledger[数量],tbl_ledger[充当先ロットID],$B222,tbl_ledger[イベント種類],"充当",tbl_ledger[元状態],H$1)-SUMIFS(tbl_ledger[数量],tbl_ledger[ロットID],$B222,tbl_ledger[元状態],H$1))</f>
        <v/>
      </c>
      <c r="I222" s="4" t="str">
        <f>IF($B222="","",SUMIFS(tbl_ledger[数量],tbl_ledger[ロットID],$B222,tbl_ledger[イベント種類],"不良発生")+SUMIFS(tbl_ledger[数量],tbl_ledger[充当先ロットID],$B222,tbl_ledger[イベント種類],"充当",tbl_ledger[元状態],I$1)-SUMIFS(tbl_ledger[数量],tbl_ledger[ロットID],$B222,tbl_ledger[元状態],I$1))</f>
        <v/>
      </c>
      <c r="J222" s="4" t="str">
        <f t="shared" si="7"/>
        <v/>
      </c>
    </row>
    <row r="223" spans="1:10" ht="15" x14ac:dyDescent="0.25">
      <c r="A223" s="4" t="str">
        <f t="shared" si="6"/>
        <v/>
      </c>
      <c r="B223" s="4" t="str">
        <f>IFERROR(IF(COUNTIF($B$1:$B222,INDEX(tbl_plan[ロットID],ROW()-1))&gt;0,"",INDEX(tbl_plan[ロットID],ROW()-1)),"")</f>
        <v/>
      </c>
      <c r="C223" s="4" t="str">
        <f>IF($B223="","",INDEX(tbl_plan[品番],ROW()-1))</f>
        <v/>
      </c>
      <c r="D223" s="4" t="str">
        <f>IF($B223="","",SUMIFS(tbl_ledger[数量],tbl_ledger[ロットID],$B223,tbl_ledger[イベント種類],"搬入")+SUMIFS(tbl_ledger[数量],tbl_ledger[充当先ロットID],$B223,tbl_ledger[イベント種類],"充当",tbl_ledger[元状態],D$1)-SUMIFS(tbl_ledger[数量],tbl_ledger[ロットID],$B223,tbl_ledger[元状態],D$1))</f>
        <v/>
      </c>
      <c r="E223" s="4" t="str">
        <f>IF($B223="","",SUMIFS(tbl_ledger[数量],tbl_ledger[ロットID],$B223,tbl_ledger[イベント種類],"アニール完了")+SUMIFS(tbl_ledger[数量],tbl_ledger[充当先ロットID],$B223,tbl_ledger[イベント種類],"充当",tbl_ledger[元状態],E$1)-SUMIFS(tbl_ledger[数量],tbl_ledger[ロットID],$B223,tbl_ledger[元状態],E$1))</f>
        <v/>
      </c>
      <c r="F223" s="4" t="str">
        <f>IF($B223="","",SUMIFS(tbl_ledger[数量],tbl_ledger[ロットID],$B223,tbl_ledger[イベント種類],"アセンブリ完了")+SUMIFS(tbl_ledger[数量],tbl_ledger[充当先ロットID],$B223,tbl_ledger[イベント種類],"充当",tbl_ledger[元状態],F$1)-SUMIFS(tbl_ledger[数量],tbl_ledger[ロットID],$B223,tbl_ledger[元状態],F$1))</f>
        <v/>
      </c>
      <c r="G223" s="4" t="str">
        <f>IF($B223="","",SUMIFS(tbl_ledger[数量],tbl_ledger[ロットID],$B223,tbl_ledger[イベント種類],"梱包完了")+SUMIFS(tbl_ledger[数量],tbl_ledger[充当先ロットID],$B223,tbl_ledger[イベント種類],"充当",tbl_ledger[元状態],G$1)-SUMIFS(tbl_ledger[数量],tbl_ledger[ロットID],$B223,tbl_ledger[元状態],G$1))</f>
        <v/>
      </c>
      <c r="H223" s="4" t="str">
        <f>IF($B223="","",SUMIFS(tbl_ledger[数量],tbl_ledger[ロットID],$B223,tbl_ledger[イベント種類],"発送準備完了")+SUMIFS(tbl_ledger[数量],tbl_ledger[充当先ロットID],$B223,tbl_ledger[イベント種類],"充当",tbl_ledger[元状態],H$1)-SUMIFS(tbl_ledger[数量],tbl_ledger[ロットID],$B223,tbl_ledger[元状態],H$1))</f>
        <v/>
      </c>
      <c r="I223" s="4" t="str">
        <f>IF($B223="","",SUMIFS(tbl_ledger[数量],tbl_ledger[ロットID],$B223,tbl_ledger[イベント種類],"不良発生")+SUMIFS(tbl_ledger[数量],tbl_ledger[充当先ロットID],$B223,tbl_ledger[イベント種類],"充当",tbl_ledger[元状態],I$1)-SUMIFS(tbl_ledger[数量],tbl_ledger[ロットID],$B223,tbl_ledger[元状態],I$1))</f>
        <v/>
      </c>
      <c r="J223" s="4" t="str">
        <f t="shared" si="7"/>
        <v/>
      </c>
    </row>
    <row r="224" spans="1:10" ht="15" x14ac:dyDescent="0.25">
      <c r="A224" s="4" t="str">
        <f t="shared" si="6"/>
        <v/>
      </c>
      <c r="B224" s="4" t="str">
        <f>IFERROR(IF(COUNTIF($B$1:$B223,INDEX(tbl_plan[ロットID],ROW()-1))&gt;0,"",INDEX(tbl_plan[ロットID],ROW()-1)),"")</f>
        <v/>
      </c>
      <c r="C224" s="4" t="str">
        <f>IF($B224="","",INDEX(tbl_plan[品番],ROW()-1))</f>
        <v/>
      </c>
      <c r="D224" s="4" t="str">
        <f>IF($B224="","",SUMIFS(tbl_ledger[数量],tbl_ledger[ロットID],$B224,tbl_ledger[イベント種類],"搬入")+SUMIFS(tbl_ledger[数量],tbl_ledger[充当先ロットID],$B224,tbl_ledger[イベント種類],"充当",tbl_ledger[元状態],D$1)-SUMIFS(tbl_ledger[数量],tbl_ledger[ロットID],$B224,tbl_ledger[元状態],D$1))</f>
        <v/>
      </c>
      <c r="E224" s="4" t="str">
        <f>IF($B224="","",SUMIFS(tbl_ledger[数量],tbl_ledger[ロットID],$B224,tbl_ledger[イベント種類],"アニール完了")+SUMIFS(tbl_ledger[数量],tbl_ledger[充当先ロットID],$B224,tbl_ledger[イベント種類],"充当",tbl_ledger[元状態],E$1)-SUMIFS(tbl_ledger[数量],tbl_ledger[ロットID],$B224,tbl_ledger[元状態],E$1))</f>
        <v/>
      </c>
      <c r="F224" s="4" t="str">
        <f>IF($B224="","",SUMIFS(tbl_ledger[数量],tbl_ledger[ロットID],$B224,tbl_ledger[イベント種類],"アセンブリ完了")+SUMIFS(tbl_ledger[数量],tbl_ledger[充当先ロットID],$B224,tbl_ledger[イベント種類],"充当",tbl_ledger[元状態],F$1)-SUMIFS(tbl_ledger[数量],tbl_ledger[ロットID],$B224,tbl_ledger[元状態],F$1))</f>
        <v/>
      </c>
      <c r="G224" s="4" t="str">
        <f>IF($B224="","",SUMIFS(tbl_ledger[数量],tbl_ledger[ロットID],$B224,tbl_ledger[イベント種類],"梱包完了")+SUMIFS(tbl_ledger[数量],tbl_ledger[充当先ロットID],$B224,tbl_ledger[イベント種類],"充当",tbl_ledger[元状態],G$1)-SUMIFS(tbl_ledger[数量],tbl_ledger[ロットID],$B224,tbl_ledger[元状態],G$1))</f>
        <v/>
      </c>
      <c r="H224" s="4" t="str">
        <f>IF($B224="","",SUMIFS(tbl_ledger[数量],tbl_ledger[ロットID],$B224,tbl_ledger[イベント種類],"発送準備完了")+SUMIFS(tbl_ledger[数量],tbl_ledger[充当先ロットID],$B224,tbl_ledger[イベント種類],"充当",tbl_ledger[元状態],H$1)-SUMIFS(tbl_ledger[数量],tbl_ledger[ロットID],$B224,tbl_ledger[元状態],H$1))</f>
        <v/>
      </c>
      <c r="I224" s="4" t="str">
        <f>IF($B224="","",SUMIFS(tbl_ledger[数量],tbl_ledger[ロットID],$B224,tbl_ledger[イベント種類],"不良発生")+SUMIFS(tbl_ledger[数量],tbl_ledger[充当先ロットID],$B224,tbl_ledger[イベント種類],"充当",tbl_ledger[元状態],I$1)-SUMIFS(tbl_ledger[数量],tbl_ledger[ロットID],$B224,tbl_ledger[元状態],I$1))</f>
        <v/>
      </c>
      <c r="J224" s="4" t="str">
        <f t="shared" si="7"/>
        <v/>
      </c>
    </row>
    <row r="225" spans="1:10" ht="15" x14ac:dyDescent="0.25">
      <c r="A225" s="4" t="str">
        <f t="shared" si="6"/>
        <v/>
      </c>
      <c r="B225" s="4" t="str">
        <f>IFERROR(IF(COUNTIF($B$1:$B224,INDEX(tbl_plan[ロットID],ROW()-1))&gt;0,"",INDEX(tbl_plan[ロットID],ROW()-1)),"")</f>
        <v/>
      </c>
      <c r="C225" s="4" t="str">
        <f>IF($B225="","",INDEX(tbl_plan[品番],ROW()-1))</f>
        <v/>
      </c>
      <c r="D225" s="4" t="str">
        <f>IF($B225="","",SUMIFS(tbl_ledger[数量],tbl_ledger[ロットID],$B225,tbl_ledger[イベント種類],"搬入")+SUMIFS(tbl_ledger[数量],tbl_ledger[充当先ロットID],$B225,tbl_ledger[イベント種類],"充当",tbl_ledger[元状態],D$1)-SUMIFS(tbl_ledger[数量],tbl_ledger[ロットID],$B225,tbl_ledger[元状態],D$1))</f>
        <v/>
      </c>
      <c r="E225" s="4" t="str">
        <f>IF($B225="","",SUMIFS(tbl_ledger[数量],tbl_ledger[ロットID],$B225,tbl_ledger[イベント種類],"アニール完了")+SUMIFS(tbl_ledger[数量],tbl_ledger[充当先ロットID],$B225,tbl_ledger[イベント種類],"充当",tbl_ledger[元状態],E$1)-SUMIFS(tbl_ledger[数量],tbl_ledger[ロットID],$B225,tbl_ledger[元状態],E$1))</f>
        <v/>
      </c>
      <c r="F225" s="4" t="str">
        <f>IF($B225="","",SUMIFS(tbl_ledger[数量],tbl_ledger[ロットID],$B225,tbl_ledger[イベント種類],"アセンブリ完了")+SUMIFS(tbl_ledger[数量],tbl_ledger[充当先ロットID],$B225,tbl_ledger[イベント種類],"充当",tbl_ledger[元状態],F$1)-SUMIFS(tbl_ledger[数量],tbl_ledger[ロットID],$B225,tbl_ledger[元状態],F$1))</f>
        <v/>
      </c>
      <c r="G225" s="4" t="str">
        <f>IF($B225="","",SUMIFS(tbl_ledger[数量],tbl_ledger[ロットID],$B225,tbl_ledger[イベント種類],"梱包完了")+SUMIFS(tbl_ledger[数量],tbl_ledger[充当先ロットID],$B225,tbl_ledger[イベント種類],"充当",tbl_ledger[元状態],G$1)-SUMIFS(tbl_ledger[数量],tbl_ledger[ロットID],$B225,tbl_ledger[元状態],G$1))</f>
        <v/>
      </c>
      <c r="H225" s="4" t="str">
        <f>IF($B225="","",SUMIFS(tbl_ledger[数量],tbl_ledger[ロットID],$B225,tbl_ledger[イベント種類],"発送準備完了")+SUMIFS(tbl_ledger[数量],tbl_ledger[充当先ロットID],$B225,tbl_ledger[イベント種類],"充当",tbl_ledger[元状態],H$1)-SUMIFS(tbl_ledger[数量],tbl_ledger[ロットID],$B225,tbl_ledger[元状態],H$1))</f>
        <v/>
      </c>
      <c r="I225" s="4" t="str">
        <f>IF($B225="","",SUMIFS(tbl_ledger[数量],tbl_ledger[ロットID],$B225,tbl_ledger[イベント種類],"不良発生")+SUMIFS(tbl_ledger[数量],tbl_ledger[充当先ロットID],$B225,tbl_ledger[イベント種類],"充当",tbl_ledger[元状態],I$1)-SUMIFS(tbl_ledger[数量],tbl_ledger[ロットID],$B225,tbl_ledger[元状態],I$1))</f>
        <v/>
      </c>
      <c r="J225" s="4" t="str">
        <f t="shared" si="7"/>
        <v/>
      </c>
    </row>
    <row r="226" spans="1:10" ht="15" x14ac:dyDescent="0.25">
      <c r="A226" s="4" t="str">
        <f t="shared" si="6"/>
        <v/>
      </c>
      <c r="B226" s="4" t="str">
        <f>IFERROR(IF(COUNTIF($B$1:$B225,INDEX(tbl_plan[ロットID],ROW()-1))&gt;0,"",INDEX(tbl_plan[ロットID],ROW()-1)),"")</f>
        <v/>
      </c>
      <c r="C226" s="4" t="str">
        <f>IF($B226="","",INDEX(tbl_plan[品番],ROW()-1))</f>
        <v/>
      </c>
      <c r="D226" s="4" t="str">
        <f>IF($B226="","",SUMIFS(tbl_ledger[数量],tbl_ledger[ロットID],$B226,tbl_ledger[イベント種類],"搬入")+SUMIFS(tbl_ledger[数量],tbl_ledger[充当先ロットID],$B226,tbl_ledger[イベント種類],"充当",tbl_ledger[元状態],D$1)-SUMIFS(tbl_ledger[数量],tbl_ledger[ロットID],$B226,tbl_ledger[元状態],D$1))</f>
        <v/>
      </c>
      <c r="E226" s="4" t="str">
        <f>IF($B226="","",SUMIFS(tbl_ledger[数量],tbl_ledger[ロットID],$B226,tbl_ledger[イベント種類],"アニール完了")+SUMIFS(tbl_ledger[数量],tbl_ledger[充当先ロットID],$B226,tbl_ledger[イベント種類],"充当",tbl_ledger[元状態],E$1)-SUMIFS(tbl_ledger[数量],tbl_ledger[ロットID],$B226,tbl_ledger[元状態],E$1))</f>
        <v/>
      </c>
      <c r="F226" s="4" t="str">
        <f>IF($B226="","",SUMIFS(tbl_ledger[数量],tbl_ledger[ロットID],$B226,tbl_ledger[イベント種類],"アセンブリ完了")+SUMIFS(tbl_ledger[数量],tbl_ledger[充当先ロットID],$B226,tbl_ledger[イベント種類],"充当",tbl_ledger[元状態],F$1)-SUMIFS(tbl_ledger[数量],tbl_ledger[ロットID],$B226,tbl_ledger[元状態],F$1))</f>
        <v/>
      </c>
      <c r="G226" s="4" t="str">
        <f>IF($B226="","",SUMIFS(tbl_ledger[数量],tbl_ledger[ロットID],$B226,tbl_ledger[イベント種類],"梱包完了")+SUMIFS(tbl_ledger[数量],tbl_ledger[充当先ロットID],$B226,tbl_ledger[イベント種類],"充当",tbl_ledger[元状態],G$1)-SUMIFS(tbl_ledger[数量],tbl_ledger[ロットID],$B226,tbl_ledger[元状態],G$1))</f>
        <v/>
      </c>
      <c r="H226" s="4" t="str">
        <f>IF($B226="","",SUMIFS(tbl_ledger[数量],tbl_ledger[ロットID],$B226,tbl_ledger[イベント種類],"発送準備完了")+SUMIFS(tbl_ledger[数量],tbl_ledger[充当先ロットID],$B226,tbl_ledger[イベント種類],"充当",tbl_ledger[元状態],H$1)-SUMIFS(tbl_ledger[数量],tbl_ledger[ロットID],$B226,tbl_ledger[元状態],H$1))</f>
        <v/>
      </c>
      <c r="I226" s="4" t="str">
        <f>IF($B226="","",SUMIFS(tbl_ledger[数量],tbl_ledger[ロットID],$B226,tbl_ledger[イベント種類],"不良発生")+SUMIFS(tbl_ledger[数量],tbl_ledger[充当先ロットID],$B226,tbl_ledger[イベント種類],"充当",tbl_ledger[元状態],I$1)-SUMIFS(tbl_ledger[数量],tbl_ledger[ロットID],$B226,tbl_ledger[元状態],I$1))</f>
        <v/>
      </c>
      <c r="J226" s="4" t="str">
        <f t="shared" si="7"/>
        <v/>
      </c>
    </row>
    <row r="227" spans="1:10" ht="15" x14ac:dyDescent="0.25">
      <c r="A227" s="4" t="str">
        <f t="shared" si="6"/>
        <v/>
      </c>
      <c r="B227" s="4" t="str">
        <f>IFERROR(IF(COUNTIF($B$1:$B226,INDEX(tbl_plan[ロットID],ROW()-1))&gt;0,"",INDEX(tbl_plan[ロットID],ROW()-1)),"")</f>
        <v/>
      </c>
      <c r="C227" s="4" t="str">
        <f>IF($B227="","",INDEX(tbl_plan[品番],ROW()-1))</f>
        <v/>
      </c>
      <c r="D227" s="4" t="str">
        <f>IF($B227="","",SUMIFS(tbl_ledger[数量],tbl_ledger[ロットID],$B227,tbl_ledger[イベント種類],"搬入")+SUMIFS(tbl_ledger[数量],tbl_ledger[充当先ロットID],$B227,tbl_ledger[イベント種類],"充当",tbl_ledger[元状態],D$1)-SUMIFS(tbl_ledger[数量],tbl_ledger[ロットID],$B227,tbl_ledger[元状態],D$1))</f>
        <v/>
      </c>
      <c r="E227" s="4" t="str">
        <f>IF($B227="","",SUMIFS(tbl_ledger[数量],tbl_ledger[ロットID],$B227,tbl_ledger[イベント種類],"アニール完了")+SUMIFS(tbl_ledger[数量],tbl_ledger[充当先ロットID],$B227,tbl_ledger[イベント種類],"充当",tbl_ledger[元状態],E$1)-SUMIFS(tbl_ledger[数量],tbl_ledger[ロットID],$B227,tbl_ledger[元状態],E$1))</f>
        <v/>
      </c>
      <c r="F227" s="4" t="str">
        <f>IF($B227="","",SUMIFS(tbl_ledger[数量],tbl_ledger[ロットID],$B227,tbl_ledger[イベント種類],"アセンブリ完了")+SUMIFS(tbl_ledger[数量],tbl_ledger[充当先ロットID],$B227,tbl_ledger[イベント種類],"充当",tbl_ledger[元状態],F$1)-SUMIFS(tbl_ledger[数量],tbl_ledger[ロットID],$B227,tbl_ledger[元状態],F$1))</f>
        <v/>
      </c>
      <c r="G227" s="4" t="str">
        <f>IF($B227="","",SUMIFS(tbl_ledger[数量],tbl_ledger[ロットID],$B227,tbl_ledger[イベント種類],"梱包完了")+SUMIFS(tbl_ledger[数量],tbl_ledger[充当先ロットID],$B227,tbl_ledger[イベント種類],"充当",tbl_ledger[元状態],G$1)-SUMIFS(tbl_ledger[数量],tbl_ledger[ロットID],$B227,tbl_ledger[元状態],G$1))</f>
        <v/>
      </c>
      <c r="H227" s="4" t="str">
        <f>IF($B227="","",SUMIFS(tbl_ledger[数量],tbl_ledger[ロットID],$B227,tbl_ledger[イベント種類],"発送準備完了")+SUMIFS(tbl_ledger[数量],tbl_ledger[充当先ロットID],$B227,tbl_ledger[イベント種類],"充当",tbl_ledger[元状態],H$1)-SUMIFS(tbl_ledger[数量],tbl_ledger[ロットID],$B227,tbl_ledger[元状態],H$1))</f>
        <v/>
      </c>
      <c r="I227" s="4" t="str">
        <f>IF($B227="","",SUMIFS(tbl_ledger[数量],tbl_ledger[ロットID],$B227,tbl_ledger[イベント種類],"不良発生")+SUMIFS(tbl_ledger[数量],tbl_ledger[充当先ロットID],$B227,tbl_ledger[イベント種類],"充当",tbl_ledger[元状態],I$1)-SUMIFS(tbl_ledger[数量],tbl_ledger[ロットID],$B227,tbl_ledger[元状態],I$1))</f>
        <v/>
      </c>
      <c r="J227" s="4" t="str">
        <f t="shared" si="7"/>
        <v/>
      </c>
    </row>
    <row r="228" spans="1:10" ht="15" x14ac:dyDescent="0.25">
      <c r="A228" s="4" t="str">
        <f t="shared" si="6"/>
        <v/>
      </c>
      <c r="B228" s="4" t="str">
        <f>IFERROR(IF(COUNTIF($B$1:$B227,INDEX(tbl_plan[ロットID],ROW()-1))&gt;0,"",INDEX(tbl_plan[ロットID],ROW()-1)),"")</f>
        <v/>
      </c>
      <c r="C228" s="4" t="str">
        <f>IF($B228="","",INDEX(tbl_plan[品番],ROW()-1))</f>
        <v/>
      </c>
      <c r="D228" s="4" t="str">
        <f>IF($B228="","",SUMIFS(tbl_ledger[数量],tbl_ledger[ロットID],$B228,tbl_ledger[イベント種類],"搬入")+SUMIFS(tbl_ledger[数量],tbl_ledger[充当先ロットID],$B228,tbl_ledger[イベント種類],"充当",tbl_ledger[元状態],D$1)-SUMIFS(tbl_ledger[数量],tbl_ledger[ロットID],$B228,tbl_ledger[元状態],D$1))</f>
        <v/>
      </c>
      <c r="E228" s="4" t="str">
        <f>IF($B228="","",SUMIFS(tbl_ledger[数量],tbl_ledger[ロットID],$B228,tbl_ledger[イベント種類],"アニール完了")+SUMIFS(tbl_ledger[数量],tbl_ledger[充当先ロットID],$B228,tbl_ledger[イベント種類],"充当",tbl_ledger[元状態],E$1)-SUMIFS(tbl_ledger[数量],tbl_ledger[ロットID],$B228,tbl_ledger[元状態],E$1))</f>
        <v/>
      </c>
      <c r="F228" s="4" t="str">
        <f>IF($B228="","",SUMIFS(tbl_ledger[数量],tbl_ledger[ロットID],$B228,tbl_ledger[イベント種類],"アセンブリ完了")+SUMIFS(tbl_ledger[数量],tbl_ledger[充当先ロットID],$B228,tbl_ledger[イベント種類],"充当",tbl_ledger[元状態],F$1)-SUMIFS(tbl_ledger[数量],tbl_ledger[ロットID],$B228,tbl_ledger[元状態],F$1))</f>
        <v/>
      </c>
      <c r="G228" s="4" t="str">
        <f>IF($B228="","",SUMIFS(tbl_ledger[数量],tbl_ledger[ロットID],$B228,tbl_ledger[イベント種類],"梱包完了")+SUMIFS(tbl_ledger[数量],tbl_ledger[充当先ロットID],$B228,tbl_ledger[イベント種類],"充当",tbl_ledger[元状態],G$1)-SUMIFS(tbl_ledger[数量],tbl_ledger[ロットID],$B228,tbl_ledger[元状態],G$1))</f>
        <v/>
      </c>
      <c r="H228" s="4" t="str">
        <f>IF($B228="","",SUMIFS(tbl_ledger[数量],tbl_ledger[ロットID],$B228,tbl_ledger[イベント種類],"発送準備完了")+SUMIFS(tbl_ledger[数量],tbl_ledger[充当先ロットID],$B228,tbl_ledger[イベント種類],"充当",tbl_ledger[元状態],H$1)-SUMIFS(tbl_ledger[数量],tbl_ledger[ロットID],$B228,tbl_ledger[元状態],H$1))</f>
        <v/>
      </c>
      <c r="I228" s="4" t="str">
        <f>IF($B228="","",SUMIFS(tbl_ledger[数量],tbl_ledger[ロットID],$B228,tbl_ledger[イベント種類],"不良発生")+SUMIFS(tbl_ledger[数量],tbl_ledger[充当先ロットID],$B228,tbl_ledger[イベント種類],"充当",tbl_ledger[元状態],I$1)-SUMIFS(tbl_ledger[数量],tbl_ledger[ロットID],$B228,tbl_ledger[元状態],I$1))</f>
        <v/>
      </c>
      <c r="J228" s="4" t="str">
        <f t="shared" si="7"/>
        <v/>
      </c>
    </row>
    <row r="229" spans="1:10" ht="15" x14ac:dyDescent="0.25">
      <c r="A229" s="4" t="str">
        <f t="shared" si="6"/>
        <v/>
      </c>
      <c r="B229" s="4" t="str">
        <f>IFERROR(IF(COUNTIF($B$1:$B228,INDEX(tbl_plan[ロットID],ROW()-1))&gt;0,"",INDEX(tbl_plan[ロットID],ROW()-1)),"")</f>
        <v/>
      </c>
      <c r="C229" s="4" t="str">
        <f>IF($B229="","",INDEX(tbl_plan[品番],ROW()-1))</f>
        <v/>
      </c>
      <c r="D229" s="4" t="str">
        <f>IF($B229="","",SUMIFS(tbl_ledger[数量],tbl_ledger[ロットID],$B229,tbl_ledger[イベント種類],"搬入")+SUMIFS(tbl_ledger[数量],tbl_ledger[充当先ロットID],$B229,tbl_ledger[イベント種類],"充当",tbl_ledger[元状態],D$1)-SUMIFS(tbl_ledger[数量],tbl_ledger[ロットID],$B229,tbl_ledger[元状態],D$1))</f>
        <v/>
      </c>
      <c r="E229" s="4" t="str">
        <f>IF($B229="","",SUMIFS(tbl_ledger[数量],tbl_ledger[ロットID],$B229,tbl_ledger[イベント種類],"アニール完了")+SUMIFS(tbl_ledger[数量],tbl_ledger[充当先ロットID],$B229,tbl_ledger[イベント種類],"充当",tbl_ledger[元状態],E$1)-SUMIFS(tbl_ledger[数量],tbl_ledger[ロットID],$B229,tbl_ledger[元状態],E$1))</f>
        <v/>
      </c>
      <c r="F229" s="4" t="str">
        <f>IF($B229="","",SUMIFS(tbl_ledger[数量],tbl_ledger[ロットID],$B229,tbl_ledger[イベント種類],"アセンブリ完了")+SUMIFS(tbl_ledger[数量],tbl_ledger[充当先ロットID],$B229,tbl_ledger[イベント種類],"充当",tbl_ledger[元状態],F$1)-SUMIFS(tbl_ledger[数量],tbl_ledger[ロットID],$B229,tbl_ledger[元状態],F$1))</f>
        <v/>
      </c>
      <c r="G229" s="4" t="str">
        <f>IF($B229="","",SUMIFS(tbl_ledger[数量],tbl_ledger[ロットID],$B229,tbl_ledger[イベント種類],"梱包完了")+SUMIFS(tbl_ledger[数量],tbl_ledger[充当先ロットID],$B229,tbl_ledger[イベント種類],"充当",tbl_ledger[元状態],G$1)-SUMIFS(tbl_ledger[数量],tbl_ledger[ロットID],$B229,tbl_ledger[元状態],G$1))</f>
        <v/>
      </c>
      <c r="H229" s="4" t="str">
        <f>IF($B229="","",SUMIFS(tbl_ledger[数量],tbl_ledger[ロットID],$B229,tbl_ledger[イベント種類],"発送準備完了")+SUMIFS(tbl_ledger[数量],tbl_ledger[充当先ロットID],$B229,tbl_ledger[イベント種類],"充当",tbl_ledger[元状態],H$1)-SUMIFS(tbl_ledger[数量],tbl_ledger[ロットID],$B229,tbl_ledger[元状態],H$1))</f>
        <v/>
      </c>
      <c r="I229" s="4" t="str">
        <f>IF($B229="","",SUMIFS(tbl_ledger[数量],tbl_ledger[ロットID],$B229,tbl_ledger[イベント種類],"不良発生")+SUMIFS(tbl_ledger[数量],tbl_ledger[充当先ロットID],$B229,tbl_ledger[イベント種類],"充当",tbl_ledger[元状態],I$1)-SUMIFS(tbl_ledger[数量],tbl_ledger[ロットID],$B229,tbl_ledger[元状態],I$1))</f>
        <v/>
      </c>
      <c r="J229" s="4" t="str">
        <f t="shared" si="7"/>
        <v/>
      </c>
    </row>
    <row r="230" spans="1:10" ht="15" x14ac:dyDescent="0.25">
      <c r="A230" s="4" t="str">
        <f t="shared" si="6"/>
        <v/>
      </c>
      <c r="B230" s="4" t="str">
        <f>IFERROR(IF(COUNTIF($B$1:$B229,INDEX(tbl_plan[ロットID],ROW()-1))&gt;0,"",INDEX(tbl_plan[ロットID],ROW()-1)),"")</f>
        <v/>
      </c>
      <c r="C230" s="4" t="str">
        <f>IF($B230="","",INDEX(tbl_plan[品番],ROW()-1))</f>
        <v/>
      </c>
      <c r="D230" s="4" t="str">
        <f>IF($B230="","",SUMIFS(tbl_ledger[数量],tbl_ledger[ロットID],$B230,tbl_ledger[イベント種類],"搬入")+SUMIFS(tbl_ledger[数量],tbl_ledger[充当先ロットID],$B230,tbl_ledger[イベント種類],"充当",tbl_ledger[元状態],D$1)-SUMIFS(tbl_ledger[数量],tbl_ledger[ロットID],$B230,tbl_ledger[元状態],D$1))</f>
        <v/>
      </c>
      <c r="E230" s="4" t="str">
        <f>IF($B230="","",SUMIFS(tbl_ledger[数量],tbl_ledger[ロットID],$B230,tbl_ledger[イベント種類],"アニール完了")+SUMIFS(tbl_ledger[数量],tbl_ledger[充当先ロットID],$B230,tbl_ledger[イベント種類],"充当",tbl_ledger[元状態],E$1)-SUMIFS(tbl_ledger[数量],tbl_ledger[ロットID],$B230,tbl_ledger[元状態],E$1))</f>
        <v/>
      </c>
      <c r="F230" s="4" t="str">
        <f>IF($B230="","",SUMIFS(tbl_ledger[数量],tbl_ledger[ロットID],$B230,tbl_ledger[イベント種類],"アセンブリ完了")+SUMIFS(tbl_ledger[数量],tbl_ledger[充当先ロットID],$B230,tbl_ledger[イベント種類],"充当",tbl_ledger[元状態],F$1)-SUMIFS(tbl_ledger[数量],tbl_ledger[ロットID],$B230,tbl_ledger[元状態],F$1))</f>
        <v/>
      </c>
      <c r="G230" s="4" t="str">
        <f>IF($B230="","",SUMIFS(tbl_ledger[数量],tbl_ledger[ロットID],$B230,tbl_ledger[イベント種類],"梱包完了")+SUMIFS(tbl_ledger[数量],tbl_ledger[充当先ロットID],$B230,tbl_ledger[イベント種類],"充当",tbl_ledger[元状態],G$1)-SUMIFS(tbl_ledger[数量],tbl_ledger[ロットID],$B230,tbl_ledger[元状態],G$1))</f>
        <v/>
      </c>
      <c r="H230" s="4" t="str">
        <f>IF($B230="","",SUMIFS(tbl_ledger[数量],tbl_ledger[ロットID],$B230,tbl_ledger[イベント種類],"発送準備完了")+SUMIFS(tbl_ledger[数量],tbl_ledger[充当先ロットID],$B230,tbl_ledger[イベント種類],"充当",tbl_ledger[元状態],H$1)-SUMIFS(tbl_ledger[数量],tbl_ledger[ロットID],$B230,tbl_ledger[元状態],H$1))</f>
        <v/>
      </c>
      <c r="I230" s="4" t="str">
        <f>IF($B230="","",SUMIFS(tbl_ledger[数量],tbl_ledger[ロットID],$B230,tbl_ledger[イベント種類],"不良発生")+SUMIFS(tbl_ledger[数量],tbl_ledger[充当先ロットID],$B230,tbl_ledger[イベント種類],"充当",tbl_ledger[元状態],I$1)-SUMIFS(tbl_ledger[数量],tbl_ledger[ロットID],$B230,tbl_ledger[元状態],I$1))</f>
        <v/>
      </c>
      <c r="J230" s="4" t="str">
        <f t="shared" si="7"/>
        <v/>
      </c>
    </row>
    <row r="231" spans="1:10" ht="15" x14ac:dyDescent="0.25">
      <c r="A231" s="4" t="str">
        <f t="shared" si="6"/>
        <v/>
      </c>
      <c r="B231" s="4" t="str">
        <f>IFERROR(IF(COUNTIF($B$1:$B230,INDEX(tbl_plan[ロットID],ROW()-1))&gt;0,"",INDEX(tbl_plan[ロットID],ROW()-1)),"")</f>
        <v/>
      </c>
      <c r="C231" s="4" t="str">
        <f>IF($B231="","",INDEX(tbl_plan[品番],ROW()-1))</f>
        <v/>
      </c>
      <c r="D231" s="4" t="str">
        <f>IF($B231="","",SUMIFS(tbl_ledger[数量],tbl_ledger[ロットID],$B231,tbl_ledger[イベント種類],"搬入")+SUMIFS(tbl_ledger[数量],tbl_ledger[充当先ロットID],$B231,tbl_ledger[イベント種類],"充当",tbl_ledger[元状態],D$1)-SUMIFS(tbl_ledger[数量],tbl_ledger[ロットID],$B231,tbl_ledger[元状態],D$1))</f>
        <v/>
      </c>
      <c r="E231" s="4" t="str">
        <f>IF($B231="","",SUMIFS(tbl_ledger[数量],tbl_ledger[ロットID],$B231,tbl_ledger[イベント種類],"アニール完了")+SUMIFS(tbl_ledger[数量],tbl_ledger[充当先ロットID],$B231,tbl_ledger[イベント種類],"充当",tbl_ledger[元状態],E$1)-SUMIFS(tbl_ledger[数量],tbl_ledger[ロットID],$B231,tbl_ledger[元状態],E$1))</f>
        <v/>
      </c>
      <c r="F231" s="4" t="str">
        <f>IF($B231="","",SUMIFS(tbl_ledger[数量],tbl_ledger[ロットID],$B231,tbl_ledger[イベント種類],"アセンブリ完了")+SUMIFS(tbl_ledger[数量],tbl_ledger[充当先ロットID],$B231,tbl_ledger[イベント種類],"充当",tbl_ledger[元状態],F$1)-SUMIFS(tbl_ledger[数量],tbl_ledger[ロットID],$B231,tbl_ledger[元状態],F$1))</f>
        <v/>
      </c>
      <c r="G231" s="4" t="str">
        <f>IF($B231="","",SUMIFS(tbl_ledger[数量],tbl_ledger[ロットID],$B231,tbl_ledger[イベント種類],"梱包完了")+SUMIFS(tbl_ledger[数量],tbl_ledger[充当先ロットID],$B231,tbl_ledger[イベント種類],"充当",tbl_ledger[元状態],G$1)-SUMIFS(tbl_ledger[数量],tbl_ledger[ロットID],$B231,tbl_ledger[元状態],G$1))</f>
        <v/>
      </c>
      <c r="H231" s="4" t="str">
        <f>IF($B231="","",SUMIFS(tbl_ledger[数量],tbl_ledger[ロットID],$B231,tbl_ledger[イベント種類],"発送準備完了")+SUMIFS(tbl_ledger[数量],tbl_ledger[充当先ロットID],$B231,tbl_ledger[イベント種類],"充当",tbl_ledger[元状態],H$1)-SUMIFS(tbl_ledger[数量],tbl_ledger[ロットID],$B231,tbl_ledger[元状態],H$1))</f>
        <v/>
      </c>
      <c r="I231" s="4" t="str">
        <f>IF($B231="","",SUMIFS(tbl_ledger[数量],tbl_ledger[ロットID],$B231,tbl_ledger[イベント種類],"不良発生")+SUMIFS(tbl_ledger[数量],tbl_ledger[充当先ロットID],$B231,tbl_ledger[イベント種類],"充当",tbl_ledger[元状態],I$1)-SUMIFS(tbl_ledger[数量],tbl_ledger[ロットID],$B231,tbl_ledger[元状態],I$1))</f>
        <v/>
      </c>
      <c r="J231" s="4" t="str">
        <f t="shared" si="7"/>
        <v/>
      </c>
    </row>
    <row r="232" spans="1:10" ht="15" x14ac:dyDescent="0.25">
      <c r="A232" s="4" t="str">
        <f t="shared" si="6"/>
        <v/>
      </c>
      <c r="B232" s="4" t="str">
        <f>IFERROR(IF(COUNTIF($B$1:$B231,INDEX(tbl_plan[ロットID],ROW()-1))&gt;0,"",INDEX(tbl_plan[ロットID],ROW()-1)),"")</f>
        <v/>
      </c>
      <c r="C232" s="4" t="str">
        <f>IF($B232="","",INDEX(tbl_plan[品番],ROW()-1))</f>
        <v/>
      </c>
      <c r="D232" s="4" t="str">
        <f>IF($B232="","",SUMIFS(tbl_ledger[数量],tbl_ledger[ロットID],$B232,tbl_ledger[イベント種類],"搬入")+SUMIFS(tbl_ledger[数量],tbl_ledger[充当先ロットID],$B232,tbl_ledger[イベント種類],"充当",tbl_ledger[元状態],D$1)-SUMIFS(tbl_ledger[数量],tbl_ledger[ロットID],$B232,tbl_ledger[元状態],D$1))</f>
        <v/>
      </c>
      <c r="E232" s="4" t="str">
        <f>IF($B232="","",SUMIFS(tbl_ledger[数量],tbl_ledger[ロットID],$B232,tbl_ledger[イベント種類],"アニール完了")+SUMIFS(tbl_ledger[数量],tbl_ledger[充当先ロットID],$B232,tbl_ledger[イベント種類],"充当",tbl_ledger[元状態],E$1)-SUMIFS(tbl_ledger[数量],tbl_ledger[ロットID],$B232,tbl_ledger[元状態],E$1))</f>
        <v/>
      </c>
      <c r="F232" s="4" t="str">
        <f>IF($B232="","",SUMIFS(tbl_ledger[数量],tbl_ledger[ロットID],$B232,tbl_ledger[イベント種類],"アセンブリ完了")+SUMIFS(tbl_ledger[数量],tbl_ledger[充当先ロットID],$B232,tbl_ledger[イベント種類],"充当",tbl_ledger[元状態],F$1)-SUMIFS(tbl_ledger[数量],tbl_ledger[ロットID],$B232,tbl_ledger[元状態],F$1))</f>
        <v/>
      </c>
      <c r="G232" s="4" t="str">
        <f>IF($B232="","",SUMIFS(tbl_ledger[数量],tbl_ledger[ロットID],$B232,tbl_ledger[イベント種類],"梱包完了")+SUMIFS(tbl_ledger[数量],tbl_ledger[充当先ロットID],$B232,tbl_ledger[イベント種類],"充当",tbl_ledger[元状態],G$1)-SUMIFS(tbl_ledger[数量],tbl_ledger[ロットID],$B232,tbl_ledger[元状態],G$1))</f>
        <v/>
      </c>
      <c r="H232" s="4" t="str">
        <f>IF($B232="","",SUMIFS(tbl_ledger[数量],tbl_ledger[ロットID],$B232,tbl_ledger[イベント種類],"発送準備完了")+SUMIFS(tbl_ledger[数量],tbl_ledger[充当先ロットID],$B232,tbl_ledger[イベント種類],"充当",tbl_ledger[元状態],H$1)-SUMIFS(tbl_ledger[数量],tbl_ledger[ロットID],$B232,tbl_ledger[元状態],H$1))</f>
        <v/>
      </c>
      <c r="I232" s="4" t="str">
        <f>IF($B232="","",SUMIFS(tbl_ledger[数量],tbl_ledger[ロットID],$B232,tbl_ledger[イベント種類],"不良発生")+SUMIFS(tbl_ledger[数量],tbl_ledger[充当先ロットID],$B232,tbl_ledger[イベント種類],"充当",tbl_ledger[元状態],I$1)-SUMIFS(tbl_ledger[数量],tbl_ledger[ロットID],$B232,tbl_ledger[元状態],I$1))</f>
        <v/>
      </c>
      <c r="J232" s="4" t="str">
        <f t="shared" si="7"/>
        <v/>
      </c>
    </row>
    <row r="233" spans="1:10" ht="15" x14ac:dyDescent="0.25">
      <c r="A233" s="4" t="str">
        <f t="shared" si="6"/>
        <v/>
      </c>
      <c r="B233" s="4" t="str">
        <f>IFERROR(IF(COUNTIF($B$1:$B232,INDEX(tbl_plan[ロットID],ROW()-1))&gt;0,"",INDEX(tbl_plan[ロットID],ROW()-1)),"")</f>
        <v/>
      </c>
      <c r="C233" s="4" t="str">
        <f>IF($B233="","",INDEX(tbl_plan[品番],ROW()-1))</f>
        <v/>
      </c>
      <c r="D233" s="4" t="str">
        <f>IF($B233="","",SUMIFS(tbl_ledger[数量],tbl_ledger[ロットID],$B233,tbl_ledger[イベント種類],"搬入")+SUMIFS(tbl_ledger[数量],tbl_ledger[充当先ロットID],$B233,tbl_ledger[イベント種類],"充当",tbl_ledger[元状態],D$1)-SUMIFS(tbl_ledger[数量],tbl_ledger[ロットID],$B233,tbl_ledger[元状態],D$1))</f>
        <v/>
      </c>
      <c r="E233" s="4" t="str">
        <f>IF($B233="","",SUMIFS(tbl_ledger[数量],tbl_ledger[ロットID],$B233,tbl_ledger[イベント種類],"アニール完了")+SUMIFS(tbl_ledger[数量],tbl_ledger[充当先ロットID],$B233,tbl_ledger[イベント種類],"充当",tbl_ledger[元状態],E$1)-SUMIFS(tbl_ledger[数量],tbl_ledger[ロットID],$B233,tbl_ledger[元状態],E$1))</f>
        <v/>
      </c>
      <c r="F233" s="4" t="str">
        <f>IF($B233="","",SUMIFS(tbl_ledger[数量],tbl_ledger[ロットID],$B233,tbl_ledger[イベント種類],"アセンブリ完了")+SUMIFS(tbl_ledger[数量],tbl_ledger[充当先ロットID],$B233,tbl_ledger[イベント種類],"充当",tbl_ledger[元状態],F$1)-SUMIFS(tbl_ledger[数量],tbl_ledger[ロットID],$B233,tbl_ledger[元状態],F$1))</f>
        <v/>
      </c>
      <c r="G233" s="4" t="str">
        <f>IF($B233="","",SUMIFS(tbl_ledger[数量],tbl_ledger[ロットID],$B233,tbl_ledger[イベント種類],"梱包完了")+SUMIFS(tbl_ledger[数量],tbl_ledger[充当先ロットID],$B233,tbl_ledger[イベント種類],"充当",tbl_ledger[元状態],G$1)-SUMIFS(tbl_ledger[数量],tbl_ledger[ロットID],$B233,tbl_ledger[元状態],G$1))</f>
        <v/>
      </c>
      <c r="H233" s="4" t="str">
        <f>IF($B233="","",SUMIFS(tbl_ledger[数量],tbl_ledger[ロットID],$B233,tbl_ledger[イベント種類],"発送準備完了")+SUMIFS(tbl_ledger[数量],tbl_ledger[充当先ロットID],$B233,tbl_ledger[イベント種類],"充当",tbl_ledger[元状態],H$1)-SUMIFS(tbl_ledger[数量],tbl_ledger[ロットID],$B233,tbl_ledger[元状態],H$1))</f>
        <v/>
      </c>
      <c r="I233" s="4" t="str">
        <f>IF($B233="","",SUMIFS(tbl_ledger[数量],tbl_ledger[ロットID],$B233,tbl_ledger[イベント種類],"不良発生")+SUMIFS(tbl_ledger[数量],tbl_ledger[充当先ロットID],$B233,tbl_ledger[イベント種類],"充当",tbl_ledger[元状態],I$1)-SUMIFS(tbl_ledger[数量],tbl_ledger[ロットID],$B233,tbl_ledger[元状態],I$1))</f>
        <v/>
      </c>
      <c r="J233" s="4" t="str">
        <f t="shared" si="7"/>
        <v/>
      </c>
    </row>
    <row r="234" spans="1:10" ht="15" x14ac:dyDescent="0.25">
      <c r="A234" s="4" t="str">
        <f t="shared" si="6"/>
        <v/>
      </c>
      <c r="B234" s="4" t="str">
        <f>IFERROR(IF(COUNTIF($B$1:$B233,INDEX(tbl_plan[ロットID],ROW()-1))&gt;0,"",INDEX(tbl_plan[ロットID],ROW()-1)),"")</f>
        <v/>
      </c>
      <c r="C234" s="4" t="str">
        <f>IF($B234="","",INDEX(tbl_plan[品番],ROW()-1))</f>
        <v/>
      </c>
      <c r="D234" s="4" t="str">
        <f>IF($B234="","",SUMIFS(tbl_ledger[数量],tbl_ledger[ロットID],$B234,tbl_ledger[イベント種類],"搬入")+SUMIFS(tbl_ledger[数量],tbl_ledger[充当先ロットID],$B234,tbl_ledger[イベント種類],"充当",tbl_ledger[元状態],D$1)-SUMIFS(tbl_ledger[数量],tbl_ledger[ロットID],$B234,tbl_ledger[元状態],D$1))</f>
        <v/>
      </c>
      <c r="E234" s="4" t="str">
        <f>IF($B234="","",SUMIFS(tbl_ledger[数量],tbl_ledger[ロットID],$B234,tbl_ledger[イベント種類],"アニール完了")+SUMIFS(tbl_ledger[数量],tbl_ledger[充当先ロットID],$B234,tbl_ledger[イベント種類],"充当",tbl_ledger[元状態],E$1)-SUMIFS(tbl_ledger[数量],tbl_ledger[ロットID],$B234,tbl_ledger[元状態],E$1))</f>
        <v/>
      </c>
      <c r="F234" s="4" t="str">
        <f>IF($B234="","",SUMIFS(tbl_ledger[数量],tbl_ledger[ロットID],$B234,tbl_ledger[イベント種類],"アセンブリ完了")+SUMIFS(tbl_ledger[数量],tbl_ledger[充当先ロットID],$B234,tbl_ledger[イベント種類],"充当",tbl_ledger[元状態],F$1)-SUMIFS(tbl_ledger[数量],tbl_ledger[ロットID],$B234,tbl_ledger[元状態],F$1))</f>
        <v/>
      </c>
      <c r="G234" s="4" t="str">
        <f>IF($B234="","",SUMIFS(tbl_ledger[数量],tbl_ledger[ロットID],$B234,tbl_ledger[イベント種類],"梱包完了")+SUMIFS(tbl_ledger[数量],tbl_ledger[充当先ロットID],$B234,tbl_ledger[イベント種類],"充当",tbl_ledger[元状態],G$1)-SUMIFS(tbl_ledger[数量],tbl_ledger[ロットID],$B234,tbl_ledger[元状態],G$1))</f>
        <v/>
      </c>
      <c r="H234" s="4" t="str">
        <f>IF($B234="","",SUMIFS(tbl_ledger[数量],tbl_ledger[ロットID],$B234,tbl_ledger[イベント種類],"発送準備完了")+SUMIFS(tbl_ledger[数量],tbl_ledger[充当先ロットID],$B234,tbl_ledger[イベント種類],"充当",tbl_ledger[元状態],H$1)-SUMIFS(tbl_ledger[数量],tbl_ledger[ロットID],$B234,tbl_ledger[元状態],H$1))</f>
        <v/>
      </c>
      <c r="I234" s="4" t="str">
        <f>IF($B234="","",SUMIFS(tbl_ledger[数量],tbl_ledger[ロットID],$B234,tbl_ledger[イベント種類],"不良発生")+SUMIFS(tbl_ledger[数量],tbl_ledger[充当先ロットID],$B234,tbl_ledger[イベント種類],"充当",tbl_ledger[元状態],I$1)-SUMIFS(tbl_ledger[数量],tbl_ledger[ロットID],$B234,tbl_ledger[元状態],I$1))</f>
        <v/>
      </c>
      <c r="J234" s="4" t="str">
        <f t="shared" si="7"/>
        <v/>
      </c>
    </row>
    <row r="235" spans="1:10" ht="15" x14ac:dyDescent="0.25">
      <c r="A235" s="4" t="str">
        <f t="shared" si="6"/>
        <v/>
      </c>
      <c r="B235" s="4" t="str">
        <f>IFERROR(IF(COUNTIF($B$1:$B234,INDEX(tbl_plan[ロットID],ROW()-1))&gt;0,"",INDEX(tbl_plan[ロットID],ROW()-1)),"")</f>
        <v/>
      </c>
      <c r="C235" s="4" t="str">
        <f>IF($B235="","",INDEX(tbl_plan[品番],ROW()-1))</f>
        <v/>
      </c>
      <c r="D235" s="4" t="str">
        <f>IF($B235="","",SUMIFS(tbl_ledger[数量],tbl_ledger[ロットID],$B235,tbl_ledger[イベント種類],"搬入")+SUMIFS(tbl_ledger[数量],tbl_ledger[充当先ロットID],$B235,tbl_ledger[イベント種類],"充当",tbl_ledger[元状態],D$1)-SUMIFS(tbl_ledger[数量],tbl_ledger[ロットID],$B235,tbl_ledger[元状態],D$1))</f>
        <v/>
      </c>
      <c r="E235" s="4" t="str">
        <f>IF($B235="","",SUMIFS(tbl_ledger[数量],tbl_ledger[ロットID],$B235,tbl_ledger[イベント種類],"アニール完了")+SUMIFS(tbl_ledger[数量],tbl_ledger[充当先ロットID],$B235,tbl_ledger[イベント種類],"充当",tbl_ledger[元状態],E$1)-SUMIFS(tbl_ledger[数量],tbl_ledger[ロットID],$B235,tbl_ledger[元状態],E$1))</f>
        <v/>
      </c>
      <c r="F235" s="4" t="str">
        <f>IF($B235="","",SUMIFS(tbl_ledger[数量],tbl_ledger[ロットID],$B235,tbl_ledger[イベント種類],"アセンブリ完了")+SUMIFS(tbl_ledger[数量],tbl_ledger[充当先ロットID],$B235,tbl_ledger[イベント種類],"充当",tbl_ledger[元状態],F$1)-SUMIFS(tbl_ledger[数量],tbl_ledger[ロットID],$B235,tbl_ledger[元状態],F$1))</f>
        <v/>
      </c>
      <c r="G235" s="4" t="str">
        <f>IF($B235="","",SUMIFS(tbl_ledger[数量],tbl_ledger[ロットID],$B235,tbl_ledger[イベント種類],"梱包完了")+SUMIFS(tbl_ledger[数量],tbl_ledger[充当先ロットID],$B235,tbl_ledger[イベント種類],"充当",tbl_ledger[元状態],G$1)-SUMIFS(tbl_ledger[数量],tbl_ledger[ロットID],$B235,tbl_ledger[元状態],G$1))</f>
        <v/>
      </c>
      <c r="H235" s="4" t="str">
        <f>IF($B235="","",SUMIFS(tbl_ledger[数量],tbl_ledger[ロットID],$B235,tbl_ledger[イベント種類],"発送準備完了")+SUMIFS(tbl_ledger[数量],tbl_ledger[充当先ロットID],$B235,tbl_ledger[イベント種類],"充当",tbl_ledger[元状態],H$1)-SUMIFS(tbl_ledger[数量],tbl_ledger[ロットID],$B235,tbl_ledger[元状態],H$1))</f>
        <v/>
      </c>
      <c r="I235" s="4" t="str">
        <f>IF($B235="","",SUMIFS(tbl_ledger[数量],tbl_ledger[ロットID],$B235,tbl_ledger[イベント種類],"不良発生")+SUMIFS(tbl_ledger[数量],tbl_ledger[充当先ロットID],$B235,tbl_ledger[イベント種類],"充当",tbl_ledger[元状態],I$1)-SUMIFS(tbl_ledger[数量],tbl_ledger[ロットID],$B235,tbl_ledger[元状態],I$1))</f>
        <v/>
      </c>
      <c r="J235" s="4" t="str">
        <f t="shared" si="7"/>
        <v/>
      </c>
    </row>
    <row r="236" spans="1:10" ht="15" x14ac:dyDescent="0.25">
      <c r="A236" s="4" t="str">
        <f t="shared" si="6"/>
        <v/>
      </c>
      <c r="B236" s="4" t="str">
        <f>IFERROR(IF(COUNTIF($B$1:$B235,INDEX(tbl_plan[ロットID],ROW()-1))&gt;0,"",INDEX(tbl_plan[ロットID],ROW()-1)),"")</f>
        <v/>
      </c>
      <c r="C236" s="4" t="str">
        <f>IF($B236="","",INDEX(tbl_plan[品番],ROW()-1))</f>
        <v/>
      </c>
      <c r="D236" s="4" t="str">
        <f>IF($B236="","",SUMIFS(tbl_ledger[数量],tbl_ledger[ロットID],$B236,tbl_ledger[イベント種類],"搬入")+SUMIFS(tbl_ledger[数量],tbl_ledger[充当先ロットID],$B236,tbl_ledger[イベント種類],"充当",tbl_ledger[元状態],D$1)-SUMIFS(tbl_ledger[数量],tbl_ledger[ロットID],$B236,tbl_ledger[元状態],D$1))</f>
        <v/>
      </c>
      <c r="E236" s="4" t="str">
        <f>IF($B236="","",SUMIFS(tbl_ledger[数量],tbl_ledger[ロットID],$B236,tbl_ledger[イベント種類],"アニール完了")+SUMIFS(tbl_ledger[数量],tbl_ledger[充当先ロットID],$B236,tbl_ledger[イベント種類],"充当",tbl_ledger[元状態],E$1)-SUMIFS(tbl_ledger[数量],tbl_ledger[ロットID],$B236,tbl_ledger[元状態],E$1))</f>
        <v/>
      </c>
      <c r="F236" s="4" t="str">
        <f>IF($B236="","",SUMIFS(tbl_ledger[数量],tbl_ledger[ロットID],$B236,tbl_ledger[イベント種類],"アセンブリ完了")+SUMIFS(tbl_ledger[数量],tbl_ledger[充当先ロットID],$B236,tbl_ledger[イベント種類],"充当",tbl_ledger[元状態],F$1)-SUMIFS(tbl_ledger[数量],tbl_ledger[ロットID],$B236,tbl_ledger[元状態],F$1))</f>
        <v/>
      </c>
      <c r="G236" s="4" t="str">
        <f>IF($B236="","",SUMIFS(tbl_ledger[数量],tbl_ledger[ロットID],$B236,tbl_ledger[イベント種類],"梱包完了")+SUMIFS(tbl_ledger[数量],tbl_ledger[充当先ロットID],$B236,tbl_ledger[イベント種類],"充当",tbl_ledger[元状態],G$1)-SUMIFS(tbl_ledger[数量],tbl_ledger[ロットID],$B236,tbl_ledger[元状態],G$1))</f>
        <v/>
      </c>
      <c r="H236" s="4" t="str">
        <f>IF($B236="","",SUMIFS(tbl_ledger[数量],tbl_ledger[ロットID],$B236,tbl_ledger[イベント種類],"発送準備完了")+SUMIFS(tbl_ledger[数量],tbl_ledger[充当先ロットID],$B236,tbl_ledger[イベント種類],"充当",tbl_ledger[元状態],H$1)-SUMIFS(tbl_ledger[数量],tbl_ledger[ロットID],$B236,tbl_ledger[元状態],H$1))</f>
        <v/>
      </c>
      <c r="I236" s="4" t="str">
        <f>IF($B236="","",SUMIFS(tbl_ledger[数量],tbl_ledger[ロットID],$B236,tbl_ledger[イベント種類],"不良発生")+SUMIFS(tbl_ledger[数量],tbl_ledger[充当先ロットID],$B236,tbl_ledger[イベント種類],"充当",tbl_ledger[元状態],I$1)-SUMIFS(tbl_ledger[数量],tbl_ledger[ロットID],$B236,tbl_ledger[元状態],I$1))</f>
        <v/>
      </c>
      <c r="J236" s="4" t="str">
        <f t="shared" si="7"/>
        <v/>
      </c>
    </row>
    <row r="237" spans="1:10" ht="15" x14ac:dyDescent="0.25">
      <c r="A237" s="4" t="str">
        <f t="shared" si="6"/>
        <v/>
      </c>
      <c r="B237" s="4" t="str">
        <f>IFERROR(IF(COUNTIF($B$1:$B236,INDEX(tbl_plan[ロットID],ROW()-1))&gt;0,"",INDEX(tbl_plan[ロットID],ROW()-1)),"")</f>
        <v/>
      </c>
      <c r="C237" s="4" t="str">
        <f>IF($B237="","",INDEX(tbl_plan[品番],ROW()-1))</f>
        <v/>
      </c>
      <c r="D237" s="4" t="str">
        <f>IF($B237="","",SUMIFS(tbl_ledger[数量],tbl_ledger[ロットID],$B237,tbl_ledger[イベント種類],"搬入")+SUMIFS(tbl_ledger[数量],tbl_ledger[充当先ロットID],$B237,tbl_ledger[イベント種類],"充当",tbl_ledger[元状態],D$1)-SUMIFS(tbl_ledger[数量],tbl_ledger[ロットID],$B237,tbl_ledger[元状態],D$1))</f>
        <v/>
      </c>
      <c r="E237" s="4" t="str">
        <f>IF($B237="","",SUMIFS(tbl_ledger[数量],tbl_ledger[ロットID],$B237,tbl_ledger[イベント種類],"アニール完了")+SUMIFS(tbl_ledger[数量],tbl_ledger[充当先ロットID],$B237,tbl_ledger[イベント種類],"充当",tbl_ledger[元状態],E$1)-SUMIFS(tbl_ledger[数量],tbl_ledger[ロットID],$B237,tbl_ledger[元状態],E$1))</f>
        <v/>
      </c>
      <c r="F237" s="4" t="str">
        <f>IF($B237="","",SUMIFS(tbl_ledger[数量],tbl_ledger[ロットID],$B237,tbl_ledger[イベント種類],"アセンブリ完了")+SUMIFS(tbl_ledger[数量],tbl_ledger[充当先ロットID],$B237,tbl_ledger[イベント種類],"充当",tbl_ledger[元状態],F$1)-SUMIFS(tbl_ledger[数量],tbl_ledger[ロットID],$B237,tbl_ledger[元状態],F$1))</f>
        <v/>
      </c>
      <c r="G237" s="4" t="str">
        <f>IF($B237="","",SUMIFS(tbl_ledger[数量],tbl_ledger[ロットID],$B237,tbl_ledger[イベント種類],"梱包完了")+SUMIFS(tbl_ledger[数量],tbl_ledger[充当先ロットID],$B237,tbl_ledger[イベント種類],"充当",tbl_ledger[元状態],G$1)-SUMIFS(tbl_ledger[数量],tbl_ledger[ロットID],$B237,tbl_ledger[元状態],G$1))</f>
        <v/>
      </c>
      <c r="H237" s="4" t="str">
        <f>IF($B237="","",SUMIFS(tbl_ledger[数量],tbl_ledger[ロットID],$B237,tbl_ledger[イベント種類],"発送準備完了")+SUMIFS(tbl_ledger[数量],tbl_ledger[充当先ロットID],$B237,tbl_ledger[イベント種類],"充当",tbl_ledger[元状態],H$1)-SUMIFS(tbl_ledger[数量],tbl_ledger[ロットID],$B237,tbl_ledger[元状態],H$1))</f>
        <v/>
      </c>
      <c r="I237" s="4" t="str">
        <f>IF($B237="","",SUMIFS(tbl_ledger[数量],tbl_ledger[ロットID],$B237,tbl_ledger[イベント種類],"不良発生")+SUMIFS(tbl_ledger[数量],tbl_ledger[充当先ロットID],$B237,tbl_ledger[イベント種類],"充当",tbl_ledger[元状態],I$1)-SUMIFS(tbl_ledger[数量],tbl_ledger[ロットID],$B237,tbl_ledger[元状態],I$1))</f>
        <v/>
      </c>
      <c r="J237" s="4" t="str">
        <f t="shared" si="7"/>
        <v/>
      </c>
    </row>
    <row r="238" spans="1:10" ht="15" x14ac:dyDescent="0.25">
      <c r="A238" s="4" t="str">
        <f t="shared" si="6"/>
        <v/>
      </c>
      <c r="B238" s="4" t="str">
        <f>IFERROR(IF(COUNTIF($B$1:$B237,INDEX(tbl_plan[ロットID],ROW()-1))&gt;0,"",INDEX(tbl_plan[ロットID],ROW()-1)),"")</f>
        <v/>
      </c>
      <c r="C238" s="4" t="str">
        <f>IF($B238="","",INDEX(tbl_plan[品番],ROW()-1))</f>
        <v/>
      </c>
      <c r="D238" s="4" t="str">
        <f>IF($B238="","",SUMIFS(tbl_ledger[数量],tbl_ledger[ロットID],$B238,tbl_ledger[イベント種類],"搬入")+SUMIFS(tbl_ledger[数量],tbl_ledger[充当先ロットID],$B238,tbl_ledger[イベント種類],"充当",tbl_ledger[元状態],D$1)-SUMIFS(tbl_ledger[数量],tbl_ledger[ロットID],$B238,tbl_ledger[元状態],D$1))</f>
        <v/>
      </c>
      <c r="E238" s="4" t="str">
        <f>IF($B238="","",SUMIFS(tbl_ledger[数量],tbl_ledger[ロットID],$B238,tbl_ledger[イベント種類],"アニール完了")+SUMIFS(tbl_ledger[数量],tbl_ledger[充当先ロットID],$B238,tbl_ledger[イベント種類],"充当",tbl_ledger[元状態],E$1)-SUMIFS(tbl_ledger[数量],tbl_ledger[ロットID],$B238,tbl_ledger[元状態],E$1))</f>
        <v/>
      </c>
      <c r="F238" s="4" t="str">
        <f>IF($B238="","",SUMIFS(tbl_ledger[数量],tbl_ledger[ロットID],$B238,tbl_ledger[イベント種類],"アセンブリ完了")+SUMIFS(tbl_ledger[数量],tbl_ledger[充当先ロットID],$B238,tbl_ledger[イベント種類],"充当",tbl_ledger[元状態],F$1)-SUMIFS(tbl_ledger[数量],tbl_ledger[ロットID],$B238,tbl_ledger[元状態],F$1))</f>
        <v/>
      </c>
      <c r="G238" s="4" t="str">
        <f>IF($B238="","",SUMIFS(tbl_ledger[数量],tbl_ledger[ロットID],$B238,tbl_ledger[イベント種類],"梱包完了")+SUMIFS(tbl_ledger[数量],tbl_ledger[充当先ロットID],$B238,tbl_ledger[イベント種類],"充当",tbl_ledger[元状態],G$1)-SUMIFS(tbl_ledger[数量],tbl_ledger[ロットID],$B238,tbl_ledger[元状態],G$1))</f>
        <v/>
      </c>
      <c r="H238" s="4" t="str">
        <f>IF($B238="","",SUMIFS(tbl_ledger[数量],tbl_ledger[ロットID],$B238,tbl_ledger[イベント種類],"発送準備完了")+SUMIFS(tbl_ledger[数量],tbl_ledger[充当先ロットID],$B238,tbl_ledger[イベント種類],"充当",tbl_ledger[元状態],H$1)-SUMIFS(tbl_ledger[数量],tbl_ledger[ロットID],$B238,tbl_ledger[元状態],H$1))</f>
        <v/>
      </c>
      <c r="I238" s="4" t="str">
        <f>IF($B238="","",SUMIFS(tbl_ledger[数量],tbl_ledger[ロットID],$B238,tbl_ledger[イベント種類],"不良発生")+SUMIFS(tbl_ledger[数量],tbl_ledger[充当先ロットID],$B238,tbl_ledger[イベント種類],"充当",tbl_ledger[元状態],I$1)-SUMIFS(tbl_ledger[数量],tbl_ledger[ロットID],$B238,tbl_ledger[元状態],I$1))</f>
        <v/>
      </c>
      <c r="J238" s="4" t="str">
        <f t="shared" si="7"/>
        <v/>
      </c>
    </row>
    <row r="239" spans="1:10" ht="15" x14ac:dyDescent="0.25">
      <c r="A239" s="4" t="str">
        <f t="shared" si="6"/>
        <v/>
      </c>
      <c r="B239" s="4" t="str">
        <f>IFERROR(IF(COUNTIF($B$1:$B238,INDEX(tbl_plan[ロットID],ROW()-1))&gt;0,"",INDEX(tbl_plan[ロットID],ROW()-1)),"")</f>
        <v/>
      </c>
      <c r="C239" s="4" t="str">
        <f>IF($B239="","",INDEX(tbl_plan[品番],ROW()-1))</f>
        <v/>
      </c>
      <c r="D239" s="4" t="str">
        <f>IF($B239="","",SUMIFS(tbl_ledger[数量],tbl_ledger[ロットID],$B239,tbl_ledger[イベント種類],"搬入")+SUMIFS(tbl_ledger[数量],tbl_ledger[充当先ロットID],$B239,tbl_ledger[イベント種類],"充当",tbl_ledger[元状態],D$1)-SUMIFS(tbl_ledger[数量],tbl_ledger[ロットID],$B239,tbl_ledger[元状態],D$1))</f>
        <v/>
      </c>
      <c r="E239" s="4" t="str">
        <f>IF($B239="","",SUMIFS(tbl_ledger[数量],tbl_ledger[ロットID],$B239,tbl_ledger[イベント種類],"アニール完了")+SUMIFS(tbl_ledger[数量],tbl_ledger[充当先ロットID],$B239,tbl_ledger[イベント種類],"充当",tbl_ledger[元状態],E$1)-SUMIFS(tbl_ledger[数量],tbl_ledger[ロットID],$B239,tbl_ledger[元状態],E$1))</f>
        <v/>
      </c>
      <c r="F239" s="4" t="str">
        <f>IF($B239="","",SUMIFS(tbl_ledger[数量],tbl_ledger[ロットID],$B239,tbl_ledger[イベント種類],"アセンブリ完了")+SUMIFS(tbl_ledger[数量],tbl_ledger[充当先ロットID],$B239,tbl_ledger[イベント種類],"充当",tbl_ledger[元状態],F$1)-SUMIFS(tbl_ledger[数量],tbl_ledger[ロットID],$B239,tbl_ledger[元状態],F$1))</f>
        <v/>
      </c>
      <c r="G239" s="4" t="str">
        <f>IF($B239="","",SUMIFS(tbl_ledger[数量],tbl_ledger[ロットID],$B239,tbl_ledger[イベント種類],"梱包完了")+SUMIFS(tbl_ledger[数量],tbl_ledger[充当先ロットID],$B239,tbl_ledger[イベント種類],"充当",tbl_ledger[元状態],G$1)-SUMIFS(tbl_ledger[数量],tbl_ledger[ロットID],$B239,tbl_ledger[元状態],G$1))</f>
        <v/>
      </c>
      <c r="H239" s="4" t="str">
        <f>IF($B239="","",SUMIFS(tbl_ledger[数量],tbl_ledger[ロットID],$B239,tbl_ledger[イベント種類],"発送準備完了")+SUMIFS(tbl_ledger[数量],tbl_ledger[充当先ロットID],$B239,tbl_ledger[イベント種類],"充当",tbl_ledger[元状態],H$1)-SUMIFS(tbl_ledger[数量],tbl_ledger[ロットID],$B239,tbl_ledger[元状態],H$1))</f>
        <v/>
      </c>
      <c r="I239" s="4" t="str">
        <f>IF($B239="","",SUMIFS(tbl_ledger[数量],tbl_ledger[ロットID],$B239,tbl_ledger[イベント種類],"不良発生")+SUMIFS(tbl_ledger[数量],tbl_ledger[充当先ロットID],$B239,tbl_ledger[イベント種類],"充当",tbl_ledger[元状態],I$1)-SUMIFS(tbl_ledger[数量],tbl_ledger[ロットID],$B239,tbl_ledger[元状態],I$1))</f>
        <v/>
      </c>
      <c r="J239" s="4" t="str">
        <f t="shared" si="7"/>
        <v/>
      </c>
    </row>
    <row r="240" spans="1:10" ht="15" x14ac:dyDescent="0.25">
      <c r="A240" s="4" t="str">
        <f t="shared" si="6"/>
        <v/>
      </c>
      <c r="B240" s="4" t="str">
        <f>IFERROR(IF(COUNTIF($B$1:$B239,INDEX(tbl_plan[ロットID],ROW()-1))&gt;0,"",INDEX(tbl_plan[ロットID],ROW()-1)),"")</f>
        <v/>
      </c>
      <c r="C240" s="4" t="str">
        <f>IF($B240="","",INDEX(tbl_plan[品番],ROW()-1))</f>
        <v/>
      </c>
      <c r="D240" s="4" t="str">
        <f>IF($B240="","",SUMIFS(tbl_ledger[数量],tbl_ledger[ロットID],$B240,tbl_ledger[イベント種類],"搬入")+SUMIFS(tbl_ledger[数量],tbl_ledger[充当先ロットID],$B240,tbl_ledger[イベント種類],"充当",tbl_ledger[元状態],D$1)-SUMIFS(tbl_ledger[数量],tbl_ledger[ロットID],$B240,tbl_ledger[元状態],D$1))</f>
        <v/>
      </c>
      <c r="E240" s="4" t="str">
        <f>IF($B240="","",SUMIFS(tbl_ledger[数量],tbl_ledger[ロットID],$B240,tbl_ledger[イベント種類],"アニール完了")+SUMIFS(tbl_ledger[数量],tbl_ledger[充当先ロットID],$B240,tbl_ledger[イベント種類],"充当",tbl_ledger[元状態],E$1)-SUMIFS(tbl_ledger[数量],tbl_ledger[ロットID],$B240,tbl_ledger[元状態],E$1))</f>
        <v/>
      </c>
      <c r="F240" s="4" t="str">
        <f>IF($B240="","",SUMIFS(tbl_ledger[数量],tbl_ledger[ロットID],$B240,tbl_ledger[イベント種類],"アセンブリ完了")+SUMIFS(tbl_ledger[数量],tbl_ledger[充当先ロットID],$B240,tbl_ledger[イベント種類],"充当",tbl_ledger[元状態],F$1)-SUMIFS(tbl_ledger[数量],tbl_ledger[ロットID],$B240,tbl_ledger[元状態],F$1))</f>
        <v/>
      </c>
      <c r="G240" s="4" t="str">
        <f>IF($B240="","",SUMIFS(tbl_ledger[数量],tbl_ledger[ロットID],$B240,tbl_ledger[イベント種類],"梱包完了")+SUMIFS(tbl_ledger[数量],tbl_ledger[充当先ロットID],$B240,tbl_ledger[イベント種類],"充当",tbl_ledger[元状態],G$1)-SUMIFS(tbl_ledger[数量],tbl_ledger[ロットID],$B240,tbl_ledger[元状態],G$1))</f>
        <v/>
      </c>
      <c r="H240" s="4" t="str">
        <f>IF($B240="","",SUMIFS(tbl_ledger[数量],tbl_ledger[ロットID],$B240,tbl_ledger[イベント種類],"発送準備完了")+SUMIFS(tbl_ledger[数量],tbl_ledger[充当先ロットID],$B240,tbl_ledger[イベント種類],"充当",tbl_ledger[元状態],H$1)-SUMIFS(tbl_ledger[数量],tbl_ledger[ロットID],$B240,tbl_ledger[元状態],H$1))</f>
        <v/>
      </c>
      <c r="I240" s="4" t="str">
        <f>IF($B240="","",SUMIFS(tbl_ledger[数量],tbl_ledger[ロットID],$B240,tbl_ledger[イベント種類],"不良発生")+SUMIFS(tbl_ledger[数量],tbl_ledger[充当先ロットID],$B240,tbl_ledger[イベント種類],"充当",tbl_ledger[元状態],I$1)-SUMIFS(tbl_ledger[数量],tbl_ledger[ロットID],$B240,tbl_ledger[元状態],I$1))</f>
        <v/>
      </c>
      <c r="J240" s="4" t="str">
        <f t="shared" si="7"/>
        <v/>
      </c>
    </row>
    <row r="241" spans="1:10" ht="15" x14ac:dyDescent="0.25">
      <c r="A241" s="4" t="str">
        <f t="shared" si="6"/>
        <v/>
      </c>
      <c r="B241" s="4" t="str">
        <f>IFERROR(IF(COUNTIF($B$1:$B240,INDEX(tbl_plan[ロットID],ROW()-1))&gt;0,"",INDEX(tbl_plan[ロットID],ROW()-1)),"")</f>
        <v/>
      </c>
      <c r="C241" s="4" t="str">
        <f>IF($B241="","",INDEX(tbl_plan[品番],ROW()-1))</f>
        <v/>
      </c>
      <c r="D241" s="4" t="str">
        <f>IF($B241="","",SUMIFS(tbl_ledger[数量],tbl_ledger[ロットID],$B241,tbl_ledger[イベント種類],"搬入")+SUMIFS(tbl_ledger[数量],tbl_ledger[充当先ロットID],$B241,tbl_ledger[イベント種類],"充当",tbl_ledger[元状態],D$1)-SUMIFS(tbl_ledger[数量],tbl_ledger[ロットID],$B241,tbl_ledger[元状態],D$1))</f>
        <v/>
      </c>
      <c r="E241" s="4" t="str">
        <f>IF($B241="","",SUMIFS(tbl_ledger[数量],tbl_ledger[ロットID],$B241,tbl_ledger[イベント種類],"アニール完了")+SUMIFS(tbl_ledger[数量],tbl_ledger[充当先ロットID],$B241,tbl_ledger[イベント種類],"充当",tbl_ledger[元状態],E$1)-SUMIFS(tbl_ledger[数量],tbl_ledger[ロットID],$B241,tbl_ledger[元状態],E$1))</f>
        <v/>
      </c>
      <c r="F241" s="4" t="str">
        <f>IF($B241="","",SUMIFS(tbl_ledger[数量],tbl_ledger[ロットID],$B241,tbl_ledger[イベント種類],"アセンブリ完了")+SUMIFS(tbl_ledger[数量],tbl_ledger[充当先ロットID],$B241,tbl_ledger[イベント種類],"充当",tbl_ledger[元状態],F$1)-SUMIFS(tbl_ledger[数量],tbl_ledger[ロットID],$B241,tbl_ledger[元状態],F$1))</f>
        <v/>
      </c>
      <c r="G241" s="4" t="str">
        <f>IF($B241="","",SUMIFS(tbl_ledger[数量],tbl_ledger[ロットID],$B241,tbl_ledger[イベント種類],"梱包完了")+SUMIFS(tbl_ledger[数量],tbl_ledger[充当先ロットID],$B241,tbl_ledger[イベント種類],"充当",tbl_ledger[元状態],G$1)-SUMIFS(tbl_ledger[数量],tbl_ledger[ロットID],$B241,tbl_ledger[元状態],G$1))</f>
        <v/>
      </c>
      <c r="H241" s="4" t="str">
        <f>IF($B241="","",SUMIFS(tbl_ledger[数量],tbl_ledger[ロットID],$B241,tbl_ledger[イベント種類],"発送準備完了")+SUMIFS(tbl_ledger[数量],tbl_ledger[充当先ロットID],$B241,tbl_ledger[イベント種類],"充当",tbl_ledger[元状態],H$1)-SUMIFS(tbl_ledger[数量],tbl_ledger[ロットID],$B241,tbl_ledger[元状態],H$1))</f>
        <v/>
      </c>
      <c r="I241" s="4" t="str">
        <f>IF($B241="","",SUMIFS(tbl_ledger[数量],tbl_ledger[ロットID],$B241,tbl_ledger[イベント種類],"不良発生")+SUMIFS(tbl_ledger[数量],tbl_ledger[充当先ロットID],$B241,tbl_ledger[イベント種類],"充当",tbl_ledger[元状態],I$1)-SUMIFS(tbl_ledger[数量],tbl_ledger[ロットID],$B241,tbl_ledger[元状態],I$1))</f>
        <v/>
      </c>
      <c r="J241" s="4" t="str">
        <f t="shared" si="7"/>
        <v/>
      </c>
    </row>
    <row r="242" spans="1:10" ht="15" x14ac:dyDescent="0.25">
      <c r="A242" s="4" t="str">
        <f t="shared" si="6"/>
        <v/>
      </c>
      <c r="B242" s="4" t="str">
        <f>IFERROR(IF(COUNTIF($B$1:$B241,INDEX(tbl_plan[ロットID],ROW()-1))&gt;0,"",INDEX(tbl_plan[ロットID],ROW()-1)),"")</f>
        <v/>
      </c>
      <c r="C242" s="4" t="str">
        <f>IF($B242="","",INDEX(tbl_plan[品番],ROW()-1))</f>
        <v/>
      </c>
      <c r="D242" s="4" t="str">
        <f>IF($B242="","",SUMIFS(tbl_ledger[数量],tbl_ledger[ロットID],$B242,tbl_ledger[イベント種類],"搬入")+SUMIFS(tbl_ledger[数量],tbl_ledger[充当先ロットID],$B242,tbl_ledger[イベント種類],"充当",tbl_ledger[元状態],D$1)-SUMIFS(tbl_ledger[数量],tbl_ledger[ロットID],$B242,tbl_ledger[元状態],D$1))</f>
        <v/>
      </c>
      <c r="E242" s="4" t="str">
        <f>IF($B242="","",SUMIFS(tbl_ledger[数量],tbl_ledger[ロットID],$B242,tbl_ledger[イベント種類],"アニール完了")+SUMIFS(tbl_ledger[数量],tbl_ledger[充当先ロットID],$B242,tbl_ledger[イベント種類],"充当",tbl_ledger[元状態],E$1)-SUMIFS(tbl_ledger[数量],tbl_ledger[ロットID],$B242,tbl_ledger[元状態],E$1))</f>
        <v/>
      </c>
      <c r="F242" s="4" t="str">
        <f>IF($B242="","",SUMIFS(tbl_ledger[数量],tbl_ledger[ロットID],$B242,tbl_ledger[イベント種類],"アセンブリ完了")+SUMIFS(tbl_ledger[数量],tbl_ledger[充当先ロットID],$B242,tbl_ledger[イベント種類],"充当",tbl_ledger[元状態],F$1)-SUMIFS(tbl_ledger[数量],tbl_ledger[ロットID],$B242,tbl_ledger[元状態],F$1))</f>
        <v/>
      </c>
      <c r="G242" s="4" t="str">
        <f>IF($B242="","",SUMIFS(tbl_ledger[数量],tbl_ledger[ロットID],$B242,tbl_ledger[イベント種類],"梱包完了")+SUMIFS(tbl_ledger[数量],tbl_ledger[充当先ロットID],$B242,tbl_ledger[イベント種類],"充当",tbl_ledger[元状態],G$1)-SUMIFS(tbl_ledger[数量],tbl_ledger[ロットID],$B242,tbl_ledger[元状態],G$1))</f>
        <v/>
      </c>
      <c r="H242" s="4" t="str">
        <f>IF($B242="","",SUMIFS(tbl_ledger[数量],tbl_ledger[ロットID],$B242,tbl_ledger[イベント種類],"発送準備完了")+SUMIFS(tbl_ledger[数量],tbl_ledger[充当先ロットID],$B242,tbl_ledger[イベント種類],"充当",tbl_ledger[元状態],H$1)-SUMIFS(tbl_ledger[数量],tbl_ledger[ロットID],$B242,tbl_ledger[元状態],H$1))</f>
        <v/>
      </c>
      <c r="I242" s="4" t="str">
        <f>IF($B242="","",SUMIFS(tbl_ledger[数量],tbl_ledger[ロットID],$B242,tbl_ledger[イベント種類],"不良発生")+SUMIFS(tbl_ledger[数量],tbl_ledger[充当先ロットID],$B242,tbl_ledger[イベント種類],"充当",tbl_ledger[元状態],I$1)-SUMIFS(tbl_ledger[数量],tbl_ledger[ロットID],$B242,tbl_ledger[元状態],I$1))</f>
        <v/>
      </c>
      <c r="J242" s="4" t="str">
        <f t="shared" si="7"/>
        <v/>
      </c>
    </row>
    <row r="243" spans="1:10" ht="15" x14ac:dyDescent="0.25">
      <c r="A243" s="4" t="str">
        <f t="shared" si="6"/>
        <v/>
      </c>
      <c r="B243" s="4" t="str">
        <f>IFERROR(IF(COUNTIF($B$1:$B242,INDEX(tbl_plan[ロットID],ROW()-1))&gt;0,"",INDEX(tbl_plan[ロットID],ROW()-1)),"")</f>
        <v/>
      </c>
      <c r="C243" s="4" t="str">
        <f>IF($B243="","",INDEX(tbl_plan[品番],ROW()-1))</f>
        <v/>
      </c>
      <c r="D243" s="4" t="str">
        <f>IF($B243="","",SUMIFS(tbl_ledger[数量],tbl_ledger[ロットID],$B243,tbl_ledger[イベント種類],"搬入")+SUMIFS(tbl_ledger[数量],tbl_ledger[充当先ロットID],$B243,tbl_ledger[イベント種類],"充当",tbl_ledger[元状態],D$1)-SUMIFS(tbl_ledger[数量],tbl_ledger[ロットID],$B243,tbl_ledger[元状態],D$1))</f>
        <v/>
      </c>
      <c r="E243" s="4" t="str">
        <f>IF($B243="","",SUMIFS(tbl_ledger[数量],tbl_ledger[ロットID],$B243,tbl_ledger[イベント種類],"アニール完了")+SUMIFS(tbl_ledger[数量],tbl_ledger[充当先ロットID],$B243,tbl_ledger[イベント種類],"充当",tbl_ledger[元状態],E$1)-SUMIFS(tbl_ledger[数量],tbl_ledger[ロットID],$B243,tbl_ledger[元状態],E$1))</f>
        <v/>
      </c>
      <c r="F243" s="4" t="str">
        <f>IF($B243="","",SUMIFS(tbl_ledger[数量],tbl_ledger[ロットID],$B243,tbl_ledger[イベント種類],"アセンブリ完了")+SUMIFS(tbl_ledger[数量],tbl_ledger[充当先ロットID],$B243,tbl_ledger[イベント種類],"充当",tbl_ledger[元状態],F$1)-SUMIFS(tbl_ledger[数量],tbl_ledger[ロットID],$B243,tbl_ledger[元状態],F$1))</f>
        <v/>
      </c>
      <c r="G243" s="4" t="str">
        <f>IF($B243="","",SUMIFS(tbl_ledger[数量],tbl_ledger[ロットID],$B243,tbl_ledger[イベント種類],"梱包完了")+SUMIFS(tbl_ledger[数量],tbl_ledger[充当先ロットID],$B243,tbl_ledger[イベント種類],"充当",tbl_ledger[元状態],G$1)-SUMIFS(tbl_ledger[数量],tbl_ledger[ロットID],$B243,tbl_ledger[元状態],G$1))</f>
        <v/>
      </c>
      <c r="H243" s="4" t="str">
        <f>IF($B243="","",SUMIFS(tbl_ledger[数量],tbl_ledger[ロットID],$B243,tbl_ledger[イベント種類],"発送準備完了")+SUMIFS(tbl_ledger[数量],tbl_ledger[充当先ロットID],$B243,tbl_ledger[イベント種類],"充当",tbl_ledger[元状態],H$1)-SUMIFS(tbl_ledger[数量],tbl_ledger[ロットID],$B243,tbl_ledger[元状態],H$1))</f>
        <v/>
      </c>
      <c r="I243" s="4" t="str">
        <f>IF($B243="","",SUMIFS(tbl_ledger[数量],tbl_ledger[ロットID],$B243,tbl_ledger[イベント種類],"不良発生")+SUMIFS(tbl_ledger[数量],tbl_ledger[充当先ロットID],$B243,tbl_ledger[イベント種類],"充当",tbl_ledger[元状態],I$1)-SUMIFS(tbl_ledger[数量],tbl_ledger[ロットID],$B243,tbl_ledger[元状態],I$1))</f>
        <v/>
      </c>
      <c r="J243" s="4" t="str">
        <f t="shared" si="7"/>
        <v/>
      </c>
    </row>
    <row r="244" spans="1:10" ht="15" x14ac:dyDescent="0.25">
      <c r="A244" s="4" t="str">
        <f t="shared" si="6"/>
        <v/>
      </c>
      <c r="B244" s="4" t="str">
        <f>IFERROR(IF(COUNTIF($B$1:$B243,INDEX(tbl_plan[ロットID],ROW()-1))&gt;0,"",INDEX(tbl_plan[ロットID],ROW()-1)),"")</f>
        <v/>
      </c>
      <c r="C244" s="4" t="str">
        <f>IF($B244="","",INDEX(tbl_plan[品番],ROW()-1))</f>
        <v/>
      </c>
      <c r="D244" s="4" t="str">
        <f>IF($B244="","",SUMIFS(tbl_ledger[数量],tbl_ledger[ロットID],$B244,tbl_ledger[イベント種類],"搬入")+SUMIFS(tbl_ledger[数量],tbl_ledger[充当先ロットID],$B244,tbl_ledger[イベント種類],"充当",tbl_ledger[元状態],D$1)-SUMIFS(tbl_ledger[数量],tbl_ledger[ロットID],$B244,tbl_ledger[元状態],D$1))</f>
        <v/>
      </c>
      <c r="E244" s="4" t="str">
        <f>IF($B244="","",SUMIFS(tbl_ledger[数量],tbl_ledger[ロットID],$B244,tbl_ledger[イベント種類],"アニール完了")+SUMIFS(tbl_ledger[数量],tbl_ledger[充当先ロットID],$B244,tbl_ledger[イベント種類],"充当",tbl_ledger[元状態],E$1)-SUMIFS(tbl_ledger[数量],tbl_ledger[ロットID],$B244,tbl_ledger[元状態],E$1))</f>
        <v/>
      </c>
      <c r="F244" s="4" t="str">
        <f>IF($B244="","",SUMIFS(tbl_ledger[数量],tbl_ledger[ロットID],$B244,tbl_ledger[イベント種類],"アセンブリ完了")+SUMIFS(tbl_ledger[数量],tbl_ledger[充当先ロットID],$B244,tbl_ledger[イベント種類],"充当",tbl_ledger[元状態],F$1)-SUMIFS(tbl_ledger[数量],tbl_ledger[ロットID],$B244,tbl_ledger[元状態],F$1))</f>
        <v/>
      </c>
      <c r="G244" s="4" t="str">
        <f>IF($B244="","",SUMIFS(tbl_ledger[数量],tbl_ledger[ロットID],$B244,tbl_ledger[イベント種類],"梱包完了")+SUMIFS(tbl_ledger[数量],tbl_ledger[充当先ロットID],$B244,tbl_ledger[イベント種類],"充当",tbl_ledger[元状態],G$1)-SUMIFS(tbl_ledger[数量],tbl_ledger[ロットID],$B244,tbl_ledger[元状態],G$1))</f>
        <v/>
      </c>
      <c r="H244" s="4" t="str">
        <f>IF($B244="","",SUMIFS(tbl_ledger[数量],tbl_ledger[ロットID],$B244,tbl_ledger[イベント種類],"発送準備完了")+SUMIFS(tbl_ledger[数量],tbl_ledger[充当先ロットID],$B244,tbl_ledger[イベント種類],"充当",tbl_ledger[元状態],H$1)-SUMIFS(tbl_ledger[数量],tbl_ledger[ロットID],$B244,tbl_ledger[元状態],H$1))</f>
        <v/>
      </c>
      <c r="I244" s="4" t="str">
        <f>IF($B244="","",SUMIFS(tbl_ledger[数量],tbl_ledger[ロットID],$B244,tbl_ledger[イベント種類],"不良発生")+SUMIFS(tbl_ledger[数量],tbl_ledger[充当先ロットID],$B244,tbl_ledger[イベント種類],"充当",tbl_ledger[元状態],I$1)-SUMIFS(tbl_ledger[数量],tbl_ledger[ロットID],$B244,tbl_ledger[元状態],I$1))</f>
        <v/>
      </c>
      <c r="J244" s="4" t="str">
        <f t="shared" si="7"/>
        <v/>
      </c>
    </row>
    <row r="245" spans="1:10" ht="15" x14ac:dyDescent="0.25">
      <c r="A245" s="4" t="str">
        <f t="shared" si="6"/>
        <v/>
      </c>
      <c r="B245" s="4" t="str">
        <f>IFERROR(IF(COUNTIF($B$1:$B244,INDEX(tbl_plan[ロットID],ROW()-1))&gt;0,"",INDEX(tbl_plan[ロットID],ROW()-1)),"")</f>
        <v/>
      </c>
      <c r="C245" s="4" t="str">
        <f>IF($B245="","",INDEX(tbl_plan[品番],ROW()-1))</f>
        <v/>
      </c>
      <c r="D245" s="4" t="str">
        <f>IF($B245="","",SUMIFS(tbl_ledger[数量],tbl_ledger[ロットID],$B245,tbl_ledger[イベント種類],"搬入")+SUMIFS(tbl_ledger[数量],tbl_ledger[充当先ロットID],$B245,tbl_ledger[イベント種類],"充当",tbl_ledger[元状態],D$1)-SUMIFS(tbl_ledger[数量],tbl_ledger[ロットID],$B245,tbl_ledger[元状態],D$1))</f>
        <v/>
      </c>
      <c r="E245" s="4" t="str">
        <f>IF($B245="","",SUMIFS(tbl_ledger[数量],tbl_ledger[ロットID],$B245,tbl_ledger[イベント種類],"アニール完了")+SUMIFS(tbl_ledger[数量],tbl_ledger[充当先ロットID],$B245,tbl_ledger[イベント種類],"充当",tbl_ledger[元状態],E$1)-SUMIFS(tbl_ledger[数量],tbl_ledger[ロットID],$B245,tbl_ledger[元状態],E$1))</f>
        <v/>
      </c>
      <c r="F245" s="4" t="str">
        <f>IF($B245="","",SUMIFS(tbl_ledger[数量],tbl_ledger[ロットID],$B245,tbl_ledger[イベント種類],"アセンブリ完了")+SUMIFS(tbl_ledger[数量],tbl_ledger[充当先ロットID],$B245,tbl_ledger[イベント種類],"充当",tbl_ledger[元状態],F$1)-SUMIFS(tbl_ledger[数量],tbl_ledger[ロットID],$B245,tbl_ledger[元状態],F$1))</f>
        <v/>
      </c>
      <c r="G245" s="4" t="str">
        <f>IF($B245="","",SUMIFS(tbl_ledger[数量],tbl_ledger[ロットID],$B245,tbl_ledger[イベント種類],"梱包完了")+SUMIFS(tbl_ledger[数量],tbl_ledger[充当先ロットID],$B245,tbl_ledger[イベント種類],"充当",tbl_ledger[元状態],G$1)-SUMIFS(tbl_ledger[数量],tbl_ledger[ロットID],$B245,tbl_ledger[元状態],G$1))</f>
        <v/>
      </c>
      <c r="H245" s="4" t="str">
        <f>IF($B245="","",SUMIFS(tbl_ledger[数量],tbl_ledger[ロットID],$B245,tbl_ledger[イベント種類],"発送準備完了")+SUMIFS(tbl_ledger[数量],tbl_ledger[充当先ロットID],$B245,tbl_ledger[イベント種類],"充当",tbl_ledger[元状態],H$1)-SUMIFS(tbl_ledger[数量],tbl_ledger[ロットID],$B245,tbl_ledger[元状態],H$1))</f>
        <v/>
      </c>
      <c r="I245" s="4" t="str">
        <f>IF($B245="","",SUMIFS(tbl_ledger[数量],tbl_ledger[ロットID],$B245,tbl_ledger[イベント種類],"不良発生")+SUMIFS(tbl_ledger[数量],tbl_ledger[充当先ロットID],$B245,tbl_ledger[イベント種類],"充当",tbl_ledger[元状態],I$1)-SUMIFS(tbl_ledger[数量],tbl_ledger[ロットID],$B245,tbl_ledger[元状態],I$1))</f>
        <v/>
      </c>
      <c r="J245" s="4" t="str">
        <f t="shared" si="7"/>
        <v/>
      </c>
    </row>
    <row r="246" spans="1:10" ht="15" x14ac:dyDescent="0.25">
      <c r="A246" s="4" t="str">
        <f t="shared" si="6"/>
        <v/>
      </c>
      <c r="B246" s="4" t="str">
        <f>IFERROR(IF(COUNTIF($B$1:$B245,INDEX(tbl_plan[ロットID],ROW()-1))&gt;0,"",INDEX(tbl_plan[ロットID],ROW()-1)),"")</f>
        <v/>
      </c>
      <c r="C246" s="4" t="str">
        <f>IF($B246="","",INDEX(tbl_plan[品番],ROW()-1))</f>
        <v/>
      </c>
      <c r="D246" s="4" t="str">
        <f>IF($B246="","",SUMIFS(tbl_ledger[数量],tbl_ledger[ロットID],$B246,tbl_ledger[イベント種類],"搬入")+SUMIFS(tbl_ledger[数量],tbl_ledger[充当先ロットID],$B246,tbl_ledger[イベント種類],"充当",tbl_ledger[元状態],D$1)-SUMIFS(tbl_ledger[数量],tbl_ledger[ロットID],$B246,tbl_ledger[元状態],D$1))</f>
        <v/>
      </c>
      <c r="E246" s="4" t="str">
        <f>IF($B246="","",SUMIFS(tbl_ledger[数量],tbl_ledger[ロットID],$B246,tbl_ledger[イベント種類],"アニール完了")+SUMIFS(tbl_ledger[数量],tbl_ledger[充当先ロットID],$B246,tbl_ledger[イベント種類],"充当",tbl_ledger[元状態],E$1)-SUMIFS(tbl_ledger[数量],tbl_ledger[ロットID],$B246,tbl_ledger[元状態],E$1))</f>
        <v/>
      </c>
      <c r="F246" s="4" t="str">
        <f>IF($B246="","",SUMIFS(tbl_ledger[数量],tbl_ledger[ロットID],$B246,tbl_ledger[イベント種類],"アセンブリ完了")+SUMIFS(tbl_ledger[数量],tbl_ledger[充当先ロットID],$B246,tbl_ledger[イベント種類],"充当",tbl_ledger[元状態],F$1)-SUMIFS(tbl_ledger[数量],tbl_ledger[ロットID],$B246,tbl_ledger[元状態],F$1))</f>
        <v/>
      </c>
      <c r="G246" s="4" t="str">
        <f>IF($B246="","",SUMIFS(tbl_ledger[数量],tbl_ledger[ロットID],$B246,tbl_ledger[イベント種類],"梱包完了")+SUMIFS(tbl_ledger[数量],tbl_ledger[充当先ロットID],$B246,tbl_ledger[イベント種類],"充当",tbl_ledger[元状態],G$1)-SUMIFS(tbl_ledger[数量],tbl_ledger[ロットID],$B246,tbl_ledger[元状態],G$1))</f>
        <v/>
      </c>
      <c r="H246" s="4" t="str">
        <f>IF($B246="","",SUMIFS(tbl_ledger[数量],tbl_ledger[ロットID],$B246,tbl_ledger[イベント種類],"発送準備完了")+SUMIFS(tbl_ledger[数量],tbl_ledger[充当先ロットID],$B246,tbl_ledger[イベント種類],"充当",tbl_ledger[元状態],H$1)-SUMIFS(tbl_ledger[数量],tbl_ledger[ロットID],$B246,tbl_ledger[元状態],H$1))</f>
        <v/>
      </c>
      <c r="I246" s="4" t="str">
        <f>IF($B246="","",SUMIFS(tbl_ledger[数量],tbl_ledger[ロットID],$B246,tbl_ledger[イベント種類],"不良発生")+SUMIFS(tbl_ledger[数量],tbl_ledger[充当先ロットID],$B246,tbl_ledger[イベント種類],"充当",tbl_ledger[元状態],I$1)-SUMIFS(tbl_ledger[数量],tbl_ledger[ロットID],$B246,tbl_ledger[元状態],I$1))</f>
        <v/>
      </c>
      <c r="J246" s="4" t="str">
        <f t="shared" si="7"/>
        <v/>
      </c>
    </row>
    <row r="247" spans="1:10" ht="15" x14ac:dyDescent="0.25">
      <c r="A247" s="4" t="str">
        <f t="shared" si="6"/>
        <v/>
      </c>
      <c r="B247" s="4" t="str">
        <f>IFERROR(IF(COUNTIF($B$1:$B246,INDEX(tbl_plan[ロットID],ROW()-1))&gt;0,"",INDEX(tbl_plan[ロットID],ROW()-1)),"")</f>
        <v/>
      </c>
      <c r="C247" s="4" t="str">
        <f>IF($B247="","",INDEX(tbl_plan[品番],ROW()-1))</f>
        <v/>
      </c>
      <c r="D247" s="4" t="str">
        <f>IF($B247="","",SUMIFS(tbl_ledger[数量],tbl_ledger[ロットID],$B247,tbl_ledger[イベント種類],"搬入")+SUMIFS(tbl_ledger[数量],tbl_ledger[充当先ロットID],$B247,tbl_ledger[イベント種類],"充当",tbl_ledger[元状態],D$1)-SUMIFS(tbl_ledger[数量],tbl_ledger[ロットID],$B247,tbl_ledger[元状態],D$1))</f>
        <v/>
      </c>
      <c r="E247" s="4" t="str">
        <f>IF($B247="","",SUMIFS(tbl_ledger[数量],tbl_ledger[ロットID],$B247,tbl_ledger[イベント種類],"アニール完了")+SUMIFS(tbl_ledger[数量],tbl_ledger[充当先ロットID],$B247,tbl_ledger[イベント種類],"充当",tbl_ledger[元状態],E$1)-SUMIFS(tbl_ledger[数量],tbl_ledger[ロットID],$B247,tbl_ledger[元状態],E$1))</f>
        <v/>
      </c>
      <c r="F247" s="4" t="str">
        <f>IF($B247="","",SUMIFS(tbl_ledger[数量],tbl_ledger[ロットID],$B247,tbl_ledger[イベント種類],"アセンブリ完了")+SUMIFS(tbl_ledger[数量],tbl_ledger[充当先ロットID],$B247,tbl_ledger[イベント種類],"充当",tbl_ledger[元状態],F$1)-SUMIFS(tbl_ledger[数量],tbl_ledger[ロットID],$B247,tbl_ledger[元状態],F$1))</f>
        <v/>
      </c>
      <c r="G247" s="4" t="str">
        <f>IF($B247="","",SUMIFS(tbl_ledger[数量],tbl_ledger[ロットID],$B247,tbl_ledger[イベント種類],"梱包完了")+SUMIFS(tbl_ledger[数量],tbl_ledger[充当先ロットID],$B247,tbl_ledger[イベント種類],"充当",tbl_ledger[元状態],G$1)-SUMIFS(tbl_ledger[数量],tbl_ledger[ロットID],$B247,tbl_ledger[元状態],G$1))</f>
        <v/>
      </c>
      <c r="H247" s="4" t="str">
        <f>IF($B247="","",SUMIFS(tbl_ledger[数量],tbl_ledger[ロットID],$B247,tbl_ledger[イベント種類],"発送準備完了")+SUMIFS(tbl_ledger[数量],tbl_ledger[充当先ロットID],$B247,tbl_ledger[イベント種類],"充当",tbl_ledger[元状態],H$1)-SUMIFS(tbl_ledger[数量],tbl_ledger[ロットID],$B247,tbl_ledger[元状態],H$1))</f>
        <v/>
      </c>
      <c r="I247" s="4" t="str">
        <f>IF($B247="","",SUMIFS(tbl_ledger[数量],tbl_ledger[ロットID],$B247,tbl_ledger[イベント種類],"不良発生")+SUMIFS(tbl_ledger[数量],tbl_ledger[充当先ロットID],$B247,tbl_ledger[イベント種類],"充当",tbl_ledger[元状態],I$1)-SUMIFS(tbl_ledger[数量],tbl_ledger[ロットID],$B247,tbl_ledger[元状態],I$1))</f>
        <v/>
      </c>
      <c r="J247" s="4" t="str">
        <f t="shared" si="7"/>
        <v/>
      </c>
    </row>
    <row r="248" spans="1:10" ht="15" x14ac:dyDescent="0.25">
      <c r="A248" s="4" t="str">
        <f t="shared" si="6"/>
        <v/>
      </c>
      <c r="B248" s="4" t="str">
        <f>IFERROR(IF(COUNTIF($B$1:$B247,INDEX(tbl_plan[ロットID],ROW()-1))&gt;0,"",INDEX(tbl_plan[ロットID],ROW()-1)),"")</f>
        <v/>
      </c>
      <c r="C248" s="4" t="str">
        <f>IF($B248="","",INDEX(tbl_plan[品番],ROW()-1))</f>
        <v/>
      </c>
      <c r="D248" s="4" t="str">
        <f>IF($B248="","",SUMIFS(tbl_ledger[数量],tbl_ledger[ロットID],$B248,tbl_ledger[イベント種類],"搬入")+SUMIFS(tbl_ledger[数量],tbl_ledger[充当先ロットID],$B248,tbl_ledger[イベント種類],"充当",tbl_ledger[元状態],D$1)-SUMIFS(tbl_ledger[数量],tbl_ledger[ロットID],$B248,tbl_ledger[元状態],D$1))</f>
        <v/>
      </c>
      <c r="E248" s="4" t="str">
        <f>IF($B248="","",SUMIFS(tbl_ledger[数量],tbl_ledger[ロットID],$B248,tbl_ledger[イベント種類],"アニール完了")+SUMIFS(tbl_ledger[数量],tbl_ledger[充当先ロットID],$B248,tbl_ledger[イベント種類],"充当",tbl_ledger[元状態],E$1)-SUMIFS(tbl_ledger[数量],tbl_ledger[ロットID],$B248,tbl_ledger[元状態],E$1))</f>
        <v/>
      </c>
      <c r="F248" s="4" t="str">
        <f>IF($B248="","",SUMIFS(tbl_ledger[数量],tbl_ledger[ロットID],$B248,tbl_ledger[イベント種類],"アセンブリ完了")+SUMIFS(tbl_ledger[数量],tbl_ledger[充当先ロットID],$B248,tbl_ledger[イベント種類],"充当",tbl_ledger[元状態],F$1)-SUMIFS(tbl_ledger[数量],tbl_ledger[ロットID],$B248,tbl_ledger[元状態],F$1))</f>
        <v/>
      </c>
      <c r="G248" s="4" t="str">
        <f>IF($B248="","",SUMIFS(tbl_ledger[数量],tbl_ledger[ロットID],$B248,tbl_ledger[イベント種類],"梱包完了")+SUMIFS(tbl_ledger[数量],tbl_ledger[充当先ロットID],$B248,tbl_ledger[イベント種類],"充当",tbl_ledger[元状態],G$1)-SUMIFS(tbl_ledger[数量],tbl_ledger[ロットID],$B248,tbl_ledger[元状態],G$1))</f>
        <v/>
      </c>
      <c r="H248" s="4" t="str">
        <f>IF($B248="","",SUMIFS(tbl_ledger[数量],tbl_ledger[ロットID],$B248,tbl_ledger[イベント種類],"発送準備完了")+SUMIFS(tbl_ledger[数量],tbl_ledger[充当先ロットID],$B248,tbl_ledger[イベント種類],"充当",tbl_ledger[元状態],H$1)-SUMIFS(tbl_ledger[数量],tbl_ledger[ロットID],$B248,tbl_ledger[元状態],H$1))</f>
        <v/>
      </c>
      <c r="I248" s="4" t="str">
        <f>IF($B248="","",SUMIFS(tbl_ledger[数量],tbl_ledger[ロットID],$B248,tbl_ledger[イベント種類],"不良発生")+SUMIFS(tbl_ledger[数量],tbl_ledger[充当先ロットID],$B248,tbl_ledger[イベント種類],"充当",tbl_ledger[元状態],I$1)-SUMIFS(tbl_ledger[数量],tbl_ledger[ロットID],$B248,tbl_ledger[元状態],I$1))</f>
        <v/>
      </c>
      <c r="J248" s="4" t="str">
        <f t="shared" si="7"/>
        <v/>
      </c>
    </row>
    <row r="249" spans="1:10" ht="15" x14ac:dyDescent="0.25">
      <c r="A249" s="4" t="str">
        <f t="shared" si="6"/>
        <v/>
      </c>
      <c r="B249" s="4" t="str">
        <f>IFERROR(IF(COUNTIF($B$1:$B248,INDEX(tbl_plan[ロットID],ROW()-1))&gt;0,"",INDEX(tbl_plan[ロットID],ROW()-1)),"")</f>
        <v/>
      </c>
      <c r="C249" s="4" t="str">
        <f>IF($B249="","",INDEX(tbl_plan[品番],ROW()-1))</f>
        <v/>
      </c>
      <c r="D249" s="4" t="str">
        <f>IF($B249="","",SUMIFS(tbl_ledger[数量],tbl_ledger[ロットID],$B249,tbl_ledger[イベント種類],"搬入")+SUMIFS(tbl_ledger[数量],tbl_ledger[充当先ロットID],$B249,tbl_ledger[イベント種類],"充当",tbl_ledger[元状態],D$1)-SUMIFS(tbl_ledger[数量],tbl_ledger[ロットID],$B249,tbl_ledger[元状態],D$1))</f>
        <v/>
      </c>
      <c r="E249" s="4" t="str">
        <f>IF($B249="","",SUMIFS(tbl_ledger[数量],tbl_ledger[ロットID],$B249,tbl_ledger[イベント種類],"アニール完了")+SUMIFS(tbl_ledger[数量],tbl_ledger[充当先ロットID],$B249,tbl_ledger[イベント種類],"充当",tbl_ledger[元状態],E$1)-SUMIFS(tbl_ledger[数量],tbl_ledger[ロットID],$B249,tbl_ledger[元状態],E$1))</f>
        <v/>
      </c>
      <c r="F249" s="4" t="str">
        <f>IF($B249="","",SUMIFS(tbl_ledger[数量],tbl_ledger[ロットID],$B249,tbl_ledger[イベント種類],"アセンブリ完了")+SUMIFS(tbl_ledger[数量],tbl_ledger[充当先ロットID],$B249,tbl_ledger[イベント種類],"充当",tbl_ledger[元状態],F$1)-SUMIFS(tbl_ledger[数量],tbl_ledger[ロットID],$B249,tbl_ledger[元状態],F$1))</f>
        <v/>
      </c>
      <c r="G249" s="4" t="str">
        <f>IF($B249="","",SUMIFS(tbl_ledger[数量],tbl_ledger[ロットID],$B249,tbl_ledger[イベント種類],"梱包完了")+SUMIFS(tbl_ledger[数量],tbl_ledger[充当先ロットID],$B249,tbl_ledger[イベント種類],"充当",tbl_ledger[元状態],G$1)-SUMIFS(tbl_ledger[数量],tbl_ledger[ロットID],$B249,tbl_ledger[元状態],G$1))</f>
        <v/>
      </c>
      <c r="H249" s="4" t="str">
        <f>IF($B249="","",SUMIFS(tbl_ledger[数量],tbl_ledger[ロットID],$B249,tbl_ledger[イベント種類],"発送準備完了")+SUMIFS(tbl_ledger[数量],tbl_ledger[充当先ロットID],$B249,tbl_ledger[イベント種類],"充当",tbl_ledger[元状態],H$1)-SUMIFS(tbl_ledger[数量],tbl_ledger[ロットID],$B249,tbl_ledger[元状態],H$1))</f>
        <v/>
      </c>
      <c r="I249" s="4" t="str">
        <f>IF($B249="","",SUMIFS(tbl_ledger[数量],tbl_ledger[ロットID],$B249,tbl_ledger[イベント種類],"不良発生")+SUMIFS(tbl_ledger[数量],tbl_ledger[充当先ロットID],$B249,tbl_ledger[イベント種類],"充当",tbl_ledger[元状態],I$1)-SUMIFS(tbl_ledger[数量],tbl_ledger[ロットID],$B249,tbl_ledger[元状態],I$1))</f>
        <v/>
      </c>
      <c r="J249" s="4" t="str">
        <f t="shared" si="7"/>
        <v/>
      </c>
    </row>
    <row r="250" spans="1:10" ht="15" x14ac:dyDescent="0.25">
      <c r="A250" s="4" t="str">
        <f t="shared" si="6"/>
        <v/>
      </c>
      <c r="B250" s="4" t="str">
        <f>IFERROR(IF(COUNTIF($B$1:$B249,INDEX(tbl_plan[ロットID],ROW()-1))&gt;0,"",INDEX(tbl_plan[ロットID],ROW()-1)),"")</f>
        <v/>
      </c>
      <c r="C250" s="4" t="str">
        <f>IF($B250="","",INDEX(tbl_plan[品番],ROW()-1))</f>
        <v/>
      </c>
      <c r="D250" s="4" t="str">
        <f>IF($B250="","",SUMIFS(tbl_ledger[数量],tbl_ledger[ロットID],$B250,tbl_ledger[イベント種類],"搬入")+SUMIFS(tbl_ledger[数量],tbl_ledger[充当先ロットID],$B250,tbl_ledger[イベント種類],"充当",tbl_ledger[元状態],D$1)-SUMIFS(tbl_ledger[数量],tbl_ledger[ロットID],$B250,tbl_ledger[元状態],D$1))</f>
        <v/>
      </c>
      <c r="E250" s="4" t="str">
        <f>IF($B250="","",SUMIFS(tbl_ledger[数量],tbl_ledger[ロットID],$B250,tbl_ledger[イベント種類],"アニール完了")+SUMIFS(tbl_ledger[数量],tbl_ledger[充当先ロットID],$B250,tbl_ledger[イベント種類],"充当",tbl_ledger[元状態],E$1)-SUMIFS(tbl_ledger[数量],tbl_ledger[ロットID],$B250,tbl_ledger[元状態],E$1))</f>
        <v/>
      </c>
      <c r="F250" s="4" t="str">
        <f>IF($B250="","",SUMIFS(tbl_ledger[数量],tbl_ledger[ロットID],$B250,tbl_ledger[イベント種類],"アセンブリ完了")+SUMIFS(tbl_ledger[数量],tbl_ledger[充当先ロットID],$B250,tbl_ledger[イベント種類],"充当",tbl_ledger[元状態],F$1)-SUMIFS(tbl_ledger[数量],tbl_ledger[ロットID],$B250,tbl_ledger[元状態],F$1))</f>
        <v/>
      </c>
      <c r="G250" s="4" t="str">
        <f>IF($B250="","",SUMIFS(tbl_ledger[数量],tbl_ledger[ロットID],$B250,tbl_ledger[イベント種類],"梱包完了")+SUMIFS(tbl_ledger[数量],tbl_ledger[充当先ロットID],$B250,tbl_ledger[イベント種類],"充当",tbl_ledger[元状態],G$1)-SUMIFS(tbl_ledger[数量],tbl_ledger[ロットID],$B250,tbl_ledger[元状態],G$1))</f>
        <v/>
      </c>
      <c r="H250" s="4" t="str">
        <f>IF($B250="","",SUMIFS(tbl_ledger[数量],tbl_ledger[ロットID],$B250,tbl_ledger[イベント種類],"発送準備完了")+SUMIFS(tbl_ledger[数量],tbl_ledger[充当先ロットID],$B250,tbl_ledger[イベント種類],"充当",tbl_ledger[元状態],H$1)-SUMIFS(tbl_ledger[数量],tbl_ledger[ロットID],$B250,tbl_ledger[元状態],H$1))</f>
        <v/>
      </c>
      <c r="I250" s="4" t="str">
        <f>IF($B250="","",SUMIFS(tbl_ledger[数量],tbl_ledger[ロットID],$B250,tbl_ledger[イベント種類],"不良発生")+SUMIFS(tbl_ledger[数量],tbl_ledger[充当先ロットID],$B250,tbl_ledger[イベント種類],"充当",tbl_ledger[元状態],I$1)-SUMIFS(tbl_ledger[数量],tbl_ledger[ロットID],$B250,tbl_ledger[元状態],I$1))</f>
        <v/>
      </c>
      <c r="J250" s="4" t="str">
        <f t="shared" si="7"/>
        <v/>
      </c>
    </row>
    <row r="251" spans="1:10" ht="15" x14ac:dyDescent="0.25">
      <c r="A251" s="4" t="str">
        <f t="shared" si="6"/>
        <v/>
      </c>
      <c r="B251" s="4" t="str">
        <f>IFERROR(IF(COUNTIF($B$1:$B250,INDEX(tbl_plan[ロットID],ROW()-1))&gt;0,"",INDEX(tbl_plan[ロットID],ROW()-1)),"")</f>
        <v/>
      </c>
      <c r="C251" s="4" t="str">
        <f>IF($B251="","",INDEX(tbl_plan[品番],ROW()-1))</f>
        <v/>
      </c>
      <c r="D251" s="4" t="str">
        <f>IF($B251="","",SUMIFS(tbl_ledger[数量],tbl_ledger[ロットID],$B251,tbl_ledger[イベント種類],"搬入")+SUMIFS(tbl_ledger[数量],tbl_ledger[充当先ロットID],$B251,tbl_ledger[イベント種類],"充当",tbl_ledger[元状態],D$1)-SUMIFS(tbl_ledger[数量],tbl_ledger[ロットID],$B251,tbl_ledger[元状態],D$1))</f>
        <v/>
      </c>
      <c r="E251" s="4" t="str">
        <f>IF($B251="","",SUMIFS(tbl_ledger[数量],tbl_ledger[ロットID],$B251,tbl_ledger[イベント種類],"アニール完了")+SUMIFS(tbl_ledger[数量],tbl_ledger[充当先ロットID],$B251,tbl_ledger[イベント種類],"充当",tbl_ledger[元状態],E$1)-SUMIFS(tbl_ledger[数量],tbl_ledger[ロットID],$B251,tbl_ledger[元状態],E$1))</f>
        <v/>
      </c>
      <c r="F251" s="4" t="str">
        <f>IF($B251="","",SUMIFS(tbl_ledger[数量],tbl_ledger[ロットID],$B251,tbl_ledger[イベント種類],"アセンブリ完了")+SUMIFS(tbl_ledger[数量],tbl_ledger[充当先ロットID],$B251,tbl_ledger[イベント種類],"充当",tbl_ledger[元状態],F$1)-SUMIFS(tbl_ledger[数量],tbl_ledger[ロットID],$B251,tbl_ledger[元状態],F$1))</f>
        <v/>
      </c>
      <c r="G251" s="4" t="str">
        <f>IF($B251="","",SUMIFS(tbl_ledger[数量],tbl_ledger[ロットID],$B251,tbl_ledger[イベント種類],"梱包完了")+SUMIFS(tbl_ledger[数量],tbl_ledger[充当先ロットID],$B251,tbl_ledger[イベント種類],"充当",tbl_ledger[元状態],G$1)-SUMIFS(tbl_ledger[数量],tbl_ledger[ロットID],$B251,tbl_ledger[元状態],G$1))</f>
        <v/>
      </c>
      <c r="H251" s="4" t="str">
        <f>IF($B251="","",SUMIFS(tbl_ledger[数量],tbl_ledger[ロットID],$B251,tbl_ledger[イベント種類],"発送準備完了")+SUMIFS(tbl_ledger[数量],tbl_ledger[充当先ロットID],$B251,tbl_ledger[イベント種類],"充当",tbl_ledger[元状態],H$1)-SUMIFS(tbl_ledger[数量],tbl_ledger[ロットID],$B251,tbl_ledger[元状態],H$1))</f>
        <v/>
      </c>
      <c r="I251" s="4" t="str">
        <f>IF($B251="","",SUMIFS(tbl_ledger[数量],tbl_ledger[ロットID],$B251,tbl_ledger[イベント種類],"不良発生")+SUMIFS(tbl_ledger[数量],tbl_ledger[充当先ロットID],$B251,tbl_ledger[イベント種類],"充当",tbl_ledger[元状態],I$1)-SUMIFS(tbl_ledger[数量],tbl_ledger[ロットID],$B251,tbl_ledger[元状態],I$1))</f>
        <v/>
      </c>
      <c r="J251" s="4" t="str">
        <f t="shared" si="7"/>
        <v/>
      </c>
    </row>
    <row r="252" spans="1:10" ht="15" x14ac:dyDescent="0.25">
      <c r="A252" s="4" t="str">
        <f t="shared" si="6"/>
        <v/>
      </c>
      <c r="B252" s="4" t="str">
        <f>IFERROR(IF(COUNTIF($B$1:$B251,INDEX(tbl_plan[ロットID],ROW()-1))&gt;0,"",INDEX(tbl_plan[ロットID],ROW()-1)),"")</f>
        <v/>
      </c>
      <c r="C252" s="4" t="str">
        <f>IF($B252="","",INDEX(tbl_plan[品番],ROW()-1))</f>
        <v/>
      </c>
      <c r="D252" s="4" t="str">
        <f>IF($B252="","",SUMIFS(tbl_ledger[数量],tbl_ledger[ロットID],$B252,tbl_ledger[イベント種類],"搬入")+SUMIFS(tbl_ledger[数量],tbl_ledger[充当先ロットID],$B252,tbl_ledger[イベント種類],"充当",tbl_ledger[元状態],D$1)-SUMIFS(tbl_ledger[数量],tbl_ledger[ロットID],$B252,tbl_ledger[元状態],D$1))</f>
        <v/>
      </c>
      <c r="E252" s="4" t="str">
        <f>IF($B252="","",SUMIFS(tbl_ledger[数量],tbl_ledger[ロットID],$B252,tbl_ledger[イベント種類],"アニール完了")+SUMIFS(tbl_ledger[数量],tbl_ledger[充当先ロットID],$B252,tbl_ledger[イベント種類],"充当",tbl_ledger[元状態],E$1)-SUMIFS(tbl_ledger[数量],tbl_ledger[ロットID],$B252,tbl_ledger[元状態],E$1))</f>
        <v/>
      </c>
      <c r="F252" s="4" t="str">
        <f>IF($B252="","",SUMIFS(tbl_ledger[数量],tbl_ledger[ロットID],$B252,tbl_ledger[イベント種類],"アセンブリ完了")+SUMIFS(tbl_ledger[数量],tbl_ledger[充当先ロットID],$B252,tbl_ledger[イベント種類],"充当",tbl_ledger[元状態],F$1)-SUMIFS(tbl_ledger[数量],tbl_ledger[ロットID],$B252,tbl_ledger[元状態],F$1))</f>
        <v/>
      </c>
      <c r="G252" s="4" t="str">
        <f>IF($B252="","",SUMIFS(tbl_ledger[数量],tbl_ledger[ロットID],$B252,tbl_ledger[イベント種類],"梱包完了")+SUMIFS(tbl_ledger[数量],tbl_ledger[充当先ロットID],$B252,tbl_ledger[イベント種類],"充当",tbl_ledger[元状態],G$1)-SUMIFS(tbl_ledger[数量],tbl_ledger[ロットID],$B252,tbl_ledger[元状態],G$1))</f>
        <v/>
      </c>
      <c r="H252" s="4" t="str">
        <f>IF($B252="","",SUMIFS(tbl_ledger[数量],tbl_ledger[ロットID],$B252,tbl_ledger[イベント種類],"発送準備完了")+SUMIFS(tbl_ledger[数量],tbl_ledger[充当先ロットID],$B252,tbl_ledger[イベント種類],"充当",tbl_ledger[元状態],H$1)-SUMIFS(tbl_ledger[数量],tbl_ledger[ロットID],$B252,tbl_ledger[元状態],H$1))</f>
        <v/>
      </c>
      <c r="I252" s="4" t="str">
        <f>IF($B252="","",SUMIFS(tbl_ledger[数量],tbl_ledger[ロットID],$B252,tbl_ledger[イベント種類],"不良発生")+SUMIFS(tbl_ledger[数量],tbl_ledger[充当先ロットID],$B252,tbl_ledger[イベント種類],"充当",tbl_ledger[元状態],I$1)-SUMIFS(tbl_ledger[数量],tbl_ledger[ロットID],$B252,tbl_ledger[元状態],I$1))</f>
        <v/>
      </c>
      <c r="J252" s="4" t="str">
        <f t="shared" si="7"/>
        <v/>
      </c>
    </row>
    <row r="253" spans="1:10" ht="15" x14ac:dyDescent="0.25">
      <c r="A253" s="4" t="str">
        <f t="shared" si="6"/>
        <v/>
      </c>
      <c r="B253" s="4" t="str">
        <f>IFERROR(IF(COUNTIF($B$1:$B252,INDEX(tbl_plan[ロットID],ROW()-1))&gt;0,"",INDEX(tbl_plan[ロットID],ROW()-1)),"")</f>
        <v/>
      </c>
      <c r="C253" s="4" t="str">
        <f>IF($B253="","",INDEX(tbl_plan[品番],ROW()-1))</f>
        <v/>
      </c>
      <c r="D253" s="4" t="str">
        <f>IF($B253="","",SUMIFS(tbl_ledger[数量],tbl_ledger[ロットID],$B253,tbl_ledger[イベント種類],"搬入")+SUMIFS(tbl_ledger[数量],tbl_ledger[充当先ロットID],$B253,tbl_ledger[イベント種類],"充当",tbl_ledger[元状態],D$1)-SUMIFS(tbl_ledger[数量],tbl_ledger[ロットID],$B253,tbl_ledger[元状態],D$1))</f>
        <v/>
      </c>
      <c r="E253" s="4" t="str">
        <f>IF($B253="","",SUMIFS(tbl_ledger[数量],tbl_ledger[ロットID],$B253,tbl_ledger[イベント種類],"アニール完了")+SUMIFS(tbl_ledger[数量],tbl_ledger[充当先ロットID],$B253,tbl_ledger[イベント種類],"充当",tbl_ledger[元状態],E$1)-SUMIFS(tbl_ledger[数量],tbl_ledger[ロットID],$B253,tbl_ledger[元状態],E$1))</f>
        <v/>
      </c>
      <c r="F253" s="4" t="str">
        <f>IF($B253="","",SUMIFS(tbl_ledger[数量],tbl_ledger[ロットID],$B253,tbl_ledger[イベント種類],"アセンブリ完了")+SUMIFS(tbl_ledger[数量],tbl_ledger[充当先ロットID],$B253,tbl_ledger[イベント種類],"充当",tbl_ledger[元状態],F$1)-SUMIFS(tbl_ledger[数量],tbl_ledger[ロットID],$B253,tbl_ledger[元状態],F$1))</f>
        <v/>
      </c>
      <c r="G253" s="4" t="str">
        <f>IF($B253="","",SUMIFS(tbl_ledger[数量],tbl_ledger[ロットID],$B253,tbl_ledger[イベント種類],"梱包完了")+SUMIFS(tbl_ledger[数量],tbl_ledger[充当先ロットID],$B253,tbl_ledger[イベント種類],"充当",tbl_ledger[元状態],G$1)-SUMIFS(tbl_ledger[数量],tbl_ledger[ロットID],$B253,tbl_ledger[元状態],G$1))</f>
        <v/>
      </c>
      <c r="H253" s="4" t="str">
        <f>IF($B253="","",SUMIFS(tbl_ledger[数量],tbl_ledger[ロットID],$B253,tbl_ledger[イベント種類],"発送準備完了")+SUMIFS(tbl_ledger[数量],tbl_ledger[充当先ロットID],$B253,tbl_ledger[イベント種類],"充当",tbl_ledger[元状態],H$1)-SUMIFS(tbl_ledger[数量],tbl_ledger[ロットID],$B253,tbl_ledger[元状態],H$1))</f>
        <v/>
      </c>
      <c r="I253" s="4" t="str">
        <f>IF($B253="","",SUMIFS(tbl_ledger[数量],tbl_ledger[ロットID],$B253,tbl_ledger[イベント種類],"不良発生")+SUMIFS(tbl_ledger[数量],tbl_ledger[充当先ロットID],$B253,tbl_ledger[イベント種類],"充当",tbl_ledger[元状態],I$1)-SUMIFS(tbl_ledger[数量],tbl_ledger[ロットID],$B253,tbl_ledger[元状態],I$1))</f>
        <v/>
      </c>
      <c r="J253" s="4" t="str">
        <f t="shared" si="7"/>
        <v/>
      </c>
    </row>
    <row r="254" spans="1:10" ht="15" x14ac:dyDescent="0.25">
      <c r="A254" s="4" t="str">
        <f t="shared" si="6"/>
        <v/>
      </c>
      <c r="B254" s="4" t="str">
        <f>IFERROR(IF(COUNTIF($B$1:$B253,INDEX(tbl_plan[ロットID],ROW()-1))&gt;0,"",INDEX(tbl_plan[ロットID],ROW()-1)),"")</f>
        <v/>
      </c>
      <c r="C254" s="4" t="str">
        <f>IF($B254="","",INDEX(tbl_plan[品番],ROW()-1))</f>
        <v/>
      </c>
      <c r="D254" s="4" t="str">
        <f>IF($B254="","",SUMIFS(tbl_ledger[数量],tbl_ledger[ロットID],$B254,tbl_ledger[イベント種類],"搬入")+SUMIFS(tbl_ledger[数量],tbl_ledger[充当先ロットID],$B254,tbl_ledger[イベント種類],"充当",tbl_ledger[元状態],D$1)-SUMIFS(tbl_ledger[数量],tbl_ledger[ロットID],$B254,tbl_ledger[元状態],D$1))</f>
        <v/>
      </c>
      <c r="E254" s="4" t="str">
        <f>IF($B254="","",SUMIFS(tbl_ledger[数量],tbl_ledger[ロットID],$B254,tbl_ledger[イベント種類],"アニール完了")+SUMIFS(tbl_ledger[数量],tbl_ledger[充当先ロットID],$B254,tbl_ledger[イベント種類],"充当",tbl_ledger[元状態],E$1)-SUMIFS(tbl_ledger[数量],tbl_ledger[ロットID],$B254,tbl_ledger[元状態],E$1))</f>
        <v/>
      </c>
      <c r="F254" s="4" t="str">
        <f>IF($B254="","",SUMIFS(tbl_ledger[数量],tbl_ledger[ロットID],$B254,tbl_ledger[イベント種類],"アセンブリ完了")+SUMIFS(tbl_ledger[数量],tbl_ledger[充当先ロットID],$B254,tbl_ledger[イベント種類],"充当",tbl_ledger[元状態],F$1)-SUMIFS(tbl_ledger[数量],tbl_ledger[ロットID],$B254,tbl_ledger[元状態],F$1))</f>
        <v/>
      </c>
      <c r="G254" s="4" t="str">
        <f>IF($B254="","",SUMIFS(tbl_ledger[数量],tbl_ledger[ロットID],$B254,tbl_ledger[イベント種類],"梱包完了")+SUMIFS(tbl_ledger[数量],tbl_ledger[充当先ロットID],$B254,tbl_ledger[イベント種類],"充当",tbl_ledger[元状態],G$1)-SUMIFS(tbl_ledger[数量],tbl_ledger[ロットID],$B254,tbl_ledger[元状態],G$1))</f>
        <v/>
      </c>
      <c r="H254" s="4" t="str">
        <f>IF($B254="","",SUMIFS(tbl_ledger[数量],tbl_ledger[ロットID],$B254,tbl_ledger[イベント種類],"発送準備完了")+SUMIFS(tbl_ledger[数量],tbl_ledger[充当先ロットID],$B254,tbl_ledger[イベント種類],"充当",tbl_ledger[元状態],H$1)-SUMIFS(tbl_ledger[数量],tbl_ledger[ロットID],$B254,tbl_ledger[元状態],H$1))</f>
        <v/>
      </c>
      <c r="I254" s="4" t="str">
        <f>IF($B254="","",SUMIFS(tbl_ledger[数量],tbl_ledger[ロットID],$B254,tbl_ledger[イベント種類],"不良発生")+SUMIFS(tbl_ledger[数量],tbl_ledger[充当先ロットID],$B254,tbl_ledger[イベント種類],"充当",tbl_ledger[元状態],I$1)-SUMIFS(tbl_ledger[数量],tbl_ledger[ロットID],$B254,tbl_ledger[元状態],I$1))</f>
        <v/>
      </c>
      <c r="J254" s="4" t="str">
        <f t="shared" si="7"/>
        <v/>
      </c>
    </row>
    <row r="255" spans="1:10" ht="15" x14ac:dyDescent="0.25">
      <c r="A255" s="4" t="str">
        <f t="shared" si="6"/>
        <v/>
      </c>
      <c r="B255" s="4" t="str">
        <f>IFERROR(IF(COUNTIF($B$1:$B254,INDEX(tbl_plan[ロットID],ROW()-1))&gt;0,"",INDEX(tbl_plan[ロットID],ROW()-1)),"")</f>
        <v/>
      </c>
      <c r="C255" s="4" t="str">
        <f>IF($B255="","",INDEX(tbl_plan[品番],ROW()-1))</f>
        <v/>
      </c>
      <c r="D255" s="4" t="str">
        <f>IF($B255="","",SUMIFS(tbl_ledger[数量],tbl_ledger[ロットID],$B255,tbl_ledger[イベント種類],"搬入")+SUMIFS(tbl_ledger[数量],tbl_ledger[充当先ロットID],$B255,tbl_ledger[イベント種類],"充当",tbl_ledger[元状態],D$1)-SUMIFS(tbl_ledger[数量],tbl_ledger[ロットID],$B255,tbl_ledger[元状態],D$1))</f>
        <v/>
      </c>
      <c r="E255" s="4" t="str">
        <f>IF($B255="","",SUMIFS(tbl_ledger[数量],tbl_ledger[ロットID],$B255,tbl_ledger[イベント種類],"アニール完了")+SUMIFS(tbl_ledger[数量],tbl_ledger[充当先ロットID],$B255,tbl_ledger[イベント種類],"充当",tbl_ledger[元状態],E$1)-SUMIFS(tbl_ledger[数量],tbl_ledger[ロットID],$B255,tbl_ledger[元状態],E$1))</f>
        <v/>
      </c>
      <c r="F255" s="4" t="str">
        <f>IF($B255="","",SUMIFS(tbl_ledger[数量],tbl_ledger[ロットID],$B255,tbl_ledger[イベント種類],"アセンブリ完了")+SUMIFS(tbl_ledger[数量],tbl_ledger[充当先ロットID],$B255,tbl_ledger[イベント種類],"充当",tbl_ledger[元状態],F$1)-SUMIFS(tbl_ledger[数量],tbl_ledger[ロットID],$B255,tbl_ledger[元状態],F$1))</f>
        <v/>
      </c>
      <c r="G255" s="4" t="str">
        <f>IF($B255="","",SUMIFS(tbl_ledger[数量],tbl_ledger[ロットID],$B255,tbl_ledger[イベント種類],"梱包完了")+SUMIFS(tbl_ledger[数量],tbl_ledger[充当先ロットID],$B255,tbl_ledger[イベント種類],"充当",tbl_ledger[元状態],G$1)-SUMIFS(tbl_ledger[数量],tbl_ledger[ロットID],$B255,tbl_ledger[元状態],G$1))</f>
        <v/>
      </c>
      <c r="H255" s="4" t="str">
        <f>IF($B255="","",SUMIFS(tbl_ledger[数量],tbl_ledger[ロットID],$B255,tbl_ledger[イベント種類],"発送準備完了")+SUMIFS(tbl_ledger[数量],tbl_ledger[充当先ロットID],$B255,tbl_ledger[イベント種類],"充当",tbl_ledger[元状態],H$1)-SUMIFS(tbl_ledger[数量],tbl_ledger[ロットID],$B255,tbl_ledger[元状態],H$1))</f>
        <v/>
      </c>
      <c r="I255" s="4" t="str">
        <f>IF($B255="","",SUMIFS(tbl_ledger[数量],tbl_ledger[ロットID],$B255,tbl_ledger[イベント種類],"不良発生")+SUMIFS(tbl_ledger[数量],tbl_ledger[充当先ロットID],$B255,tbl_ledger[イベント種類],"充当",tbl_ledger[元状態],I$1)-SUMIFS(tbl_ledger[数量],tbl_ledger[ロットID],$B255,tbl_ledger[元状態],I$1))</f>
        <v/>
      </c>
      <c r="J255" s="4" t="str">
        <f t="shared" si="7"/>
        <v/>
      </c>
    </row>
    <row r="256" spans="1:10" ht="15" x14ac:dyDescent="0.25">
      <c r="A256" s="4" t="str">
        <f t="shared" si="6"/>
        <v/>
      </c>
      <c r="B256" s="4" t="str">
        <f>IFERROR(IF(COUNTIF($B$1:$B255,INDEX(tbl_plan[ロットID],ROW()-1))&gt;0,"",INDEX(tbl_plan[ロットID],ROW()-1)),"")</f>
        <v/>
      </c>
      <c r="C256" s="4" t="str">
        <f>IF($B256="","",INDEX(tbl_plan[品番],ROW()-1))</f>
        <v/>
      </c>
      <c r="D256" s="4" t="str">
        <f>IF($B256="","",SUMIFS(tbl_ledger[数量],tbl_ledger[ロットID],$B256,tbl_ledger[イベント種類],"搬入")+SUMIFS(tbl_ledger[数量],tbl_ledger[充当先ロットID],$B256,tbl_ledger[イベント種類],"充当",tbl_ledger[元状態],D$1)-SUMIFS(tbl_ledger[数量],tbl_ledger[ロットID],$B256,tbl_ledger[元状態],D$1))</f>
        <v/>
      </c>
      <c r="E256" s="4" t="str">
        <f>IF($B256="","",SUMIFS(tbl_ledger[数量],tbl_ledger[ロットID],$B256,tbl_ledger[イベント種類],"アニール完了")+SUMIFS(tbl_ledger[数量],tbl_ledger[充当先ロットID],$B256,tbl_ledger[イベント種類],"充当",tbl_ledger[元状態],E$1)-SUMIFS(tbl_ledger[数量],tbl_ledger[ロットID],$B256,tbl_ledger[元状態],E$1))</f>
        <v/>
      </c>
      <c r="F256" s="4" t="str">
        <f>IF($B256="","",SUMIFS(tbl_ledger[数量],tbl_ledger[ロットID],$B256,tbl_ledger[イベント種類],"アセンブリ完了")+SUMIFS(tbl_ledger[数量],tbl_ledger[充当先ロットID],$B256,tbl_ledger[イベント種類],"充当",tbl_ledger[元状態],F$1)-SUMIFS(tbl_ledger[数量],tbl_ledger[ロットID],$B256,tbl_ledger[元状態],F$1))</f>
        <v/>
      </c>
      <c r="G256" s="4" t="str">
        <f>IF($B256="","",SUMIFS(tbl_ledger[数量],tbl_ledger[ロットID],$B256,tbl_ledger[イベント種類],"梱包完了")+SUMIFS(tbl_ledger[数量],tbl_ledger[充当先ロットID],$B256,tbl_ledger[イベント種類],"充当",tbl_ledger[元状態],G$1)-SUMIFS(tbl_ledger[数量],tbl_ledger[ロットID],$B256,tbl_ledger[元状態],G$1))</f>
        <v/>
      </c>
      <c r="H256" s="4" t="str">
        <f>IF($B256="","",SUMIFS(tbl_ledger[数量],tbl_ledger[ロットID],$B256,tbl_ledger[イベント種類],"発送準備完了")+SUMIFS(tbl_ledger[数量],tbl_ledger[充当先ロットID],$B256,tbl_ledger[イベント種類],"充当",tbl_ledger[元状態],H$1)-SUMIFS(tbl_ledger[数量],tbl_ledger[ロットID],$B256,tbl_ledger[元状態],H$1))</f>
        <v/>
      </c>
      <c r="I256" s="4" t="str">
        <f>IF($B256="","",SUMIFS(tbl_ledger[数量],tbl_ledger[ロットID],$B256,tbl_ledger[イベント種類],"不良発生")+SUMIFS(tbl_ledger[数量],tbl_ledger[充当先ロットID],$B256,tbl_ledger[イベント種類],"充当",tbl_ledger[元状態],I$1)-SUMIFS(tbl_ledger[数量],tbl_ledger[ロットID],$B256,tbl_ledger[元状態],I$1))</f>
        <v/>
      </c>
      <c r="J256" s="4" t="str">
        <f t="shared" si="7"/>
        <v/>
      </c>
    </row>
    <row r="257" spans="1:10" ht="15" x14ac:dyDescent="0.25">
      <c r="A257" s="4" t="str">
        <f t="shared" si="6"/>
        <v/>
      </c>
      <c r="B257" s="4" t="str">
        <f>IFERROR(IF(COUNTIF($B$1:$B256,INDEX(tbl_plan[ロットID],ROW()-1))&gt;0,"",INDEX(tbl_plan[ロットID],ROW()-1)),"")</f>
        <v/>
      </c>
      <c r="C257" s="4" t="str">
        <f>IF($B257="","",INDEX(tbl_plan[品番],ROW()-1))</f>
        <v/>
      </c>
      <c r="D257" s="4" t="str">
        <f>IF($B257="","",SUMIFS(tbl_ledger[数量],tbl_ledger[ロットID],$B257,tbl_ledger[イベント種類],"搬入")+SUMIFS(tbl_ledger[数量],tbl_ledger[充当先ロットID],$B257,tbl_ledger[イベント種類],"充当",tbl_ledger[元状態],D$1)-SUMIFS(tbl_ledger[数量],tbl_ledger[ロットID],$B257,tbl_ledger[元状態],D$1))</f>
        <v/>
      </c>
      <c r="E257" s="4" t="str">
        <f>IF($B257="","",SUMIFS(tbl_ledger[数量],tbl_ledger[ロットID],$B257,tbl_ledger[イベント種類],"アニール完了")+SUMIFS(tbl_ledger[数量],tbl_ledger[充当先ロットID],$B257,tbl_ledger[イベント種類],"充当",tbl_ledger[元状態],E$1)-SUMIFS(tbl_ledger[数量],tbl_ledger[ロットID],$B257,tbl_ledger[元状態],E$1))</f>
        <v/>
      </c>
      <c r="F257" s="4" t="str">
        <f>IF($B257="","",SUMIFS(tbl_ledger[数量],tbl_ledger[ロットID],$B257,tbl_ledger[イベント種類],"アセンブリ完了")+SUMIFS(tbl_ledger[数量],tbl_ledger[充当先ロットID],$B257,tbl_ledger[イベント種類],"充当",tbl_ledger[元状態],F$1)-SUMIFS(tbl_ledger[数量],tbl_ledger[ロットID],$B257,tbl_ledger[元状態],F$1))</f>
        <v/>
      </c>
      <c r="G257" s="4" t="str">
        <f>IF($B257="","",SUMIFS(tbl_ledger[数量],tbl_ledger[ロットID],$B257,tbl_ledger[イベント種類],"梱包完了")+SUMIFS(tbl_ledger[数量],tbl_ledger[充当先ロットID],$B257,tbl_ledger[イベント種類],"充当",tbl_ledger[元状態],G$1)-SUMIFS(tbl_ledger[数量],tbl_ledger[ロットID],$B257,tbl_ledger[元状態],G$1))</f>
        <v/>
      </c>
      <c r="H257" s="4" t="str">
        <f>IF($B257="","",SUMIFS(tbl_ledger[数量],tbl_ledger[ロットID],$B257,tbl_ledger[イベント種類],"発送準備完了")+SUMIFS(tbl_ledger[数量],tbl_ledger[充当先ロットID],$B257,tbl_ledger[イベント種類],"充当",tbl_ledger[元状態],H$1)-SUMIFS(tbl_ledger[数量],tbl_ledger[ロットID],$B257,tbl_ledger[元状態],H$1))</f>
        <v/>
      </c>
      <c r="I257" s="4" t="str">
        <f>IF($B257="","",SUMIFS(tbl_ledger[数量],tbl_ledger[ロットID],$B257,tbl_ledger[イベント種類],"不良発生")+SUMIFS(tbl_ledger[数量],tbl_ledger[充当先ロットID],$B257,tbl_ledger[イベント種類],"充当",tbl_ledger[元状態],I$1)-SUMIFS(tbl_ledger[数量],tbl_ledger[ロットID],$B257,tbl_ledger[元状態],I$1))</f>
        <v/>
      </c>
      <c r="J257" s="4" t="str">
        <f t="shared" si="7"/>
        <v/>
      </c>
    </row>
    <row r="258" spans="1:10" ht="15" x14ac:dyDescent="0.25">
      <c r="A258" s="4" t="str">
        <f t="shared" ref="A258:A301" si="8">IF($B258="","","ロット")</f>
        <v/>
      </c>
      <c r="B258" s="4" t="str">
        <f>IFERROR(IF(COUNTIF($B$1:$B257,INDEX(tbl_plan[ロットID],ROW()-1))&gt;0,"",INDEX(tbl_plan[ロットID],ROW()-1)),"")</f>
        <v/>
      </c>
      <c r="C258" s="4" t="str">
        <f>IF($B258="","",INDEX(tbl_plan[品番],ROW()-1))</f>
        <v/>
      </c>
      <c r="D258" s="4" t="str">
        <f>IF($B258="","",SUMIFS(tbl_ledger[数量],tbl_ledger[ロットID],$B258,tbl_ledger[イベント種類],"搬入")+SUMIFS(tbl_ledger[数量],tbl_ledger[充当先ロットID],$B258,tbl_ledger[イベント種類],"充当",tbl_ledger[元状態],D$1)-SUMIFS(tbl_ledger[数量],tbl_ledger[ロットID],$B258,tbl_ledger[元状態],D$1))</f>
        <v/>
      </c>
      <c r="E258" s="4" t="str">
        <f>IF($B258="","",SUMIFS(tbl_ledger[数量],tbl_ledger[ロットID],$B258,tbl_ledger[イベント種類],"アニール完了")+SUMIFS(tbl_ledger[数量],tbl_ledger[充当先ロットID],$B258,tbl_ledger[イベント種類],"充当",tbl_ledger[元状態],E$1)-SUMIFS(tbl_ledger[数量],tbl_ledger[ロットID],$B258,tbl_ledger[元状態],E$1))</f>
        <v/>
      </c>
      <c r="F258" s="4" t="str">
        <f>IF($B258="","",SUMIFS(tbl_ledger[数量],tbl_ledger[ロットID],$B258,tbl_ledger[イベント種類],"アセンブリ完了")+SUMIFS(tbl_ledger[数量],tbl_ledger[充当先ロットID],$B258,tbl_ledger[イベント種類],"充当",tbl_ledger[元状態],F$1)-SUMIFS(tbl_ledger[数量],tbl_ledger[ロットID],$B258,tbl_ledger[元状態],F$1))</f>
        <v/>
      </c>
      <c r="G258" s="4" t="str">
        <f>IF($B258="","",SUMIFS(tbl_ledger[数量],tbl_ledger[ロットID],$B258,tbl_ledger[イベント種類],"梱包完了")+SUMIFS(tbl_ledger[数量],tbl_ledger[充当先ロットID],$B258,tbl_ledger[イベント種類],"充当",tbl_ledger[元状態],G$1)-SUMIFS(tbl_ledger[数量],tbl_ledger[ロットID],$B258,tbl_ledger[元状態],G$1))</f>
        <v/>
      </c>
      <c r="H258" s="4" t="str">
        <f>IF($B258="","",SUMIFS(tbl_ledger[数量],tbl_ledger[ロットID],$B258,tbl_ledger[イベント種類],"発送準備完了")+SUMIFS(tbl_ledger[数量],tbl_ledger[充当先ロットID],$B258,tbl_ledger[イベント種類],"充当",tbl_ledger[元状態],H$1)-SUMIFS(tbl_ledger[数量],tbl_ledger[ロットID],$B258,tbl_ledger[元状態],H$1))</f>
        <v/>
      </c>
      <c r="I258" s="4" t="str">
        <f>IF($B258="","",SUMIFS(tbl_ledger[数量],tbl_ledger[ロットID],$B258,tbl_ledger[イベント種類],"不良発生")+SUMIFS(tbl_ledger[数量],tbl_ledger[充当先ロットID],$B258,tbl_ledger[イベント種類],"充当",tbl_ledger[元状態],I$1)-SUMIFS(tbl_ledger[数量],tbl_ledger[ロットID],$B258,tbl_ledger[元状態],I$1))</f>
        <v/>
      </c>
      <c r="J258" s="4" t="str">
        <f t="shared" ref="J258:J301" si="9">IF($B258="","",SUM(D258:I258))</f>
        <v/>
      </c>
    </row>
    <row r="259" spans="1:10" ht="15" x14ac:dyDescent="0.25">
      <c r="A259" s="4" t="str">
        <f t="shared" si="8"/>
        <v/>
      </c>
      <c r="B259" s="4" t="str">
        <f>IFERROR(IF(COUNTIF($B$1:$B258,INDEX(tbl_plan[ロットID],ROW()-1))&gt;0,"",INDEX(tbl_plan[ロットID],ROW()-1)),"")</f>
        <v/>
      </c>
      <c r="C259" s="4" t="str">
        <f>IF($B259="","",INDEX(tbl_plan[品番],ROW()-1))</f>
        <v/>
      </c>
      <c r="D259" s="4" t="str">
        <f>IF($B259="","",SUMIFS(tbl_ledger[数量],tbl_ledger[ロットID],$B259,tbl_ledger[イベント種類],"搬入")+SUMIFS(tbl_ledger[数量],tbl_ledger[充当先ロットID],$B259,tbl_ledger[イベント種類],"充当",tbl_ledger[元状態],D$1)-SUMIFS(tbl_ledger[数量],tbl_ledger[ロットID],$B259,tbl_ledger[元状態],D$1))</f>
        <v/>
      </c>
      <c r="E259" s="4" t="str">
        <f>IF($B259="","",SUMIFS(tbl_ledger[数量],tbl_ledger[ロットID],$B259,tbl_ledger[イベント種類],"アニール完了")+SUMIFS(tbl_ledger[数量],tbl_ledger[充当先ロットID],$B259,tbl_ledger[イベント種類],"充当",tbl_ledger[元状態],E$1)-SUMIFS(tbl_ledger[数量],tbl_ledger[ロットID],$B259,tbl_ledger[元状態],E$1))</f>
        <v/>
      </c>
      <c r="F259" s="4" t="str">
        <f>IF($B259="","",SUMIFS(tbl_ledger[数量],tbl_ledger[ロットID],$B259,tbl_ledger[イベント種類],"アセンブリ完了")+SUMIFS(tbl_ledger[数量],tbl_ledger[充当先ロットID],$B259,tbl_ledger[イベント種類],"充当",tbl_ledger[元状態],F$1)-SUMIFS(tbl_ledger[数量],tbl_ledger[ロットID],$B259,tbl_ledger[元状態],F$1))</f>
        <v/>
      </c>
      <c r="G259" s="4" t="str">
        <f>IF($B259="","",SUMIFS(tbl_ledger[数量],tbl_ledger[ロットID],$B259,tbl_ledger[イベント種類],"梱包完了")+SUMIFS(tbl_ledger[数量],tbl_ledger[充当先ロットID],$B259,tbl_ledger[イベント種類],"充当",tbl_ledger[元状態],G$1)-SUMIFS(tbl_ledger[数量],tbl_ledger[ロットID],$B259,tbl_ledger[元状態],G$1))</f>
        <v/>
      </c>
      <c r="H259" s="4" t="str">
        <f>IF($B259="","",SUMIFS(tbl_ledger[数量],tbl_ledger[ロットID],$B259,tbl_ledger[イベント種類],"発送準備完了")+SUMIFS(tbl_ledger[数量],tbl_ledger[充当先ロットID],$B259,tbl_ledger[イベント種類],"充当",tbl_ledger[元状態],H$1)-SUMIFS(tbl_ledger[数量],tbl_ledger[ロットID],$B259,tbl_ledger[元状態],H$1))</f>
        <v/>
      </c>
      <c r="I259" s="4" t="str">
        <f>IF($B259="","",SUMIFS(tbl_ledger[数量],tbl_ledger[ロットID],$B259,tbl_ledger[イベント種類],"不良発生")+SUMIFS(tbl_ledger[数量],tbl_ledger[充当先ロットID],$B259,tbl_ledger[イベント種類],"充当",tbl_ledger[元状態],I$1)-SUMIFS(tbl_ledger[数量],tbl_ledger[ロットID],$B259,tbl_ledger[元状態],I$1))</f>
        <v/>
      </c>
      <c r="J259" s="4" t="str">
        <f t="shared" si="9"/>
        <v/>
      </c>
    </row>
    <row r="260" spans="1:10" ht="15" x14ac:dyDescent="0.25">
      <c r="A260" s="4" t="str">
        <f t="shared" si="8"/>
        <v/>
      </c>
      <c r="B260" s="4" t="str">
        <f>IFERROR(IF(COUNTIF($B$1:$B259,INDEX(tbl_plan[ロットID],ROW()-1))&gt;0,"",INDEX(tbl_plan[ロットID],ROW()-1)),"")</f>
        <v/>
      </c>
      <c r="C260" s="4" t="str">
        <f>IF($B260="","",INDEX(tbl_plan[品番],ROW()-1))</f>
        <v/>
      </c>
      <c r="D260" s="4" t="str">
        <f>IF($B260="","",SUMIFS(tbl_ledger[数量],tbl_ledger[ロットID],$B260,tbl_ledger[イベント種類],"搬入")+SUMIFS(tbl_ledger[数量],tbl_ledger[充当先ロットID],$B260,tbl_ledger[イベント種類],"充当",tbl_ledger[元状態],D$1)-SUMIFS(tbl_ledger[数量],tbl_ledger[ロットID],$B260,tbl_ledger[元状態],D$1))</f>
        <v/>
      </c>
      <c r="E260" s="4" t="str">
        <f>IF($B260="","",SUMIFS(tbl_ledger[数量],tbl_ledger[ロットID],$B260,tbl_ledger[イベント種類],"アニール完了")+SUMIFS(tbl_ledger[数量],tbl_ledger[充当先ロットID],$B260,tbl_ledger[イベント種類],"充当",tbl_ledger[元状態],E$1)-SUMIFS(tbl_ledger[数量],tbl_ledger[ロットID],$B260,tbl_ledger[元状態],E$1))</f>
        <v/>
      </c>
      <c r="F260" s="4" t="str">
        <f>IF($B260="","",SUMIFS(tbl_ledger[数量],tbl_ledger[ロットID],$B260,tbl_ledger[イベント種類],"アセンブリ完了")+SUMIFS(tbl_ledger[数量],tbl_ledger[充当先ロットID],$B260,tbl_ledger[イベント種類],"充当",tbl_ledger[元状態],F$1)-SUMIFS(tbl_ledger[数量],tbl_ledger[ロットID],$B260,tbl_ledger[元状態],F$1))</f>
        <v/>
      </c>
      <c r="G260" s="4" t="str">
        <f>IF($B260="","",SUMIFS(tbl_ledger[数量],tbl_ledger[ロットID],$B260,tbl_ledger[イベント種類],"梱包完了")+SUMIFS(tbl_ledger[数量],tbl_ledger[充当先ロットID],$B260,tbl_ledger[イベント種類],"充当",tbl_ledger[元状態],G$1)-SUMIFS(tbl_ledger[数量],tbl_ledger[ロットID],$B260,tbl_ledger[元状態],G$1))</f>
        <v/>
      </c>
      <c r="H260" s="4" t="str">
        <f>IF($B260="","",SUMIFS(tbl_ledger[数量],tbl_ledger[ロットID],$B260,tbl_ledger[イベント種類],"発送準備完了")+SUMIFS(tbl_ledger[数量],tbl_ledger[充当先ロットID],$B260,tbl_ledger[イベント種類],"充当",tbl_ledger[元状態],H$1)-SUMIFS(tbl_ledger[数量],tbl_ledger[ロットID],$B260,tbl_ledger[元状態],H$1))</f>
        <v/>
      </c>
      <c r="I260" s="4" t="str">
        <f>IF($B260="","",SUMIFS(tbl_ledger[数量],tbl_ledger[ロットID],$B260,tbl_ledger[イベント種類],"不良発生")+SUMIFS(tbl_ledger[数量],tbl_ledger[充当先ロットID],$B260,tbl_ledger[イベント種類],"充当",tbl_ledger[元状態],I$1)-SUMIFS(tbl_ledger[数量],tbl_ledger[ロットID],$B260,tbl_ledger[元状態],I$1))</f>
        <v/>
      </c>
      <c r="J260" s="4" t="str">
        <f t="shared" si="9"/>
        <v/>
      </c>
    </row>
    <row r="261" spans="1:10" ht="15" x14ac:dyDescent="0.25">
      <c r="A261" s="4" t="str">
        <f t="shared" si="8"/>
        <v/>
      </c>
      <c r="B261" s="4" t="str">
        <f>IFERROR(IF(COUNTIF($B$1:$B260,INDEX(tbl_plan[ロットID],ROW()-1))&gt;0,"",INDEX(tbl_plan[ロットID],ROW()-1)),"")</f>
        <v/>
      </c>
      <c r="C261" s="4" t="str">
        <f>IF($B261="","",INDEX(tbl_plan[品番],ROW()-1))</f>
        <v/>
      </c>
      <c r="D261" s="4" t="str">
        <f>IF($B261="","",SUMIFS(tbl_ledger[数量],tbl_ledger[ロットID],$B261,tbl_ledger[イベント種類],"搬入")+SUMIFS(tbl_ledger[数量],tbl_ledger[充当先ロットID],$B261,tbl_ledger[イベント種類],"充当",tbl_ledger[元状態],D$1)-SUMIFS(tbl_ledger[数量],tbl_ledger[ロットID],$B261,tbl_ledger[元状態],D$1))</f>
        <v/>
      </c>
      <c r="E261" s="4" t="str">
        <f>IF($B261="","",SUMIFS(tbl_ledger[数量],tbl_ledger[ロットID],$B261,tbl_ledger[イベント種類],"アニール完了")+SUMIFS(tbl_ledger[数量],tbl_ledger[充当先ロットID],$B261,tbl_ledger[イベント種類],"充当",tbl_ledger[元状態],E$1)-SUMIFS(tbl_ledger[数量],tbl_ledger[ロットID],$B261,tbl_ledger[元状態],E$1))</f>
        <v/>
      </c>
      <c r="F261" s="4" t="str">
        <f>IF($B261="","",SUMIFS(tbl_ledger[数量],tbl_ledger[ロットID],$B261,tbl_ledger[イベント種類],"アセンブリ完了")+SUMIFS(tbl_ledger[数量],tbl_ledger[充当先ロットID],$B261,tbl_ledger[イベント種類],"充当",tbl_ledger[元状態],F$1)-SUMIFS(tbl_ledger[数量],tbl_ledger[ロットID],$B261,tbl_ledger[元状態],F$1))</f>
        <v/>
      </c>
      <c r="G261" s="4" t="str">
        <f>IF($B261="","",SUMIFS(tbl_ledger[数量],tbl_ledger[ロットID],$B261,tbl_ledger[イベント種類],"梱包完了")+SUMIFS(tbl_ledger[数量],tbl_ledger[充当先ロットID],$B261,tbl_ledger[イベント種類],"充当",tbl_ledger[元状態],G$1)-SUMIFS(tbl_ledger[数量],tbl_ledger[ロットID],$B261,tbl_ledger[元状態],G$1))</f>
        <v/>
      </c>
      <c r="H261" s="4" t="str">
        <f>IF($B261="","",SUMIFS(tbl_ledger[数量],tbl_ledger[ロットID],$B261,tbl_ledger[イベント種類],"発送準備完了")+SUMIFS(tbl_ledger[数量],tbl_ledger[充当先ロットID],$B261,tbl_ledger[イベント種類],"充当",tbl_ledger[元状態],H$1)-SUMIFS(tbl_ledger[数量],tbl_ledger[ロットID],$B261,tbl_ledger[元状態],H$1))</f>
        <v/>
      </c>
      <c r="I261" s="4" t="str">
        <f>IF($B261="","",SUMIFS(tbl_ledger[数量],tbl_ledger[ロットID],$B261,tbl_ledger[イベント種類],"不良発生")+SUMIFS(tbl_ledger[数量],tbl_ledger[充当先ロットID],$B261,tbl_ledger[イベント種類],"充当",tbl_ledger[元状態],I$1)-SUMIFS(tbl_ledger[数量],tbl_ledger[ロットID],$B261,tbl_ledger[元状態],I$1))</f>
        <v/>
      </c>
      <c r="J261" s="4" t="str">
        <f t="shared" si="9"/>
        <v/>
      </c>
    </row>
    <row r="262" spans="1:10" ht="15" x14ac:dyDescent="0.25">
      <c r="A262" s="4" t="str">
        <f t="shared" si="8"/>
        <v/>
      </c>
      <c r="B262" s="4" t="str">
        <f>IFERROR(IF(COUNTIF($B$1:$B261,INDEX(tbl_plan[ロットID],ROW()-1))&gt;0,"",INDEX(tbl_plan[ロットID],ROW()-1)),"")</f>
        <v/>
      </c>
      <c r="C262" s="4" t="str">
        <f>IF($B262="","",INDEX(tbl_plan[品番],ROW()-1))</f>
        <v/>
      </c>
      <c r="D262" s="4" t="str">
        <f>IF($B262="","",SUMIFS(tbl_ledger[数量],tbl_ledger[ロットID],$B262,tbl_ledger[イベント種類],"搬入")+SUMIFS(tbl_ledger[数量],tbl_ledger[充当先ロットID],$B262,tbl_ledger[イベント種類],"充当",tbl_ledger[元状態],D$1)-SUMIFS(tbl_ledger[数量],tbl_ledger[ロットID],$B262,tbl_ledger[元状態],D$1))</f>
        <v/>
      </c>
      <c r="E262" s="4" t="str">
        <f>IF($B262="","",SUMIFS(tbl_ledger[数量],tbl_ledger[ロットID],$B262,tbl_ledger[イベント種類],"アニール完了")+SUMIFS(tbl_ledger[数量],tbl_ledger[充当先ロットID],$B262,tbl_ledger[イベント種類],"充当",tbl_ledger[元状態],E$1)-SUMIFS(tbl_ledger[数量],tbl_ledger[ロットID],$B262,tbl_ledger[元状態],E$1))</f>
        <v/>
      </c>
      <c r="F262" s="4" t="str">
        <f>IF($B262="","",SUMIFS(tbl_ledger[数量],tbl_ledger[ロットID],$B262,tbl_ledger[イベント種類],"アセンブリ完了")+SUMIFS(tbl_ledger[数量],tbl_ledger[充当先ロットID],$B262,tbl_ledger[イベント種類],"充当",tbl_ledger[元状態],F$1)-SUMIFS(tbl_ledger[数量],tbl_ledger[ロットID],$B262,tbl_ledger[元状態],F$1))</f>
        <v/>
      </c>
      <c r="G262" s="4" t="str">
        <f>IF($B262="","",SUMIFS(tbl_ledger[数量],tbl_ledger[ロットID],$B262,tbl_ledger[イベント種類],"梱包完了")+SUMIFS(tbl_ledger[数量],tbl_ledger[充当先ロットID],$B262,tbl_ledger[イベント種類],"充当",tbl_ledger[元状態],G$1)-SUMIFS(tbl_ledger[数量],tbl_ledger[ロットID],$B262,tbl_ledger[元状態],G$1))</f>
        <v/>
      </c>
      <c r="H262" s="4" t="str">
        <f>IF($B262="","",SUMIFS(tbl_ledger[数量],tbl_ledger[ロットID],$B262,tbl_ledger[イベント種類],"発送準備完了")+SUMIFS(tbl_ledger[数量],tbl_ledger[充当先ロットID],$B262,tbl_ledger[イベント種類],"充当",tbl_ledger[元状態],H$1)-SUMIFS(tbl_ledger[数量],tbl_ledger[ロットID],$B262,tbl_ledger[元状態],H$1))</f>
        <v/>
      </c>
      <c r="I262" s="4" t="str">
        <f>IF($B262="","",SUMIFS(tbl_ledger[数量],tbl_ledger[ロットID],$B262,tbl_ledger[イベント種類],"不良発生")+SUMIFS(tbl_ledger[数量],tbl_ledger[充当先ロットID],$B262,tbl_ledger[イベント種類],"充当",tbl_ledger[元状態],I$1)-SUMIFS(tbl_ledger[数量],tbl_ledger[ロットID],$B262,tbl_ledger[元状態],I$1))</f>
        <v/>
      </c>
      <c r="J262" s="4" t="str">
        <f t="shared" si="9"/>
        <v/>
      </c>
    </row>
    <row r="263" spans="1:10" ht="15" x14ac:dyDescent="0.25">
      <c r="A263" s="4" t="str">
        <f t="shared" si="8"/>
        <v/>
      </c>
      <c r="B263" s="4" t="str">
        <f>IFERROR(IF(COUNTIF($B$1:$B262,INDEX(tbl_plan[ロットID],ROW()-1))&gt;0,"",INDEX(tbl_plan[ロットID],ROW()-1)),"")</f>
        <v/>
      </c>
      <c r="C263" s="4" t="str">
        <f>IF($B263="","",INDEX(tbl_plan[品番],ROW()-1))</f>
        <v/>
      </c>
      <c r="D263" s="4" t="str">
        <f>IF($B263="","",SUMIFS(tbl_ledger[数量],tbl_ledger[ロットID],$B263,tbl_ledger[イベント種類],"搬入")+SUMIFS(tbl_ledger[数量],tbl_ledger[充当先ロットID],$B263,tbl_ledger[イベント種類],"充当",tbl_ledger[元状態],D$1)-SUMIFS(tbl_ledger[数量],tbl_ledger[ロットID],$B263,tbl_ledger[元状態],D$1))</f>
        <v/>
      </c>
      <c r="E263" s="4" t="str">
        <f>IF($B263="","",SUMIFS(tbl_ledger[数量],tbl_ledger[ロットID],$B263,tbl_ledger[イベント種類],"アニール完了")+SUMIFS(tbl_ledger[数量],tbl_ledger[充当先ロットID],$B263,tbl_ledger[イベント種類],"充当",tbl_ledger[元状態],E$1)-SUMIFS(tbl_ledger[数量],tbl_ledger[ロットID],$B263,tbl_ledger[元状態],E$1))</f>
        <v/>
      </c>
      <c r="F263" s="4" t="str">
        <f>IF($B263="","",SUMIFS(tbl_ledger[数量],tbl_ledger[ロットID],$B263,tbl_ledger[イベント種類],"アセンブリ完了")+SUMIFS(tbl_ledger[数量],tbl_ledger[充当先ロットID],$B263,tbl_ledger[イベント種類],"充当",tbl_ledger[元状態],F$1)-SUMIFS(tbl_ledger[数量],tbl_ledger[ロットID],$B263,tbl_ledger[元状態],F$1))</f>
        <v/>
      </c>
      <c r="G263" s="4" t="str">
        <f>IF($B263="","",SUMIFS(tbl_ledger[数量],tbl_ledger[ロットID],$B263,tbl_ledger[イベント種類],"梱包完了")+SUMIFS(tbl_ledger[数量],tbl_ledger[充当先ロットID],$B263,tbl_ledger[イベント種類],"充当",tbl_ledger[元状態],G$1)-SUMIFS(tbl_ledger[数量],tbl_ledger[ロットID],$B263,tbl_ledger[元状態],G$1))</f>
        <v/>
      </c>
      <c r="H263" s="4" t="str">
        <f>IF($B263="","",SUMIFS(tbl_ledger[数量],tbl_ledger[ロットID],$B263,tbl_ledger[イベント種類],"発送準備完了")+SUMIFS(tbl_ledger[数量],tbl_ledger[充当先ロットID],$B263,tbl_ledger[イベント種類],"充当",tbl_ledger[元状態],H$1)-SUMIFS(tbl_ledger[数量],tbl_ledger[ロットID],$B263,tbl_ledger[元状態],H$1))</f>
        <v/>
      </c>
      <c r="I263" s="4" t="str">
        <f>IF($B263="","",SUMIFS(tbl_ledger[数量],tbl_ledger[ロットID],$B263,tbl_ledger[イベント種類],"不良発生")+SUMIFS(tbl_ledger[数量],tbl_ledger[充当先ロットID],$B263,tbl_ledger[イベント種類],"充当",tbl_ledger[元状態],I$1)-SUMIFS(tbl_ledger[数量],tbl_ledger[ロットID],$B263,tbl_ledger[元状態],I$1))</f>
        <v/>
      </c>
      <c r="J263" s="4" t="str">
        <f t="shared" si="9"/>
        <v/>
      </c>
    </row>
    <row r="264" spans="1:10" ht="15" x14ac:dyDescent="0.25">
      <c r="A264" s="4" t="str">
        <f t="shared" si="8"/>
        <v/>
      </c>
      <c r="B264" s="4" t="str">
        <f>IFERROR(IF(COUNTIF($B$1:$B263,INDEX(tbl_plan[ロットID],ROW()-1))&gt;0,"",INDEX(tbl_plan[ロットID],ROW()-1)),"")</f>
        <v/>
      </c>
      <c r="C264" s="4" t="str">
        <f>IF($B264="","",INDEX(tbl_plan[品番],ROW()-1))</f>
        <v/>
      </c>
      <c r="D264" s="4" t="str">
        <f>IF($B264="","",SUMIFS(tbl_ledger[数量],tbl_ledger[ロットID],$B264,tbl_ledger[イベント種類],"搬入")+SUMIFS(tbl_ledger[数量],tbl_ledger[充当先ロットID],$B264,tbl_ledger[イベント種類],"充当",tbl_ledger[元状態],D$1)-SUMIFS(tbl_ledger[数量],tbl_ledger[ロットID],$B264,tbl_ledger[元状態],D$1))</f>
        <v/>
      </c>
      <c r="E264" s="4" t="str">
        <f>IF($B264="","",SUMIFS(tbl_ledger[数量],tbl_ledger[ロットID],$B264,tbl_ledger[イベント種類],"アニール完了")+SUMIFS(tbl_ledger[数量],tbl_ledger[充当先ロットID],$B264,tbl_ledger[イベント種類],"充当",tbl_ledger[元状態],E$1)-SUMIFS(tbl_ledger[数量],tbl_ledger[ロットID],$B264,tbl_ledger[元状態],E$1))</f>
        <v/>
      </c>
      <c r="F264" s="4" t="str">
        <f>IF($B264="","",SUMIFS(tbl_ledger[数量],tbl_ledger[ロットID],$B264,tbl_ledger[イベント種類],"アセンブリ完了")+SUMIFS(tbl_ledger[数量],tbl_ledger[充当先ロットID],$B264,tbl_ledger[イベント種類],"充当",tbl_ledger[元状態],F$1)-SUMIFS(tbl_ledger[数量],tbl_ledger[ロットID],$B264,tbl_ledger[元状態],F$1))</f>
        <v/>
      </c>
      <c r="G264" s="4" t="str">
        <f>IF($B264="","",SUMIFS(tbl_ledger[数量],tbl_ledger[ロットID],$B264,tbl_ledger[イベント種類],"梱包完了")+SUMIFS(tbl_ledger[数量],tbl_ledger[充当先ロットID],$B264,tbl_ledger[イベント種類],"充当",tbl_ledger[元状態],G$1)-SUMIFS(tbl_ledger[数量],tbl_ledger[ロットID],$B264,tbl_ledger[元状態],G$1))</f>
        <v/>
      </c>
      <c r="H264" s="4" t="str">
        <f>IF($B264="","",SUMIFS(tbl_ledger[数量],tbl_ledger[ロットID],$B264,tbl_ledger[イベント種類],"発送準備完了")+SUMIFS(tbl_ledger[数量],tbl_ledger[充当先ロットID],$B264,tbl_ledger[イベント種類],"充当",tbl_ledger[元状態],H$1)-SUMIFS(tbl_ledger[数量],tbl_ledger[ロットID],$B264,tbl_ledger[元状態],H$1))</f>
        <v/>
      </c>
      <c r="I264" s="4" t="str">
        <f>IF($B264="","",SUMIFS(tbl_ledger[数量],tbl_ledger[ロットID],$B264,tbl_ledger[イベント種類],"不良発生")+SUMIFS(tbl_ledger[数量],tbl_ledger[充当先ロットID],$B264,tbl_ledger[イベント種類],"充当",tbl_ledger[元状態],I$1)-SUMIFS(tbl_ledger[数量],tbl_ledger[ロットID],$B264,tbl_ledger[元状態],I$1))</f>
        <v/>
      </c>
      <c r="J264" s="4" t="str">
        <f t="shared" si="9"/>
        <v/>
      </c>
    </row>
    <row r="265" spans="1:10" ht="15" x14ac:dyDescent="0.25">
      <c r="A265" s="4" t="str">
        <f t="shared" si="8"/>
        <v/>
      </c>
      <c r="B265" s="4" t="str">
        <f>IFERROR(IF(COUNTIF($B$1:$B264,INDEX(tbl_plan[ロットID],ROW()-1))&gt;0,"",INDEX(tbl_plan[ロットID],ROW()-1)),"")</f>
        <v/>
      </c>
      <c r="C265" s="4" t="str">
        <f>IF($B265="","",INDEX(tbl_plan[品番],ROW()-1))</f>
        <v/>
      </c>
      <c r="D265" s="4" t="str">
        <f>IF($B265="","",SUMIFS(tbl_ledger[数量],tbl_ledger[ロットID],$B265,tbl_ledger[イベント種類],"搬入")+SUMIFS(tbl_ledger[数量],tbl_ledger[充当先ロットID],$B265,tbl_ledger[イベント種類],"充当",tbl_ledger[元状態],D$1)-SUMIFS(tbl_ledger[数量],tbl_ledger[ロットID],$B265,tbl_ledger[元状態],D$1))</f>
        <v/>
      </c>
      <c r="E265" s="4" t="str">
        <f>IF($B265="","",SUMIFS(tbl_ledger[数量],tbl_ledger[ロットID],$B265,tbl_ledger[イベント種類],"アニール完了")+SUMIFS(tbl_ledger[数量],tbl_ledger[充当先ロットID],$B265,tbl_ledger[イベント種類],"充当",tbl_ledger[元状態],E$1)-SUMIFS(tbl_ledger[数量],tbl_ledger[ロットID],$B265,tbl_ledger[元状態],E$1))</f>
        <v/>
      </c>
      <c r="F265" s="4" t="str">
        <f>IF($B265="","",SUMIFS(tbl_ledger[数量],tbl_ledger[ロットID],$B265,tbl_ledger[イベント種類],"アセンブリ完了")+SUMIFS(tbl_ledger[数量],tbl_ledger[充当先ロットID],$B265,tbl_ledger[イベント種類],"充当",tbl_ledger[元状態],F$1)-SUMIFS(tbl_ledger[数量],tbl_ledger[ロットID],$B265,tbl_ledger[元状態],F$1))</f>
        <v/>
      </c>
      <c r="G265" s="4" t="str">
        <f>IF($B265="","",SUMIFS(tbl_ledger[数量],tbl_ledger[ロットID],$B265,tbl_ledger[イベント種類],"梱包完了")+SUMIFS(tbl_ledger[数量],tbl_ledger[充当先ロットID],$B265,tbl_ledger[イベント種類],"充当",tbl_ledger[元状態],G$1)-SUMIFS(tbl_ledger[数量],tbl_ledger[ロットID],$B265,tbl_ledger[元状態],G$1))</f>
        <v/>
      </c>
      <c r="H265" s="4" t="str">
        <f>IF($B265="","",SUMIFS(tbl_ledger[数量],tbl_ledger[ロットID],$B265,tbl_ledger[イベント種類],"発送準備完了")+SUMIFS(tbl_ledger[数量],tbl_ledger[充当先ロットID],$B265,tbl_ledger[イベント種類],"充当",tbl_ledger[元状態],H$1)-SUMIFS(tbl_ledger[数量],tbl_ledger[ロットID],$B265,tbl_ledger[元状態],H$1))</f>
        <v/>
      </c>
      <c r="I265" s="4" t="str">
        <f>IF($B265="","",SUMIFS(tbl_ledger[数量],tbl_ledger[ロットID],$B265,tbl_ledger[イベント種類],"不良発生")+SUMIFS(tbl_ledger[数量],tbl_ledger[充当先ロットID],$B265,tbl_ledger[イベント種類],"充当",tbl_ledger[元状態],I$1)-SUMIFS(tbl_ledger[数量],tbl_ledger[ロットID],$B265,tbl_ledger[元状態],I$1))</f>
        <v/>
      </c>
      <c r="J265" s="4" t="str">
        <f t="shared" si="9"/>
        <v/>
      </c>
    </row>
    <row r="266" spans="1:10" ht="15" x14ac:dyDescent="0.25">
      <c r="A266" s="4" t="str">
        <f t="shared" si="8"/>
        <v/>
      </c>
      <c r="B266" s="4" t="str">
        <f>IFERROR(IF(COUNTIF($B$1:$B265,INDEX(tbl_plan[ロットID],ROW()-1))&gt;0,"",INDEX(tbl_plan[ロットID],ROW()-1)),"")</f>
        <v/>
      </c>
      <c r="C266" s="4" t="str">
        <f>IF($B266="","",INDEX(tbl_plan[品番],ROW()-1))</f>
        <v/>
      </c>
      <c r="D266" s="4" t="str">
        <f>IF($B266="","",SUMIFS(tbl_ledger[数量],tbl_ledger[ロットID],$B266,tbl_ledger[イベント種類],"搬入")+SUMIFS(tbl_ledger[数量],tbl_ledger[充当先ロットID],$B266,tbl_ledger[イベント種類],"充当",tbl_ledger[元状態],D$1)-SUMIFS(tbl_ledger[数量],tbl_ledger[ロットID],$B266,tbl_ledger[元状態],D$1))</f>
        <v/>
      </c>
      <c r="E266" s="4" t="str">
        <f>IF($B266="","",SUMIFS(tbl_ledger[数量],tbl_ledger[ロットID],$B266,tbl_ledger[イベント種類],"アニール完了")+SUMIFS(tbl_ledger[数量],tbl_ledger[充当先ロットID],$B266,tbl_ledger[イベント種類],"充当",tbl_ledger[元状態],E$1)-SUMIFS(tbl_ledger[数量],tbl_ledger[ロットID],$B266,tbl_ledger[元状態],E$1))</f>
        <v/>
      </c>
      <c r="F266" s="4" t="str">
        <f>IF($B266="","",SUMIFS(tbl_ledger[数量],tbl_ledger[ロットID],$B266,tbl_ledger[イベント種類],"アセンブリ完了")+SUMIFS(tbl_ledger[数量],tbl_ledger[充当先ロットID],$B266,tbl_ledger[イベント種類],"充当",tbl_ledger[元状態],F$1)-SUMIFS(tbl_ledger[数量],tbl_ledger[ロットID],$B266,tbl_ledger[元状態],F$1))</f>
        <v/>
      </c>
      <c r="G266" s="4" t="str">
        <f>IF($B266="","",SUMIFS(tbl_ledger[数量],tbl_ledger[ロットID],$B266,tbl_ledger[イベント種類],"梱包完了")+SUMIFS(tbl_ledger[数量],tbl_ledger[充当先ロットID],$B266,tbl_ledger[イベント種類],"充当",tbl_ledger[元状態],G$1)-SUMIFS(tbl_ledger[数量],tbl_ledger[ロットID],$B266,tbl_ledger[元状態],G$1))</f>
        <v/>
      </c>
      <c r="H266" s="4" t="str">
        <f>IF($B266="","",SUMIFS(tbl_ledger[数量],tbl_ledger[ロットID],$B266,tbl_ledger[イベント種類],"発送準備完了")+SUMIFS(tbl_ledger[数量],tbl_ledger[充当先ロットID],$B266,tbl_ledger[イベント種類],"充当",tbl_ledger[元状態],H$1)-SUMIFS(tbl_ledger[数量],tbl_ledger[ロットID],$B266,tbl_ledger[元状態],H$1))</f>
        <v/>
      </c>
      <c r="I266" s="4" t="str">
        <f>IF($B266="","",SUMIFS(tbl_ledger[数量],tbl_ledger[ロットID],$B266,tbl_ledger[イベント種類],"不良発生")+SUMIFS(tbl_ledger[数量],tbl_ledger[充当先ロットID],$B266,tbl_ledger[イベント種類],"充当",tbl_ledger[元状態],I$1)-SUMIFS(tbl_ledger[数量],tbl_ledger[ロットID],$B266,tbl_ledger[元状態],I$1))</f>
        <v/>
      </c>
      <c r="J266" s="4" t="str">
        <f t="shared" si="9"/>
        <v/>
      </c>
    </row>
    <row r="267" spans="1:10" ht="15" x14ac:dyDescent="0.25">
      <c r="A267" s="4" t="str">
        <f t="shared" si="8"/>
        <v/>
      </c>
      <c r="B267" s="4" t="str">
        <f>IFERROR(IF(COUNTIF($B$1:$B266,INDEX(tbl_plan[ロットID],ROW()-1))&gt;0,"",INDEX(tbl_plan[ロットID],ROW()-1)),"")</f>
        <v/>
      </c>
      <c r="C267" s="4" t="str">
        <f>IF($B267="","",INDEX(tbl_plan[品番],ROW()-1))</f>
        <v/>
      </c>
      <c r="D267" s="4" t="str">
        <f>IF($B267="","",SUMIFS(tbl_ledger[数量],tbl_ledger[ロットID],$B267,tbl_ledger[イベント種類],"搬入")+SUMIFS(tbl_ledger[数量],tbl_ledger[充当先ロットID],$B267,tbl_ledger[イベント種類],"充当",tbl_ledger[元状態],D$1)-SUMIFS(tbl_ledger[数量],tbl_ledger[ロットID],$B267,tbl_ledger[元状態],D$1))</f>
        <v/>
      </c>
      <c r="E267" s="4" t="str">
        <f>IF($B267="","",SUMIFS(tbl_ledger[数量],tbl_ledger[ロットID],$B267,tbl_ledger[イベント種類],"アニール完了")+SUMIFS(tbl_ledger[数量],tbl_ledger[充当先ロットID],$B267,tbl_ledger[イベント種類],"充当",tbl_ledger[元状態],E$1)-SUMIFS(tbl_ledger[数量],tbl_ledger[ロットID],$B267,tbl_ledger[元状態],E$1))</f>
        <v/>
      </c>
      <c r="F267" s="4" t="str">
        <f>IF($B267="","",SUMIFS(tbl_ledger[数量],tbl_ledger[ロットID],$B267,tbl_ledger[イベント種類],"アセンブリ完了")+SUMIFS(tbl_ledger[数量],tbl_ledger[充当先ロットID],$B267,tbl_ledger[イベント種類],"充当",tbl_ledger[元状態],F$1)-SUMIFS(tbl_ledger[数量],tbl_ledger[ロットID],$B267,tbl_ledger[元状態],F$1))</f>
        <v/>
      </c>
      <c r="G267" s="4" t="str">
        <f>IF($B267="","",SUMIFS(tbl_ledger[数量],tbl_ledger[ロットID],$B267,tbl_ledger[イベント種類],"梱包完了")+SUMIFS(tbl_ledger[数量],tbl_ledger[充当先ロットID],$B267,tbl_ledger[イベント種類],"充当",tbl_ledger[元状態],G$1)-SUMIFS(tbl_ledger[数量],tbl_ledger[ロットID],$B267,tbl_ledger[元状態],G$1))</f>
        <v/>
      </c>
      <c r="H267" s="4" t="str">
        <f>IF($B267="","",SUMIFS(tbl_ledger[数量],tbl_ledger[ロットID],$B267,tbl_ledger[イベント種類],"発送準備完了")+SUMIFS(tbl_ledger[数量],tbl_ledger[充当先ロットID],$B267,tbl_ledger[イベント種類],"充当",tbl_ledger[元状態],H$1)-SUMIFS(tbl_ledger[数量],tbl_ledger[ロットID],$B267,tbl_ledger[元状態],H$1))</f>
        <v/>
      </c>
      <c r="I267" s="4" t="str">
        <f>IF($B267="","",SUMIFS(tbl_ledger[数量],tbl_ledger[ロットID],$B267,tbl_ledger[イベント種類],"不良発生")+SUMIFS(tbl_ledger[数量],tbl_ledger[充当先ロットID],$B267,tbl_ledger[イベント種類],"充当",tbl_ledger[元状態],I$1)-SUMIFS(tbl_ledger[数量],tbl_ledger[ロットID],$B267,tbl_ledger[元状態],I$1))</f>
        <v/>
      </c>
      <c r="J267" s="4" t="str">
        <f t="shared" si="9"/>
        <v/>
      </c>
    </row>
    <row r="268" spans="1:10" ht="15" x14ac:dyDescent="0.25">
      <c r="A268" s="4" t="str">
        <f t="shared" si="8"/>
        <v/>
      </c>
      <c r="B268" s="4" t="str">
        <f>IFERROR(IF(COUNTIF($B$1:$B267,INDEX(tbl_plan[ロットID],ROW()-1))&gt;0,"",INDEX(tbl_plan[ロットID],ROW()-1)),"")</f>
        <v/>
      </c>
      <c r="C268" s="4" t="str">
        <f>IF($B268="","",INDEX(tbl_plan[品番],ROW()-1))</f>
        <v/>
      </c>
      <c r="D268" s="4" t="str">
        <f>IF($B268="","",SUMIFS(tbl_ledger[数量],tbl_ledger[ロットID],$B268,tbl_ledger[イベント種類],"搬入")+SUMIFS(tbl_ledger[数量],tbl_ledger[充当先ロットID],$B268,tbl_ledger[イベント種類],"充当",tbl_ledger[元状態],D$1)-SUMIFS(tbl_ledger[数量],tbl_ledger[ロットID],$B268,tbl_ledger[元状態],D$1))</f>
        <v/>
      </c>
      <c r="E268" s="4" t="str">
        <f>IF($B268="","",SUMIFS(tbl_ledger[数量],tbl_ledger[ロットID],$B268,tbl_ledger[イベント種類],"アニール完了")+SUMIFS(tbl_ledger[数量],tbl_ledger[充当先ロットID],$B268,tbl_ledger[イベント種類],"充当",tbl_ledger[元状態],E$1)-SUMIFS(tbl_ledger[数量],tbl_ledger[ロットID],$B268,tbl_ledger[元状態],E$1))</f>
        <v/>
      </c>
      <c r="F268" s="4" t="str">
        <f>IF($B268="","",SUMIFS(tbl_ledger[数量],tbl_ledger[ロットID],$B268,tbl_ledger[イベント種類],"アセンブリ完了")+SUMIFS(tbl_ledger[数量],tbl_ledger[充当先ロットID],$B268,tbl_ledger[イベント種類],"充当",tbl_ledger[元状態],F$1)-SUMIFS(tbl_ledger[数量],tbl_ledger[ロットID],$B268,tbl_ledger[元状態],F$1))</f>
        <v/>
      </c>
      <c r="G268" s="4" t="str">
        <f>IF($B268="","",SUMIFS(tbl_ledger[数量],tbl_ledger[ロットID],$B268,tbl_ledger[イベント種類],"梱包完了")+SUMIFS(tbl_ledger[数量],tbl_ledger[充当先ロットID],$B268,tbl_ledger[イベント種類],"充当",tbl_ledger[元状態],G$1)-SUMIFS(tbl_ledger[数量],tbl_ledger[ロットID],$B268,tbl_ledger[元状態],G$1))</f>
        <v/>
      </c>
      <c r="H268" s="4" t="str">
        <f>IF($B268="","",SUMIFS(tbl_ledger[数量],tbl_ledger[ロットID],$B268,tbl_ledger[イベント種類],"発送準備完了")+SUMIFS(tbl_ledger[数量],tbl_ledger[充当先ロットID],$B268,tbl_ledger[イベント種類],"充当",tbl_ledger[元状態],H$1)-SUMIFS(tbl_ledger[数量],tbl_ledger[ロットID],$B268,tbl_ledger[元状態],H$1))</f>
        <v/>
      </c>
      <c r="I268" s="4" t="str">
        <f>IF($B268="","",SUMIFS(tbl_ledger[数量],tbl_ledger[ロットID],$B268,tbl_ledger[イベント種類],"不良発生")+SUMIFS(tbl_ledger[数量],tbl_ledger[充当先ロットID],$B268,tbl_ledger[イベント種類],"充当",tbl_ledger[元状態],I$1)-SUMIFS(tbl_ledger[数量],tbl_ledger[ロットID],$B268,tbl_ledger[元状態],I$1))</f>
        <v/>
      </c>
      <c r="J268" s="4" t="str">
        <f t="shared" si="9"/>
        <v/>
      </c>
    </row>
    <row r="269" spans="1:10" ht="15" x14ac:dyDescent="0.25">
      <c r="A269" s="4" t="str">
        <f t="shared" si="8"/>
        <v/>
      </c>
      <c r="B269" s="4" t="str">
        <f>IFERROR(IF(COUNTIF($B$1:$B268,INDEX(tbl_plan[ロットID],ROW()-1))&gt;0,"",INDEX(tbl_plan[ロットID],ROW()-1)),"")</f>
        <v/>
      </c>
      <c r="C269" s="4" t="str">
        <f>IF($B269="","",INDEX(tbl_plan[品番],ROW()-1))</f>
        <v/>
      </c>
      <c r="D269" s="4" t="str">
        <f>IF($B269="","",SUMIFS(tbl_ledger[数量],tbl_ledger[ロットID],$B269,tbl_ledger[イベント種類],"搬入")+SUMIFS(tbl_ledger[数量],tbl_ledger[充当先ロットID],$B269,tbl_ledger[イベント種類],"充当",tbl_ledger[元状態],D$1)-SUMIFS(tbl_ledger[数量],tbl_ledger[ロットID],$B269,tbl_ledger[元状態],D$1))</f>
        <v/>
      </c>
      <c r="E269" s="4" t="str">
        <f>IF($B269="","",SUMIFS(tbl_ledger[数量],tbl_ledger[ロットID],$B269,tbl_ledger[イベント種類],"アニール完了")+SUMIFS(tbl_ledger[数量],tbl_ledger[充当先ロットID],$B269,tbl_ledger[イベント種類],"充当",tbl_ledger[元状態],E$1)-SUMIFS(tbl_ledger[数量],tbl_ledger[ロットID],$B269,tbl_ledger[元状態],E$1))</f>
        <v/>
      </c>
      <c r="F269" s="4" t="str">
        <f>IF($B269="","",SUMIFS(tbl_ledger[数量],tbl_ledger[ロットID],$B269,tbl_ledger[イベント種類],"アセンブリ完了")+SUMIFS(tbl_ledger[数量],tbl_ledger[充当先ロットID],$B269,tbl_ledger[イベント種類],"充当",tbl_ledger[元状態],F$1)-SUMIFS(tbl_ledger[数量],tbl_ledger[ロットID],$B269,tbl_ledger[元状態],F$1))</f>
        <v/>
      </c>
      <c r="G269" s="4" t="str">
        <f>IF($B269="","",SUMIFS(tbl_ledger[数量],tbl_ledger[ロットID],$B269,tbl_ledger[イベント種類],"梱包完了")+SUMIFS(tbl_ledger[数量],tbl_ledger[充当先ロットID],$B269,tbl_ledger[イベント種類],"充当",tbl_ledger[元状態],G$1)-SUMIFS(tbl_ledger[数量],tbl_ledger[ロットID],$B269,tbl_ledger[元状態],G$1))</f>
        <v/>
      </c>
      <c r="H269" s="4" t="str">
        <f>IF($B269="","",SUMIFS(tbl_ledger[数量],tbl_ledger[ロットID],$B269,tbl_ledger[イベント種類],"発送準備完了")+SUMIFS(tbl_ledger[数量],tbl_ledger[充当先ロットID],$B269,tbl_ledger[イベント種類],"充当",tbl_ledger[元状態],H$1)-SUMIFS(tbl_ledger[数量],tbl_ledger[ロットID],$B269,tbl_ledger[元状態],H$1))</f>
        <v/>
      </c>
      <c r="I269" s="4" t="str">
        <f>IF($B269="","",SUMIFS(tbl_ledger[数量],tbl_ledger[ロットID],$B269,tbl_ledger[イベント種類],"不良発生")+SUMIFS(tbl_ledger[数量],tbl_ledger[充当先ロットID],$B269,tbl_ledger[イベント種類],"充当",tbl_ledger[元状態],I$1)-SUMIFS(tbl_ledger[数量],tbl_ledger[ロットID],$B269,tbl_ledger[元状態],I$1))</f>
        <v/>
      </c>
      <c r="J269" s="4" t="str">
        <f t="shared" si="9"/>
        <v/>
      </c>
    </row>
    <row r="270" spans="1:10" ht="15" x14ac:dyDescent="0.25">
      <c r="A270" s="4" t="str">
        <f t="shared" si="8"/>
        <v/>
      </c>
      <c r="B270" s="4" t="str">
        <f>IFERROR(IF(COUNTIF($B$1:$B269,INDEX(tbl_plan[ロットID],ROW()-1))&gt;0,"",INDEX(tbl_plan[ロットID],ROW()-1)),"")</f>
        <v/>
      </c>
      <c r="C270" s="4" t="str">
        <f>IF($B270="","",INDEX(tbl_plan[品番],ROW()-1))</f>
        <v/>
      </c>
      <c r="D270" s="4" t="str">
        <f>IF($B270="","",SUMIFS(tbl_ledger[数量],tbl_ledger[ロットID],$B270,tbl_ledger[イベント種類],"搬入")+SUMIFS(tbl_ledger[数量],tbl_ledger[充当先ロットID],$B270,tbl_ledger[イベント種類],"充当",tbl_ledger[元状態],D$1)-SUMIFS(tbl_ledger[数量],tbl_ledger[ロットID],$B270,tbl_ledger[元状態],D$1))</f>
        <v/>
      </c>
      <c r="E270" s="4" t="str">
        <f>IF($B270="","",SUMIFS(tbl_ledger[数量],tbl_ledger[ロットID],$B270,tbl_ledger[イベント種類],"アニール完了")+SUMIFS(tbl_ledger[数量],tbl_ledger[充当先ロットID],$B270,tbl_ledger[イベント種類],"充当",tbl_ledger[元状態],E$1)-SUMIFS(tbl_ledger[数量],tbl_ledger[ロットID],$B270,tbl_ledger[元状態],E$1))</f>
        <v/>
      </c>
      <c r="F270" s="4" t="str">
        <f>IF($B270="","",SUMIFS(tbl_ledger[数量],tbl_ledger[ロットID],$B270,tbl_ledger[イベント種類],"アセンブリ完了")+SUMIFS(tbl_ledger[数量],tbl_ledger[充当先ロットID],$B270,tbl_ledger[イベント種類],"充当",tbl_ledger[元状態],F$1)-SUMIFS(tbl_ledger[数量],tbl_ledger[ロットID],$B270,tbl_ledger[元状態],F$1))</f>
        <v/>
      </c>
      <c r="G270" s="4" t="str">
        <f>IF($B270="","",SUMIFS(tbl_ledger[数量],tbl_ledger[ロットID],$B270,tbl_ledger[イベント種類],"梱包完了")+SUMIFS(tbl_ledger[数量],tbl_ledger[充当先ロットID],$B270,tbl_ledger[イベント種類],"充当",tbl_ledger[元状態],G$1)-SUMIFS(tbl_ledger[数量],tbl_ledger[ロットID],$B270,tbl_ledger[元状態],G$1))</f>
        <v/>
      </c>
      <c r="H270" s="4" t="str">
        <f>IF($B270="","",SUMIFS(tbl_ledger[数量],tbl_ledger[ロットID],$B270,tbl_ledger[イベント種類],"発送準備完了")+SUMIFS(tbl_ledger[数量],tbl_ledger[充当先ロットID],$B270,tbl_ledger[イベント種類],"充当",tbl_ledger[元状態],H$1)-SUMIFS(tbl_ledger[数量],tbl_ledger[ロットID],$B270,tbl_ledger[元状態],H$1))</f>
        <v/>
      </c>
      <c r="I270" s="4" t="str">
        <f>IF($B270="","",SUMIFS(tbl_ledger[数量],tbl_ledger[ロットID],$B270,tbl_ledger[イベント種類],"不良発生")+SUMIFS(tbl_ledger[数量],tbl_ledger[充当先ロットID],$B270,tbl_ledger[イベント種類],"充当",tbl_ledger[元状態],I$1)-SUMIFS(tbl_ledger[数量],tbl_ledger[ロットID],$B270,tbl_ledger[元状態],I$1))</f>
        <v/>
      </c>
      <c r="J270" s="4" t="str">
        <f t="shared" si="9"/>
        <v/>
      </c>
    </row>
    <row r="271" spans="1:10" ht="15" x14ac:dyDescent="0.25">
      <c r="A271" s="4" t="str">
        <f t="shared" si="8"/>
        <v/>
      </c>
      <c r="B271" s="4" t="str">
        <f>IFERROR(IF(COUNTIF($B$1:$B270,INDEX(tbl_plan[ロットID],ROW()-1))&gt;0,"",INDEX(tbl_plan[ロットID],ROW()-1)),"")</f>
        <v/>
      </c>
      <c r="C271" s="4" t="str">
        <f>IF($B271="","",INDEX(tbl_plan[品番],ROW()-1))</f>
        <v/>
      </c>
      <c r="D271" s="4" t="str">
        <f>IF($B271="","",SUMIFS(tbl_ledger[数量],tbl_ledger[ロットID],$B271,tbl_ledger[イベント種類],"搬入")+SUMIFS(tbl_ledger[数量],tbl_ledger[充当先ロットID],$B271,tbl_ledger[イベント種類],"充当",tbl_ledger[元状態],D$1)-SUMIFS(tbl_ledger[数量],tbl_ledger[ロットID],$B271,tbl_ledger[元状態],D$1))</f>
        <v/>
      </c>
      <c r="E271" s="4" t="str">
        <f>IF($B271="","",SUMIFS(tbl_ledger[数量],tbl_ledger[ロットID],$B271,tbl_ledger[イベント種類],"アニール完了")+SUMIFS(tbl_ledger[数量],tbl_ledger[充当先ロットID],$B271,tbl_ledger[イベント種類],"充当",tbl_ledger[元状態],E$1)-SUMIFS(tbl_ledger[数量],tbl_ledger[ロットID],$B271,tbl_ledger[元状態],E$1))</f>
        <v/>
      </c>
      <c r="F271" s="4" t="str">
        <f>IF($B271="","",SUMIFS(tbl_ledger[数量],tbl_ledger[ロットID],$B271,tbl_ledger[イベント種類],"アセンブリ完了")+SUMIFS(tbl_ledger[数量],tbl_ledger[充当先ロットID],$B271,tbl_ledger[イベント種類],"充当",tbl_ledger[元状態],F$1)-SUMIFS(tbl_ledger[数量],tbl_ledger[ロットID],$B271,tbl_ledger[元状態],F$1))</f>
        <v/>
      </c>
      <c r="G271" s="4" t="str">
        <f>IF($B271="","",SUMIFS(tbl_ledger[数量],tbl_ledger[ロットID],$B271,tbl_ledger[イベント種類],"梱包完了")+SUMIFS(tbl_ledger[数量],tbl_ledger[充当先ロットID],$B271,tbl_ledger[イベント種類],"充当",tbl_ledger[元状態],G$1)-SUMIFS(tbl_ledger[数量],tbl_ledger[ロットID],$B271,tbl_ledger[元状態],G$1))</f>
        <v/>
      </c>
      <c r="H271" s="4" t="str">
        <f>IF($B271="","",SUMIFS(tbl_ledger[数量],tbl_ledger[ロットID],$B271,tbl_ledger[イベント種類],"発送準備完了")+SUMIFS(tbl_ledger[数量],tbl_ledger[充当先ロットID],$B271,tbl_ledger[イベント種類],"充当",tbl_ledger[元状態],H$1)-SUMIFS(tbl_ledger[数量],tbl_ledger[ロットID],$B271,tbl_ledger[元状態],H$1))</f>
        <v/>
      </c>
      <c r="I271" s="4" t="str">
        <f>IF($B271="","",SUMIFS(tbl_ledger[数量],tbl_ledger[ロットID],$B271,tbl_ledger[イベント種類],"不良発生")+SUMIFS(tbl_ledger[数量],tbl_ledger[充当先ロットID],$B271,tbl_ledger[イベント種類],"充当",tbl_ledger[元状態],I$1)-SUMIFS(tbl_ledger[数量],tbl_ledger[ロットID],$B271,tbl_ledger[元状態],I$1))</f>
        <v/>
      </c>
      <c r="J271" s="4" t="str">
        <f t="shared" si="9"/>
        <v/>
      </c>
    </row>
    <row r="272" spans="1:10" ht="15" x14ac:dyDescent="0.25">
      <c r="A272" s="4" t="str">
        <f t="shared" si="8"/>
        <v/>
      </c>
      <c r="B272" s="4" t="str">
        <f>IFERROR(IF(COUNTIF($B$1:$B271,INDEX(tbl_plan[ロットID],ROW()-1))&gt;0,"",INDEX(tbl_plan[ロットID],ROW()-1)),"")</f>
        <v/>
      </c>
      <c r="C272" s="4" t="str">
        <f>IF($B272="","",INDEX(tbl_plan[品番],ROW()-1))</f>
        <v/>
      </c>
      <c r="D272" s="4" t="str">
        <f>IF($B272="","",SUMIFS(tbl_ledger[数量],tbl_ledger[ロットID],$B272,tbl_ledger[イベント種類],"搬入")+SUMIFS(tbl_ledger[数量],tbl_ledger[充当先ロットID],$B272,tbl_ledger[イベント種類],"充当",tbl_ledger[元状態],D$1)-SUMIFS(tbl_ledger[数量],tbl_ledger[ロットID],$B272,tbl_ledger[元状態],D$1))</f>
        <v/>
      </c>
      <c r="E272" s="4" t="str">
        <f>IF($B272="","",SUMIFS(tbl_ledger[数量],tbl_ledger[ロットID],$B272,tbl_ledger[イベント種類],"アニール完了")+SUMIFS(tbl_ledger[数量],tbl_ledger[充当先ロットID],$B272,tbl_ledger[イベント種類],"充当",tbl_ledger[元状態],E$1)-SUMIFS(tbl_ledger[数量],tbl_ledger[ロットID],$B272,tbl_ledger[元状態],E$1))</f>
        <v/>
      </c>
      <c r="F272" s="4" t="str">
        <f>IF($B272="","",SUMIFS(tbl_ledger[数量],tbl_ledger[ロットID],$B272,tbl_ledger[イベント種類],"アセンブリ完了")+SUMIFS(tbl_ledger[数量],tbl_ledger[充当先ロットID],$B272,tbl_ledger[イベント種類],"充当",tbl_ledger[元状態],F$1)-SUMIFS(tbl_ledger[数量],tbl_ledger[ロットID],$B272,tbl_ledger[元状態],F$1))</f>
        <v/>
      </c>
      <c r="G272" s="4" t="str">
        <f>IF($B272="","",SUMIFS(tbl_ledger[数量],tbl_ledger[ロットID],$B272,tbl_ledger[イベント種類],"梱包完了")+SUMIFS(tbl_ledger[数量],tbl_ledger[充当先ロットID],$B272,tbl_ledger[イベント種類],"充当",tbl_ledger[元状態],G$1)-SUMIFS(tbl_ledger[数量],tbl_ledger[ロットID],$B272,tbl_ledger[元状態],G$1))</f>
        <v/>
      </c>
      <c r="H272" s="4" t="str">
        <f>IF($B272="","",SUMIFS(tbl_ledger[数量],tbl_ledger[ロットID],$B272,tbl_ledger[イベント種類],"発送準備完了")+SUMIFS(tbl_ledger[数量],tbl_ledger[充当先ロットID],$B272,tbl_ledger[イベント種類],"充当",tbl_ledger[元状態],H$1)-SUMIFS(tbl_ledger[数量],tbl_ledger[ロットID],$B272,tbl_ledger[元状態],H$1))</f>
        <v/>
      </c>
      <c r="I272" s="4" t="str">
        <f>IF($B272="","",SUMIFS(tbl_ledger[数量],tbl_ledger[ロットID],$B272,tbl_ledger[イベント種類],"不良発生")+SUMIFS(tbl_ledger[数量],tbl_ledger[充当先ロットID],$B272,tbl_ledger[イベント種類],"充当",tbl_ledger[元状態],I$1)-SUMIFS(tbl_ledger[数量],tbl_ledger[ロットID],$B272,tbl_ledger[元状態],I$1))</f>
        <v/>
      </c>
      <c r="J272" s="4" t="str">
        <f t="shared" si="9"/>
        <v/>
      </c>
    </row>
    <row r="273" spans="1:10" ht="15" x14ac:dyDescent="0.25">
      <c r="A273" s="4" t="str">
        <f t="shared" si="8"/>
        <v/>
      </c>
      <c r="B273" s="4" t="str">
        <f>IFERROR(IF(COUNTIF($B$1:$B272,INDEX(tbl_plan[ロットID],ROW()-1))&gt;0,"",INDEX(tbl_plan[ロットID],ROW()-1)),"")</f>
        <v/>
      </c>
      <c r="C273" s="4" t="str">
        <f>IF($B273="","",INDEX(tbl_plan[品番],ROW()-1))</f>
        <v/>
      </c>
      <c r="D273" s="4" t="str">
        <f>IF($B273="","",SUMIFS(tbl_ledger[数量],tbl_ledger[ロットID],$B273,tbl_ledger[イベント種類],"搬入")+SUMIFS(tbl_ledger[数量],tbl_ledger[充当先ロットID],$B273,tbl_ledger[イベント種類],"充当",tbl_ledger[元状態],D$1)-SUMIFS(tbl_ledger[数量],tbl_ledger[ロットID],$B273,tbl_ledger[元状態],D$1))</f>
        <v/>
      </c>
      <c r="E273" s="4" t="str">
        <f>IF($B273="","",SUMIFS(tbl_ledger[数量],tbl_ledger[ロットID],$B273,tbl_ledger[イベント種類],"アニール完了")+SUMIFS(tbl_ledger[数量],tbl_ledger[充当先ロットID],$B273,tbl_ledger[イベント種類],"充当",tbl_ledger[元状態],E$1)-SUMIFS(tbl_ledger[数量],tbl_ledger[ロットID],$B273,tbl_ledger[元状態],E$1))</f>
        <v/>
      </c>
      <c r="F273" s="4" t="str">
        <f>IF($B273="","",SUMIFS(tbl_ledger[数量],tbl_ledger[ロットID],$B273,tbl_ledger[イベント種類],"アセンブリ完了")+SUMIFS(tbl_ledger[数量],tbl_ledger[充当先ロットID],$B273,tbl_ledger[イベント種類],"充当",tbl_ledger[元状態],F$1)-SUMIFS(tbl_ledger[数量],tbl_ledger[ロットID],$B273,tbl_ledger[元状態],F$1))</f>
        <v/>
      </c>
      <c r="G273" s="4" t="str">
        <f>IF($B273="","",SUMIFS(tbl_ledger[数量],tbl_ledger[ロットID],$B273,tbl_ledger[イベント種類],"梱包完了")+SUMIFS(tbl_ledger[数量],tbl_ledger[充当先ロットID],$B273,tbl_ledger[イベント種類],"充当",tbl_ledger[元状態],G$1)-SUMIFS(tbl_ledger[数量],tbl_ledger[ロットID],$B273,tbl_ledger[元状態],G$1))</f>
        <v/>
      </c>
      <c r="H273" s="4" t="str">
        <f>IF($B273="","",SUMIFS(tbl_ledger[数量],tbl_ledger[ロットID],$B273,tbl_ledger[イベント種類],"発送準備完了")+SUMIFS(tbl_ledger[数量],tbl_ledger[充当先ロットID],$B273,tbl_ledger[イベント種類],"充当",tbl_ledger[元状態],H$1)-SUMIFS(tbl_ledger[数量],tbl_ledger[ロットID],$B273,tbl_ledger[元状態],H$1))</f>
        <v/>
      </c>
      <c r="I273" s="4" t="str">
        <f>IF($B273="","",SUMIFS(tbl_ledger[数量],tbl_ledger[ロットID],$B273,tbl_ledger[イベント種類],"不良発生")+SUMIFS(tbl_ledger[数量],tbl_ledger[充当先ロットID],$B273,tbl_ledger[イベント種類],"充当",tbl_ledger[元状態],I$1)-SUMIFS(tbl_ledger[数量],tbl_ledger[ロットID],$B273,tbl_ledger[元状態],I$1))</f>
        <v/>
      </c>
      <c r="J273" s="4" t="str">
        <f t="shared" si="9"/>
        <v/>
      </c>
    </row>
    <row r="274" spans="1:10" ht="15" x14ac:dyDescent="0.25">
      <c r="A274" s="4" t="str">
        <f t="shared" si="8"/>
        <v/>
      </c>
      <c r="B274" s="4" t="str">
        <f>IFERROR(IF(COUNTIF($B$1:$B273,INDEX(tbl_plan[ロットID],ROW()-1))&gt;0,"",INDEX(tbl_plan[ロットID],ROW()-1)),"")</f>
        <v/>
      </c>
      <c r="C274" s="4" t="str">
        <f>IF($B274="","",INDEX(tbl_plan[品番],ROW()-1))</f>
        <v/>
      </c>
      <c r="D274" s="4" t="str">
        <f>IF($B274="","",SUMIFS(tbl_ledger[数量],tbl_ledger[ロットID],$B274,tbl_ledger[イベント種類],"搬入")+SUMIFS(tbl_ledger[数量],tbl_ledger[充当先ロットID],$B274,tbl_ledger[イベント種類],"充当",tbl_ledger[元状態],D$1)-SUMIFS(tbl_ledger[数量],tbl_ledger[ロットID],$B274,tbl_ledger[元状態],D$1))</f>
        <v/>
      </c>
      <c r="E274" s="4" t="str">
        <f>IF($B274="","",SUMIFS(tbl_ledger[数量],tbl_ledger[ロットID],$B274,tbl_ledger[イベント種類],"アニール完了")+SUMIFS(tbl_ledger[数量],tbl_ledger[充当先ロットID],$B274,tbl_ledger[イベント種類],"充当",tbl_ledger[元状態],E$1)-SUMIFS(tbl_ledger[数量],tbl_ledger[ロットID],$B274,tbl_ledger[元状態],E$1))</f>
        <v/>
      </c>
      <c r="F274" s="4" t="str">
        <f>IF($B274="","",SUMIFS(tbl_ledger[数量],tbl_ledger[ロットID],$B274,tbl_ledger[イベント種類],"アセンブリ完了")+SUMIFS(tbl_ledger[数量],tbl_ledger[充当先ロットID],$B274,tbl_ledger[イベント種類],"充当",tbl_ledger[元状態],F$1)-SUMIFS(tbl_ledger[数量],tbl_ledger[ロットID],$B274,tbl_ledger[元状態],F$1))</f>
        <v/>
      </c>
      <c r="G274" s="4" t="str">
        <f>IF($B274="","",SUMIFS(tbl_ledger[数量],tbl_ledger[ロットID],$B274,tbl_ledger[イベント種類],"梱包完了")+SUMIFS(tbl_ledger[数量],tbl_ledger[充当先ロットID],$B274,tbl_ledger[イベント種類],"充当",tbl_ledger[元状態],G$1)-SUMIFS(tbl_ledger[数量],tbl_ledger[ロットID],$B274,tbl_ledger[元状態],G$1))</f>
        <v/>
      </c>
      <c r="H274" s="4" t="str">
        <f>IF($B274="","",SUMIFS(tbl_ledger[数量],tbl_ledger[ロットID],$B274,tbl_ledger[イベント種類],"発送準備完了")+SUMIFS(tbl_ledger[数量],tbl_ledger[充当先ロットID],$B274,tbl_ledger[イベント種類],"充当",tbl_ledger[元状態],H$1)-SUMIFS(tbl_ledger[数量],tbl_ledger[ロットID],$B274,tbl_ledger[元状態],H$1))</f>
        <v/>
      </c>
      <c r="I274" s="4" t="str">
        <f>IF($B274="","",SUMIFS(tbl_ledger[数量],tbl_ledger[ロットID],$B274,tbl_ledger[イベント種類],"不良発生")+SUMIFS(tbl_ledger[数量],tbl_ledger[充当先ロットID],$B274,tbl_ledger[イベント種類],"充当",tbl_ledger[元状態],I$1)-SUMIFS(tbl_ledger[数量],tbl_ledger[ロットID],$B274,tbl_ledger[元状態],I$1))</f>
        <v/>
      </c>
      <c r="J274" s="4" t="str">
        <f t="shared" si="9"/>
        <v/>
      </c>
    </row>
    <row r="275" spans="1:10" ht="15" x14ac:dyDescent="0.25">
      <c r="A275" s="4" t="str">
        <f t="shared" si="8"/>
        <v/>
      </c>
      <c r="B275" s="4" t="str">
        <f>IFERROR(IF(COUNTIF($B$1:$B274,INDEX(tbl_plan[ロットID],ROW()-1))&gt;0,"",INDEX(tbl_plan[ロットID],ROW()-1)),"")</f>
        <v/>
      </c>
      <c r="C275" s="4" t="str">
        <f>IF($B275="","",INDEX(tbl_plan[品番],ROW()-1))</f>
        <v/>
      </c>
      <c r="D275" s="4" t="str">
        <f>IF($B275="","",SUMIFS(tbl_ledger[数量],tbl_ledger[ロットID],$B275,tbl_ledger[イベント種類],"搬入")+SUMIFS(tbl_ledger[数量],tbl_ledger[充当先ロットID],$B275,tbl_ledger[イベント種類],"充当",tbl_ledger[元状態],D$1)-SUMIFS(tbl_ledger[数量],tbl_ledger[ロットID],$B275,tbl_ledger[元状態],D$1))</f>
        <v/>
      </c>
      <c r="E275" s="4" t="str">
        <f>IF($B275="","",SUMIFS(tbl_ledger[数量],tbl_ledger[ロットID],$B275,tbl_ledger[イベント種類],"アニール完了")+SUMIFS(tbl_ledger[数量],tbl_ledger[充当先ロットID],$B275,tbl_ledger[イベント種類],"充当",tbl_ledger[元状態],E$1)-SUMIFS(tbl_ledger[数量],tbl_ledger[ロットID],$B275,tbl_ledger[元状態],E$1))</f>
        <v/>
      </c>
      <c r="F275" s="4" t="str">
        <f>IF($B275="","",SUMIFS(tbl_ledger[数量],tbl_ledger[ロットID],$B275,tbl_ledger[イベント種類],"アセンブリ完了")+SUMIFS(tbl_ledger[数量],tbl_ledger[充当先ロットID],$B275,tbl_ledger[イベント種類],"充当",tbl_ledger[元状態],F$1)-SUMIFS(tbl_ledger[数量],tbl_ledger[ロットID],$B275,tbl_ledger[元状態],F$1))</f>
        <v/>
      </c>
      <c r="G275" s="4" t="str">
        <f>IF($B275="","",SUMIFS(tbl_ledger[数量],tbl_ledger[ロットID],$B275,tbl_ledger[イベント種類],"梱包完了")+SUMIFS(tbl_ledger[数量],tbl_ledger[充当先ロットID],$B275,tbl_ledger[イベント種類],"充当",tbl_ledger[元状態],G$1)-SUMIFS(tbl_ledger[数量],tbl_ledger[ロットID],$B275,tbl_ledger[元状態],G$1))</f>
        <v/>
      </c>
      <c r="H275" s="4" t="str">
        <f>IF($B275="","",SUMIFS(tbl_ledger[数量],tbl_ledger[ロットID],$B275,tbl_ledger[イベント種類],"発送準備完了")+SUMIFS(tbl_ledger[数量],tbl_ledger[充当先ロットID],$B275,tbl_ledger[イベント種類],"充当",tbl_ledger[元状態],H$1)-SUMIFS(tbl_ledger[数量],tbl_ledger[ロットID],$B275,tbl_ledger[元状態],H$1))</f>
        <v/>
      </c>
      <c r="I275" s="4" t="str">
        <f>IF($B275="","",SUMIFS(tbl_ledger[数量],tbl_ledger[ロットID],$B275,tbl_ledger[イベント種類],"不良発生")+SUMIFS(tbl_ledger[数量],tbl_ledger[充当先ロットID],$B275,tbl_ledger[イベント種類],"充当",tbl_ledger[元状態],I$1)-SUMIFS(tbl_ledger[数量],tbl_ledger[ロットID],$B275,tbl_ledger[元状態],I$1))</f>
        <v/>
      </c>
      <c r="J275" s="4" t="str">
        <f t="shared" si="9"/>
        <v/>
      </c>
    </row>
    <row r="276" spans="1:10" ht="15" x14ac:dyDescent="0.25">
      <c r="A276" s="4" t="str">
        <f t="shared" si="8"/>
        <v/>
      </c>
      <c r="B276" s="4" t="str">
        <f>IFERROR(IF(COUNTIF($B$1:$B275,INDEX(tbl_plan[ロットID],ROW()-1))&gt;0,"",INDEX(tbl_plan[ロットID],ROW()-1)),"")</f>
        <v/>
      </c>
      <c r="C276" s="4" t="str">
        <f>IF($B276="","",INDEX(tbl_plan[品番],ROW()-1))</f>
        <v/>
      </c>
      <c r="D276" s="4" t="str">
        <f>IF($B276="","",SUMIFS(tbl_ledger[数量],tbl_ledger[ロットID],$B276,tbl_ledger[イベント種類],"搬入")+SUMIFS(tbl_ledger[数量],tbl_ledger[充当先ロットID],$B276,tbl_ledger[イベント種類],"充当",tbl_ledger[元状態],D$1)-SUMIFS(tbl_ledger[数量],tbl_ledger[ロットID],$B276,tbl_ledger[元状態],D$1))</f>
        <v/>
      </c>
      <c r="E276" s="4" t="str">
        <f>IF($B276="","",SUMIFS(tbl_ledger[数量],tbl_ledger[ロットID],$B276,tbl_ledger[イベント種類],"アニール完了")+SUMIFS(tbl_ledger[数量],tbl_ledger[充当先ロットID],$B276,tbl_ledger[イベント種類],"充当",tbl_ledger[元状態],E$1)-SUMIFS(tbl_ledger[数量],tbl_ledger[ロットID],$B276,tbl_ledger[元状態],E$1))</f>
        <v/>
      </c>
      <c r="F276" s="4" t="str">
        <f>IF($B276="","",SUMIFS(tbl_ledger[数量],tbl_ledger[ロットID],$B276,tbl_ledger[イベント種類],"アセンブリ完了")+SUMIFS(tbl_ledger[数量],tbl_ledger[充当先ロットID],$B276,tbl_ledger[イベント種類],"充当",tbl_ledger[元状態],F$1)-SUMIFS(tbl_ledger[数量],tbl_ledger[ロットID],$B276,tbl_ledger[元状態],F$1))</f>
        <v/>
      </c>
      <c r="G276" s="4" t="str">
        <f>IF($B276="","",SUMIFS(tbl_ledger[数量],tbl_ledger[ロットID],$B276,tbl_ledger[イベント種類],"梱包完了")+SUMIFS(tbl_ledger[数量],tbl_ledger[充当先ロットID],$B276,tbl_ledger[イベント種類],"充当",tbl_ledger[元状態],G$1)-SUMIFS(tbl_ledger[数量],tbl_ledger[ロットID],$B276,tbl_ledger[元状態],G$1))</f>
        <v/>
      </c>
      <c r="H276" s="4" t="str">
        <f>IF($B276="","",SUMIFS(tbl_ledger[数量],tbl_ledger[ロットID],$B276,tbl_ledger[イベント種類],"発送準備完了")+SUMIFS(tbl_ledger[数量],tbl_ledger[充当先ロットID],$B276,tbl_ledger[イベント種類],"充当",tbl_ledger[元状態],H$1)-SUMIFS(tbl_ledger[数量],tbl_ledger[ロットID],$B276,tbl_ledger[元状態],H$1))</f>
        <v/>
      </c>
      <c r="I276" s="4" t="str">
        <f>IF($B276="","",SUMIFS(tbl_ledger[数量],tbl_ledger[ロットID],$B276,tbl_ledger[イベント種類],"不良発生")+SUMIFS(tbl_ledger[数量],tbl_ledger[充当先ロットID],$B276,tbl_ledger[イベント種類],"充当",tbl_ledger[元状態],I$1)-SUMIFS(tbl_ledger[数量],tbl_ledger[ロットID],$B276,tbl_ledger[元状態],I$1))</f>
        <v/>
      </c>
      <c r="J276" s="4" t="str">
        <f t="shared" si="9"/>
        <v/>
      </c>
    </row>
    <row r="277" spans="1:10" ht="15" x14ac:dyDescent="0.25">
      <c r="A277" s="4" t="str">
        <f t="shared" si="8"/>
        <v/>
      </c>
      <c r="B277" s="4" t="str">
        <f>IFERROR(IF(COUNTIF($B$1:$B276,INDEX(tbl_plan[ロットID],ROW()-1))&gt;0,"",INDEX(tbl_plan[ロットID],ROW()-1)),"")</f>
        <v/>
      </c>
      <c r="C277" s="4" t="str">
        <f>IF($B277="","",INDEX(tbl_plan[品番],ROW()-1))</f>
        <v/>
      </c>
      <c r="D277" s="4" t="str">
        <f>IF($B277="","",SUMIFS(tbl_ledger[数量],tbl_ledger[ロットID],$B277,tbl_ledger[イベント種類],"搬入")+SUMIFS(tbl_ledger[数量],tbl_ledger[充当先ロットID],$B277,tbl_ledger[イベント種類],"充当",tbl_ledger[元状態],D$1)-SUMIFS(tbl_ledger[数量],tbl_ledger[ロットID],$B277,tbl_ledger[元状態],D$1))</f>
        <v/>
      </c>
      <c r="E277" s="4" t="str">
        <f>IF($B277="","",SUMIFS(tbl_ledger[数量],tbl_ledger[ロットID],$B277,tbl_ledger[イベント種類],"アニール完了")+SUMIFS(tbl_ledger[数量],tbl_ledger[充当先ロットID],$B277,tbl_ledger[イベント種類],"充当",tbl_ledger[元状態],E$1)-SUMIFS(tbl_ledger[数量],tbl_ledger[ロットID],$B277,tbl_ledger[元状態],E$1))</f>
        <v/>
      </c>
      <c r="F277" s="4" t="str">
        <f>IF($B277="","",SUMIFS(tbl_ledger[数量],tbl_ledger[ロットID],$B277,tbl_ledger[イベント種類],"アセンブリ完了")+SUMIFS(tbl_ledger[数量],tbl_ledger[充当先ロットID],$B277,tbl_ledger[イベント種類],"充当",tbl_ledger[元状態],F$1)-SUMIFS(tbl_ledger[数量],tbl_ledger[ロットID],$B277,tbl_ledger[元状態],F$1))</f>
        <v/>
      </c>
      <c r="G277" s="4" t="str">
        <f>IF($B277="","",SUMIFS(tbl_ledger[数量],tbl_ledger[ロットID],$B277,tbl_ledger[イベント種類],"梱包完了")+SUMIFS(tbl_ledger[数量],tbl_ledger[充当先ロットID],$B277,tbl_ledger[イベント種類],"充当",tbl_ledger[元状態],G$1)-SUMIFS(tbl_ledger[数量],tbl_ledger[ロットID],$B277,tbl_ledger[元状態],G$1))</f>
        <v/>
      </c>
      <c r="H277" s="4" t="str">
        <f>IF($B277="","",SUMIFS(tbl_ledger[数量],tbl_ledger[ロットID],$B277,tbl_ledger[イベント種類],"発送準備完了")+SUMIFS(tbl_ledger[数量],tbl_ledger[充当先ロットID],$B277,tbl_ledger[イベント種類],"充当",tbl_ledger[元状態],H$1)-SUMIFS(tbl_ledger[数量],tbl_ledger[ロットID],$B277,tbl_ledger[元状態],H$1))</f>
        <v/>
      </c>
      <c r="I277" s="4" t="str">
        <f>IF($B277="","",SUMIFS(tbl_ledger[数量],tbl_ledger[ロットID],$B277,tbl_ledger[イベント種類],"不良発生")+SUMIFS(tbl_ledger[数量],tbl_ledger[充当先ロットID],$B277,tbl_ledger[イベント種類],"充当",tbl_ledger[元状態],I$1)-SUMIFS(tbl_ledger[数量],tbl_ledger[ロットID],$B277,tbl_ledger[元状態],I$1))</f>
        <v/>
      </c>
      <c r="J277" s="4" t="str">
        <f t="shared" si="9"/>
        <v/>
      </c>
    </row>
    <row r="278" spans="1:10" ht="15" x14ac:dyDescent="0.25">
      <c r="A278" s="4" t="str">
        <f t="shared" si="8"/>
        <v/>
      </c>
      <c r="B278" s="4" t="str">
        <f>IFERROR(IF(COUNTIF($B$1:$B277,INDEX(tbl_plan[ロットID],ROW()-1))&gt;0,"",INDEX(tbl_plan[ロットID],ROW()-1)),"")</f>
        <v/>
      </c>
      <c r="C278" s="4" t="str">
        <f>IF($B278="","",INDEX(tbl_plan[品番],ROW()-1))</f>
        <v/>
      </c>
      <c r="D278" s="4" t="str">
        <f>IF($B278="","",SUMIFS(tbl_ledger[数量],tbl_ledger[ロットID],$B278,tbl_ledger[イベント種類],"搬入")+SUMIFS(tbl_ledger[数量],tbl_ledger[充当先ロットID],$B278,tbl_ledger[イベント種類],"充当",tbl_ledger[元状態],D$1)-SUMIFS(tbl_ledger[数量],tbl_ledger[ロットID],$B278,tbl_ledger[元状態],D$1))</f>
        <v/>
      </c>
      <c r="E278" s="4" t="str">
        <f>IF($B278="","",SUMIFS(tbl_ledger[数量],tbl_ledger[ロットID],$B278,tbl_ledger[イベント種類],"アニール完了")+SUMIFS(tbl_ledger[数量],tbl_ledger[充当先ロットID],$B278,tbl_ledger[イベント種類],"充当",tbl_ledger[元状態],E$1)-SUMIFS(tbl_ledger[数量],tbl_ledger[ロットID],$B278,tbl_ledger[元状態],E$1))</f>
        <v/>
      </c>
      <c r="F278" s="4" t="str">
        <f>IF($B278="","",SUMIFS(tbl_ledger[数量],tbl_ledger[ロットID],$B278,tbl_ledger[イベント種類],"アセンブリ完了")+SUMIFS(tbl_ledger[数量],tbl_ledger[充当先ロットID],$B278,tbl_ledger[イベント種類],"充当",tbl_ledger[元状態],F$1)-SUMIFS(tbl_ledger[数量],tbl_ledger[ロットID],$B278,tbl_ledger[元状態],F$1))</f>
        <v/>
      </c>
      <c r="G278" s="4" t="str">
        <f>IF($B278="","",SUMIFS(tbl_ledger[数量],tbl_ledger[ロットID],$B278,tbl_ledger[イベント種類],"梱包完了")+SUMIFS(tbl_ledger[数量],tbl_ledger[充当先ロットID],$B278,tbl_ledger[イベント種類],"充当",tbl_ledger[元状態],G$1)-SUMIFS(tbl_ledger[数量],tbl_ledger[ロットID],$B278,tbl_ledger[元状態],G$1))</f>
        <v/>
      </c>
      <c r="H278" s="4" t="str">
        <f>IF($B278="","",SUMIFS(tbl_ledger[数量],tbl_ledger[ロットID],$B278,tbl_ledger[イベント種類],"発送準備完了")+SUMIFS(tbl_ledger[数量],tbl_ledger[充当先ロットID],$B278,tbl_ledger[イベント種類],"充当",tbl_ledger[元状態],H$1)-SUMIFS(tbl_ledger[数量],tbl_ledger[ロットID],$B278,tbl_ledger[元状態],H$1))</f>
        <v/>
      </c>
      <c r="I278" s="4" t="str">
        <f>IF($B278="","",SUMIFS(tbl_ledger[数量],tbl_ledger[ロットID],$B278,tbl_ledger[イベント種類],"不良発生")+SUMIFS(tbl_ledger[数量],tbl_ledger[充当先ロットID],$B278,tbl_ledger[イベント種類],"充当",tbl_ledger[元状態],I$1)-SUMIFS(tbl_ledger[数量],tbl_ledger[ロットID],$B278,tbl_ledger[元状態],I$1))</f>
        <v/>
      </c>
      <c r="J278" s="4" t="str">
        <f t="shared" si="9"/>
        <v/>
      </c>
    </row>
    <row r="279" spans="1:10" ht="15" x14ac:dyDescent="0.25">
      <c r="A279" s="4" t="str">
        <f t="shared" si="8"/>
        <v/>
      </c>
      <c r="B279" s="4" t="str">
        <f>IFERROR(IF(COUNTIF($B$1:$B278,INDEX(tbl_plan[ロットID],ROW()-1))&gt;0,"",INDEX(tbl_plan[ロットID],ROW()-1)),"")</f>
        <v/>
      </c>
      <c r="C279" s="4" t="str">
        <f>IF($B279="","",INDEX(tbl_plan[品番],ROW()-1))</f>
        <v/>
      </c>
      <c r="D279" s="4" t="str">
        <f>IF($B279="","",SUMIFS(tbl_ledger[数量],tbl_ledger[ロットID],$B279,tbl_ledger[イベント種類],"搬入")+SUMIFS(tbl_ledger[数量],tbl_ledger[充当先ロットID],$B279,tbl_ledger[イベント種類],"充当",tbl_ledger[元状態],D$1)-SUMIFS(tbl_ledger[数量],tbl_ledger[ロットID],$B279,tbl_ledger[元状態],D$1))</f>
        <v/>
      </c>
      <c r="E279" s="4" t="str">
        <f>IF($B279="","",SUMIFS(tbl_ledger[数量],tbl_ledger[ロットID],$B279,tbl_ledger[イベント種類],"アニール完了")+SUMIFS(tbl_ledger[数量],tbl_ledger[充当先ロットID],$B279,tbl_ledger[イベント種類],"充当",tbl_ledger[元状態],E$1)-SUMIFS(tbl_ledger[数量],tbl_ledger[ロットID],$B279,tbl_ledger[元状態],E$1))</f>
        <v/>
      </c>
      <c r="F279" s="4" t="str">
        <f>IF($B279="","",SUMIFS(tbl_ledger[数量],tbl_ledger[ロットID],$B279,tbl_ledger[イベント種類],"アセンブリ完了")+SUMIFS(tbl_ledger[数量],tbl_ledger[充当先ロットID],$B279,tbl_ledger[イベント種類],"充当",tbl_ledger[元状態],F$1)-SUMIFS(tbl_ledger[数量],tbl_ledger[ロットID],$B279,tbl_ledger[元状態],F$1))</f>
        <v/>
      </c>
      <c r="G279" s="4" t="str">
        <f>IF($B279="","",SUMIFS(tbl_ledger[数量],tbl_ledger[ロットID],$B279,tbl_ledger[イベント種類],"梱包完了")+SUMIFS(tbl_ledger[数量],tbl_ledger[充当先ロットID],$B279,tbl_ledger[イベント種類],"充当",tbl_ledger[元状態],G$1)-SUMIFS(tbl_ledger[数量],tbl_ledger[ロットID],$B279,tbl_ledger[元状態],G$1))</f>
        <v/>
      </c>
      <c r="H279" s="4" t="str">
        <f>IF($B279="","",SUMIFS(tbl_ledger[数量],tbl_ledger[ロットID],$B279,tbl_ledger[イベント種類],"発送準備完了")+SUMIFS(tbl_ledger[数量],tbl_ledger[充当先ロットID],$B279,tbl_ledger[イベント種類],"充当",tbl_ledger[元状態],H$1)-SUMIFS(tbl_ledger[数量],tbl_ledger[ロットID],$B279,tbl_ledger[元状態],H$1))</f>
        <v/>
      </c>
      <c r="I279" s="4" t="str">
        <f>IF($B279="","",SUMIFS(tbl_ledger[数量],tbl_ledger[ロットID],$B279,tbl_ledger[イベント種類],"不良発生")+SUMIFS(tbl_ledger[数量],tbl_ledger[充当先ロットID],$B279,tbl_ledger[イベント種類],"充当",tbl_ledger[元状態],I$1)-SUMIFS(tbl_ledger[数量],tbl_ledger[ロットID],$B279,tbl_ledger[元状態],I$1))</f>
        <v/>
      </c>
      <c r="J279" s="4" t="str">
        <f t="shared" si="9"/>
        <v/>
      </c>
    </row>
    <row r="280" spans="1:10" ht="15" x14ac:dyDescent="0.25">
      <c r="A280" s="4" t="str">
        <f t="shared" si="8"/>
        <v/>
      </c>
      <c r="B280" s="4" t="str">
        <f>IFERROR(IF(COUNTIF($B$1:$B279,INDEX(tbl_plan[ロットID],ROW()-1))&gt;0,"",INDEX(tbl_plan[ロットID],ROW()-1)),"")</f>
        <v/>
      </c>
      <c r="C280" s="4" t="str">
        <f>IF($B280="","",INDEX(tbl_plan[品番],ROW()-1))</f>
        <v/>
      </c>
      <c r="D280" s="4" t="str">
        <f>IF($B280="","",SUMIFS(tbl_ledger[数量],tbl_ledger[ロットID],$B280,tbl_ledger[イベント種類],"搬入")+SUMIFS(tbl_ledger[数量],tbl_ledger[充当先ロットID],$B280,tbl_ledger[イベント種類],"充当",tbl_ledger[元状態],D$1)-SUMIFS(tbl_ledger[数量],tbl_ledger[ロットID],$B280,tbl_ledger[元状態],D$1))</f>
        <v/>
      </c>
      <c r="E280" s="4" t="str">
        <f>IF($B280="","",SUMIFS(tbl_ledger[数量],tbl_ledger[ロットID],$B280,tbl_ledger[イベント種類],"アニール完了")+SUMIFS(tbl_ledger[数量],tbl_ledger[充当先ロットID],$B280,tbl_ledger[イベント種類],"充当",tbl_ledger[元状態],E$1)-SUMIFS(tbl_ledger[数量],tbl_ledger[ロットID],$B280,tbl_ledger[元状態],E$1))</f>
        <v/>
      </c>
      <c r="F280" s="4" t="str">
        <f>IF($B280="","",SUMIFS(tbl_ledger[数量],tbl_ledger[ロットID],$B280,tbl_ledger[イベント種類],"アセンブリ完了")+SUMIFS(tbl_ledger[数量],tbl_ledger[充当先ロットID],$B280,tbl_ledger[イベント種類],"充当",tbl_ledger[元状態],F$1)-SUMIFS(tbl_ledger[数量],tbl_ledger[ロットID],$B280,tbl_ledger[元状態],F$1))</f>
        <v/>
      </c>
      <c r="G280" s="4" t="str">
        <f>IF($B280="","",SUMIFS(tbl_ledger[数量],tbl_ledger[ロットID],$B280,tbl_ledger[イベント種類],"梱包完了")+SUMIFS(tbl_ledger[数量],tbl_ledger[充当先ロットID],$B280,tbl_ledger[イベント種類],"充当",tbl_ledger[元状態],G$1)-SUMIFS(tbl_ledger[数量],tbl_ledger[ロットID],$B280,tbl_ledger[元状態],G$1))</f>
        <v/>
      </c>
      <c r="H280" s="4" t="str">
        <f>IF($B280="","",SUMIFS(tbl_ledger[数量],tbl_ledger[ロットID],$B280,tbl_ledger[イベント種類],"発送準備完了")+SUMIFS(tbl_ledger[数量],tbl_ledger[充当先ロットID],$B280,tbl_ledger[イベント種類],"充当",tbl_ledger[元状態],H$1)-SUMIFS(tbl_ledger[数量],tbl_ledger[ロットID],$B280,tbl_ledger[元状態],H$1))</f>
        <v/>
      </c>
      <c r="I280" s="4" t="str">
        <f>IF($B280="","",SUMIFS(tbl_ledger[数量],tbl_ledger[ロットID],$B280,tbl_ledger[イベント種類],"不良発生")+SUMIFS(tbl_ledger[数量],tbl_ledger[充当先ロットID],$B280,tbl_ledger[イベント種類],"充当",tbl_ledger[元状態],I$1)-SUMIFS(tbl_ledger[数量],tbl_ledger[ロットID],$B280,tbl_ledger[元状態],I$1))</f>
        <v/>
      </c>
      <c r="J280" s="4" t="str">
        <f t="shared" si="9"/>
        <v/>
      </c>
    </row>
    <row r="281" spans="1:10" ht="15" x14ac:dyDescent="0.25">
      <c r="A281" s="4" t="str">
        <f t="shared" si="8"/>
        <v/>
      </c>
      <c r="B281" s="4" t="str">
        <f>IFERROR(IF(COUNTIF($B$1:$B280,INDEX(tbl_plan[ロットID],ROW()-1))&gt;0,"",INDEX(tbl_plan[ロットID],ROW()-1)),"")</f>
        <v/>
      </c>
      <c r="C281" s="4" t="str">
        <f>IF($B281="","",INDEX(tbl_plan[品番],ROW()-1))</f>
        <v/>
      </c>
      <c r="D281" s="4" t="str">
        <f>IF($B281="","",SUMIFS(tbl_ledger[数量],tbl_ledger[ロットID],$B281,tbl_ledger[イベント種類],"搬入")+SUMIFS(tbl_ledger[数量],tbl_ledger[充当先ロットID],$B281,tbl_ledger[イベント種類],"充当",tbl_ledger[元状態],D$1)-SUMIFS(tbl_ledger[数量],tbl_ledger[ロットID],$B281,tbl_ledger[元状態],D$1))</f>
        <v/>
      </c>
      <c r="E281" s="4" t="str">
        <f>IF($B281="","",SUMIFS(tbl_ledger[数量],tbl_ledger[ロットID],$B281,tbl_ledger[イベント種類],"アニール完了")+SUMIFS(tbl_ledger[数量],tbl_ledger[充当先ロットID],$B281,tbl_ledger[イベント種類],"充当",tbl_ledger[元状態],E$1)-SUMIFS(tbl_ledger[数量],tbl_ledger[ロットID],$B281,tbl_ledger[元状態],E$1))</f>
        <v/>
      </c>
      <c r="F281" s="4" t="str">
        <f>IF($B281="","",SUMIFS(tbl_ledger[数量],tbl_ledger[ロットID],$B281,tbl_ledger[イベント種類],"アセンブリ完了")+SUMIFS(tbl_ledger[数量],tbl_ledger[充当先ロットID],$B281,tbl_ledger[イベント種類],"充当",tbl_ledger[元状態],F$1)-SUMIFS(tbl_ledger[数量],tbl_ledger[ロットID],$B281,tbl_ledger[元状態],F$1))</f>
        <v/>
      </c>
      <c r="G281" s="4" t="str">
        <f>IF($B281="","",SUMIFS(tbl_ledger[数量],tbl_ledger[ロットID],$B281,tbl_ledger[イベント種類],"梱包完了")+SUMIFS(tbl_ledger[数量],tbl_ledger[充当先ロットID],$B281,tbl_ledger[イベント種類],"充当",tbl_ledger[元状態],G$1)-SUMIFS(tbl_ledger[数量],tbl_ledger[ロットID],$B281,tbl_ledger[元状態],G$1))</f>
        <v/>
      </c>
      <c r="H281" s="4" t="str">
        <f>IF($B281="","",SUMIFS(tbl_ledger[数量],tbl_ledger[ロットID],$B281,tbl_ledger[イベント種類],"発送準備完了")+SUMIFS(tbl_ledger[数量],tbl_ledger[充当先ロットID],$B281,tbl_ledger[イベント種類],"充当",tbl_ledger[元状態],H$1)-SUMIFS(tbl_ledger[数量],tbl_ledger[ロットID],$B281,tbl_ledger[元状態],H$1))</f>
        <v/>
      </c>
      <c r="I281" s="4" t="str">
        <f>IF($B281="","",SUMIFS(tbl_ledger[数量],tbl_ledger[ロットID],$B281,tbl_ledger[イベント種類],"不良発生")+SUMIFS(tbl_ledger[数量],tbl_ledger[充当先ロットID],$B281,tbl_ledger[イベント種類],"充当",tbl_ledger[元状態],I$1)-SUMIFS(tbl_ledger[数量],tbl_ledger[ロットID],$B281,tbl_ledger[元状態],I$1))</f>
        <v/>
      </c>
      <c r="J281" s="4" t="str">
        <f t="shared" si="9"/>
        <v/>
      </c>
    </row>
    <row r="282" spans="1:10" ht="15" x14ac:dyDescent="0.25">
      <c r="A282" s="4" t="str">
        <f t="shared" si="8"/>
        <v/>
      </c>
      <c r="B282" s="4" t="str">
        <f>IFERROR(IF(COUNTIF($B$1:$B281,INDEX(tbl_plan[ロットID],ROW()-1))&gt;0,"",INDEX(tbl_plan[ロットID],ROW()-1)),"")</f>
        <v/>
      </c>
      <c r="C282" s="4" t="str">
        <f>IF($B282="","",INDEX(tbl_plan[品番],ROW()-1))</f>
        <v/>
      </c>
      <c r="D282" s="4" t="str">
        <f>IF($B282="","",SUMIFS(tbl_ledger[数量],tbl_ledger[ロットID],$B282,tbl_ledger[イベント種類],"搬入")+SUMIFS(tbl_ledger[数量],tbl_ledger[充当先ロットID],$B282,tbl_ledger[イベント種類],"充当",tbl_ledger[元状態],D$1)-SUMIFS(tbl_ledger[数量],tbl_ledger[ロットID],$B282,tbl_ledger[元状態],D$1))</f>
        <v/>
      </c>
      <c r="E282" s="4" t="str">
        <f>IF($B282="","",SUMIFS(tbl_ledger[数量],tbl_ledger[ロットID],$B282,tbl_ledger[イベント種類],"アニール完了")+SUMIFS(tbl_ledger[数量],tbl_ledger[充当先ロットID],$B282,tbl_ledger[イベント種類],"充当",tbl_ledger[元状態],E$1)-SUMIFS(tbl_ledger[数量],tbl_ledger[ロットID],$B282,tbl_ledger[元状態],E$1))</f>
        <v/>
      </c>
      <c r="F282" s="4" t="str">
        <f>IF($B282="","",SUMIFS(tbl_ledger[数量],tbl_ledger[ロットID],$B282,tbl_ledger[イベント種類],"アセンブリ完了")+SUMIFS(tbl_ledger[数量],tbl_ledger[充当先ロットID],$B282,tbl_ledger[イベント種類],"充当",tbl_ledger[元状態],F$1)-SUMIFS(tbl_ledger[数量],tbl_ledger[ロットID],$B282,tbl_ledger[元状態],F$1))</f>
        <v/>
      </c>
      <c r="G282" s="4" t="str">
        <f>IF($B282="","",SUMIFS(tbl_ledger[数量],tbl_ledger[ロットID],$B282,tbl_ledger[イベント種類],"梱包完了")+SUMIFS(tbl_ledger[数量],tbl_ledger[充当先ロットID],$B282,tbl_ledger[イベント種類],"充当",tbl_ledger[元状態],G$1)-SUMIFS(tbl_ledger[数量],tbl_ledger[ロットID],$B282,tbl_ledger[元状態],G$1))</f>
        <v/>
      </c>
      <c r="H282" s="4" t="str">
        <f>IF($B282="","",SUMIFS(tbl_ledger[数量],tbl_ledger[ロットID],$B282,tbl_ledger[イベント種類],"発送準備完了")+SUMIFS(tbl_ledger[数量],tbl_ledger[充当先ロットID],$B282,tbl_ledger[イベント種類],"充当",tbl_ledger[元状態],H$1)-SUMIFS(tbl_ledger[数量],tbl_ledger[ロットID],$B282,tbl_ledger[元状態],H$1))</f>
        <v/>
      </c>
      <c r="I282" s="4" t="str">
        <f>IF($B282="","",SUMIFS(tbl_ledger[数量],tbl_ledger[ロットID],$B282,tbl_ledger[イベント種類],"不良発生")+SUMIFS(tbl_ledger[数量],tbl_ledger[充当先ロットID],$B282,tbl_ledger[イベント種類],"充当",tbl_ledger[元状態],I$1)-SUMIFS(tbl_ledger[数量],tbl_ledger[ロットID],$B282,tbl_ledger[元状態],I$1))</f>
        <v/>
      </c>
      <c r="J282" s="4" t="str">
        <f t="shared" si="9"/>
        <v/>
      </c>
    </row>
    <row r="283" spans="1:10" ht="15" x14ac:dyDescent="0.25">
      <c r="A283" s="4" t="str">
        <f t="shared" si="8"/>
        <v/>
      </c>
      <c r="B283" s="4" t="str">
        <f>IFERROR(IF(COUNTIF($B$1:$B282,INDEX(tbl_plan[ロットID],ROW()-1))&gt;0,"",INDEX(tbl_plan[ロットID],ROW()-1)),"")</f>
        <v/>
      </c>
      <c r="C283" s="4" t="str">
        <f>IF($B283="","",INDEX(tbl_plan[品番],ROW()-1))</f>
        <v/>
      </c>
      <c r="D283" s="4" t="str">
        <f>IF($B283="","",SUMIFS(tbl_ledger[数量],tbl_ledger[ロットID],$B283,tbl_ledger[イベント種類],"搬入")+SUMIFS(tbl_ledger[数量],tbl_ledger[充当先ロットID],$B283,tbl_ledger[イベント種類],"充当",tbl_ledger[元状態],D$1)-SUMIFS(tbl_ledger[数量],tbl_ledger[ロットID],$B283,tbl_ledger[元状態],D$1))</f>
        <v/>
      </c>
      <c r="E283" s="4" t="str">
        <f>IF($B283="","",SUMIFS(tbl_ledger[数量],tbl_ledger[ロットID],$B283,tbl_ledger[イベント種類],"アニール完了")+SUMIFS(tbl_ledger[数量],tbl_ledger[充当先ロットID],$B283,tbl_ledger[イベント種類],"充当",tbl_ledger[元状態],E$1)-SUMIFS(tbl_ledger[数量],tbl_ledger[ロットID],$B283,tbl_ledger[元状態],E$1))</f>
        <v/>
      </c>
      <c r="F283" s="4" t="str">
        <f>IF($B283="","",SUMIFS(tbl_ledger[数量],tbl_ledger[ロットID],$B283,tbl_ledger[イベント種類],"アセンブリ完了")+SUMIFS(tbl_ledger[数量],tbl_ledger[充当先ロットID],$B283,tbl_ledger[イベント種類],"充当",tbl_ledger[元状態],F$1)-SUMIFS(tbl_ledger[数量],tbl_ledger[ロットID],$B283,tbl_ledger[元状態],F$1))</f>
        <v/>
      </c>
      <c r="G283" s="4" t="str">
        <f>IF($B283="","",SUMIFS(tbl_ledger[数量],tbl_ledger[ロットID],$B283,tbl_ledger[イベント種類],"梱包完了")+SUMIFS(tbl_ledger[数量],tbl_ledger[充当先ロットID],$B283,tbl_ledger[イベント種類],"充当",tbl_ledger[元状態],G$1)-SUMIFS(tbl_ledger[数量],tbl_ledger[ロットID],$B283,tbl_ledger[元状態],G$1))</f>
        <v/>
      </c>
      <c r="H283" s="4" t="str">
        <f>IF($B283="","",SUMIFS(tbl_ledger[数量],tbl_ledger[ロットID],$B283,tbl_ledger[イベント種類],"発送準備完了")+SUMIFS(tbl_ledger[数量],tbl_ledger[充当先ロットID],$B283,tbl_ledger[イベント種類],"充当",tbl_ledger[元状態],H$1)-SUMIFS(tbl_ledger[数量],tbl_ledger[ロットID],$B283,tbl_ledger[元状態],H$1))</f>
        <v/>
      </c>
      <c r="I283" s="4" t="str">
        <f>IF($B283="","",SUMIFS(tbl_ledger[数量],tbl_ledger[ロットID],$B283,tbl_ledger[イベント種類],"不良発生")+SUMIFS(tbl_ledger[数量],tbl_ledger[充当先ロットID],$B283,tbl_ledger[イベント種類],"充当",tbl_ledger[元状態],I$1)-SUMIFS(tbl_ledger[数量],tbl_ledger[ロットID],$B283,tbl_ledger[元状態],I$1))</f>
        <v/>
      </c>
      <c r="J283" s="4" t="str">
        <f t="shared" si="9"/>
        <v/>
      </c>
    </row>
    <row r="284" spans="1:10" ht="15" x14ac:dyDescent="0.25">
      <c r="A284" s="4" t="str">
        <f t="shared" si="8"/>
        <v/>
      </c>
      <c r="B284" s="4" t="str">
        <f>IFERROR(IF(COUNTIF($B$1:$B283,INDEX(tbl_plan[ロットID],ROW()-1))&gt;0,"",INDEX(tbl_plan[ロットID],ROW()-1)),"")</f>
        <v/>
      </c>
      <c r="C284" s="4" t="str">
        <f>IF($B284="","",INDEX(tbl_plan[品番],ROW()-1))</f>
        <v/>
      </c>
      <c r="D284" s="4" t="str">
        <f>IF($B284="","",SUMIFS(tbl_ledger[数量],tbl_ledger[ロットID],$B284,tbl_ledger[イベント種類],"搬入")+SUMIFS(tbl_ledger[数量],tbl_ledger[充当先ロットID],$B284,tbl_ledger[イベント種類],"充当",tbl_ledger[元状態],D$1)-SUMIFS(tbl_ledger[数量],tbl_ledger[ロットID],$B284,tbl_ledger[元状態],D$1))</f>
        <v/>
      </c>
      <c r="E284" s="4" t="str">
        <f>IF($B284="","",SUMIFS(tbl_ledger[数量],tbl_ledger[ロットID],$B284,tbl_ledger[イベント種類],"アニール完了")+SUMIFS(tbl_ledger[数量],tbl_ledger[充当先ロットID],$B284,tbl_ledger[イベント種類],"充当",tbl_ledger[元状態],E$1)-SUMIFS(tbl_ledger[数量],tbl_ledger[ロットID],$B284,tbl_ledger[元状態],E$1))</f>
        <v/>
      </c>
      <c r="F284" s="4" t="str">
        <f>IF($B284="","",SUMIFS(tbl_ledger[数量],tbl_ledger[ロットID],$B284,tbl_ledger[イベント種類],"アセンブリ完了")+SUMIFS(tbl_ledger[数量],tbl_ledger[充当先ロットID],$B284,tbl_ledger[イベント種類],"充当",tbl_ledger[元状態],F$1)-SUMIFS(tbl_ledger[数量],tbl_ledger[ロットID],$B284,tbl_ledger[元状態],F$1))</f>
        <v/>
      </c>
      <c r="G284" s="4" t="str">
        <f>IF($B284="","",SUMIFS(tbl_ledger[数量],tbl_ledger[ロットID],$B284,tbl_ledger[イベント種類],"梱包完了")+SUMIFS(tbl_ledger[数量],tbl_ledger[充当先ロットID],$B284,tbl_ledger[イベント種類],"充当",tbl_ledger[元状態],G$1)-SUMIFS(tbl_ledger[数量],tbl_ledger[ロットID],$B284,tbl_ledger[元状態],G$1))</f>
        <v/>
      </c>
      <c r="H284" s="4" t="str">
        <f>IF($B284="","",SUMIFS(tbl_ledger[数量],tbl_ledger[ロットID],$B284,tbl_ledger[イベント種類],"発送準備完了")+SUMIFS(tbl_ledger[数量],tbl_ledger[充当先ロットID],$B284,tbl_ledger[イベント種類],"充当",tbl_ledger[元状態],H$1)-SUMIFS(tbl_ledger[数量],tbl_ledger[ロットID],$B284,tbl_ledger[元状態],H$1))</f>
        <v/>
      </c>
      <c r="I284" s="4" t="str">
        <f>IF($B284="","",SUMIFS(tbl_ledger[数量],tbl_ledger[ロットID],$B284,tbl_ledger[イベント種類],"不良発生")+SUMIFS(tbl_ledger[数量],tbl_ledger[充当先ロットID],$B284,tbl_ledger[イベント種類],"充当",tbl_ledger[元状態],I$1)-SUMIFS(tbl_ledger[数量],tbl_ledger[ロットID],$B284,tbl_ledger[元状態],I$1))</f>
        <v/>
      </c>
      <c r="J284" s="4" t="str">
        <f t="shared" si="9"/>
        <v/>
      </c>
    </row>
    <row r="285" spans="1:10" ht="15" x14ac:dyDescent="0.25">
      <c r="A285" s="4" t="str">
        <f t="shared" si="8"/>
        <v/>
      </c>
      <c r="B285" s="4" t="str">
        <f>IFERROR(IF(COUNTIF($B$1:$B284,INDEX(tbl_plan[ロットID],ROW()-1))&gt;0,"",INDEX(tbl_plan[ロットID],ROW()-1)),"")</f>
        <v/>
      </c>
      <c r="C285" s="4" t="str">
        <f>IF($B285="","",INDEX(tbl_plan[品番],ROW()-1))</f>
        <v/>
      </c>
      <c r="D285" s="4" t="str">
        <f>IF($B285="","",SUMIFS(tbl_ledger[数量],tbl_ledger[ロットID],$B285,tbl_ledger[イベント種類],"搬入")+SUMIFS(tbl_ledger[数量],tbl_ledger[充当先ロットID],$B285,tbl_ledger[イベント種類],"充当",tbl_ledger[元状態],D$1)-SUMIFS(tbl_ledger[数量],tbl_ledger[ロットID],$B285,tbl_ledger[元状態],D$1))</f>
        <v/>
      </c>
      <c r="E285" s="4" t="str">
        <f>IF($B285="","",SUMIFS(tbl_ledger[数量],tbl_ledger[ロットID],$B285,tbl_ledger[イベント種類],"アニール完了")+SUMIFS(tbl_ledger[数量],tbl_ledger[充当先ロットID],$B285,tbl_ledger[イベント種類],"充当",tbl_ledger[元状態],E$1)-SUMIFS(tbl_ledger[数量],tbl_ledger[ロットID],$B285,tbl_ledger[元状態],E$1))</f>
        <v/>
      </c>
      <c r="F285" s="4" t="str">
        <f>IF($B285="","",SUMIFS(tbl_ledger[数量],tbl_ledger[ロットID],$B285,tbl_ledger[イベント種類],"アセンブリ完了")+SUMIFS(tbl_ledger[数量],tbl_ledger[充当先ロットID],$B285,tbl_ledger[イベント種類],"充当",tbl_ledger[元状態],F$1)-SUMIFS(tbl_ledger[数量],tbl_ledger[ロットID],$B285,tbl_ledger[元状態],F$1))</f>
        <v/>
      </c>
      <c r="G285" s="4" t="str">
        <f>IF($B285="","",SUMIFS(tbl_ledger[数量],tbl_ledger[ロットID],$B285,tbl_ledger[イベント種類],"梱包完了")+SUMIFS(tbl_ledger[数量],tbl_ledger[充当先ロットID],$B285,tbl_ledger[イベント種類],"充当",tbl_ledger[元状態],G$1)-SUMIFS(tbl_ledger[数量],tbl_ledger[ロットID],$B285,tbl_ledger[元状態],G$1))</f>
        <v/>
      </c>
      <c r="H285" s="4" t="str">
        <f>IF($B285="","",SUMIFS(tbl_ledger[数量],tbl_ledger[ロットID],$B285,tbl_ledger[イベント種類],"発送準備完了")+SUMIFS(tbl_ledger[数量],tbl_ledger[充当先ロットID],$B285,tbl_ledger[イベント種類],"充当",tbl_ledger[元状態],H$1)-SUMIFS(tbl_ledger[数量],tbl_ledger[ロットID],$B285,tbl_ledger[元状態],H$1))</f>
        <v/>
      </c>
      <c r="I285" s="4" t="str">
        <f>IF($B285="","",SUMIFS(tbl_ledger[数量],tbl_ledger[ロットID],$B285,tbl_ledger[イベント種類],"不良発生")+SUMIFS(tbl_ledger[数量],tbl_ledger[充当先ロットID],$B285,tbl_ledger[イベント種類],"充当",tbl_ledger[元状態],I$1)-SUMIFS(tbl_ledger[数量],tbl_ledger[ロットID],$B285,tbl_ledger[元状態],I$1))</f>
        <v/>
      </c>
      <c r="J285" s="4" t="str">
        <f t="shared" si="9"/>
        <v/>
      </c>
    </row>
    <row r="286" spans="1:10" ht="15" x14ac:dyDescent="0.25">
      <c r="A286" s="4" t="str">
        <f t="shared" si="8"/>
        <v/>
      </c>
      <c r="B286" s="4" t="str">
        <f>IFERROR(IF(COUNTIF($B$1:$B285,INDEX(tbl_plan[ロットID],ROW()-1))&gt;0,"",INDEX(tbl_plan[ロットID],ROW()-1)),"")</f>
        <v/>
      </c>
      <c r="C286" s="4" t="str">
        <f>IF($B286="","",INDEX(tbl_plan[品番],ROW()-1))</f>
        <v/>
      </c>
      <c r="D286" s="4" t="str">
        <f>IF($B286="","",SUMIFS(tbl_ledger[数量],tbl_ledger[ロットID],$B286,tbl_ledger[イベント種類],"搬入")+SUMIFS(tbl_ledger[数量],tbl_ledger[充当先ロットID],$B286,tbl_ledger[イベント種類],"充当",tbl_ledger[元状態],D$1)-SUMIFS(tbl_ledger[数量],tbl_ledger[ロットID],$B286,tbl_ledger[元状態],D$1))</f>
        <v/>
      </c>
      <c r="E286" s="4" t="str">
        <f>IF($B286="","",SUMIFS(tbl_ledger[数量],tbl_ledger[ロットID],$B286,tbl_ledger[イベント種類],"アニール完了")+SUMIFS(tbl_ledger[数量],tbl_ledger[充当先ロットID],$B286,tbl_ledger[イベント種類],"充当",tbl_ledger[元状態],E$1)-SUMIFS(tbl_ledger[数量],tbl_ledger[ロットID],$B286,tbl_ledger[元状態],E$1))</f>
        <v/>
      </c>
      <c r="F286" s="4" t="str">
        <f>IF($B286="","",SUMIFS(tbl_ledger[数量],tbl_ledger[ロットID],$B286,tbl_ledger[イベント種類],"アセンブリ完了")+SUMIFS(tbl_ledger[数量],tbl_ledger[充当先ロットID],$B286,tbl_ledger[イベント種類],"充当",tbl_ledger[元状態],F$1)-SUMIFS(tbl_ledger[数量],tbl_ledger[ロットID],$B286,tbl_ledger[元状態],F$1))</f>
        <v/>
      </c>
      <c r="G286" s="4" t="str">
        <f>IF($B286="","",SUMIFS(tbl_ledger[数量],tbl_ledger[ロットID],$B286,tbl_ledger[イベント種類],"梱包完了")+SUMIFS(tbl_ledger[数量],tbl_ledger[充当先ロットID],$B286,tbl_ledger[イベント種類],"充当",tbl_ledger[元状態],G$1)-SUMIFS(tbl_ledger[数量],tbl_ledger[ロットID],$B286,tbl_ledger[元状態],G$1))</f>
        <v/>
      </c>
      <c r="H286" s="4" t="str">
        <f>IF($B286="","",SUMIFS(tbl_ledger[数量],tbl_ledger[ロットID],$B286,tbl_ledger[イベント種類],"発送準備完了")+SUMIFS(tbl_ledger[数量],tbl_ledger[充当先ロットID],$B286,tbl_ledger[イベント種類],"充当",tbl_ledger[元状態],H$1)-SUMIFS(tbl_ledger[数量],tbl_ledger[ロットID],$B286,tbl_ledger[元状態],H$1))</f>
        <v/>
      </c>
      <c r="I286" s="4" t="str">
        <f>IF($B286="","",SUMIFS(tbl_ledger[数量],tbl_ledger[ロットID],$B286,tbl_ledger[イベント種類],"不良発生")+SUMIFS(tbl_ledger[数量],tbl_ledger[充当先ロットID],$B286,tbl_ledger[イベント種類],"充当",tbl_ledger[元状態],I$1)-SUMIFS(tbl_ledger[数量],tbl_ledger[ロットID],$B286,tbl_ledger[元状態],I$1))</f>
        <v/>
      </c>
      <c r="J286" s="4" t="str">
        <f t="shared" si="9"/>
        <v/>
      </c>
    </row>
    <row r="287" spans="1:10" ht="15" x14ac:dyDescent="0.25">
      <c r="A287" s="4" t="str">
        <f t="shared" si="8"/>
        <v/>
      </c>
      <c r="B287" s="4" t="str">
        <f>IFERROR(IF(COUNTIF($B$1:$B286,INDEX(tbl_plan[ロットID],ROW()-1))&gt;0,"",INDEX(tbl_plan[ロットID],ROW()-1)),"")</f>
        <v/>
      </c>
      <c r="C287" s="4" t="str">
        <f>IF($B287="","",INDEX(tbl_plan[品番],ROW()-1))</f>
        <v/>
      </c>
      <c r="D287" s="4" t="str">
        <f>IF($B287="","",SUMIFS(tbl_ledger[数量],tbl_ledger[ロットID],$B287,tbl_ledger[イベント種類],"搬入")+SUMIFS(tbl_ledger[数量],tbl_ledger[充当先ロットID],$B287,tbl_ledger[イベント種類],"充当",tbl_ledger[元状態],D$1)-SUMIFS(tbl_ledger[数量],tbl_ledger[ロットID],$B287,tbl_ledger[元状態],D$1))</f>
        <v/>
      </c>
      <c r="E287" s="4" t="str">
        <f>IF($B287="","",SUMIFS(tbl_ledger[数量],tbl_ledger[ロットID],$B287,tbl_ledger[イベント種類],"アニール完了")+SUMIFS(tbl_ledger[数量],tbl_ledger[充当先ロットID],$B287,tbl_ledger[イベント種類],"充当",tbl_ledger[元状態],E$1)-SUMIFS(tbl_ledger[数量],tbl_ledger[ロットID],$B287,tbl_ledger[元状態],E$1))</f>
        <v/>
      </c>
      <c r="F287" s="4" t="str">
        <f>IF($B287="","",SUMIFS(tbl_ledger[数量],tbl_ledger[ロットID],$B287,tbl_ledger[イベント種類],"アセンブリ完了")+SUMIFS(tbl_ledger[数量],tbl_ledger[充当先ロットID],$B287,tbl_ledger[イベント種類],"充当",tbl_ledger[元状態],F$1)-SUMIFS(tbl_ledger[数量],tbl_ledger[ロットID],$B287,tbl_ledger[元状態],F$1))</f>
        <v/>
      </c>
      <c r="G287" s="4" t="str">
        <f>IF($B287="","",SUMIFS(tbl_ledger[数量],tbl_ledger[ロットID],$B287,tbl_ledger[イベント種類],"梱包完了")+SUMIFS(tbl_ledger[数量],tbl_ledger[充当先ロットID],$B287,tbl_ledger[イベント種類],"充当",tbl_ledger[元状態],G$1)-SUMIFS(tbl_ledger[数量],tbl_ledger[ロットID],$B287,tbl_ledger[元状態],G$1))</f>
        <v/>
      </c>
      <c r="H287" s="4" t="str">
        <f>IF($B287="","",SUMIFS(tbl_ledger[数量],tbl_ledger[ロットID],$B287,tbl_ledger[イベント種類],"発送準備完了")+SUMIFS(tbl_ledger[数量],tbl_ledger[充当先ロットID],$B287,tbl_ledger[イベント種類],"充当",tbl_ledger[元状態],H$1)-SUMIFS(tbl_ledger[数量],tbl_ledger[ロットID],$B287,tbl_ledger[元状態],H$1))</f>
        <v/>
      </c>
      <c r="I287" s="4" t="str">
        <f>IF($B287="","",SUMIFS(tbl_ledger[数量],tbl_ledger[ロットID],$B287,tbl_ledger[イベント種類],"不良発生")+SUMIFS(tbl_ledger[数量],tbl_ledger[充当先ロットID],$B287,tbl_ledger[イベント種類],"充当",tbl_ledger[元状態],I$1)-SUMIFS(tbl_ledger[数量],tbl_ledger[ロットID],$B287,tbl_ledger[元状態],I$1))</f>
        <v/>
      </c>
      <c r="J287" s="4" t="str">
        <f t="shared" si="9"/>
        <v/>
      </c>
    </row>
    <row r="288" spans="1:10" ht="15" x14ac:dyDescent="0.25">
      <c r="A288" s="4" t="str">
        <f t="shared" si="8"/>
        <v/>
      </c>
      <c r="B288" s="4" t="str">
        <f>IFERROR(IF(COUNTIF($B$1:$B287,INDEX(tbl_plan[ロットID],ROW()-1))&gt;0,"",INDEX(tbl_plan[ロットID],ROW()-1)),"")</f>
        <v/>
      </c>
      <c r="C288" s="4" t="str">
        <f>IF($B288="","",INDEX(tbl_plan[品番],ROW()-1))</f>
        <v/>
      </c>
      <c r="D288" s="4" t="str">
        <f>IF($B288="","",SUMIFS(tbl_ledger[数量],tbl_ledger[ロットID],$B288,tbl_ledger[イベント種類],"搬入")+SUMIFS(tbl_ledger[数量],tbl_ledger[充当先ロットID],$B288,tbl_ledger[イベント種類],"充当",tbl_ledger[元状態],D$1)-SUMIFS(tbl_ledger[数量],tbl_ledger[ロットID],$B288,tbl_ledger[元状態],D$1))</f>
        <v/>
      </c>
      <c r="E288" s="4" t="str">
        <f>IF($B288="","",SUMIFS(tbl_ledger[数量],tbl_ledger[ロットID],$B288,tbl_ledger[イベント種類],"アニール完了")+SUMIFS(tbl_ledger[数量],tbl_ledger[充当先ロットID],$B288,tbl_ledger[イベント種類],"充当",tbl_ledger[元状態],E$1)-SUMIFS(tbl_ledger[数量],tbl_ledger[ロットID],$B288,tbl_ledger[元状態],E$1))</f>
        <v/>
      </c>
      <c r="F288" s="4" t="str">
        <f>IF($B288="","",SUMIFS(tbl_ledger[数量],tbl_ledger[ロットID],$B288,tbl_ledger[イベント種類],"アセンブリ完了")+SUMIFS(tbl_ledger[数量],tbl_ledger[充当先ロットID],$B288,tbl_ledger[イベント種類],"充当",tbl_ledger[元状態],F$1)-SUMIFS(tbl_ledger[数量],tbl_ledger[ロットID],$B288,tbl_ledger[元状態],F$1))</f>
        <v/>
      </c>
      <c r="G288" s="4" t="str">
        <f>IF($B288="","",SUMIFS(tbl_ledger[数量],tbl_ledger[ロットID],$B288,tbl_ledger[イベント種類],"梱包完了")+SUMIFS(tbl_ledger[数量],tbl_ledger[充当先ロットID],$B288,tbl_ledger[イベント種類],"充当",tbl_ledger[元状態],G$1)-SUMIFS(tbl_ledger[数量],tbl_ledger[ロットID],$B288,tbl_ledger[元状態],G$1))</f>
        <v/>
      </c>
      <c r="H288" s="4" t="str">
        <f>IF($B288="","",SUMIFS(tbl_ledger[数量],tbl_ledger[ロットID],$B288,tbl_ledger[イベント種類],"発送準備完了")+SUMIFS(tbl_ledger[数量],tbl_ledger[充当先ロットID],$B288,tbl_ledger[イベント種類],"充当",tbl_ledger[元状態],H$1)-SUMIFS(tbl_ledger[数量],tbl_ledger[ロットID],$B288,tbl_ledger[元状態],H$1))</f>
        <v/>
      </c>
      <c r="I288" s="4" t="str">
        <f>IF($B288="","",SUMIFS(tbl_ledger[数量],tbl_ledger[ロットID],$B288,tbl_ledger[イベント種類],"不良発生")+SUMIFS(tbl_ledger[数量],tbl_ledger[充当先ロットID],$B288,tbl_ledger[イベント種類],"充当",tbl_ledger[元状態],I$1)-SUMIFS(tbl_ledger[数量],tbl_ledger[ロットID],$B288,tbl_ledger[元状態],I$1))</f>
        <v/>
      </c>
      <c r="J288" s="4" t="str">
        <f t="shared" si="9"/>
        <v/>
      </c>
    </row>
    <row r="289" spans="1:10" ht="15" x14ac:dyDescent="0.25">
      <c r="A289" s="4" t="str">
        <f t="shared" si="8"/>
        <v/>
      </c>
      <c r="B289" s="4" t="str">
        <f>IFERROR(IF(COUNTIF($B$1:$B288,INDEX(tbl_plan[ロットID],ROW()-1))&gt;0,"",INDEX(tbl_plan[ロットID],ROW()-1)),"")</f>
        <v/>
      </c>
      <c r="C289" s="4" t="str">
        <f>IF($B289="","",INDEX(tbl_plan[品番],ROW()-1))</f>
        <v/>
      </c>
      <c r="D289" s="4" t="str">
        <f>IF($B289="","",SUMIFS(tbl_ledger[数量],tbl_ledger[ロットID],$B289,tbl_ledger[イベント種類],"搬入")+SUMIFS(tbl_ledger[数量],tbl_ledger[充当先ロットID],$B289,tbl_ledger[イベント種類],"充当",tbl_ledger[元状態],D$1)-SUMIFS(tbl_ledger[数量],tbl_ledger[ロットID],$B289,tbl_ledger[元状態],D$1))</f>
        <v/>
      </c>
      <c r="E289" s="4" t="str">
        <f>IF($B289="","",SUMIFS(tbl_ledger[数量],tbl_ledger[ロットID],$B289,tbl_ledger[イベント種類],"アニール完了")+SUMIFS(tbl_ledger[数量],tbl_ledger[充当先ロットID],$B289,tbl_ledger[イベント種類],"充当",tbl_ledger[元状態],E$1)-SUMIFS(tbl_ledger[数量],tbl_ledger[ロットID],$B289,tbl_ledger[元状態],E$1))</f>
        <v/>
      </c>
      <c r="F289" s="4" t="str">
        <f>IF($B289="","",SUMIFS(tbl_ledger[数量],tbl_ledger[ロットID],$B289,tbl_ledger[イベント種類],"アセンブリ完了")+SUMIFS(tbl_ledger[数量],tbl_ledger[充当先ロットID],$B289,tbl_ledger[イベント種類],"充当",tbl_ledger[元状態],F$1)-SUMIFS(tbl_ledger[数量],tbl_ledger[ロットID],$B289,tbl_ledger[元状態],F$1))</f>
        <v/>
      </c>
      <c r="G289" s="4" t="str">
        <f>IF($B289="","",SUMIFS(tbl_ledger[数量],tbl_ledger[ロットID],$B289,tbl_ledger[イベント種類],"梱包完了")+SUMIFS(tbl_ledger[数量],tbl_ledger[充当先ロットID],$B289,tbl_ledger[イベント種類],"充当",tbl_ledger[元状態],G$1)-SUMIFS(tbl_ledger[数量],tbl_ledger[ロットID],$B289,tbl_ledger[元状態],G$1))</f>
        <v/>
      </c>
      <c r="H289" s="4" t="str">
        <f>IF($B289="","",SUMIFS(tbl_ledger[数量],tbl_ledger[ロットID],$B289,tbl_ledger[イベント種類],"発送準備完了")+SUMIFS(tbl_ledger[数量],tbl_ledger[充当先ロットID],$B289,tbl_ledger[イベント種類],"充当",tbl_ledger[元状態],H$1)-SUMIFS(tbl_ledger[数量],tbl_ledger[ロットID],$B289,tbl_ledger[元状態],H$1))</f>
        <v/>
      </c>
      <c r="I289" s="4" t="str">
        <f>IF($B289="","",SUMIFS(tbl_ledger[数量],tbl_ledger[ロットID],$B289,tbl_ledger[イベント種類],"不良発生")+SUMIFS(tbl_ledger[数量],tbl_ledger[充当先ロットID],$B289,tbl_ledger[イベント種類],"充当",tbl_ledger[元状態],I$1)-SUMIFS(tbl_ledger[数量],tbl_ledger[ロットID],$B289,tbl_ledger[元状態],I$1))</f>
        <v/>
      </c>
      <c r="J289" s="4" t="str">
        <f t="shared" si="9"/>
        <v/>
      </c>
    </row>
    <row r="290" spans="1:10" ht="15" x14ac:dyDescent="0.25">
      <c r="A290" s="4" t="str">
        <f t="shared" si="8"/>
        <v/>
      </c>
      <c r="B290" s="4" t="str">
        <f>IFERROR(IF(COUNTIF($B$1:$B289,INDEX(tbl_plan[ロットID],ROW()-1))&gt;0,"",INDEX(tbl_plan[ロットID],ROW()-1)),"")</f>
        <v/>
      </c>
      <c r="C290" s="4" t="str">
        <f>IF($B290="","",INDEX(tbl_plan[品番],ROW()-1))</f>
        <v/>
      </c>
      <c r="D290" s="4" t="str">
        <f>IF($B290="","",SUMIFS(tbl_ledger[数量],tbl_ledger[ロットID],$B290,tbl_ledger[イベント種類],"搬入")+SUMIFS(tbl_ledger[数量],tbl_ledger[充当先ロットID],$B290,tbl_ledger[イベント種類],"充当",tbl_ledger[元状態],D$1)-SUMIFS(tbl_ledger[数量],tbl_ledger[ロットID],$B290,tbl_ledger[元状態],D$1))</f>
        <v/>
      </c>
      <c r="E290" s="4" t="str">
        <f>IF($B290="","",SUMIFS(tbl_ledger[数量],tbl_ledger[ロットID],$B290,tbl_ledger[イベント種類],"アニール完了")+SUMIFS(tbl_ledger[数量],tbl_ledger[充当先ロットID],$B290,tbl_ledger[イベント種類],"充当",tbl_ledger[元状態],E$1)-SUMIFS(tbl_ledger[数量],tbl_ledger[ロットID],$B290,tbl_ledger[元状態],E$1))</f>
        <v/>
      </c>
      <c r="F290" s="4" t="str">
        <f>IF($B290="","",SUMIFS(tbl_ledger[数量],tbl_ledger[ロットID],$B290,tbl_ledger[イベント種類],"アセンブリ完了")+SUMIFS(tbl_ledger[数量],tbl_ledger[充当先ロットID],$B290,tbl_ledger[イベント種類],"充当",tbl_ledger[元状態],F$1)-SUMIFS(tbl_ledger[数量],tbl_ledger[ロットID],$B290,tbl_ledger[元状態],F$1))</f>
        <v/>
      </c>
      <c r="G290" s="4" t="str">
        <f>IF($B290="","",SUMIFS(tbl_ledger[数量],tbl_ledger[ロットID],$B290,tbl_ledger[イベント種類],"梱包完了")+SUMIFS(tbl_ledger[数量],tbl_ledger[充当先ロットID],$B290,tbl_ledger[イベント種類],"充当",tbl_ledger[元状態],G$1)-SUMIFS(tbl_ledger[数量],tbl_ledger[ロットID],$B290,tbl_ledger[元状態],G$1))</f>
        <v/>
      </c>
      <c r="H290" s="4" t="str">
        <f>IF($B290="","",SUMIFS(tbl_ledger[数量],tbl_ledger[ロットID],$B290,tbl_ledger[イベント種類],"発送準備完了")+SUMIFS(tbl_ledger[数量],tbl_ledger[充当先ロットID],$B290,tbl_ledger[イベント種類],"充当",tbl_ledger[元状態],H$1)-SUMIFS(tbl_ledger[数量],tbl_ledger[ロットID],$B290,tbl_ledger[元状態],H$1))</f>
        <v/>
      </c>
      <c r="I290" s="4" t="str">
        <f>IF($B290="","",SUMIFS(tbl_ledger[数量],tbl_ledger[ロットID],$B290,tbl_ledger[イベント種類],"不良発生")+SUMIFS(tbl_ledger[数量],tbl_ledger[充当先ロットID],$B290,tbl_ledger[イベント種類],"充当",tbl_ledger[元状態],I$1)-SUMIFS(tbl_ledger[数量],tbl_ledger[ロットID],$B290,tbl_ledger[元状態],I$1))</f>
        <v/>
      </c>
      <c r="J290" s="4" t="str">
        <f t="shared" si="9"/>
        <v/>
      </c>
    </row>
    <row r="291" spans="1:10" ht="15" x14ac:dyDescent="0.25">
      <c r="A291" s="4" t="str">
        <f t="shared" si="8"/>
        <v/>
      </c>
      <c r="B291" s="4" t="str">
        <f>IFERROR(IF(COUNTIF($B$1:$B290,INDEX(tbl_plan[ロットID],ROW()-1))&gt;0,"",INDEX(tbl_plan[ロットID],ROW()-1)),"")</f>
        <v/>
      </c>
      <c r="C291" s="4" t="str">
        <f>IF($B291="","",INDEX(tbl_plan[品番],ROW()-1))</f>
        <v/>
      </c>
      <c r="D291" s="4" t="str">
        <f>IF($B291="","",SUMIFS(tbl_ledger[数量],tbl_ledger[ロットID],$B291,tbl_ledger[イベント種類],"搬入")+SUMIFS(tbl_ledger[数量],tbl_ledger[充当先ロットID],$B291,tbl_ledger[イベント種類],"充当",tbl_ledger[元状態],D$1)-SUMIFS(tbl_ledger[数量],tbl_ledger[ロットID],$B291,tbl_ledger[元状態],D$1))</f>
        <v/>
      </c>
      <c r="E291" s="4" t="str">
        <f>IF($B291="","",SUMIFS(tbl_ledger[数量],tbl_ledger[ロットID],$B291,tbl_ledger[イベント種類],"アニール完了")+SUMIFS(tbl_ledger[数量],tbl_ledger[充当先ロットID],$B291,tbl_ledger[イベント種類],"充当",tbl_ledger[元状態],E$1)-SUMIFS(tbl_ledger[数量],tbl_ledger[ロットID],$B291,tbl_ledger[元状態],E$1))</f>
        <v/>
      </c>
      <c r="F291" s="4" t="str">
        <f>IF($B291="","",SUMIFS(tbl_ledger[数量],tbl_ledger[ロットID],$B291,tbl_ledger[イベント種類],"アセンブリ完了")+SUMIFS(tbl_ledger[数量],tbl_ledger[充当先ロットID],$B291,tbl_ledger[イベント種類],"充当",tbl_ledger[元状態],F$1)-SUMIFS(tbl_ledger[数量],tbl_ledger[ロットID],$B291,tbl_ledger[元状態],F$1))</f>
        <v/>
      </c>
      <c r="G291" s="4" t="str">
        <f>IF($B291="","",SUMIFS(tbl_ledger[数量],tbl_ledger[ロットID],$B291,tbl_ledger[イベント種類],"梱包完了")+SUMIFS(tbl_ledger[数量],tbl_ledger[充当先ロットID],$B291,tbl_ledger[イベント種類],"充当",tbl_ledger[元状態],G$1)-SUMIFS(tbl_ledger[数量],tbl_ledger[ロットID],$B291,tbl_ledger[元状態],G$1))</f>
        <v/>
      </c>
      <c r="H291" s="4" t="str">
        <f>IF($B291="","",SUMIFS(tbl_ledger[数量],tbl_ledger[ロットID],$B291,tbl_ledger[イベント種類],"発送準備完了")+SUMIFS(tbl_ledger[数量],tbl_ledger[充当先ロットID],$B291,tbl_ledger[イベント種類],"充当",tbl_ledger[元状態],H$1)-SUMIFS(tbl_ledger[数量],tbl_ledger[ロットID],$B291,tbl_ledger[元状態],H$1))</f>
        <v/>
      </c>
      <c r="I291" s="4" t="str">
        <f>IF($B291="","",SUMIFS(tbl_ledger[数量],tbl_ledger[ロットID],$B291,tbl_ledger[イベント種類],"不良発生")+SUMIFS(tbl_ledger[数量],tbl_ledger[充当先ロットID],$B291,tbl_ledger[イベント種類],"充当",tbl_ledger[元状態],I$1)-SUMIFS(tbl_ledger[数量],tbl_ledger[ロットID],$B291,tbl_ledger[元状態],I$1))</f>
        <v/>
      </c>
      <c r="J291" s="4" t="str">
        <f t="shared" si="9"/>
        <v/>
      </c>
    </row>
    <row r="292" spans="1:10" ht="15" x14ac:dyDescent="0.25">
      <c r="A292" s="4" t="str">
        <f t="shared" si="8"/>
        <v/>
      </c>
      <c r="B292" s="4" t="str">
        <f>IFERROR(IF(COUNTIF($B$1:$B291,INDEX(tbl_plan[ロットID],ROW()-1))&gt;0,"",INDEX(tbl_plan[ロットID],ROW()-1)),"")</f>
        <v/>
      </c>
      <c r="C292" s="4" t="str">
        <f>IF($B292="","",INDEX(tbl_plan[品番],ROW()-1))</f>
        <v/>
      </c>
      <c r="D292" s="4" t="str">
        <f>IF($B292="","",SUMIFS(tbl_ledger[数量],tbl_ledger[ロットID],$B292,tbl_ledger[イベント種類],"搬入")+SUMIFS(tbl_ledger[数量],tbl_ledger[充当先ロットID],$B292,tbl_ledger[イベント種類],"充当",tbl_ledger[元状態],D$1)-SUMIFS(tbl_ledger[数量],tbl_ledger[ロットID],$B292,tbl_ledger[元状態],D$1))</f>
        <v/>
      </c>
      <c r="E292" s="4" t="str">
        <f>IF($B292="","",SUMIFS(tbl_ledger[数量],tbl_ledger[ロットID],$B292,tbl_ledger[イベント種類],"アニール完了")+SUMIFS(tbl_ledger[数量],tbl_ledger[充当先ロットID],$B292,tbl_ledger[イベント種類],"充当",tbl_ledger[元状態],E$1)-SUMIFS(tbl_ledger[数量],tbl_ledger[ロットID],$B292,tbl_ledger[元状態],E$1))</f>
        <v/>
      </c>
      <c r="F292" s="4" t="str">
        <f>IF($B292="","",SUMIFS(tbl_ledger[数量],tbl_ledger[ロットID],$B292,tbl_ledger[イベント種類],"アセンブリ完了")+SUMIFS(tbl_ledger[数量],tbl_ledger[充当先ロットID],$B292,tbl_ledger[イベント種類],"充当",tbl_ledger[元状態],F$1)-SUMIFS(tbl_ledger[数量],tbl_ledger[ロットID],$B292,tbl_ledger[元状態],F$1))</f>
        <v/>
      </c>
      <c r="G292" s="4" t="str">
        <f>IF($B292="","",SUMIFS(tbl_ledger[数量],tbl_ledger[ロットID],$B292,tbl_ledger[イベント種類],"梱包完了")+SUMIFS(tbl_ledger[数量],tbl_ledger[充当先ロットID],$B292,tbl_ledger[イベント種類],"充当",tbl_ledger[元状態],G$1)-SUMIFS(tbl_ledger[数量],tbl_ledger[ロットID],$B292,tbl_ledger[元状態],G$1))</f>
        <v/>
      </c>
      <c r="H292" s="4" t="str">
        <f>IF($B292="","",SUMIFS(tbl_ledger[数量],tbl_ledger[ロットID],$B292,tbl_ledger[イベント種類],"発送準備完了")+SUMIFS(tbl_ledger[数量],tbl_ledger[充当先ロットID],$B292,tbl_ledger[イベント種類],"充当",tbl_ledger[元状態],H$1)-SUMIFS(tbl_ledger[数量],tbl_ledger[ロットID],$B292,tbl_ledger[元状態],H$1))</f>
        <v/>
      </c>
      <c r="I292" s="4" t="str">
        <f>IF($B292="","",SUMIFS(tbl_ledger[数量],tbl_ledger[ロットID],$B292,tbl_ledger[イベント種類],"不良発生")+SUMIFS(tbl_ledger[数量],tbl_ledger[充当先ロットID],$B292,tbl_ledger[イベント種類],"充当",tbl_ledger[元状態],I$1)-SUMIFS(tbl_ledger[数量],tbl_ledger[ロットID],$B292,tbl_ledger[元状態],I$1))</f>
        <v/>
      </c>
      <c r="J292" s="4" t="str">
        <f t="shared" si="9"/>
        <v/>
      </c>
    </row>
    <row r="293" spans="1:10" ht="15" x14ac:dyDescent="0.25">
      <c r="A293" s="4" t="str">
        <f t="shared" si="8"/>
        <v/>
      </c>
      <c r="B293" s="4" t="str">
        <f>IFERROR(IF(COUNTIF($B$1:$B292,INDEX(tbl_plan[ロットID],ROW()-1))&gt;0,"",INDEX(tbl_plan[ロットID],ROW()-1)),"")</f>
        <v/>
      </c>
      <c r="C293" s="4" t="str">
        <f>IF($B293="","",INDEX(tbl_plan[品番],ROW()-1))</f>
        <v/>
      </c>
      <c r="D293" s="4" t="str">
        <f>IF($B293="","",SUMIFS(tbl_ledger[数量],tbl_ledger[ロットID],$B293,tbl_ledger[イベント種類],"搬入")+SUMIFS(tbl_ledger[数量],tbl_ledger[充当先ロットID],$B293,tbl_ledger[イベント種類],"充当",tbl_ledger[元状態],D$1)-SUMIFS(tbl_ledger[数量],tbl_ledger[ロットID],$B293,tbl_ledger[元状態],D$1))</f>
        <v/>
      </c>
      <c r="E293" s="4" t="str">
        <f>IF($B293="","",SUMIFS(tbl_ledger[数量],tbl_ledger[ロットID],$B293,tbl_ledger[イベント種類],"アニール完了")+SUMIFS(tbl_ledger[数量],tbl_ledger[充当先ロットID],$B293,tbl_ledger[イベント種類],"充当",tbl_ledger[元状態],E$1)-SUMIFS(tbl_ledger[数量],tbl_ledger[ロットID],$B293,tbl_ledger[元状態],E$1))</f>
        <v/>
      </c>
      <c r="F293" s="4" t="str">
        <f>IF($B293="","",SUMIFS(tbl_ledger[数量],tbl_ledger[ロットID],$B293,tbl_ledger[イベント種類],"アセンブリ完了")+SUMIFS(tbl_ledger[数量],tbl_ledger[充当先ロットID],$B293,tbl_ledger[イベント種類],"充当",tbl_ledger[元状態],F$1)-SUMIFS(tbl_ledger[数量],tbl_ledger[ロットID],$B293,tbl_ledger[元状態],F$1))</f>
        <v/>
      </c>
      <c r="G293" s="4" t="str">
        <f>IF($B293="","",SUMIFS(tbl_ledger[数量],tbl_ledger[ロットID],$B293,tbl_ledger[イベント種類],"梱包完了")+SUMIFS(tbl_ledger[数量],tbl_ledger[充当先ロットID],$B293,tbl_ledger[イベント種類],"充当",tbl_ledger[元状態],G$1)-SUMIFS(tbl_ledger[数量],tbl_ledger[ロットID],$B293,tbl_ledger[元状態],G$1))</f>
        <v/>
      </c>
      <c r="H293" s="4" t="str">
        <f>IF($B293="","",SUMIFS(tbl_ledger[数量],tbl_ledger[ロットID],$B293,tbl_ledger[イベント種類],"発送準備完了")+SUMIFS(tbl_ledger[数量],tbl_ledger[充当先ロットID],$B293,tbl_ledger[イベント種類],"充当",tbl_ledger[元状態],H$1)-SUMIFS(tbl_ledger[数量],tbl_ledger[ロットID],$B293,tbl_ledger[元状態],H$1))</f>
        <v/>
      </c>
      <c r="I293" s="4" t="str">
        <f>IF($B293="","",SUMIFS(tbl_ledger[数量],tbl_ledger[ロットID],$B293,tbl_ledger[イベント種類],"不良発生")+SUMIFS(tbl_ledger[数量],tbl_ledger[充当先ロットID],$B293,tbl_ledger[イベント種類],"充当",tbl_ledger[元状態],I$1)-SUMIFS(tbl_ledger[数量],tbl_ledger[ロットID],$B293,tbl_ledger[元状態],I$1))</f>
        <v/>
      </c>
      <c r="J293" s="4" t="str">
        <f t="shared" si="9"/>
        <v/>
      </c>
    </row>
    <row r="294" spans="1:10" ht="15" x14ac:dyDescent="0.25">
      <c r="A294" s="4" t="str">
        <f t="shared" si="8"/>
        <v/>
      </c>
      <c r="B294" s="4" t="str">
        <f>IFERROR(IF(COUNTIF($B$1:$B293,INDEX(tbl_plan[ロットID],ROW()-1))&gt;0,"",INDEX(tbl_plan[ロットID],ROW()-1)),"")</f>
        <v/>
      </c>
      <c r="C294" s="4" t="str">
        <f>IF($B294="","",INDEX(tbl_plan[品番],ROW()-1))</f>
        <v/>
      </c>
      <c r="D294" s="4" t="str">
        <f>IF($B294="","",SUMIFS(tbl_ledger[数量],tbl_ledger[ロットID],$B294,tbl_ledger[イベント種類],"搬入")+SUMIFS(tbl_ledger[数量],tbl_ledger[充当先ロットID],$B294,tbl_ledger[イベント種類],"充当",tbl_ledger[元状態],D$1)-SUMIFS(tbl_ledger[数量],tbl_ledger[ロットID],$B294,tbl_ledger[元状態],D$1))</f>
        <v/>
      </c>
      <c r="E294" s="4" t="str">
        <f>IF($B294="","",SUMIFS(tbl_ledger[数量],tbl_ledger[ロットID],$B294,tbl_ledger[イベント種類],"アニール完了")+SUMIFS(tbl_ledger[数量],tbl_ledger[充当先ロットID],$B294,tbl_ledger[イベント種類],"充当",tbl_ledger[元状態],E$1)-SUMIFS(tbl_ledger[数量],tbl_ledger[ロットID],$B294,tbl_ledger[元状態],E$1))</f>
        <v/>
      </c>
      <c r="F294" s="4" t="str">
        <f>IF($B294="","",SUMIFS(tbl_ledger[数量],tbl_ledger[ロットID],$B294,tbl_ledger[イベント種類],"アセンブリ完了")+SUMIFS(tbl_ledger[数量],tbl_ledger[充当先ロットID],$B294,tbl_ledger[イベント種類],"充当",tbl_ledger[元状態],F$1)-SUMIFS(tbl_ledger[数量],tbl_ledger[ロットID],$B294,tbl_ledger[元状態],F$1))</f>
        <v/>
      </c>
      <c r="G294" s="4" t="str">
        <f>IF($B294="","",SUMIFS(tbl_ledger[数量],tbl_ledger[ロットID],$B294,tbl_ledger[イベント種類],"梱包完了")+SUMIFS(tbl_ledger[数量],tbl_ledger[充当先ロットID],$B294,tbl_ledger[イベント種類],"充当",tbl_ledger[元状態],G$1)-SUMIFS(tbl_ledger[数量],tbl_ledger[ロットID],$B294,tbl_ledger[元状態],G$1))</f>
        <v/>
      </c>
      <c r="H294" s="4" t="str">
        <f>IF($B294="","",SUMIFS(tbl_ledger[数量],tbl_ledger[ロットID],$B294,tbl_ledger[イベント種類],"発送準備完了")+SUMIFS(tbl_ledger[数量],tbl_ledger[充当先ロットID],$B294,tbl_ledger[イベント種類],"充当",tbl_ledger[元状態],H$1)-SUMIFS(tbl_ledger[数量],tbl_ledger[ロットID],$B294,tbl_ledger[元状態],H$1))</f>
        <v/>
      </c>
      <c r="I294" s="4" t="str">
        <f>IF($B294="","",SUMIFS(tbl_ledger[数量],tbl_ledger[ロットID],$B294,tbl_ledger[イベント種類],"不良発生")+SUMIFS(tbl_ledger[数量],tbl_ledger[充当先ロットID],$B294,tbl_ledger[イベント種類],"充当",tbl_ledger[元状態],I$1)-SUMIFS(tbl_ledger[数量],tbl_ledger[ロットID],$B294,tbl_ledger[元状態],I$1))</f>
        <v/>
      </c>
      <c r="J294" s="4" t="str">
        <f t="shared" si="9"/>
        <v/>
      </c>
    </row>
    <row r="295" spans="1:10" ht="15" x14ac:dyDescent="0.25">
      <c r="A295" s="4" t="str">
        <f t="shared" si="8"/>
        <v/>
      </c>
      <c r="B295" s="4" t="str">
        <f>IFERROR(IF(COUNTIF($B$1:$B294,INDEX(tbl_plan[ロットID],ROW()-1))&gt;0,"",INDEX(tbl_plan[ロットID],ROW()-1)),"")</f>
        <v/>
      </c>
      <c r="C295" s="4" t="str">
        <f>IF($B295="","",INDEX(tbl_plan[品番],ROW()-1))</f>
        <v/>
      </c>
      <c r="D295" s="4" t="str">
        <f>IF($B295="","",SUMIFS(tbl_ledger[数量],tbl_ledger[ロットID],$B295,tbl_ledger[イベント種類],"搬入")+SUMIFS(tbl_ledger[数量],tbl_ledger[充当先ロットID],$B295,tbl_ledger[イベント種類],"充当",tbl_ledger[元状態],D$1)-SUMIFS(tbl_ledger[数量],tbl_ledger[ロットID],$B295,tbl_ledger[元状態],D$1))</f>
        <v/>
      </c>
      <c r="E295" s="4" t="str">
        <f>IF($B295="","",SUMIFS(tbl_ledger[数量],tbl_ledger[ロットID],$B295,tbl_ledger[イベント種類],"アニール完了")+SUMIFS(tbl_ledger[数量],tbl_ledger[充当先ロットID],$B295,tbl_ledger[イベント種類],"充当",tbl_ledger[元状態],E$1)-SUMIFS(tbl_ledger[数量],tbl_ledger[ロットID],$B295,tbl_ledger[元状態],E$1))</f>
        <v/>
      </c>
      <c r="F295" s="4" t="str">
        <f>IF($B295="","",SUMIFS(tbl_ledger[数量],tbl_ledger[ロットID],$B295,tbl_ledger[イベント種類],"アセンブリ完了")+SUMIFS(tbl_ledger[数量],tbl_ledger[充当先ロットID],$B295,tbl_ledger[イベント種類],"充当",tbl_ledger[元状態],F$1)-SUMIFS(tbl_ledger[数量],tbl_ledger[ロットID],$B295,tbl_ledger[元状態],F$1))</f>
        <v/>
      </c>
      <c r="G295" s="4" t="str">
        <f>IF($B295="","",SUMIFS(tbl_ledger[数量],tbl_ledger[ロットID],$B295,tbl_ledger[イベント種類],"梱包完了")+SUMIFS(tbl_ledger[数量],tbl_ledger[充当先ロットID],$B295,tbl_ledger[イベント種類],"充当",tbl_ledger[元状態],G$1)-SUMIFS(tbl_ledger[数量],tbl_ledger[ロットID],$B295,tbl_ledger[元状態],G$1))</f>
        <v/>
      </c>
      <c r="H295" s="4" t="str">
        <f>IF($B295="","",SUMIFS(tbl_ledger[数量],tbl_ledger[ロットID],$B295,tbl_ledger[イベント種類],"発送準備完了")+SUMIFS(tbl_ledger[数量],tbl_ledger[充当先ロットID],$B295,tbl_ledger[イベント種類],"充当",tbl_ledger[元状態],H$1)-SUMIFS(tbl_ledger[数量],tbl_ledger[ロットID],$B295,tbl_ledger[元状態],H$1))</f>
        <v/>
      </c>
      <c r="I295" s="4" t="str">
        <f>IF($B295="","",SUMIFS(tbl_ledger[数量],tbl_ledger[ロットID],$B295,tbl_ledger[イベント種類],"不良発生")+SUMIFS(tbl_ledger[数量],tbl_ledger[充当先ロットID],$B295,tbl_ledger[イベント種類],"充当",tbl_ledger[元状態],I$1)-SUMIFS(tbl_ledger[数量],tbl_ledger[ロットID],$B295,tbl_ledger[元状態],I$1))</f>
        <v/>
      </c>
      <c r="J295" s="4" t="str">
        <f t="shared" si="9"/>
        <v/>
      </c>
    </row>
    <row r="296" spans="1:10" ht="15" x14ac:dyDescent="0.25">
      <c r="A296" s="4" t="str">
        <f t="shared" si="8"/>
        <v/>
      </c>
      <c r="B296" s="4" t="str">
        <f>IFERROR(IF(COUNTIF($B$1:$B295,INDEX(tbl_plan[ロットID],ROW()-1))&gt;0,"",INDEX(tbl_plan[ロットID],ROW()-1)),"")</f>
        <v/>
      </c>
      <c r="C296" s="4" t="str">
        <f>IF($B296="","",INDEX(tbl_plan[品番],ROW()-1))</f>
        <v/>
      </c>
      <c r="D296" s="4" t="str">
        <f>IF($B296="","",SUMIFS(tbl_ledger[数量],tbl_ledger[ロットID],$B296,tbl_ledger[イベント種類],"搬入")+SUMIFS(tbl_ledger[数量],tbl_ledger[充当先ロットID],$B296,tbl_ledger[イベント種類],"充当",tbl_ledger[元状態],D$1)-SUMIFS(tbl_ledger[数量],tbl_ledger[ロットID],$B296,tbl_ledger[元状態],D$1))</f>
        <v/>
      </c>
      <c r="E296" s="4" t="str">
        <f>IF($B296="","",SUMIFS(tbl_ledger[数量],tbl_ledger[ロットID],$B296,tbl_ledger[イベント種類],"アニール完了")+SUMIFS(tbl_ledger[数量],tbl_ledger[充当先ロットID],$B296,tbl_ledger[イベント種類],"充当",tbl_ledger[元状態],E$1)-SUMIFS(tbl_ledger[数量],tbl_ledger[ロットID],$B296,tbl_ledger[元状態],E$1))</f>
        <v/>
      </c>
      <c r="F296" s="4" t="str">
        <f>IF($B296="","",SUMIFS(tbl_ledger[数量],tbl_ledger[ロットID],$B296,tbl_ledger[イベント種類],"アセンブリ完了")+SUMIFS(tbl_ledger[数量],tbl_ledger[充当先ロットID],$B296,tbl_ledger[イベント種類],"充当",tbl_ledger[元状態],F$1)-SUMIFS(tbl_ledger[数量],tbl_ledger[ロットID],$B296,tbl_ledger[元状態],F$1))</f>
        <v/>
      </c>
      <c r="G296" s="4" t="str">
        <f>IF($B296="","",SUMIFS(tbl_ledger[数量],tbl_ledger[ロットID],$B296,tbl_ledger[イベント種類],"梱包完了")+SUMIFS(tbl_ledger[数量],tbl_ledger[充当先ロットID],$B296,tbl_ledger[イベント種類],"充当",tbl_ledger[元状態],G$1)-SUMIFS(tbl_ledger[数量],tbl_ledger[ロットID],$B296,tbl_ledger[元状態],G$1))</f>
        <v/>
      </c>
      <c r="H296" s="4" t="str">
        <f>IF($B296="","",SUMIFS(tbl_ledger[数量],tbl_ledger[ロットID],$B296,tbl_ledger[イベント種類],"発送準備完了")+SUMIFS(tbl_ledger[数量],tbl_ledger[充当先ロットID],$B296,tbl_ledger[イベント種類],"充当",tbl_ledger[元状態],H$1)-SUMIFS(tbl_ledger[数量],tbl_ledger[ロットID],$B296,tbl_ledger[元状態],H$1))</f>
        <v/>
      </c>
      <c r="I296" s="4" t="str">
        <f>IF($B296="","",SUMIFS(tbl_ledger[数量],tbl_ledger[ロットID],$B296,tbl_ledger[イベント種類],"不良発生")+SUMIFS(tbl_ledger[数量],tbl_ledger[充当先ロットID],$B296,tbl_ledger[イベント種類],"充当",tbl_ledger[元状態],I$1)-SUMIFS(tbl_ledger[数量],tbl_ledger[ロットID],$B296,tbl_ledger[元状態],I$1))</f>
        <v/>
      </c>
      <c r="J296" s="4" t="str">
        <f t="shared" si="9"/>
        <v/>
      </c>
    </row>
    <row r="297" spans="1:10" ht="15" x14ac:dyDescent="0.25">
      <c r="A297" s="4" t="str">
        <f t="shared" si="8"/>
        <v/>
      </c>
      <c r="B297" s="4" t="str">
        <f>IFERROR(IF(COUNTIF($B$1:$B296,INDEX(tbl_plan[ロットID],ROW()-1))&gt;0,"",INDEX(tbl_plan[ロットID],ROW()-1)),"")</f>
        <v/>
      </c>
      <c r="C297" s="4" t="str">
        <f>IF($B297="","",INDEX(tbl_plan[品番],ROW()-1))</f>
        <v/>
      </c>
      <c r="D297" s="4" t="str">
        <f>IF($B297="","",SUMIFS(tbl_ledger[数量],tbl_ledger[ロットID],$B297,tbl_ledger[イベント種類],"搬入")+SUMIFS(tbl_ledger[数量],tbl_ledger[充当先ロットID],$B297,tbl_ledger[イベント種類],"充当",tbl_ledger[元状態],D$1)-SUMIFS(tbl_ledger[数量],tbl_ledger[ロットID],$B297,tbl_ledger[元状態],D$1))</f>
        <v/>
      </c>
      <c r="E297" s="4" t="str">
        <f>IF($B297="","",SUMIFS(tbl_ledger[数量],tbl_ledger[ロットID],$B297,tbl_ledger[イベント種類],"アニール完了")+SUMIFS(tbl_ledger[数量],tbl_ledger[充当先ロットID],$B297,tbl_ledger[イベント種類],"充当",tbl_ledger[元状態],E$1)-SUMIFS(tbl_ledger[数量],tbl_ledger[ロットID],$B297,tbl_ledger[元状態],E$1))</f>
        <v/>
      </c>
      <c r="F297" s="4" t="str">
        <f>IF($B297="","",SUMIFS(tbl_ledger[数量],tbl_ledger[ロットID],$B297,tbl_ledger[イベント種類],"アセンブリ完了")+SUMIFS(tbl_ledger[数量],tbl_ledger[充当先ロットID],$B297,tbl_ledger[イベント種類],"充当",tbl_ledger[元状態],F$1)-SUMIFS(tbl_ledger[数量],tbl_ledger[ロットID],$B297,tbl_ledger[元状態],F$1))</f>
        <v/>
      </c>
      <c r="G297" s="4" t="str">
        <f>IF($B297="","",SUMIFS(tbl_ledger[数量],tbl_ledger[ロットID],$B297,tbl_ledger[イベント種類],"梱包完了")+SUMIFS(tbl_ledger[数量],tbl_ledger[充当先ロットID],$B297,tbl_ledger[イベント種類],"充当",tbl_ledger[元状態],G$1)-SUMIFS(tbl_ledger[数量],tbl_ledger[ロットID],$B297,tbl_ledger[元状態],G$1))</f>
        <v/>
      </c>
      <c r="H297" s="4" t="str">
        <f>IF($B297="","",SUMIFS(tbl_ledger[数量],tbl_ledger[ロットID],$B297,tbl_ledger[イベント種類],"発送準備完了")+SUMIFS(tbl_ledger[数量],tbl_ledger[充当先ロットID],$B297,tbl_ledger[イベント種類],"充当",tbl_ledger[元状態],H$1)-SUMIFS(tbl_ledger[数量],tbl_ledger[ロットID],$B297,tbl_ledger[元状態],H$1))</f>
        <v/>
      </c>
      <c r="I297" s="4" t="str">
        <f>IF($B297="","",SUMIFS(tbl_ledger[数量],tbl_ledger[ロットID],$B297,tbl_ledger[イベント種類],"不良発生")+SUMIFS(tbl_ledger[数量],tbl_ledger[充当先ロットID],$B297,tbl_ledger[イベント種類],"充当",tbl_ledger[元状態],I$1)-SUMIFS(tbl_ledger[数量],tbl_ledger[ロットID],$B297,tbl_ledger[元状態],I$1))</f>
        <v/>
      </c>
      <c r="J297" s="4" t="str">
        <f t="shared" si="9"/>
        <v/>
      </c>
    </row>
    <row r="298" spans="1:10" ht="15" x14ac:dyDescent="0.25">
      <c r="A298" s="4" t="str">
        <f t="shared" si="8"/>
        <v/>
      </c>
      <c r="B298" s="4" t="str">
        <f>IFERROR(IF(COUNTIF($B$1:$B297,INDEX(tbl_plan[ロットID],ROW()-1))&gt;0,"",INDEX(tbl_plan[ロットID],ROW()-1)),"")</f>
        <v/>
      </c>
      <c r="C298" s="4" t="str">
        <f>IF($B298="","",INDEX(tbl_plan[品番],ROW()-1))</f>
        <v/>
      </c>
      <c r="D298" s="4" t="str">
        <f>IF($B298="","",SUMIFS(tbl_ledger[数量],tbl_ledger[ロットID],$B298,tbl_ledger[イベント種類],"搬入")+SUMIFS(tbl_ledger[数量],tbl_ledger[充当先ロットID],$B298,tbl_ledger[イベント種類],"充当",tbl_ledger[元状態],D$1)-SUMIFS(tbl_ledger[数量],tbl_ledger[ロットID],$B298,tbl_ledger[元状態],D$1))</f>
        <v/>
      </c>
      <c r="E298" s="4" t="str">
        <f>IF($B298="","",SUMIFS(tbl_ledger[数量],tbl_ledger[ロットID],$B298,tbl_ledger[イベント種類],"アニール完了")+SUMIFS(tbl_ledger[数量],tbl_ledger[充当先ロットID],$B298,tbl_ledger[イベント種類],"充当",tbl_ledger[元状態],E$1)-SUMIFS(tbl_ledger[数量],tbl_ledger[ロットID],$B298,tbl_ledger[元状態],E$1))</f>
        <v/>
      </c>
      <c r="F298" s="4" t="str">
        <f>IF($B298="","",SUMIFS(tbl_ledger[数量],tbl_ledger[ロットID],$B298,tbl_ledger[イベント種類],"アセンブリ完了")+SUMIFS(tbl_ledger[数量],tbl_ledger[充当先ロットID],$B298,tbl_ledger[イベント種類],"充当",tbl_ledger[元状態],F$1)-SUMIFS(tbl_ledger[数量],tbl_ledger[ロットID],$B298,tbl_ledger[元状態],F$1))</f>
        <v/>
      </c>
      <c r="G298" s="4" t="str">
        <f>IF($B298="","",SUMIFS(tbl_ledger[数量],tbl_ledger[ロットID],$B298,tbl_ledger[イベント種類],"梱包完了")+SUMIFS(tbl_ledger[数量],tbl_ledger[充当先ロットID],$B298,tbl_ledger[イベント種類],"充当",tbl_ledger[元状態],G$1)-SUMIFS(tbl_ledger[数量],tbl_ledger[ロットID],$B298,tbl_ledger[元状態],G$1))</f>
        <v/>
      </c>
      <c r="H298" s="4" t="str">
        <f>IF($B298="","",SUMIFS(tbl_ledger[数量],tbl_ledger[ロットID],$B298,tbl_ledger[イベント種類],"発送準備完了")+SUMIFS(tbl_ledger[数量],tbl_ledger[充当先ロットID],$B298,tbl_ledger[イベント種類],"充当",tbl_ledger[元状態],H$1)-SUMIFS(tbl_ledger[数量],tbl_ledger[ロットID],$B298,tbl_ledger[元状態],H$1))</f>
        <v/>
      </c>
      <c r="I298" s="4" t="str">
        <f>IF($B298="","",SUMIFS(tbl_ledger[数量],tbl_ledger[ロットID],$B298,tbl_ledger[イベント種類],"不良発生")+SUMIFS(tbl_ledger[数量],tbl_ledger[充当先ロットID],$B298,tbl_ledger[イベント種類],"充当",tbl_ledger[元状態],I$1)-SUMIFS(tbl_ledger[数量],tbl_ledger[ロットID],$B298,tbl_ledger[元状態],I$1))</f>
        <v/>
      </c>
      <c r="J298" s="4" t="str">
        <f t="shared" si="9"/>
        <v/>
      </c>
    </row>
    <row r="299" spans="1:10" ht="15" x14ac:dyDescent="0.25">
      <c r="A299" s="4" t="str">
        <f t="shared" si="8"/>
        <v/>
      </c>
      <c r="B299" s="4" t="str">
        <f>IFERROR(IF(COUNTIF($B$1:$B298,INDEX(tbl_plan[ロットID],ROW()-1))&gt;0,"",INDEX(tbl_plan[ロットID],ROW()-1)),"")</f>
        <v/>
      </c>
      <c r="C299" s="4" t="str">
        <f>IF($B299="","",INDEX(tbl_plan[品番],ROW()-1))</f>
        <v/>
      </c>
      <c r="D299" s="4" t="str">
        <f>IF($B299="","",SUMIFS(tbl_ledger[数量],tbl_ledger[ロットID],$B299,tbl_ledger[イベント種類],"搬入")+SUMIFS(tbl_ledger[数量],tbl_ledger[充当先ロットID],$B299,tbl_ledger[イベント種類],"充当",tbl_ledger[元状態],D$1)-SUMIFS(tbl_ledger[数量],tbl_ledger[ロットID],$B299,tbl_ledger[元状態],D$1))</f>
        <v/>
      </c>
      <c r="E299" s="4" t="str">
        <f>IF($B299="","",SUMIFS(tbl_ledger[数量],tbl_ledger[ロットID],$B299,tbl_ledger[イベント種類],"アニール完了")+SUMIFS(tbl_ledger[数量],tbl_ledger[充当先ロットID],$B299,tbl_ledger[イベント種類],"充当",tbl_ledger[元状態],E$1)-SUMIFS(tbl_ledger[数量],tbl_ledger[ロットID],$B299,tbl_ledger[元状態],E$1))</f>
        <v/>
      </c>
      <c r="F299" s="4" t="str">
        <f>IF($B299="","",SUMIFS(tbl_ledger[数量],tbl_ledger[ロットID],$B299,tbl_ledger[イベント種類],"アセンブリ完了")+SUMIFS(tbl_ledger[数量],tbl_ledger[充当先ロットID],$B299,tbl_ledger[イベント種類],"充当",tbl_ledger[元状態],F$1)-SUMIFS(tbl_ledger[数量],tbl_ledger[ロットID],$B299,tbl_ledger[元状態],F$1))</f>
        <v/>
      </c>
      <c r="G299" s="4" t="str">
        <f>IF($B299="","",SUMIFS(tbl_ledger[数量],tbl_ledger[ロットID],$B299,tbl_ledger[イベント種類],"梱包完了")+SUMIFS(tbl_ledger[数量],tbl_ledger[充当先ロットID],$B299,tbl_ledger[イベント種類],"充当",tbl_ledger[元状態],G$1)-SUMIFS(tbl_ledger[数量],tbl_ledger[ロットID],$B299,tbl_ledger[元状態],G$1))</f>
        <v/>
      </c>
      <c r="H299" s="4" t="str">
        <f>IF($B299="","",SUMIFS(tbl_ledger[数量],tbl_ledger[ロットID],$B299,tbl_ledger[イベント種類],"発送準備完了")+SUMIFS(tbl_ledger[数量],tbl_ledger[充当先ロットID],$B299,tbl_ledger[イベント種類],"充当",tbl_ledger[元状態],H$1)-SUMIFS(tbl_ledger[数量],tbl_ledger[ロットID],$B299,tbl_ledger[元状態],H$1))</f>
        <v/>
      </c>
      <c r="I299" s="4" t="str">
        <f>IF($B299="","",SUMIFS(tbl_ledger[数量],tbl_ledger[ロットID],$B299,tbl_ledger[イベント種類],"不良発生")+SUMIFS(tbl_ledger[数量],tbl_ledger[充当先ロットID],$B299,tbl_ledger[イベント種類],"充当",tbl_ledger[元状態],I$1)-SUMIFS(tbl_ledger[数量],tbl_ledger[ロットID],$B299,tbl_ledger[元状態],I$1))</f>
        <v/>
      </c>
      <c r="J299" s="4" t="str">
        <f t="shared" si="9"/>
        <v/>
      </c>
    </row>
    <row r="300" spans="1:10" ht="15" x14ac:dyDescent="0.25">
      <c r="A300" s="4" t="str">
        <f t="shared" si="8"/>
        <v/>
      </c>
      <c r="B300" s="4" t="str">
        <f>IFERROR(IF(COUNTIF($B$1:$B299,INDEX(tbl_plan[ロットID],ROW()-1))&gt;0,"",INDEX(tbl_plan[ロットID],ROW()-1)),"")</f>
        <v/>
      </c>
      <c r="C300" s="4" t="str">
        <f>IF($B300="","",INDEX(tbl_plan[品番],ROW()-1))</f>
        <v/>
      </c>
      <c r="D300" s="4" t="str">
        <f>IF($B300="","",SUMIFS(tbl_ledger[数量],tbl_ledger[ロットID],$B300,tbl_ledger[イベント種類],"搬入")+SUMIFS(tbl_ledger[数量],tbl_ledger[充当先ロットID],$B300,tbl_ledger[イベント種類],"充当",tbl_ledger[元状態],D$1)-SUMIFS(tbl_ledger[数量],tbl_ledger[ロットID],$B300,tbl_ledger[元状態],D$1))</f>
        <v/>
      </c>
      <c r="E300" s="4" t="str">
        <f>IF($B300="","",SUMIFS(tbl_ledger[数量],tbl_ledger[ロットID],$B300,tbl_ledger[イベント種類],"アニール完了")+SUMIFS(tbl_ledger[数量],tbl_ledger[充当先ロットID],$B300,tbl_ledger[イベント種類],"充当",tbl_ledger[元状態],E$1)-SUMIFS(tbl_ledger[数量],tbl_ledger[ロットID],$B300,tbl_ledger[元状態],E$1))</f>
        <v/>
      </c>
      <c r="F300" s="4" t="str">
        <f>IF($B300="","",SUMIFS(tbl_ledger[数量],tbl_ledger[ロットID],$B300,tbl_ledger[イベント種類],"アセンブリ完了")+SUMIFS(tbl_ledger[数量],tbl_ledger[充当先ロットID],$B300,tbl_ledger[イベント種類],"充当",tbl_ledger[元状態],F$1)-SUMIFS(tbl_ledger[数量],tbl_ledger[ロットID],$B300,tbl_ledger[元状態],F$1))</f>
        <v/>
      </c>
      <c r="G300" s="4" t="str">
        <f>IF($B300="","",SUMIFS(tbl_ledger[数量],tbl_ledger[ロットID],$B300,tbl_ledger[イベント種類],"梱包完了")+SUMIFS(tbl_ledger[数量],tbl_ledger[充当先ロットID],$B300,tbl_ledger[イベント種類],"充当",tbl_ledger[元状態],G$1)-SUMIFS(tbl_ledger[数量],tbl_ledger[ロットID],$B300,tbl_ledger[元状態],G$1))</f>
        <v/>
      </c>
      <c r="H300" s="4" t="str">
        <f>IF($B300="","",SUMIFS(tbl_ledger[数量],tbl_ledger[ロットID],$B300,tbl_ledger[イベント種類],"発送準備完了")+SUMIFS(tbl_ledger[数量],tbl_ledger[充当先ロットID],$B300,tbl_ledger[イベント種類],"充当",tbl_ledger[元状態],H$1)-SUMIFS(tbl_ledger[数量],tbl_ledger[ロットID],$B300,tbl_ledger[元状態],H$1))</f>
        <v/>
      </c>
      <c r="I300" s="4" t="str">
        <f>IF($B300="","",SUMIFS(tbl_ledger[数量],tbl_ledger[ロットID],$B300,tbl_ledger[イベント種類],"不良発生")+SUMIFS(tbl_ledger[数量],tbl_ledger[充当先ロットID],$B300,tbl_ledger[イベント種類],"充当",tbl_ledger[元状態],I$1)-SUMIFS(tbl_ledger[数量],tbl_ledger[ロットID],$B300,tbl_ledger[元状態],I$1))</f>
        <v/>
      </c>
      <c r="J300" s="4" t="str">
        <f t="shared" si="9"/>
        <v/>
      </c>
    </row>
    <row r="301" spans="1:10" ht="15" x14ac:dyDescent="0.25">
      <c r="A301" s="4" t="str">
        <f t="shared" si="8"/>
        <v/>
      </c>
      <c r="B301" s="4" t="str">
        <f>IFERROR(IF(COUNTIF($B$1:$B300,INDEX(tbl_plan[ロットID],ROW()-1))&gt;0,"",INDEX(tbl_plan[ロットID],ROW()-1)),"")</f>
        <v/>
      </c>
      <c r="C301" s="4" t="str">
        <f>IF($B301="","",INDEX(tbl_plan[品番],ROW()-1))</f>
        <v/>
      </c>
      <c r="D301" s="4" t="str">
        <f>IF($B301="","",SUMIFS(tbl_ledger[数量],tbl_ledger[ロットID],$B301,tbl_ledger[イベント種類],"搬入")+SUMIFS(tbl_ledger[数量],tbl_ledger[充当先ロットID],$B301,tbl_ledger[イベント種類],"充当",tbl_ledger[元状態],D$1)-SUMIFS(tbl_ledger[数量],tbl_ledger[ロットID],$B301,tbl_ledger[元状態],D$1))</f>
        <v/>
      </c>
      <c r="E301" s="4" t="str">
        <f>IF($B301="","",SUMIFS(tbl_ledger[数量],tbl_ledger[ロットID],$B301,tbl_ledger[イベント種類],"アニール完了")+SUMIFS(tbl_ledger[数量],tbl_ledger[充当先ロットID],$B301,tbl_ledger[イベント種類],"充当",tbl_ledger[元状態],E$1)-SUMIFS(tbl_ledger[数量],tbl_ledger[ロットID],$B301,tbl_ledger[元状態],E$1))</f>
        <v/>
      </c>
      <c r="F301" s="4" t="str">
        <f>IF($B301="","",SUMIFS(tbl_ledger[数量],tbl_ledger[ロットID],$B301,tbl_ledger[イベント種類],"アセンブリ完了")+SUMIFS(tbl_ledger[数量],tbl_ledger[充当先ロットID],$B301,tbl_ledger[イベント種類],"充当",tbl_ledger[元状態],F$1)-SUMIFS(tbl_ledger[数量],tbl_ledger[ロットID],$B301,tbl_ledger[元状態],F$1))</f>
        <v/>
      </c>
      <c r="G301" s="4" t="str">
        <f>IF($B301="","",SUMIFS(tbl_ledger[数量],tbl_ledger[ロットID],$B301,tbl_ledger[イベント種類],"梱包完了")+SUMIFS(tbl_ledger[数量],tbl_ledger[充当先ロットID],$B301,tbl_ledger[イベント種類],"充当",tbl_ledger[元状態],G$1)-SUMIFS(tbl_ledger[数量],tbl_ledger[ロットID],$B301,tbl_ledger[元状態],G$1))</f>
        <v/>
      </c>
      <c r="H301" s="4" t="str">
        <f>IF($B301="","",SUMIFS(tbl_ledger[数量],tbl_ledger[ロットID],$B301,tbl_ledger[イベント種類],"発送準備完了")+SUMIFS(tbl_ledger[数量],tbl_ledger[充当先ロットID],$B301,tbl_ledger[イベント種類],"充当",tbl_ledger[元状態],H$1)-SUMIFS(tbl_ledger[数量],tbl_ledger[ロットID],$B301,tbl_ledger[元状態],H$1))</f>
        <v/>
      </c>
      <c r="I301" s="4" t="str">
        <f>IF($B301="","",SUMIFS(tbl_ledger[数量],tbl_ledger[ロットID],$B301,tbl_ledger[イベント種類],"不良発生")+SUMIFS(tbl_ledger[数量],tbl_ledger[充当先ロットID],$B301,tbl_ledger[イベント種類],"充当",tbl_ledger[元状態],I$1)-SUMIFS(tbl_ledger[数量],tbl_ledger[ロットID],$B301,tbl_ledger[元状態],I$1))</f>
        <v/>
      </c>
      <c r="J301" s="4" t="str">
        <f t="shared" si="9"/>
        <v/>
      </c>
    </row>
    <row r="303" spans="1:10" ht="15" x14ac:dyDescent="0.25">
      <c r="A303" s="1" t="s">
        <v>89</v>
      </c>
    </row>
    <row r="304" spans="1:10" ht="15" x14ac:dyDescent="0.25">
      <c r="A304" s="3" t="s">
        <v>81</v>
      </c>
      <c r="B304" s="3"/>
      <c r="C304" s="3" t="s">
        <v>69</v>
      </c>
      <c r="D304" s="3" t="s">
        <v>82</v>
      </c>
      <c r="E304" s="3" t="s">
        <v>83</v>
      </c>
      <c r="F304" s="3" t="s">
        <v>84</v>
      </c>
      <c r="G304" s="3" t="s">
        <v>85</v>
      </c>
      <c r="H304" s="3" t="s">
        <v>86</v>
      </c>
      <c r="I304" s="3" t="s">
        <v>87</v>
      </c>
      <c r="J304" s="3" t="s">
        <v>88</v>
      </c>
    </row>
    <row r="305" spans="1:10" ht="15" x14ac:dyDescent="0.25">
      <c r="A305" s="4" t="str">
        <f t="shared" ref="A305:A336" si="10">IF($C305="","","未割当")</f>
        <v>未割当</v>
      </c>
      <c r="B305" s="6"/>
      <c r="C305" s="4" t="str">
        <f>IFERROR(INDEX(tbl_master[品番],ROW()-304),"")</f>
        <v>PN-001</v>
      </c>
      <c r="D305" s="4">
        <f>IF($C305="","",SUMIFS(tbl_ledger[数量],tbl_ledger[品番],$C305,tbl_ledger[イベント種類],"搬入",tbl_ledger[ロットID],"=")+SUMIFS(tbl_ledger[数量],tbl_ledger[品番],$C305,tbl_ledger[イベント種類],"余剰化",tbl_ledger[元状態],D$304)-SUMIFS(tbl_ledger[数量],tbl_ledger[品番],$C305,tbl_ledger[ロットID],"=",tbl_ledger[元状態],D$304))</f>
        <v>0</v>
      </c>
      <c r="E305" s="4">
        <f>IF($C305="","",SUMIFS(tbl_ledger[数量],tbl_ledger[品番],$C305,tbl_ledger[イベント種類],"アニール完了",tbl_ledger[ロットID],"=")+SUMIFS(tbl_ledger[数量],tbl_ledger[品番],$C305,tbl_ledger[イベント種類],"余剰化",tbl_ledger[元状態],E$304)-SUMIFS(tbl_ledger[数量],tbl_ledger[品番],$C305,tbl_ledger[ロットID],"=",tbl_ledger[元状態],E$304))</f>
        <v>0</v>
      </c>
      <c r="F305" s="4">
        <f>IF($C305="","",SUMIFS(tbl_ledger[数量],tbl_ledger[品番],$C305,tbl_ledger[イベント種類],"アセンブリ完了",tbl_ledger[ロットID],"=")+SUMIFS(tbl_ledger[数量],tbl_ledger[品番],$C305,tbl_ledger[イベント種類],"余剰化",tbl_ledger[元状態],F$304)-SUMIFS(tbl_ledger[数量],tbl_ledger[品番],$C305,tbl_ledger[ロットID],"=",tbl_ledger[元状態],F$304))</f>
        <v>0</v>
      </c>
      <c r="G305" s="4">
        <f>IF($C305="","",SUMIFS(tbl_ledger[数量],tbl_ledger[品番],$C305,tbl_ledger[イベント種類],"梱包完了",tbl_ledger[ロットID],"=")+SUMIFS(tbl_ledger[数量],tbl_ledger[品番],$C305,tbl_ledger[イベント種類],"余剰化",tbl_ledger[元状態],G$304)-SUMIFS(tbl_ledger[数量],tbl_ledger[品番],$C305,tbl_ledger[ロットID],"=",tbl_ledger[元状態],G$304))</f>
        <v>0</v>
      </c>
      <c r="H305" s="4">
        <f>IF($C305="","",SUMIFS(tbl_ledger[数量],tbl_ledger[品番],$C305,tbl_ledger[イベント種類],"発送準備完了",tbl_ledger[ロットID],"=")+SUMIFS(tbl_ledger[数量],tbl_ledger[品番],$C305,tbl_ledger[イベント種類],"余剰化",tbl_ledger[元状態],H$304)-SUMIFS(tbl_ledger[数量],tbl_ledger[品番],$C305,tbl_ledger[ロットID],"=",tbl_ledger[元状態],H$304))</f>
        <v>0</v>
      </c>
      <c r="I305" s="4">
        <f>IF($C305="","",SUMIFS(tbl_ledger[数量],tbl_ledger[品番],$C305,tbl_ledger[イベント種類],"不良発生",tbl_ledger[ロットID],"=")+SUMIFS(tbl_ledger[数量],tbl_ledger[品番],$C305,tbl_ledger[イベント種類],"余剰化",tbl_ledger[元状態],I$304)-SUMIFS(tbl_ledger[数量],tbl_ledger[品番],$C305,tbl_ledger[ロットID],"=",tbl_ledger[元状態],I$304))</f>
        <v>0</v>
      </c>
      <c r="J305" s="4">
        <f t="shared" ref="J305:J336" si="11">IF($C305="","",SUM(D305:I305))</f>
        <v>0</v>
      </c>
    </row>
    <row r="306" spans="1:10" ht="15" x14ac:dyDescent="0.25">
      <c r="A306" s="4" t="str">
        <f t="shared" si="10"/>
        <v>未割当</v>
      </c>
      <c r="B306" s="6"/>
      <c r="C306" s="4" t="str">
        <f>IFERROR(INDEX(tbl_master[品番],ROW()-304),"")</f>
        <v>PN-002</v>
      </c>
      <c r="D306" s="4">
        <f>IF($C306="","",SUMIFS(tbl_ledger[数量],tbl_ledger[品番],$C306,tbl_ledger[イベント種類],"搬入",tbl_ledger[ロットID],"=")+SUMIFS(tbl_ledger[数量],tbl_ledger[品番],$C306,tbl_ledger[イベント種類],"余剰化",tbl_ledger[元状態],D$304)-SUMIFS(tbl_ledger[数量],tbl_ledger[品番],$C306,tbl_ledger[ロットID],"=",tbl_ledger[元状態],D$304))</f>
        <v>1</v>
      </c>
      <c r="E306" s="4">
        <f>IF($C306="","",SUMIFS(tbl_ledger[数量],tbl_ledger[品番],$C306,tbl_ledger[イベント種類],"アニール完了",tbl_ledger[ロットID],"=")+SUMIFS(tbl_ledger[数量],tbl_ledger[品番],$C306,tbl_ledger[イベント種類],"余剰化",tbl_ledger[元状態],E$304)-SUMIFS(tbl_ledger[数量],tbl_ledger[品番],$C306,tbl_ledger[ロットID],"=",tbl_ledger[元状態],E$304))</f>
        <v>0</v>
      </c>
      <c r="F306" s="4">
        <f>IF($C306="","",SUMIFS(tbl_ledger[数量],tbl_ledger[品番],$C306,tbl_ledger[イベント種類],"アセンブリ完了",tbl_ledger[ロットID],"=")+SUMIFS(tbl_ledger[数量],tbl_ledger[品番],$C306,tbl_ledger[イベント種類],"余剰化",tbl_ledger[元状態],F$304)-SUMIFS(tbl_ledger[数量],tbl_ledger[品番],$C306,tbl_ledger[ロットID],"=",tbl_ledger[元状態],F$304))</f>
        <v>0</v>
      </c>
      <c r="G306" s="4">
        <f>IF($C306="","",SUMIFS(tbl_ledger[数量],tbl_ledger[品番],$C306,tbl_ledger[イベント種類],"梱包完了",tbl_ledger[ロットID],"=")+SUMIFS(tbl_ledger[数量],tbl_ledger[品番],$C306,tbl_ledger[イベント種類],"余剰化",tbl_ledger[元状態],G$304)-SUMIFS(tbl_ledger[数量],tbl_ledger[品番],$C306,tbl_ledger[ロットID],"=",tbl_ledger[元状態],G$304))</f>
        <v>0</v>
      </c>
      <c r="H306" s="4">
        <f>IF($C306="","",SUMIFS(tbl_ledger[数量],tbl_ledger[品番],$C306,tbl_ledger[イベント種類],"発送準備完了",tbl_ledger[ロットID],"=")+SUMIFS(tbl_ledger[数量],tbl_ledger[品番],$C306,tbl_ledger[イベント種類],"余剰化",tbl_ledger[元状態],H$304)-SUMIFS(tbl_ledger[数量],tbl_ledger[品番],$C306,tbl_ledger[ロットID],"=",tbl_ledger[元状態],H$304))</f>
        <v>0</v>
      </c>
      <c r="I306" s="4">
        <f>IF($C306="","",SUMIFS(tbl_ledger[数量],tbl_ledger[品番],$C306,tbl_ledger[イベント種類],"不良発生",tbl_ledger[ロットID],"=")+SUMIFS(tbl_ledger[数量],tbl_ledger[品番],$C306,tbl_ledger[イベント種類],"余剰化",tbl_ledger[元状態],I$304)-SUMIFS(tbl_ledger[数量],tbl_ledger[品番],$C306,tbl_ledger[ロットID],"=",tbl_ledger[元状態],I$304))</f>
        <v>0</v>
      </c>
      <c r="J306" s="4">
        <f t="shared" si="11"/>
        <v>1</v>
      </c>
    </row>
    <row r="307" spans="1:10" ht="15" x14ac:dyDescent="0.25">
      <c r="A307" s="4" t="str">
        <f t="shared" si="10"/>
        <v>未割当</v>
      </c>
      <c r="B307" s="6"/>
      <c r="C307" s="4" t="str">
        <f>IFERROR(INDEX(tbl_master[品番],ROW()-304),"")</f>
        <v>PN-003</v>
      </c>
      <c r="D307" s="4">
        <f>IF($C307="","",SUMIFS(tbl_ledger[数量],tbl_ledger[品番],$C307,tbl_ledger[イベント種類],"搬入",tbl_ledger[ロットID],"=")+SUMIFS(tbl_ledger[数量],tbl_ledger[品番],$C307,tbl_ledger[イベント種類],"余剰化",tbl_ledger[元状態],D$304)-SUMIFS(tbl_ledger[数量],tbl_ledger[品番],$C307,tbl_ledger[ロットID],"=",tbl_ledger[元状態],D$304))</f>
        <v>0</v>
      </c>
      <c r="E307" s="4">
        <f>IF($C307="","",SUMIFS(tbl_ledger[数量],tbl_ledger[品番],$C307,tbl_ledger[イベント種類],"アニール完了",tbl_ledger[ロットID],"=")+SUMIFS(tbl_ledger[数量],tbl_ledger[品番],$C307,tbl_ledger[イベント種類],"余剰化",tbl_ledger[元状態],E$304)-SUMIFS(tbl_ledger[数量],tbl_ledger[品番],$C307,tbl_ledger[ロットID],"=",tbl_ledger[元状態],E$304))</f>
        <v>0</v>
      </c>
      <c r="F307" s="4">
        <f>IF($C307="","",SUMIFS(tbl_ledger[数量],tbl_ledger[品番],$C307,tbl_ledger[イベント種類],"アセンブリ完了",tbl_ledger[ロットID],"=")+SUMIFS(tbl_ledger[数量],tbl_ledger[品番],$C307,tbl_ledger[イベント種類],"余剰化",tbl_ledger[元状態],F$304)-SUMIFS(tbl_ledger[数量],tbl_ledger[品番],$C307,tbl_ledger[ロットID],"=",tbl_ledger[元状態],F$304))</f>
        <v>0</v>
      </c>
      <c r="G307" s="4">
        <f>IF($C307="","",SUMIFS(tbl_ledger[数量],tbl_ledger[品番],$C307,tbl_ledger[イベント種類],"梱包完了",tbl_ledger[ロットID],"=")+SUMIFS(tbl_ledger[数量],tbl_ledger[品番],$C307,tbl_ledger[イベント種類],"余剰化",tbl_ledger[元状態],G$304)-SUMIFS(tbl_ledger[数量],tbl_ledger[品番],$C307,tbl_ledger[ロットID],"=",tbl_ledger[元状態],G$304))</f>
        <v>0</v>
      </c>
      <c r="H307" s="4">
        <f>IF($C307="","",SUMIFS(tbl_ledger[数量],tbl_ledger[品番],$C307,tbl_ledger[イベント種類],"発送準備完了",tbl_ledger[ロットID],"=")+SUMIFS(tbl_ledger[数量],tbl_ledger[品番],$C307,tbl_ledger[イベント種類],"余剰化",tbl_ledger[元状態],H$304)-SUMIFS(tbl_ledger[数量],tbl_ledger[品番],$C307,tbl_ledger[ロットID],"=",tbl_ledger[元状態],H$304))</f>
        <v>0</v>
      </c>
      <c r="I307" s="4">
        <f>IF($C307="","",SUMIFS(tbl_ledger[数量],tbl_ledger[品番],$C307,tbl_ledger[イベント種類],"不良発生",tbl_ledger[ロットID],"=")+SUMIFS(tbl_ledger[数量],tbl_ledger[品番],$C307,tbl_ledger[イベント種類],"余剰化",tbl_ledger[元状態],I$304)-SUMIFS(tbl_ledger[数量],tbl_ledger[品番],$C307,tbl_ledger[ロットID],"=",tbl_ledger[元状態],I$304))</f>
        <v>0</v>
      </c>
      <c r="J307" s="4">
        <f t="shared" si="11"/>
        <v>0</v>
      </c>
    </row>
    <row r="308" spans="1:10" ht="15" x14ac:dyDescent="0.25">
      <c r="A308" s="4" t="str">
        <f t="shared" si="10"/>
        <v>未割当</v>
      </c>
      <c r="B308" s="6"/>
      <c r="C308" s="4" t="str">
        <f>IFERROR(INDEX(tbl_master[品番],ROW()-304),"")</f>
        <v>PN-004</v>
      </c>
      <c r="D308" s="4">
        <f>IF($C308="","",SUMIFS(tbl_ledger[数量],tbl_ledger[品番],$C308,tbl_ledger[イベント種類],"搬入",tbl_ledger[ロットID],"=")+SUMIFS(tbl_ledger[数量],tbl_ledger[品番],$C308,tbl_ledger[イベント種類],"余剰化",tbl_ledger[元状態],D$304)-SUMIFS(tbl_ledger[数量],tbl_ledger[品番],$C308,tbl_ledger[ロットID],"=",tbl_ledger[元状態],D$304))</f>
        <v>0</v>
      </c>
      <c r="E308" s="4">
        <f>IF($C308="","",SUMIFS(tbl_ledger[数量],tbl_ledger[品番],$C308,tbl_ledger[イベント種類],"アニール完了",tbl_ledger[ロットID],"=")+SUMIFS(tbl_ledger[数量],tbl_ledger[品番],$C308,tbl_ledger[イベント種類],"余剰化",tbl_ledger[元状態],E$304)-SUMIFS(tbl_ledger[数量],tbl_ledger[品番],$C308,tbl_ledger[ロットID],"=",tbl_ledger[元状態],E$304))</f>
        <v>0</v>
      </c>
      <c r="F308" s="4">
        <f>IF($C308="","",SUMIFS(tbl_ledger[数量],tbl_ledger[品番],$C308,tbl_ledger[イベント種類],"アセンブリ完了",tbl_ledger[ロットID],"=")+SUMIFS(tbl_ledger[数量],tbl_ledger[品番],$C308,tbl_ledger[イベント種類],"余剰化",tbl_ledger[元状態],F$304)-SUMIFS(tbl_ledger[数量],tbl_ledger[品番],$C308,tbl_ledger[ロットID],"=",tbl_ledger[元状態],F$304))</f>
        <v>0</v>
      </c>
      <c r="G308" s="4">
        <f>IF($C308="","",SUMIFS(tbl_ledger[数量],tbl_ledger[品番],$C308,tbl_ledger[イベント種類],"梱包完了",tbl_ledger[ロットID],"=")+SUMIFS(tbl_ledger[数量],tbl_ledger[品番],$C308,tbl_ledger[イベント種類],"余剰化",tbl_ledger[元状態],G$304)-SUMIFS(tbl_ledger[数量],tbl_ledger[品番],$C308,tbl_ledger[ロットID],"=",tbl_ledger[元状態],G$304))</f>
        <v>0</v>
      </c>
      <c r="H308" s="4">
        <f>IF($C308="","",SUMIFS(tbl_ledger[数量],tbl_ledger[品番],$C308,tbl_ledger[イベント種類],"発送準備完了",tbl_ledger[ロットID],"=")+SUMIFS(tbl_ledger[数量],tbl_ledger[品番],$C308,tbl_ledger[イベント種類],"余剰化",tbl_ledger[元状態],H$304)-SUMIFS(tbl_ledger[数量],tbl_ledger[品番],$C308,tbl_ledger[ロットID],"=",tbl_ledger[元状態],H$304))</f>
        <v>0</v>
      </c>
      <c r="I308" s="4">
        <f>IF($C308="","",SUMIFS(tbl_ledger[数量],tbl_ledger[品番],$C308,tbl_ledger[イベント種類],"不良発生",tbl_ledger[ロットID],"=")+SUMIFS(tbl_ledger[数量],tbl_ledger[品番],$C308,tbl_ledger[イベント種類],"余剰化",tbl_ledger[元状態],I$304)-SUMIFS(tbl_ledger[数量],tbl_ledger[品番],$C308,tbl_ledger[ロットID],"=",tbl_ledger[元状態],I$304))</f>
        <v>0</v>
      </c>
      <c r="J308" s="4">
        <f t="shared" si="11"/>
        <v>0</v>
      </c>
    </row>
    <row r="309" spans="1:10" ht="15" x14ac:dyDescent="0.25">
      <c r="A309" s="4" t="str">
        <f t="shared" si="10"/>
        <v/>
      </c>
      <c r="B309" s="6"/>
      <c r="C309" s="4" t="str">
        <f>IFERROR(INDEX(tbl_master[品番],ROW()-304),"")</f>
        <v/>
      </c>
      <c r="D309" s="4" t="str">
        <f>IF($C309="","",SUMIFS(tbl_ledger[数量],tbl_ledger[品番],$C309,tbl_ledger[イベント種類],"搬入",tbl_ledger[ロットID],"=")+SUMIFS(tbl_ledger[数量],tbl_ledger[品番],$C309,tbl_ledger[イベント種類],"余剰化",tbl_ledger[元状態],D$304)-SUMIFS(tbl_ledger[数量],tbl_ledger[品番],$C309,tbl_ledger[ロットID],"=",tbl_ledger[元状態],D$304))</f>
        <v/>
      </c>
      <c r="E309" s="4" t="str">
        <f>IF($C309="","",SUMIFS(tbl_ledger[数量],tbl_ledger[品番],$C309,tbl_ledger[イベント種類],"アニール完了",tbl_ledger[ロットID],"=")+SUMIFS(tbl_ledger[数量],tbl_ledger[品番],$C309,tbl_ledger[イベント種類],"余剰化",tbl_ledger[元状態],E$304)-SUMIFS(tbl_ledger[数量],tbl_ledger[品番],$C309,tbl_ledger[ロットID],"=",tbl_ledger[元状態],E$304))</f>
        <v/>
      </c>
      <c r="F309" s="4" t="str">
        <f>IF($C309="","",SUMIFS(tbl_ledger[数量],tbl_ledger[品番],$C309,tbl_ledger[イベント種類],"アセンブリ完了",tbl_ledger[ロットID],"=")+SUMIFS(tbl_ledger[数量],tbl_ledger[品番],$C309,tbl_ledger[イベント種類],"余剰化",tbl_ledger[元状態],F$304)-SUMIFS(tbl_ledger[数量],tbl_ledger[品番],$C309,tbl_ledger[ロットID],"=",tbl_ledger[元状態],F$304))</f>
        <v/>
      </c>
      <c r="G309" s="4" t="str">
        <f>IF($C309="","",SUMIFS(tbl_ledger[数量],tbl_ledger[品番],$C309,tbl_ledger[イベント種類],"梱包完了",tbl_ledger[ロットID],"=")+SUMIFS(tbl_ledger[数量],tbl_ledger[品番],$C309,tbl_ledger[イベント種類],"余剰化",tbl_ledger[元状態],G$304)-SUMIFS(tbl_ledger[数量],tbl_ledger[品番],$C309,tbl_ledger[ロットID],"=",tbl_ledger[元状態],G$304))</f>
        <v/>
      </c>
      <c r="H309" s="4" t="str">
        <f>IF($C309="","",SUMIFS(tbl_ledger[数量],tbl_ledger[品番],$C309,tbl_ledger[イベント種類],"発送準備完了",tbl_ledger[ロットID],"=")+SUMIFS(tbl_ledger[数量],tbl_ledger[品番],$C309,tbl_ledger[イベント種類],"余剰化",tbl_ledger[元状態],H$304)-SUMIFS(tbl_ledger[数量],tbl_ledger[品番],$C309,tbl_ledger[ロットID],"=",tbl_ledger[元状態],H$304))</f>
        <v/>
      </c>
      <c r="I309" s="4" t="str">
        <f>IF($C309="","",SUMIFS(tbl_ledger[数量],tbl_ledger[品番],$C309,tbl_ledger[イベント種類],"不良発生",tbl_ledger[ロットID],"=")+SUMIFS(tbl_ledger[数量],tbl_ledger[品番],$C309,tbl_ledger[イベント種類],"余剰化",tbl_ledger[元状態],I$304)-SUMIFS(tbl_ledger[数量],tbl_ledger[品番],$C309,tbl_ledger[ロットID],"=",tbl_ledger[元状態],I$304))</f>
        <v/>
      </c>
      <c r="J309" s="4" t="str">
        <f t="shared" si="11"/>
        <v/>
      </c>
    </row>
    <row r="310" spans="1:10" ht="15" x14ac:dyDescent="0.25">
      <c r="A310" s="4" t="str">
        <f t="shared" si="10"/>
        <v/>
      </c>
      <c r="B310" s="6"/>
      <c r="C310" s="4" t="str">
        <f>IFERROR(INDEX(tbl_master[品番],ROW()-304),"")</f>
        <v/>
      </c>
      <c r="D310" s="4" t="str">
        <f>IF($C310="","",SUMIFS(tbl_ledger[数量],tbl_ledger[品番],$C310,tbl_ledger[イベント種類],"搬入",tbl_ledger[ロットID],"=")+SUMIFS(tbl_ledger[数量],tbl_ledger[品番],$C310,tbl_ledger[イベント種類],"余剰化",tbl_ledger[元状態],D$304)-SUMIFS(tbl_ledger[数量],tbl_ledger[品番],$C310,tbl_ledger[ロットID],"=",tbl_ledger[元状態],D$304))</f>
        <v/>
      </c>
      <c r="E310" s="4" t="str">
        <f>IF($C310="","",SUMIFS(tbl_ledger[数量],tbl_ledger[品番],$C310,tbl_ledger[イベント種類],"アニール完了",tbl_ledger[ロットID],"=")+SUMIFS(tbl_ledger[数量],tbl_ledger[品番],$C310,tbl_ledger[イベント種類],"余剰化",tbl_ledger[元状態],E$304)-SUMIFS(tbl_ledger[数量],tbl_ledger[品番],$C310,tbl_ledger[ロットID],"=",tbl_ledger[元状態],E$304))</f>
        <v/>
      </c>
      <c r="F310" s="4" t="str">
        <f>IF($C310="","",SUMIFS(tbl_ledger[数量],tbl_ledger[品番],$C310,tbl_ledger[イベント種類],"アセンブリ完了",tbl_ledger[ロットID],"=")+SUMIFS(tbl_ledger[数量],tbl_ledger[品番],$C310,tbl_ledger[イベント種類],"余剰化",tbl_ledger[元状態],F$304)-SUMIFS(tbl_ledger[数量],tbl_ledger[品番],$C310,tbl_ledger[ロットID],"=",tbl_ledger[元状態],F$304))</f>
        <v/>
      </c>
      <c r="G310" s="4" t="str">
        <f>IF($C310="","",SUMIFS(tbl_ledger[数量],tbl_ledger[品番],$C310,tbl_ledger[イベント種類],"梱包完了",tbl_ledger[ロットID],"=")+SUMIFS(tbl_ledger[数量],tbl_ledger[品番],$C310,tbl_ledger[イベント種類],"余剰化",tbl_ledger[元状態],G$304)-SUMIFS(tbl_ledger[数量],tbl_ledger[品番],$C310,tbl_ledger[ロットID],"=",tbl_ledger[元状態],G$304))</f>
        <v/>
      </c>
      <c r="H310" s="4" t="str">
        <f>IF($C310="","",SUMIFS(tbl_ledger[数量],tbl_ledger[品番],$C310,tbl_ledger[イベント種類],"発送準備完了",tbl_ledger[ロットID],"=")+SUMIFS(tbl_ledger[数量],tbl_ledger[品番],$C310,tbl_ledger[イベント種類],"余剰化",tbl_ledger[元状態],H$304)-SUMIFS(tbl_ledger[数量],tbl_ledger[品番],$C310,tbl_ledger[ロットID],"=",tbl_ledger[元状態],H$304))</f>
        <v/>
      </c>
      <c r="I310" s="4" t="str">
        <f>IF($C310="","",SUMIFS(tbl_ledger[数量],tbl_ledger[品番],$C310,tbl_ledger[イベント種類],"不良発生",tbl_ledger[ロットID],"=")+SUMIFS(tbl_ledger[数量],tbl_ledger[品番],$C310,tbl_ledger[イベント種類],"余剰化",tbl_ledger[元状態],I$304)-SUMIFS(tbl_ledger[数量],tbl_ledger[品番],$C310,tbl_ledger[ロットID],"=",tbl_ledger[元状態],I$304))</f>
        <v/>
      </c>
      <c r="J310" s="4" t="str">
        <f t="shared" si="11"/>
        <v/>
      </c>
    </row>
    <row r="311" spans="1:10" ht="15" x14ac:dyDescent="0.25">
      <c r="A311" s="4" t="str">
        <f t="shared" si="10"/>
        <v/>
      </c>
      <c r="B311" s="6"/>
      <c r="C311" s="4" t="str">
        <f>IFERROR(INDEX(tbl_master[品番],ROW()-304),"")</f>
        <v/>
      </c>
      <c r="D311" s="4" t="str">
        <f>IF($C311="","",SUMIFS(tbl_ledger[数量],tbl_ledger[品番],$C311,tbl_ledger[イベント種類],"搬入",tbl_ledger[ロットID],"=")+SUMIFS(tbl_ledger[数量],tbl_ledger[品番],$C311,tbl_ledger[イベント種類],"余剰化",tbl_ledger[元状態],D$304)-SUMIFS(tbl_ledger[数量],tbl_ledger[品番],$C311,tbl_ledger[ロットID],"=",tbl_ledger[元状態],D$304))</f>
        <v/>
      </c>
      <c r="E311" s="4" t="str">
        <f>IF($C311="","",SUMIFS(tbl_ledger[数量],tbl_ledger[品番],$C311,tbl_ledger[イベント種類],"アニール完了",tbl_ledger[ロットID],"=")+SUMIFS(tbl_ledger[数量],tbl_ledger[品番],$C311,tbl_ledger[イベント種類],"余剰化",tbl_ledger[元状態],E$304)-SUMIFS(tbl_ledger[数量],tbl_ledger[品番],$C311,tbl_ledger[ロットID],"=",tbl_ledger[元状態],E$304))</f>
        <v/>
      </c>
      <c r="F311" s="4" t="str">
        <f>IF($C311="","",SUMIFS(tbl_ledger[数量],tbl_ledger[品番],$C311,tbl_ledger[イベント種類],"アセンブリ完了",tbl_ledger[ロットID],"=")+SUMIFS(tbl_ledger[数量],tbl_ledger[品番],$C311,tbl_ledger[イベント種類],"余剰化",tbl_ledger[元状態],F$304)-SUMIFS(tbl_ledger[数量],tbl_ledger[品番],$C311,tbl_ledger[ロットID],"=",tbl_ledger[元状態],F$304))</f>
        <v/>
      </c>
      <c r="G311" s="4" t="str">
        <f>IF($C311="","",SUMIFS(tbl_ledger[数量],tbl_ledger[品番],$C311,tbl_ledger[イベント種類],"梱包完了",tbl_ledger[ロットID],"=")+SUMIFS(tbl_ledger[数量],tbl_ledger[品番],$C311,tbl_ledger[イベント種類],"余剰化",tbl_ledger[元状態],G$304)-SUMIFS(tbl_ledger[数量],tbl_ledger[品番],$C311,tbl_ledger[ロットID],"=",tbl_ledger[元状態],G$304))</f>
        <v/>
      </c>
      <c r="H311" s="4" t="str">
        <f>IF($C311="","",SUMIFS(tbl_ledger[数量],tbl_ledger[品番],$C311,tbl_ledger[イベント種類],"発送準備完了",tbl_ledger[ロットID],"=")+SUMIFS(tbl_ledger[数量],tbl_ledger[品番],$C311,tbl_ledger[イベント種類],"余剰化",tbl_ledger[元状態],H$304)-SUMIFS(tbl_ledger[数量],tbl_ledger[品番],$C311,tbl_ledger[ロットID],"=",tbl_ledger[元状態],H$304))</f>
        <v/>
      </c>
      <c r="I311" s="4" t="str">
        <f>IF($C311="","",SUMIFS(tbl_ledger[数量],tbl_ledger[品番],$C311,tbl_ledger[イベント種類],"不良発生",tbl_ledger[ロットID],"=")+SUMIFS(tbl_ledger[数量],tbl_ledger[品番],$C311,tbl_ledger[イベント種類],"余剰化",tbl_ledger[元状態],I$304)-SUMIFS(tbl_ledger[数量],tbl_ledger[品番],$C311,tbl_ledger[ロットID],"=",tbl_ledger[元状態],I$304))</f>
        <v/>
      </c>
      <c r="J311" s="4" t="str">
        <f t="shared" si="11"/>
        <v/>
      </c>
    </row>
    <row r="312" spans="1:10" ht="15" x14ac:dyDescent="0.25">
      <c r="A312" s="4" t="str">
        <f t="shared" si="10"/>
        <v/>
      </c>
      <c r="B312" s="6"/>
      <c r="C312" s="4" t="str">
        <f>IFERROR(INDEX(tbl_master[品番],ROW()-304),"")</f>
        <v/>
      </c>
      <c r="D312" s="4" t="str">
        <f>IF($C312="","",SUMIFS(tbl_ledger[数量],tbl_ledger[品番],$C312,tbl_ledger[イベント種類],"搬入",tbl_ledger[ロットID],"=")+SUMIFS(tbl_ledger[数量],tbl_ledger[品番],$C312,tbl_ledger[イベント種類],"余剰化",tbl_ledger[元状態],D$304)-SUMIFS(tbl_ledger[数量],tbl_ledger[品番],$C312,tbl_ledger[ロットID],"=",tbl_ledger[元状態],D$304))</f>
        <v/>
      </c>
      <c r="E312" s="4" t="str">
        <f>IF($C312="","",SUMIFS(tbl_ledger[数量],tbl_ledger[品番],$C312,tbl_ledger[イベント種類],"アニール完了",tbl_ledger[ロットID],"=")+SUMIFS(tbl_ledger[数量],tbl_ledger[品番],$C312,tbl_ledger[イベント種類],"余剰化",tbl_ledger[元状態],E$304)-SUMIFS(tbl_ledger[数量],tbl_ledger[品番],$C312,tbl_ledger[ロットID],"=",tbl_ledger[元状態],E$304))</f>
        <v/>
      </c>
      <c r="F312" s="4" t="str">
        <f>IF($C312="","",SUMIFS(tbl_ledger[数量],tbl_ledger[品番],$C312,tbl_ledger[イベント種類],"アセンブリ完了",tbl_ledger[ロットID],"=")+SUMIFS(tbl_ledger[数量],tbl_ledger[品番],$C312,tbl_ledger[イベント種類],"余剰化",tbl_ledger[元状態],F$304)-SUMIFS(tbl_ledger[数量],tbl_ledger[品番],$C312,tbl_ledger[ロットID],"=",tbl_ledger[元状態],F$304))</f>
        <v/>
      </c>
      <c r="G312" s="4" t="str">
        <f>IF($C312="","",SUMIFS(tbl_ledger[数量],tbl_ledger[品番],$C312,tbl_ledger[イベント種類],"梱包完了",tbl_ledger[ロットID],"=")+SUMIFS(tbl_ledger[数量],tbl_ledger[品番],$C312,tbl_ledger[イベント種類],"余剰化",tbl_ledger[元状態],G$304)-SUMIFS(tbl_ledger[数量],tbl_ledger[品番],$C312,tbl_ledger[ロットID],"=",tbl_ledger[元状態],G$304))</f>
        <v/>
      </c>
      <c r="H312" s="4" t="str">
        <f>IF($C312="","",SUMIFS(tbl_ledger[数量],tbl_ledger[品番],$C312,tbl_ledger[イベント種類],"発送準備完了",tbl_ledger[ロットID],"=")+SUMIFS(tbl_ledger[数量],tbl_ledger[品番],$C312,tbl_ledger[イベント種類],"余剰化",tbl_ledger[元状態],H$304)-SUMIFS(tbl_ledger[数量],tbl_ledger[品番],$C312,tbl_ledger[ロットID],"=",tbl_ledger[元状態],H$304))</f>
        <v/>
      </c>
      <c r="I312" s="4" t="str">
        <f>IF($C312="","",SUMIFS(tbl_ledger[数量],tbl_ledger[品番],$C312,tbl_ledger[イベント種類],"不良発生",tbl_ledger[ロットID],"=")+SUMIFS(tbl_ledger[数量],tbl_ledger[品番],$C312,tbl_ledger[イベント種類],"余剰化",tbl_ledger[元状態],I$304)-SUMIFS(tbl_ledger[数量],tbl_ledger[品番],$C312,tbl_ledger[ロットID],"=",tbl_ledger[元状態],I$304))</f>
        <v/>
      </c>
      <c r="J312" s="4" t="str">
        <f t="shared" si="11"/>
        <v/>
      </c>
    </row>
    <row r="313" spans="1:10" ht="15" x14ac:dyDescent="0.25">
      <c r="A313" s="4" t="str">
        <f t="shared" si="10"/>
        <v/>
      </c>
      <c r="B313" s="6"/>
      <c r="C313" s="4" t="str">
        <f>IFERROR(INDEX(tbl_master[品番],ROW()-304),"")</f>
        <v/>
      </c>
      <c r="D313" s="4" t="str">
        <f>IF($C313="","",SUMIFS(tbl_ledger[数量],tbl_ledger[品番],$C313,tbl_ledger[イベント種類],"搬入",tbl_ledger[ロットID],"=")+SUMIFS(tbl_ledger[数量],tbl_ledger[品番],$C313,tbl_ledger[イベント種類],"余剰化",tbl_ledger[元状態],D$304)-SUMIFS(tbl_ledger[数量],tbl_ledger[品番],$C313,tbl_ledger[ロットID],"=",tbl_ledger[元状態],D$304))</f>
        <v/>
      </c>
      <c r="E313" s="4" t="str">
        <f>IF($C313="","",SUMIFS(tbl_ledger[数量],tbl_ledger[品番],$C313,tbl_ledger[イベント種類],"アニール完了",tbl_ledger[ロットID],"=")+SUMIFS(tbl_ledger[数量],tbl_ledger[品番],$C313,tbl_ledger[イベント種類],"余剰化",tbl_ledger[元状態],E$304)-SUMIFS(tbl_ledger[数量],tbl_ledger[品番],$C313,tbl_ledger[ロットID],"=",tbl_ledger[元状態],E$304))</f>
        <v/>
      </c>
      <c r="F313" s="4" t="str">
        <f>IF($C313="","",SUMIFS(tbl_ledger[数量],tbl_ledger[品番],$C313,tbl_ledger[イベント種類],"アセンブリ完了",tbl_ledger[ロットID],"=")+SUMIFS(tbl_ledger[数量],tbl_ledger[品番],$C313,tbl_ledger[イベント種類],"余剰化",tbl_ledger[元状態],F$304)-SUMIFS(tbl_ledger[数量],tbl_ledger[品番],$C313,tbl_ledger[ロットID],"=",tbl_ledger[元状態],F$304))</f>
        <v/>
      </c>
      <c r="G313" s="4" t="str">
        <f>IF($C313="","",SUMIFS(tbl_ledger[数量],tbl_ledger[品番],$C313,tbl_ledger[イベント種類],"梱包完了",tbl_ledger[ロットID],"=")+SUMIFS(tbl_ledger[数量],tbl_ledger[品番],$C313,tbl_ledger[イベント種類],"余剰化",tbl_ledger[元状態],G$304)-SUMIFS(tbl_ledger[数量],tbl_ledger[品番],$C313,tbl_ledger[ロットID],"=",tbl_ledger[元状態],G$304))</f>
        <v/>
      </c>
      <c r="H313" s="4" t="str">
        <f>IF($C313="","",SUMIFS(tbl_ledger[数量],tbl_ledger[品番],$C313,tbl_ledger[イベント種類],"発送準備完了",tbl_ledger[ロットID],"=")+SUMIFS(tbl_ledger[数量],tbl_ledger[品番],$C313,tbl_ledger[イベント種類],"余剰化",tbl_ledger[元状態],H$304)-SUMIFS(tbl_ledger[数量],tbl_ledger[品番],$C313,tbl_ledger[ロットID],"=",tbl_ledger[元状態],H$304))</f>
        <v/>
      </c>
      <c r="I313" s="4" t="str">
        <f>IF($C313="","",SUMIFS(tbl_ledger[数量],tbl_ledger[品番],$C313,tbl_ledger[イベント種類],"不良発生",tbl_ledger[ロットID],"=")+SUMIFS(tbl_ledger[数量],tbl_ledger[品番],$C313,tbl_ledger[イベント種類],"余剰化",tbl_ledger[元状態],I$304)-SUMIFS(tbl_ledger[数量],tbl_ledger[品番],$C313,tbl_ledger[ロットID],"=",tbl_ledger[元状態],I$304))</f>
        <v/>
      </c>
      <c r="J313" s="4" t="str">
        <f t="shared" si="11"/>
        <v/>
      </c>
    </row>
    <row r="314" spans="1:10" ht="15" x14ac:dyDescent="0.25">
      <c r="A314" s="4" t="str">
        <f t="shared" si="10"/>
        <v/>
      </c>
      <c r="B314" s="6"/>
      <c r="C314" s="4" t="str">
        <f>IFERROR(INDEX(tbl_master[品番],ROW()-304),"")</f>
        <v/>
      </c>
      <c r="D314" s="4" t="str">
        <f>IF($C314="","",SUMIFS(tbl_ledger[数量],tbl_ledger[品番],$C314,tbl_ledger[イベント種類],"搬入",tbl_ledger[ロットID],"=")+SUMIFS(tbl_ledger[数量],tbl_ledger[品番],$C314,tbl_ledger[イベント種類],"余剰化",tbl_ledger[元状態],D$304)-SUMIFS(tbl_ledger[数量],tbl_ledger[品番],$C314,tbl_ledger[ロットID],"=",tbl_ledger[元状態],D$304))</f>
        <v/>
      </c>
      <c r="E314" s="4" t="str">
        <f>IF($C314="","",SUMIFS(tbl_ledger[数量],tbl_ledger[品番],$C314,tbl_ledger[イベント種類],"アニール完了",tbl_ledger[ロットID],"=")+SUMIFS(tbl_ledger[数量],tbl_ledger[品番],$C314,tbl_ledger[イベント種類],"余剰化",tbl_ledger[元状態],E$304)-SUMIFS(tbl_ledger[数量],tbl_ledger[品番],$C314,tbl_ledger[ロットID],"=",tbl_ledger[元状態],E$304))</f>
        <v/>
      </c>
      <c r="F314" s="4" t="str">
        <f>IF($C314="","",SUMIFS(tbl_ledger[数量],tbl_ledger[品番],$C314,tbl_ledger[イベント種類],"アセンブリ完了",tbl_ledger[ロットID],"=")+SUMIFS(tbl_ledger[数量],tbl_ledger[品番],$C314,tbl_ledger[イベント種類],"余剰化",tbl_ledger[元状態],F$304)-SUMIFS(tbl_ledger[数量],tbl_ledger[品番],$C314,tbl_ledger[ロットID],"=",tbl_ledger[元状態],F$304))</f>
        <v/>
      </c>
      <c r="G314" s="4" t="str">
        <f>IF($C314="","",SUMIFS(tbl_ledger[数量],tbl_ledger[品番],$C314,tbl_ledger[イベント種類],"梱包完了",tbl_ledger[ロットID],"=")+SUMIFS(tbl_ledger[数量],tbl_ledger[品番],$C314,tbl_ledger[イベント種類],"余剰化",tbl_ledger[元状態],G$304)-SUMIFS(tbl_ledger[数量],tbl_ledger[品番],$C314,tbl_ledger[ロットID],"=",tbl_ledger[元状態],G$304))</f>
        <v/>
      </c>
      <c r="H314" s="4" t="str">
        <f>IF($C314="","",SUMIFS(tbl_ledger[数量],tbl_ledger[品番],$C314,tbl_ledger[イベント種類],"発送準備完了",tbl_ledger[ロットID],"=")+SUMIFS(tbl_ledger[数量],tbl_ledger[品番],$C314,tbl_ledger[イベント種類],"余剰化",tbl_ledger[元状態],H$304)-SUMIFS(tbl_ledger[数量],tbl_ledger[品番],$C314,tbl_ledger[ロットID],"=",tbl_ledger[元状態],H$304))</f>
        <v/>
      </c>
      <c r="I314" s="4" t="str">
        <f>IF($C314="","",SUMIFS(tbl_ledger[数量],tbl_ledger[品番],$C314,tbl_ledger[イベント種類],"不良発生",tbl_ledger[ロットID],"=")+SUMIFS(tbl_ledger[数量],tbl_ledger[品番],$C314,tbl_ledger[イベント種類],"余剰化",tbl_ledger[元状態],I$304)-SUMIFS(tbl_ledger[数量],tbl_ledger[品番],$C314,tbl_ledger[ロットID],"=",tbl_ledger[元状態],I$304))</f>
        <v/>
      </c>
      <c r="J314" s="4" t="str">
        <f t="shared" si="11"/>
        <v/>
      </c>
    </row>
    <row r="315" spans="1:10" ht="15" x14ac:dyDescent="0.25">
      <c r="A315" s="4" t="str">
        <f t="shared" si="10"/>
        <v/>
      </c>
      <c r="B315" s="6"/>
      <c r="C315" s="4" t="str">
        <f>IFERROR(INDEX(tbl_master[品番],ROW()-304),"")</f>
        <v/>
      </c>
      <c r="D315" s="4" t="str">
        <f>IF($C315="","",SUMIFS(tbl_ledger[数量],tbl_ledger[品番],$C315,tbl_ledger[イベント種類],"搬入",tbl_ledger[ロットID],"=")+SUMIFS(tbl_ledger[数量],tbl_ledger[品番],$C315,tbl_ledger[イベント種類],"余剰化",tbl_ledger[元状態],D$304)-SUMIFS(tbl_ledger[数量],tbl_ledger[品番],$C315,tbl_ledger[ロットID],"=",tbl_ledger[元状態],D$304))</f>
        <v/>
      </c>
      <c r="E315" s="4" t="str">
        <f>IF($C315="","",SUMIFS(tbl_ledger[数量],tbl_ledger[品番],$C315,tbl_ledger[イベント種類],"アニール完了",tbl_ledger[ロットID],"=")+SUMIFS(tbl_ledger[数量],tbl_ledger[品番],$C315,tbl_ledger[イベント種類],"余剰化",tbl_ledger[元状態],E$304)-SUMIFS(tbl_ledger[数量],tbl_ledger[品番],$C315,tbl_ledger[ロットID],"=",tbl_ledger[元状態],E$304))</f>
        <v/>
      </c>
      <c r="F315" s="4" t="str">
        <f>IF($C315="","",SUMIFS(tbl_ledger[数量],tbl_ledger[品番],$C315,tbl_ledger[イベント種類],"アセンブリ完了",tbl_ledger[ロットID],"=")+SUMIFS(tbl_ledger[数量],tbl_ledger[品番],$C315,tbl_ledger[イベント種類],"余剰化",tbl_ledger[元状態],F$304)-SUMIFS(tbl_ledger[数量],tbl_ledger[品番],$C315,tbl_ledger[ロットID],"=",tbl_ledger[元状態],F$304))</f>
        <v/>
      </c>
      <c r="G315" s="4" t="str">
        <f>IF($C315="","",SUMIFS(tbl_ledger[数量],tbl_ledger[品番],$C315,tbl_ledger[イベント種類],"梱包完了",tbl_ledger[ロットID],"=")+SUMIFS(tbl_ledger[数量],tbl_ledger[品番],$C315,tbl_ledger[イベント種類],"余剰化",tbl_ledger[元状態],G$304)-SUMIFS(tbl_ledger[数量],tbl_ledger[品番],$C315,tbl_ledger[ロットID],"=",tbl_ledger[元状態],G$304))</f>
        <v/>
      </c>
      <c r="H315" s="4" t="str">
        <f>IF($C315="","",SUMIFS(tbl_ledger[数量],tbl_ledger[品番],$C315,tbl_ledger[イベント種類],"発送準備完了",tbl_ledger[ロットID],"=")+SUMIFS(tbl_ledger[数量],tbl_ledger[品番],$C315,tbl_ledger[イベント種類],"余剰化",tbl_ledger[元状態],H$304)-SUMIFS(tbl_ledger[数量],tbl_ledger[品番],$C315,tbl_ledger[ロットID],"=",tbl_ledger[元状態],H$304))</f>
        <v/>
      </c>
      <c r="I315" s="4" t="str">
        <f>IF($C315="","",SUMIFS(tbl_ledger[数量],tbl_ledger[品番],$C315,tbl_ledger[イベント種類],"不良発生",tbl_ledger[ロットID],"=")+SUMIFS(tbl_ledger[数量],tbl_ledger[品番],$C315,tbl_ledger[イベント種類],"余剰化",tbl_ledger[元状態],I$304)-SUMIFS(tbl_ledger[数量],tbl_ledger[品番],$C315,tbl_ledger[ロットID],"=",tbl_ledger[元状態],I$304))</f>
        <v/>
      </c>
      <c r="J315" s="4" t="str">
        <f t="shared" si="11"/>
        <v/>
      </c>
    </row>
    <row r="316" spans="1:10" ht="15" x14ac:dyDescent="0.25">
      <c r="A316" s="4" t="str">
        <f t="shared" si="10"/>
        <v/>
      </c>
      <c r="B316" s="6"/>
      <c r="C316" s="4" t="str">
        <f>IFERROR(INDEX(tbl_master[品番],ROW()-304),"")</f>
        <v/>
      </c>
      <c r="D316" s="4" t="str">
        <f>IF($C316="","",SUMIFS(tbl_ledger[数量],tbl_ledger[品番],$C316,tbl_ledger[イベント種類],"搬入",tbl_ledger[ロットID],"=")+SUMIFS(tbl_ledger[数量],tbl_ledger[品番],$C316,tbl_ledger[イベント種類],"余剰化",tbl_ledger[元状態],D$304)-SUMIFS(tbl_ledger[数量],tbl_ledger[品番],$C316,tbl_ledger[ロットID],"=",tbl_ledger[元状態],D$304))</f>
        <v/>
      </c>
      <c r="E316" s="4" t="str">
        <f>IF($C316="","",SUMIFS(tbl_ledger[数量],tbl_ledger[品番],$C316,tbl_ledger[イベント種類],"アニール完了",tbl_ledger[ロットID],"=")+SUMIFS(tbl_ledger[数量],tbl_ledger[品番],$C316,tbl_ledger[イベント種類],"余剰化",tbl_ledger[元状態],E$304)-SUMIFS(tbl_ledger[数量],tbl_ledger[品番],$C316,tbl_ledger[ロットID],"=",tbl_ledger[元状態],E$304))</f>
        <v/>
      </c>
      <c r="F316" s="4" t="str">
        <f>IF($C316="","",SUMIFS(tbl_ledger[数量],tbl_ledger[品番],$C316,tbl_ledger[イベント種類],"アセンブリ完了",tbl_ledger[ロットID],"=")+SUMIFS(tbl_ledger[数量],tbl_ledger[品番],$C316,tbl_ledger[イベント種類],"余剰化",tbl_ledger[元状態],F$304)-SUMIFS(tbl_ledger[数量],tbl_ledger[品番],$C316,tbl_ledger[ロットID],"=",tbl_ledger[元状態],F$304))</f>
        <v/>
      </c>
      <c r="G316" s="4" t="str">
        <f>IF($C316="","",SUMIFS(tbl_ledger[数量],tbl_ledger[品番],$C316,tbl_ledger[イベント種類],"梱包完了",tbl_ledger[ロットID],"=")+SUMIFS(tbl_ledger[数量],tbl_ledger[品番],$C316,tbl_ledger[イベント種類],"余剰化",tbl_ledger[元状態],G$304)-SUMIFS(tbl_ledger[数量],tbl_ledger[品番],$C316,tbl_ledger[ロットID],"=",tbl_ledger[元状態],G$304))</f>
        <v/>
      </c>
      <c r="H316" s="4" t="str">
        <f>IF($C316="","",SUMIFS(tbl_ledger[数量],tbl_ledger[品番],$C316,tbl_ledger[イベント種類],"発送準備完了",tbl_ledger[ロットID],"=")+SUMIFS(tbl_ledger[数量],tbl_ledger[品番],$C316,tbl_ledger[イベント種類],"余剰化",tbl_ledger[元状態],H$304)-SUMIFS(tbl_ledger[数量],tbl_ledger[品番],$C316,tbl_ledger[ロットID],"=",tbl_ledger[元状態],H$304))</f>
        <v/>
      </c>
      <c r="I316" s="4" t="str">
        <f>IF($C316="","",SUMIFS(tbl_ledger[数量],tbl_ledger[品番],$C316,tbl_ledger[イベント種類],"不良発生",tbl_ledger[ロットID],"=")+SUMIFS(tbl_ledger[数量],tbl_ledger[品番],$C316,tbl_ledger[イベント種類],"余剰化",tbl_ledger[元状態],I$304)-SUMIFS(tbl_ledger[数量],tbl_ledger[品番],$C316,tbl_ledger[ロットID],"=",tbl_ledger[元状態],I$304))</f>
        <v/>
      </c>
      <c r="J316" s="4" t="str">
        <f t="shared" si="11"/>
        <v/>
      </c>
    </row>
    <row r="317" spans="1:10" ht="15" x14ac:dyDescent="0.25">
      <c r="A317" s="4" t="str">
        <f t="shared" si="10"/>
        <v/>
      </c>
      <c r="B317" s="6"/>
      <c r="C317" s="4" t="str">
        <f>IFERROR(INDEX(tbl_master[品番],ROW()-304),"")</f>
        <v/>
      </c>
      <c r="D317" s="4" t="str">
        <f>IF($C317="","",SUMIFS(tbl_ledger[数量],tbl_ledger[品番],$C317,tbl_ledger[イベント種類],"搬入",tbl_ledger[ロットID],"=")+SUMIFS(tbl_ledger[数量],tbl_ledger[品番],$C317,tbl_ledger[イベント種類],"余剰化",tbl_ledger[元状態],D$304)-SUMIFS(tbl_ledger[数量],tbl_ledger[品番],$C317,tbl_ledger[ロットID],"=",tbl_ledger[元状態],D$304))</f>
        <v/>
      </c>
      <c r="E317" s="4" t="str">
        <f>IF($C317="","",SUMIFS(tbl_ledger[数量],tbl_ledger[品番],$C317,tbl_ledger[イベント種類],"アニール完了",tbl_ledger[ロットID],"=")+SUMIFS(tbl_ledger[数量],tbl_ledger[品番],$C317,tbl_ledger[イベント種類],"余剰化",tbl_ledger[元状態],E$304)-SUMIFS(tbl_ledger[数量],tbl_ledger[品番],$C317,tbl_ledger[ロットID],"=",tbl_ledger[元状態],E$304))</f>
        <v/>
      </c>
      <c r="F317" s="4" t="str">
        <f>IF($C317="","",SUMIFS(tbl_ledger[数量],tbl_ledger[品番],$C317,tbl_ledger[イベント種類],"アセンブリ完了",tbl_ledger[ロットID],"=")+SUMIFS(tbl_ledger[数量],tbl_ledger[品番],$C317,tbl_ledger[イベント種類],"余剰化",tbl_ledger[元状態],F$304)-SUMIFS(tbl_ledger[数量],tbl_ledger[品番],$C317,tbl_ledger[ロットID],"=",tbl_ledger[元状態],F$304))</f>
        <v/>
      </c>
      <c r="G317" s="4" t="str">
        <f>IF($C317="","",SUMIFS(tbl_ledger[数量],tbl_ledger[品番],$C317,tbl_ledger[イベント種類],"梱包完了",tbl_ledger[ロットID],"=")+SUMIFS(tbl_ledger[数量],tbl_ledger[品番],$C317,tbl_ledger[イベント種類],"余剰化",tbl_ledger[元状態],G$304)-SUMIFS(tbl_ledger[数量],tbl_ledger[品番],$C317,tbl_ledger[ロットID],"=",tbl_ledger[元状態],G$304))</f>
        <v/>
      </c>
      <c r="H317" s="4" t="str">
        <f>IF($C317="","",SUMIFS(tbl_ledger[数量],tbl_ledger[品番],$C317,tbl_ledger[イベント種類],"発送準備完了",tbl_ledger[ロットID],"=")+SUMIFS(tbl_ledger[数量],tbl_ledger[品番],$C317,tbl_ledger[イベント種類],"余剰化",tbl_ledger[元状態],H$304)-SUMIFS(tbl_ledger[数量],tbl_ledger[品番],$C317,tbl_ledger[ロットID],"=",tbl_ledger[元状態],H$304))</f>
        <v/>
      </c>
      <c r="I317" s="4" t="str">
        <f>IF($C317="","",SUMIFS(tbl_ledger[数量],tbl_ledger[品番],$C317,tbl_ledger[イベント種類],"不良発生",tbl_ledger[ロットID],"=")+SUMIFS(tbl_ledger[数量],tbl_ledger[品番],$C317,tbl_ledger[イベント種類],"余剰化",tbl_ledger[元状態],I$304)-SUMIFS(tbl_ledger[数量],tbl_ledger[品番],$C317,tbl_ledger[ロットID],"=",tbl_ledger[元状態],I$304))</f>
        <v/>
      </c>
      <c r="J317" s="4" t="str">
        <f t="shared" si="11"/>
        <v/>
      </c>
    </row>
    <row r="318" spans="1:10" ht="15" x14ac:dyDescent="0.25">
      <c r="A318" s="4" t="str">
        <f t="shared" si="10"/>
        <v/>
      </c>
      <c r="B318" s="6"/>
      <c r="C318" s="4" t="str">
        <f>IFERROR(INDEX(tbl_master[品番],ROW()-304),"")</f>
        <v/>
      </c>
      <c r="D318" s="4" t="str">
        <f>IF($C318="","",SUMIFS(tbl_ledger[数量],tbl_ledger[品番],$C318,tbl_ledger[イベント種類],"搬入",tbl_ledger[ロットID],"=")+SUMIFS(tbl_ledger[数量],tbl_ledger[品番],$C318,tbl_ledger[イベント種類],"余剰化",tbl_ledger[元状態],D$304)-SUMIFS(tbl_ledger[数量],tbl_ledger[品番],$C318,tbl_ledger[ロットID],"=",tbl_ledger[元状態],D$304))</f>
        <v/>
      </c>
      <c r="E318" s="4" t="str">
        <f>IF($C318="","",SUMIFS(tbl_ledger[数量],tbl_ledger[品番],$C318,tbl_ledger[イベント種類],"アニール完了",tbl_ledger[ロットID],"=")+SUMIFS(tbl_ledger[数量],tbl_ledger[品番],$C318,tbl_ledger[イベント種類],"余剰化",tbl_ledger[元状態],E$304)-SUMIFS(tbl_ledger[数量],tbl_ledger[品番],$C318,tbl_ledger[ロットID],"=",tbl_ledger[元状態],E$304))</f>
        <v/>
      </c>
      <c r="F318" s="4" t="str">
        <f>IF($C318="","",SUMIFS(tbl_ledger[数量],tbl_ledger[品番],$C318,tbl_ledger[イベント種類],"アセンブリ完了",tbl_ledger[ロットID],"=")+SUMIFS(tbl_ledger[数量],tbl_ledger[品番],$C318,tbl_ledger[イベント種類],"余剰化",tbl_ledger[元状態],F$304)-SUMIFS(tbl_ledger[数量],tbl_ledger[品番],$C318,tbl_ledger[ロットID],"=",tbl_ledger[元状態],F$304))</f>
        <v/>
      </c>
      <c r="G318" s="4" t="str">
        <f>IF($C318="","",SUMIFS(tbl_ledger[数量],tbl_ledger[品番],$C318,tbl_ledger[イベント種類],"梱包完了",tbl_ledger[ロットID],"=")+SUMIFS(tbl_ledger[数量],tbl_ledger[品番],$C318,tbl_ledger[イベント種類],"余剰化",tbl_ledger[元状態],G$304)-SUMIFS(tbl_ledger[数量],tbl_ledger[品番],$C318,tbl_ledger[ロットID],"=",tbl_ledger[元状態],G$304))</f>
        <v/>
      </c>
      <c r="H318" s="4" t="str">
        <f>IF($C318="","",SUMIFS(tbl_ledger[数量],tbl_ledger[品番],$C318,tbl_ledger[イベント種類],"発送準備完了",tbl_ledger[ロットID],"=")+SUMIFS(tbl_ledger[数量],tbl_ledger[品番],$C318,tbl_ledger[イベント種類],"余剰化",tbl_ledger[元状態],H$304)-SUMIFS(tbl_ledger[数量],tbl_ledger[品番],$C318,tbl_ledger[ロットID],"=",tbl_ledger[元状態],H$304))</f>
        <v/>
      </c>
      <c r="I318" s="4" t="str">
        <f>IF($C318="","",SUMIFS(tbl_ledger[数量],tbl_ledger[品番],$C318,tbl_ledger[イベント種類],"不良発生",tbl_ledger[ロットID],"=")+SUMIFS(tbl_ledger[数量],tbl_ledger[品番],$C318,tbl_ledger[イベント種類],"余剰化",tbl_ledger[元状態],I$304)-SUMIFS(tbl_ledger[数量],tbl_ledger[品番],$C318,tbl_ledger[ロットID],"=",tbl_ledger[元状態],I$304))</f>
        <v/>
      </c>
      <c r="J318" s="4" t="str">
        <f t="shared" si="11"/>
        <v/>
      </c>
    </row>
    <row r="319" spans="1:10" ht="15" x14ac:dyDescent="0.25">
      <c r="A319" s="4" t="str">
        <f t="shared" si="10"/>
        <v/>
      </c>
      <c r="B319" s="6"/>
      <c r="C319" s="4" t="str">
        <f>IFERROR(INDEX(tbl_master[品番],ROW()-304),"")</f>
        <v/>
      </c>
      <c r="D319" s="4" t="str">
        <f>IF($C319="","",SUMIFS(tbl_ledger[数量],tbl_ledger[品番],$C319,tbl_ledger[イベント種類],"搬入",tbl_ledger[ロットID],"=")+SUMIFS(tbl_ledger[数量],tbl_ledger[品番],$C319,tbl_ledger[イベント種類],"余剰化",tbl_ledger[元状態],D$304)-SUMIFS(tbl_ledger[数量],tbl_ledger[品番],$C319,tbl_ledger[ロットID],"=",tbl_ledger[元状態],D$304))</f>
        <v/>
      </c>
      <c r="E319" s="4" t="str">
        <f>IF($C319="","",SUMIFS(tbl_ledger[数量],tbl_ledger[品番],$C319,tbl_ledger[イベント種類],"アニール完了",tbl_ledger[ロットID],"=")+SUMIFS(tbl_ledger[数量],tbl_ledger[品番],$C319,tbl_ledger[イベント種類],"余剰化",tbl_ledger[元状態],E$304)-SUMIFS(tbl_ledger[数量],tbl_ledger[品番],$C319,tbl_ledger[ロットID],"=",tbl_ledger[元状態],E$304))</f>
        <v/>
      </c>
      <c r="F319" s="4" t="str">
        <f>IF($C319="","",SUMIFS(tbl_ledger[数量],tbl_ledger[品番],$C319,tbl_ledger[イベント種類],"アセンブリ完了",tbl_ledger[ロットID],"=")+SUMIFS(tbl_ledger[数量],tbl_ledger[品番],$C319,tbl_ledger[イベント種類],"余剰化",tbl_ledger[元状態],F$304)-SUMIFS(tbl_ledger[数量],tbl_ledger[品番],$C319,tbl_ledger[ロットID],"=",tbl_ledger[元状態],F$304))</f>
        <v/>
      </c>
      <c r="G319" s="4" t="str">
        <f>IF($C319="","",SUMIFS(tbl_ledger[数量],tbl_ledger[品番],$C319,tbl_ledger[イベント種類],"梱包完了",tbl_ledger[ロットID],"=")+SUMIFS(tbl_ledger[数量],tbl_ledger[品番],$C319,tbl_ledger[イベント種類],"余剰化",tbl_ledger[元状態],G$304)-SUMIFS(tbl_ledger[数量],tbl_ledger[品番],$C319,tbl_ledger[ロットID],"=",tbl_ledger[元状態],G$304))</f>
        <v/>
      </c>
      <c r="H319" s="4" t="str">
        <f>IF($C319="","",SUMIFS(tbl_ledger[数量],tbl_ledger[品番],$C319,tbl_ledger[イベント種類],"発送準備完了",tbl_ledger[ロットID],"=")+SUMIFS(tbl_ledger[数量],tbl_ledger[品番],$C319,tbl_ledger[イベント種類],"余剰化",tbl_ledger[元状態],H$304)-SUMIFS(tbl_ledger[数量],tbl_ledger[品番],$C319,tbl_ledger[ロットID],"=",tbl_ledger[元状態],H$304))</f>
        <v/>
      </c>
      <c r="I319" s="4" t="str">
        <f>IF($C319="","",SUMIFS(tbl_ledger[数量],tbl_ledger[品番],$C319,tbl_ledger[イベント種類],"不良発生",tbl_ledger[ロットID],"=")+SUMIFS(tbl_ledger[数量],tbl_ledger[品番],$C319,tbl_ledger[イベント種類],"余剰化",tbl_ledger[元状態],I$304)-SUMIFS(tbl_ledger[数量],tbl_ledger[品番],$C319,tbl_ledger[ロットID],"=",tbl_ledger[元状態],I$304))</f>
        <v/>
      </c>
      <c r="J319" s="4" t="str">
        <f t="shared" si="11"/>
        <v/>
      </c>
    </row>
    <row r="320" spans="1:10" ht="15" x14ac:dyDescent="0.25">
      <c r="A320" s="4" t="str">
        <f t="shared" si="10"/>
        <v/>
      </c>
      <c r="B320" s="6"/>
      <c r="C320" s="4" t="str">
        <f>IFERROR(INDEX(tbl_master[品番],ROW()-304),"")</f>
        <v/>
      </c>
      <c r="D320" s="4" t="str">
        <f>IF($C320="","",SUMIFS(tbl_ledger[数量],tbl_ledger[品番],$C320,tbl_ledger[イベント種類],"搬入",tbl_ledger[ロットID],"=")+SUMIFS(tbl_ledger[数量],tbl_ledger[品番],$C320,tbl_ledger[イベント種類],"余剰化",tbl_ledger[元状態],D$304)-SUMIFS(tbl_ledger[数量],tbl_ledger[品番],$C320,tbl_ledger[ロットID],"=",tbl_ledger[元状態],D$304))</f>
        <v/>
      </c>
      <c r="E320" s="4" t="str">
        <f>IF($C320="","",SUMIFS(tbl_ledger[数量],tbl_ledger[品番],$C320,tbl_ledger[イベント種類],"アニール完了",tbl_ledger[ロットID],"=")+SUMIFS(tbl_ledger[数量],tbl_ledger[品番],$C320,tbl_ledger[イベント種類],"余剰化",tbl_ledger[元状態],E$304)-SUMIFS(tbl_ledger[数量],tbl_ledger[品番],$C320,tbl_ledger[ロットID],"=",tbl_ledger[元状態],E$304))</f>
        <v/>
      </c>
      <c r="F320" s="4" t="str">
        <f>IF($C320="","",SUMIFS(tbl_ledger[数量],tbl_ledger[品番],$C320,tbl_ledger[イベント種類],"アセンブリ完了",tbl_ledger[ロットID],"=")+SUMIFS(tbl_ledger[数量],tbl_ledger[品番],$C320,tbl_ledger[イベント種類],"余剰化",tbl_ledger[元状態],F$304)-SUMIFS(tbl_ledger[数量],tbl_ledger[品番],$C320,tbl_ledger[ロットID],"=",tbl_ledger[元状態],F$304))</f>
        <v/>
      </c>
      <c r="G320" s="4" t="str">
        <f>IF($C320="","",SUMIFS(tbl_ledger[数量],tbl_ledger[品番],$C320,tbl_ledger[イベント種類],"梱包完了",tbl_ledger[ロットID],"=")+SUMIFS(tbl_ledger[数量],tbl_ledger[品番],$C320,tbl_ledger[イベント種類],"余剰化",tbl_ledger[元状態],G$304)-SUMIFS(tbl_ledger[数量],tbl_ledger[品番],$C320,tbl_ledger[ロットID],"=",tbl_ledger[元状態],G$304))</f>
        <v/>
      </c>
      <c r="H320" s="4" t="str">
        <f>IF($C320="","",SUMIFS(tbl_ledger[数量],tbl_ledger[品番],$C320,tbl_ledger[イベント種類],"発送準備完了",tbl_ledger[ロットID],"=")+SUMIFS(tbl_ledger[数量],tbl_ledger[品番],$C320,tbl_ledger[イベント種類],"余剰化",tbl_ledger[元状態],H$304)-SUMIFS(tbl_ledger[数量],tbl_ledger[品番],$C320,tbl_ledger[ロットID],"=",tbl_ledger[元状態],H$304))</f>
        <v/>
      </c>
      <c r="I320" s="4" t="str">
        <f>IF($C320="","",SUMIFS(tbl_ledger[数量],tbl_ledger[品番],$C320,tbl_ledger[イベント種類],"不良発生",tbl_ledger[ロットID],"=")+SUMIFS(tbl_ledger[数量],tbl_ledger[品番],$C320,tbl_ledger[イベント種類],"余剰化",tbl_ledger[元状態],I$304)-SUMIFS(tbl_ledger[数量],tbl_ledger[品番],$C320,tbl_ledger[ロットID],"=",tbl_ledger[元状態],I$304))</f>
        <v/>
      </c>
      <c r="J320" s="4" t="str">
        <f t="shared" si="11"/>
        <v/>
      </c>
    </row>
    <row r="321" spans="1:10" ht="15" x14ac:dyDescent="0.25">
      <c r="A321" s="4" t="str">
        <f t="shared" si="10"/>
        <v/>
      </c>
      <c r="B321" s="6"/>
      <c r="C321" s="4" t="str">
        <f>IFERROR(INDEX(tbl_master[品番],ROW()-304),"")</f>
        <v/>
      </c>
      <c r="D321" s="4" t="str">
        <f>IF($C321="","",SUMIFS(tbl_ledger[数量],tbl_ledger[品番],$C321,tbl_ledger[イベント種類],"搬入",tbl_ledger[ロットID],"=")+SUMIFS(tbl_ledger[数量],tbl_ledger[品番],$C321,tbl_ledger[イベント種類],"余剰化",tbl_ledger[元状態],D$304)-SUMIFS(tbl_ledger[数量],tbl_ledger[品番],$C321,tbl_ledger[ロットID],"=",tbl_ledger[元状態],D$304))</f>
        <v/>
      </c>
      <c r="E321" s="4" t="str">
        <f>IF($C321="","",SUMIFS(tbl_ledger[数量],tbl_ledger[品番],$C321,tbl_ledger[イベント種類],"アニール完了",tbl_ledger[ロットID],"=")+SUMIFS(tbl_ledger[数量],tbl_ledger[品番],$C321,tbl_ledger[イベント種類],"余剰化",tbl_ledger[元状態],E$304)-SUMIFS(tbl_ledger[数量],tbl_ledger[品番],$C321,tbl_ledger[ロットID],"=",tbl_ledger[元状態],E$304))</f>
        <v/>
      </c>
      <c r="F321" s="4" t="str">
        <f>IF($C321="","",SUMIFS(tbl_ledger[数量],tbl_ledger[品番],$C321,tbl_ledger[イベント種類],"アセンブリ完了",tbl_ledger[ロットID],"=")+SUMIFS(tbl_ledger[数量],tbl_ledger[品番],$C321,tbl_ledger[イベント種類],"余剰化",tbl_ledger[元状態],F$304)-SUMIFS(tbl_ledger[数量],tbl_ledger[品番],$C321,tbl_ledger[ロットID],"=",tbl_ledger[元状態],F$304))</f>
        <v/>
      </c>
      <c r="G321" s="4" t="str">
        <f>IF($C321="","",SUMIFS(tbl_ledger[数量],tbl_ledger[品番],$C321,tbl_ledger[イベント種類],"梱包完了",tbl_ledger[ロットID],"=")+SUMIFS(tbl_ledger[数量],tbl_ledger[品番],$C321,tbl_ledger[イベント種類],"余剰化",tbl_ledger[元状態],G$304)-SUMIFS(tbl_ledger[数量],tbl_ledger[品番],$C321,tbl_ledger[ロットID],"=",tbl_ledger[元状態],G$304))</f>
        <v/>
      </c>
      <c r="H321" s="4" t="str">
        <f>IF($C321="","",SUMIFS(tbl_ledger[数量],tbl_ledger[品番],$C321,tbl_ledger[イベント種類],"発送準備完了",tbl_ledger[ロットID],"=")+SUMIFS(tbl_ledger[数量],tbl_ledger[品番],$C321,tbl_ledger[イベント種類],"余剰化",tbl_ledger[元状態],H$304)-SUMIFS(tbl_ledger[数量],tbl_ledger[品番],$C321,tbl_ledger[ロットID],"=",tbl_ledger[元状態],H$304))</f>
        <v/>
      </c>
      <c r="I321" s="4" t="str">
        <f>IF($C321="","",SUMIFS(tbl_ledger[数量],tbl_ledger[品番],$C321,tbl_ledger[イベント種類],"不良発生",tbl_ledger[ロットID],"=")+SUMIFS(tbl_ledger[数量],tbl_ledger[品番],$C321,tbl_ledger[イベント種類],"余剰化",tbl_ledger[元状態],I$304)-SUMIFS(tbl_ledger[数量],tbl_ledger[品番],$C321,tbl_ledger[ロットID],"=",tbl_ledger[元状態],I$304))</f>
        <v/>
      </c>
      <c r="J321" s="4" t="str">
        <f t="shared" si="11"/>
        <v/>
      </c>
    </row>
    <row r="322" spans="1:10" ht="15" x14ac:dyDescent="0.25">
      <c r="A322" s="4" t="str">
        <f t="shared" si="10"/>
        <v/>
      </c>
      <c r="B322" s="6"/>
      <c r="C322" s="4" t="str">
        <f>IFERROR(INDEX(tbl_master[品番],ROW()-304),"")</f>
        <v/>
      </c>
      <c r="D322" s="4" t="str">
        <f>IF($C322="","",SUMIFS(tbl_ledger[数量],tbl_ledger[品番],$C322,tbl_ledger[イベント種類],"搬入",tbl_ledger[ロットID],"=")+SUMIFS(tbl_ledger[数量],tbl_ledger[品番],$C322,tbl_ledger[イベント種類],"余剰化",tbl_ledger[元状態],D$304)-SUMIFS(tbl_ledger[数量],tbl_ledger[品番],$C322,tbl_ledger[ロットID],"=",tbl_ledger[元状態],D$304))</f>
        <v/>
      </c>
      <c r="E322" s="4" t="str">
        <f>IF($C322="","",SUMIFS(tbl_ledger[数量],tbl_ledger[品番],$C322,tbl_ledger[イベント種類],"アニール完了",tbl_ledger[ロットID],"=")+SUMIFS(tbl_ledger[数量],tbl_ledger[品番],$C322,tbl_ledger[イベント種類],"余剰化",tbl_ledger[元状態],E$304)-SUMIFS(tbl_ledger[数量],tbl_ledger[品番],$C322,tbl_ledger[ロットID],"=",tbl_ledger[元状態],E$304))</f>
        <v/>
      </c>
      <c r="F322" s="4" t="str">
        <f>IF($C322="","",SUMIFS(tbl_ledger[数量],tbl_ledger[品番],$C322,tbl_ledger[イベント種類],"アセンブリ完了",tbl_ledger[ロットID],"=")+SUMIFS(tbl_ledger[数量],tbl_ledger[品番],$C322,tbl_ledger[イベント種類],"余剰化",tbl_ledger[元状態],F$304)-SUMIFS(tbl_ledger[数量],tbl_ledger[品番],$C322,tbl_ledger[ロットID],"=",tbl_ledger[元状態],F$304))</f>
        <v/>
      </c>
      <c r="G322" s="4" t="str">
        <f>IF($C322="","",SUMIFS(tbl_ledger[数量],tbl_ledger[品番],$C322,tbl_ledger[イベント種類],"梱包完了",tbl_ledger[ロットID],"=")+SUMIFS(tbl_ledger[数量],tbl_ledger[品番],$C322,tbl_ledger[イベント種類],"余剰化",tbl_ledger[元状態],G$304)-SUMIFS(tbl_ledger[数量],tbl_ledger[品番],$C322,tbl_ledger[ロットID],"=",tbl_ledger[元状態],G$304))</f>
        <v/>
      </c>
      <c r="H322" s="4" t="str">
        <f>IF($C322="","",SUMIFS(tbl_ledger[数量],tbl_ledger[品番],$C322,tbl_ledger[イベント種類],"発送準備完了",tbl_ledger[ロットID],"=")+SUMIFS(tbl_ledger[数量],tbl_ledger[品番],$C322,tbl_ledger[イベント種類],"余剰化",tbl_ledger[元状態],H$304)-SUMIFS(tbl_ledger[数量],tbl_ledger[品番],$C322,tbl_ledger[ロットID],"=",tbl_ledger[元状態],H$304))</f>
        <v/>
      </c>
      <c r="I322" s="4" t="str">
        <f>IF($C322="","",SUMIFS(tbl_ledger[数量],tbl_ledger[品番],$C322,tbl_ledger[イベント種類],"不良発生",tbl_ledger[ロットID],"=")+SUMIFS(tbl_ledger[数量],tbl_ledger[品番],$C322,tbl_ledger[イベント種類],"余剰化",tbl_ledger[元状態],I$304)-SUMIFS(tbl_ledger[数量],tbl_ledger[品番],$C322,tbl_ledger[ロットID],"=",tbl_ledger[元状態],I$304))</f>
        <v/>
      </c>
      <c r="J322" s="4" t="str">
        <f t="shared" si="11"/>
        <v/>
      </c>
    </row>
    <row r="323" spans="1:10" ht="15" x14ac:dyDescent="0.25">
      <c r="A323" s="4" t="str">
        <f t="shared" si="10"/>
        <v/>
      </c>
      <c r="B323" s="6"/>
      <c r="C323" s="4" t="str">
        <f>IFERROR(INDEX(tbl_master[品番],ROW()-304),"")</f>
        <v/>
      </c>
      <c r="D323" s="4" t="str">
        <f>IF($C323="","",SUMIFS(tbl_ledger[数量],tbl_ledger[品番],$C323,tbl_ledger[イベント種類],"搬入",tbl_ledger[ロットID],"=")+SUMIFS(tbl_ledger[数量],tbl_ledger[品番],$C323,tbl_ledger[イベント種類],"余剰化",tbl_ledger[元状態],D$304)-SUMIFS(tbl_ledger[数量],tbl_ledger[品番],$C323,tbl_ledger[ロットID],"=",tbl_ledger[元状態],D$304))</f>
        <v/>
      </c>
      <c r="E323" s="4" t="str">
        <f>IF($C323="","",SUMIFS(tbl_ledger[数量],tbl_ledger[品番],$C323,tbl_ledger[イベント種類],"アニール完了",tbl_ledger[ロットID],"=")+SUMIFS(tbl_ledger[数量],tbl_ledger[品番],$C323,tbl_ledger[イベント種類],"余剰化",tbl_ledger[元状態],E$304)-SUMIFS(tbl_ledger[数量],tbl_ledger[品番],$C323,tbl_ledger[ロットID],"=",tbl_ledger[元状態],E$304))</f>
        <v/>
      </c>
      <c r="F323" s="4" t="str">
        <f>IF($C323="","",SUMIFS(tbl_ledger[数量],tbl_ledger[品番],$C323,tbl_ledger[イベント種類],"アセンブリ完了",tbl_ledger[ロットID],"=")+SUMIFS(tbl_ledger[数量],tbl_ledger[品番],$C323,tbl_ledger[イベント種類],"余剰化",tbl_ledger[元状態],F$304)-SUMIFS(tbl_ledger[数量],tbl_ledger[品番],$C323,tbl_ledger[ロットID],"=",tbl_ledger[元状態],F$304))</f>
        <v/>
      </c>
      <c r="G323" s="4" t="str">
        <f>IF($C323="","",SUMIFS(tbl_ledger[数量],tbl_ledger[品番],$C323,tbl_ledger[イベント種類],"梱包完了",tbl_ledger[ロットID],"=")+SUMIFS(tbl_ledger[数量],tbl_ledger[品番],$C323,tbl_ledger[イベント種類],"余剰化",tbl_ledger[元状態],G$304)-SUMIFS(tbl_ledger[数量],tbl_ledger[品番],$C323,tbl_ledger[ロットID],"=",tbl_ledger[元状態],G$304))</f>
        <v/>
      </c>
      <c r="H323" s="4" t="str">
        <f>IF($C323="","",SUMIFS(tbl_ledger[数量],tbl_ledger[品番],$C323,tbl_ledger[イベント種類],"発送準備完了",tbl_ledger[ロットID],"=")+SUMIFS(tbl_ledger[数量],tbl_ledger[品番],$C323,tbl_ledger[イベント種類],"余剰化",tbl_ledger[元状態],H$304)-SUMIFS(tbl_ledger[数量],tbl_ledger[品番],$C323,tbl_ledger[ロットID],"=",tbl_ledger[元状態],H$304))</f>
        <v/>
      </c>
      <c r="I323" s="4" t="str">
        <f>IF($C323="","",SUMIFS(tbl_ledger[数量],tbl_ledger[品番],$C323,tbl_ledger[イベント種類],"不良発生",tbl_ledger[ロットID],"=")+SUMIFS(tbl_ledger[数量],tbl_ledger[品番],$C323,tbl_ledger[イベント種類],"余剰化",tbl_ledger[元状態],I$304)-SUMIFS(tbl_ledger[数量],tbl_ledger[品番],$C323,tbl_ledger[ロットID],"=",tbl_ledger[元状態],I$304))</f>
        <v/>
      </c>
      <c r="J323" s="4" t="str">
        <f t="shared" si="11"/>
        <v/>
      </c>
    </row>
    <row r="324" spans="1:10" ht="15" x14ac:dyDescent="0.25">
      <c r="A324" s="4" t="str">
        <f t="shared" si="10"/>
        <v/>
      </c>
      <c r="B324" s="6"/>
      <c r="C324" s="4" t="str">
        <f>IFERROR(INDEX(tbl_master[品番],ROW()-304),"")</f>
        <v/>
      </c>
      <c r="D324" s="4" t="str">
        <f>IF($C324="","",SUMIFS(tbl_ledger[数量],tbl_ledger[品番],$C324,tbl_ledger[イベント種類],"搬入",tbl_ledger[ロットID],"=")+SUMIFS(tbl_ledger[数量],tbl_ledger[品番],$C324,tbl_ledger[イベント種類],"余剰化",tbl_ledger[元状態],D$304)-SUMIFS(tbl_ledger[数量],tbl_ledger[品番],$C324,tbl_ledger[ロットID],"=",tbl_ledger[元状態],D$304))</f>
        <v/>
      </c>
      <c r="E324" s="4" t="str">
        <f>IF($C324="","",SUMIFS(tbl_ledger[数量],tbl_ledger[品番],$C324,tbl_ledger[イベント種類],"アニール完了",tbl_ledger[ロットID],"=")+SUMIFS(tbl_ledger[数量],tbl_ledger[品番],$C324,tbl_ledger[イベント種類],"余剰化",tbl_ledger[元状態],E$304)-SUMIFS(tbl_ledger[数量],tbl_ledger[品番],$C324,tbl_ledger[ロットID],"=",tbl_ledger[元状態],E$304))</f>
        <v/>
      </c>
      <c r="F324" s="4" t="str">
        <f>IF($C324="","",SUMIFS(tbl_ledger[数量],tbl_ledger[品番],$C324,tbl_ledger[イベント種類],"アセンブリ完了",tbl_ledger[ロットID],"=")+SUMIFS(tbl_ledger[数量],tbl_ledger[品番],$C324,tbl_ledger[イベント種類],"余剰化",tbl_ledger[元状態],F$304)-SUMIFS(tbl_ledger[数量],tbl_ledger[品番],$C324,tbl_ledger[ロットID],"=",tbl_ledger[元状態],F$304))</f>
        <v/>
      </c>
      <c r="G324" s="4" t="str">
        <f>IF($C324="","",SUMIFS(tbl_ledger[数量],tbl_ledger[品番],$C324,tbl_ledger[イベント種類],"梱包完了",tbl_ledger[ロットID],"=")+SUMIFS(tbl_ledger[数量],tbl_ledger[品番],$C324,tbl_ledger[イベント種類],"余剰化",tbl_ledger[元状態],G$304)-SUMIFS(tbl_ledger[数量],tbl_ledger[品番],$C324,tbl_ledger[ロットID],"=",tbl_ledger[元状態],G$304))</f>
        <v/>
      </c>
      <c r="H324" s="4" t="str">
        <f>IF($C324="","",SUMIFS(tbl_ledger[数量],tbl_ledger[品番],$C324,tbl_ledger[イベント種類],"発送準備完了",tbl_ledger[ロットID],"=")+SUMIFS(tbl_ledger[数量],tbl_ledger[品番],$C324,tbl_ledger[イベント種類],"余剰化",tbl_ledger[元状態],H$304)-SUMIFS(tbl_ledger[数量],tbl_ledger[品番],$C324,tbl_ledger[ロットID],"=",tbl_ledger[元状態],H$304))</f>
        <v/>
      </c>
      <c r="I324" s="4" t="str">
        <f>IF($C324="","",SUMIFS(tbl_ledger[数量],tbl_ledger[品番],$C324,tbl_ledger[イベント種類],"不良発生",tbl_ledger[ロットID],"=")+SUMIFS(tbl_ledger[数量],tbl_ledger[品番],$C324,tbl_ledger[イベント種類],"余剰化",tbl_ledger[元状態],I$304)-SUMIFS(tbl_ledger[数量],tbl_ledger[品番],$C324,tbl_ledger[ロットID],"=",tbl_ledger[元状態],I$304))</f>
        <v/>
      </c>
      <c r="J324" s="4" t="str">
        <f t="shared" si="11"/>
        <v/>
      </c>
    </row>
    <row r="325" spans="1:10" ht="15" x14ac:dyDescent="0.25">
      <c r="A325" s="4" t="str">
        <f t="shared" si="10"/>
        <v/>
      </c>
      <c r="B325" s="6"/>
      <c r="C325" s="4" t="str">
        <f>IFERROR(INDEX(tbl_master[品番],ROW()-304),"")</f>
        <v/>
      </c>
      <c r="D325" s="4" t="str">
        <f>IF($C325="","",SUMIFS(tbl_ledger[数量],tbl_ledger[品番],$C325,tbl_ledger[イベント種類],"搬入",tbl_ledger[ロットID],"=")+SUMIFS(tbl_ledger[数量],tbl_ledger[品番],$C325,tbl_ledger[イベント種類],"余剰化",tbl_ledger[元状態],D$304)-SUMIFS(tbl_ledger[数量],tbl_ledger[品番],$C325,tbl_ledger[ロットID],"=",tbl_ledger[元状態],D$304))</f>
        <v/>
      </c>
      <c r="E325" s="4" t="str">
        <f>IF($C325="","",SUMIFS(tbl_ledger[数量],tbl_ledger[品番],$C325,tbl_ledger[イベント種類],"アニール完了",tbl_ledger[ロットID],"=")+SUMIFS(tbl_ledger[数量],tbl_ledger[品番],$C325,tbl_ledger[イベント種類],"余剰化",tbl_ledger[元状態],E$304)-SUMIFS(tbl_ledger[数量],tbl_ledger[品番],$C325,tbl_ledger[ロットID],"=",tbl_ledger[元状態],E$304))</f>
        <v/>
      </c>
      <c r="F325" s="4" t="str">
        <f>IF($C325="","",SUMIFS(tbl_ledger[数量],tbl_ledger[品番],$C325,tbl_ledger[イベント種類],"アセンブリ完了",tbl_ledger[ロットID],"=")+SUMIFS(tbl_ledger[数量],tbl_ledger[品番],$C325,tbl_ledger[イベント種類],"余剰化",tbl_ledger[元状態],F$304)-SUMIFS(tbl_ledger[数量],tbl_ledger[品番],$C325,tbl_ledger[ロットID],"=",tbl_ledger[元状態],F$304))</f>
        <v/>
      </c>
      <c r="G325" s="4" t="str">
        <f>IF($C325="","",SUMIFS(tbl_ledger[数量],tbl_ledger[品番],$C325,tbl_ledger[イベント種類],"梱包完了",tbl_ledger[ロットID],"=")+SUMIFS(tbl_ledger[数量],tbl_ledger[品番],$C325,tbl_ledger[イベント種類],"余剰化",tbl_ledger[元状態],G$304)-SUMIFS(tbl_ledger[数量],tbl_ledger[品番],$C325,tbl_ledger[ロットID],"=",tbl_ledger[元状態],G$304))</f>
        <v/>
      </c>
      <c r="H325" s="4" t="str">
        <f>IF($C325="","",SUMIFS(tbl_ledger[数量],tbl_ledger[品番],$C325,tbl_ledger[イベント種類],"発送準備完了",tbl_ledger[ロットID],"=")+SUMIFS(tbl_ledger[数量],tbl_ledger[品番],$C325,tbl_ledger[イベント種類],"余剰化",tbl_ledger[元状態],H$304)-SUMIFS(tbl_ledger[数量],tbl_ledger[品番],$C325,tbl_ledger[ロットID],"=",tbl_ledger[元状態],H$304))</f>
        <v/>
      </c>
      <c r="I325" s="4" t="str">
        <f>IF($C325="","",SUMIFS(tbl_ledger[数量],tbl_ledger[品番],$C325,tbl_ledger[イベント種類],"不良発生",tbl_ledger[ロットID],"=")+SUMIFS(tbl_ledger[数量],tbl_ledger[品番],$C325,tbl_ledger[イベント種類],"余剰化",tbl_ledger[元状態],I$304)-SUMIFS(tbl_ledger[数量],tbl_ledger[品番],$C325,tbl_ledger[ロットID],"=",tbl_ledger[元状態],I$304))</f>
        <v/>
      </c>
      <c r="J325" s="4" t="str">
        <f t="shared" si="11"/>
        <v/>
      </c>
    </row>
    <row r="326" spans="1:10" ht="15" x14ac:dyDescent="0.25">
      <c r="A326" s="4" t="str">
        <f t="shared" si="10"/>
        <v/>
      </c>
      <c r="B326" s="6"/>
      <c r="C326" s="4" t="str">
        <f>IFERROR(INDEX(tbl_master[品番],ROW()-304),"")</f>
        <v/>
      </c>
      <c r="D326" s="4" t="str">
        <f>IF($C326="","",SUMIFS(tbl_ledger[数量],tbl_ledger[品番],$C326,tbl_ledger[イベント種類],"搬入",tbl_ledger[ロットID],"=")+SUMIFS(tbl_ledger[数量],tbl_ledger[品番],$C326,tbl_ledger[イベント種類],"余剰化",tbl_ledger[元状態],D$304)-SUMIFS(tbl_ledger[数量],tbl_ledger[品番],$C326,tbl_ledger[ロットID],"=",tbl_ledger[元状態],D$304))</f>
        <v/>
      </c>
      <c r="E326" s="4" t="str">
        <f>IF($C326="","",SUMIFS(tbl_ledger[数量],tbl_ledger[品番],$C326,tbl_ledger[イベント種類],"アニール完了",tbl_ledger[ロットID],"=")+SUMIFS(tbl_ledger[数量],tbl_ledger[品番],$C326,tbl_ledger[イベント種類],"余剰化",tbl_ledger[元状態],E$304)-SUMIFS(tbl_ledger[数量],tbl_ledger[品番],$C326,tbl_ledger[ロットID],"=",tbl_ledger[元状態],E$304))</f>
        <v/>
      </c>
      <c r="F326" s="4" t="str">
        <f>IF($C326="","",SUMIFS(tbl_ledger[数量],tbl_ledger[品番],$C326,tbl_ledger[イベント種類],"アセンブリ完了",tbl_ledger[ロットID],"=")+SUMIFS(tbl_ledger[数量],tbl_ledger[品番],$C326,tbl_ledger[イベント種類],"余剰化",tbl_ledger[元状態],F$304)-SUMIFS(tbl_ledger[数量],tbl_ledger[品番],$C326,tbl_ledger[ロットID],"=",tbl_ledger[元状態],F$304))</f>
        <v/>
      </c>
      <c r="G326" s="4" t="str">
        <f>IF($C326="","",SUMIFS(tbl_ledger[数量],tbl_ledger[品番],$C326,tbl_ledger[イベント種類],"梱包完了",tbl_ledger[ロットID],"=")+SUMIFS(tbl_ledger[数量],tbl_ledger[品番],$C326,tbl_ledger[イベント種類],"余剰化",tbl_ledger[元状態],G$304)-SUMIFS(tbl_ledger[数量],tbl_ledger[品番],$C326,tbl_ledger[ロットID],"=",tbl_ledger[元状態],G$304))</f>
        <v/>
      </c>
      <c r="H326" s="4" t="str">
        <f>IF($C326="","",SUMIFS(tbl_ledger[数量],tbl_ledger[品番],$C326,tbl_ledger[イベント種類],"発送準備完了",tbl_ledger[ロットID],"=")+SUMIFS(tbl_ledger[数量],tbl_ledger[品番],$C326,tbl_ledger[イベント種類],"余剰化",tbl_ledger[元状態],H$304)-SUMIFS(tbl_ledger[数量],tbl_ledger[品番],$C326,tbl_ledger[ロットID],"=",tbl_ledger[元状態],H$304))</f>
        <v/>
      </c>
      <c r="I326" s="4" t="str">
        <f>IF($C326="","",SUMIFS(tbl_ledger[数量],tbl_ledger[品番],$C326,tbl_ledger[イベント種類],"不良発生",tbl_ledger[ロットID],"=")+SUMIFS(tbl_ledger[数量],tbl_ledger[品番],$C326,tbl_ledger[イベント種類],"余剰化",tbl_ledger[元状態],I$304)-SUMIFS(tbl_ledger[数量],tbl_ledger[品番],$C326,tbl_ledger[ロットID],"=",tbl_ledger[元状態],I$304))</f>
        <v/>
      </c>
      <c r="J326" s="4" t="str">
        <f t="shared" si="11"/>
        <v/>
      </c>
    </row>
    <row r="327" spans="1:10" ht="15" x14ac:dyDescent="0.25">
      <c r="A327" s="4" t="str">
        <f t="shared" si="10"/>
        <v/>
      </c>
      <c r="B327" s="6"/>
      <c r="C327" s="4" t="str">
        <f>IFERROR(INDEX(tbl_master[品番],ROW()-304),"")</f>
        <v/>
      </c>
      <c r="D327" s="4" t="str">
        <f>IF($C327="","",SUMIFS(tbl_ledger[数量],tbl_ledger[品番],$C327,tbl_ledger[イベント種類],"搬入",tbl_ledger[ロットID],"=")+SUMIFS(tbl_ledger[数量],tbl_ledger[品番],$C327,tbl_ledger[イベント種類],"余剰化",tbl_ledger[元状態],D$304)-SUMIFS(tbl_ledger[数量],tbl_ledger[品番],$C327,tbl_ledger[ロットID],"=",tbl_ledger[元状態],D$304))</f>
        <v/>
      </c>
      <c r="E327" s="4" t="str">
        <f>IF($C327="","",SUMIFS(tbl_ledger[数量],tbl_ledger[品番],$C327,tbl_ledger[イベント種類],"アニール完了",tbl_ledger[ロットID],"=")+SUMIFS(tbl_ledger[数量],tbl_ledger[品番],$C327,tbl_ledger[イベント種類],"余剰化",tbl_ledger[元状態],E$304)-SUMIFS(tbl_ledger[数量],tbl_ledger[品番],$C327,tbl_ledger[ロットID],"=",tbl_ledger[元状態],E$304))</f>
        <v/>
      </c>
      <c r="F327" s="4" t="str">
        <f>IF($C327="","",SUMIFS(tbl_ledger[数量],tbl_ledger[品番],$C327,tbl_ledger[イベント種類],"アセンブリ完了",tbl_ledger[ロットID],"=")+SUMIFS(tbl_ledger[数量],tbl_ledger[品番],$C327,tbl_ledger[イベント種類],"余剰化",tbl_ledger[元状態],F$304)-SUMIFS(tbl_ledger[数量],tbl_ledger[品番],$C327,tbl_ledger[ロットID],"=",tbl_ledger[元状態],F$304))</f>
        <v/>
      </c>
      <c r="G327" s="4" t="str">
        <f>IF($C327="","",SUMIFS(tbl_ledger[数量],tbl_ledger[品番],$C327,tbl_ledger[イベント種類],"梱包完了",tbl_ledger[ロットID],"=")+SUMIFS(tbl_ledger[数量],tbl_ledger[品番],$C327,tbl_ledger[イベント種類],"余剰化",tbl_ledger[元状態],G$304)-SUMIFS(tbl_ledger[数量],tbl_ledger[品番],$C327,tbl_ledger[ロットID],"=",tbl_ledger[元状態],G$304))</f>
        <v/>
      </c>
      <c r="H327" s="4" t="str">
        <f>IF($C327="","",SUMIFS(tbl_ledger[数量],tbl_ledger[品番],$C327,tbl_ledger[イベント種類],"発送準備完了",tbl_ledger[ロットID],"=")+SUMIFS(tbl_ledger[数量],tbl_ledger[品番],$C327,tbl_ledger[イベント種類],"余剰化",tbl_ledger[元状態],H$304)-SUMIFS(tbl_ledger[数量],tbl_ledger[品番],$C327,tbl_ledger[ロットID],"=",tbl_ledger[元状態],H$304))</f>
        <v/>
      </c>
      <c r="I327" s="4" t="str">
        <f>IF($C327="","",SUMIFS(tbl_ledger[数量],tbl_ledger[品番],$C327,tbl_ledger[イベント種類],"不良発生",tbl_ledger[ロットID],"=")+SUMIFS(tbl_ledger[数量],tbl_ledger[品番],$C327,tbl_ledger[イベント種類],"余剰化",tbl_ledger[元状態],I$304)-SUMIFS(tbl_ledger[数量],tbl_ledger[品番],$C327,tbl_ledger[ロットID],"=",tbl_ledger[元状態],I$304))</f>
        <v/>
      </c>
      <c r="J327" s="4" t="str">
        <f t="shared" si="11"/>
        <v/>
      </c>
    </row>
    <row r="328" spans="1:10" ht="15" x14ac:dyDescent="0.25">
      <c r="A328" s="4" t="str">
        <f t="shared" si="10"/>
        <v/>
      </c>
      <c r="B328" s="6"/>
      <c r="C328" s="4" t="str">
        <f>IFERROR(INDEX(tbl_master[品番],ROW()-304),"")</f>
        <v/>
      </c>
      <c r="D328" s="4" t="str">
        <f>IF($C328="","",SUMIFS(tbl_ledger[数量],tbl_ledger[品番],$C328,tbl_ledger[イベント種類],"搬入",tbl_ledger[ロットID],"=")+SUMIFS(tbl_ledger[数量],tbl_ledger[品番],$C328,tbl_ledger[イベント種類],"余剰化",tbl_ledger[元状態],D$304)-SUMIFS(tbl_ledger[数量],tbl_ledger[品番],$C328,tbl_ledger[ロットID],"=",tbl_ledger[元状態],D$304))</f>
        <v/>
      </c>
      <c r="E328" s="4" t="str">
        <f>IF($C328="","",SUMIFS(tbl_ledger[数量],tbl_ledger[品番],$C328,tbl_ledger[イベント種類],"アニール完了",tbl_ledger[ロットID],"=")+SUMIFS(tbl_ledger[数量],tbl_ledger[品番],$C328,tbl_ledger[イベント種類],"余剰化",tbl_ledger[元状態],E$304)-SUMIFS(tbl_ledger[数量],tbl_ledger[品番],$C328,tbl_ledger[ロットID],"=",tbl_ledger[元状態],E$304))</f>
        <v/>
      </c>
      <c r="F328" s="4" t="str">
        <f>IF($C328="","",SUMIFS(tbl_ledger[数量],tbl_ledger[品番],$C328,tbl_ledger[イベント種類],"アセンブリ完了",tbl_ledger[ロットID],"=")+SUMIFS(tbl_ledger[数量],tbl_ledger[品番],$C328,tbl_ledger[イベント種類],"余剰化",tbl_ledger[元状態],F$304)-SUMIFS(tbl_ledger[数量],tbl_ledger[品番],$C328,tbl_ledger[ロットID],"=",tbl_ledger[元状態],F$304))</f>
        <v/>
      </c>
      <c r="G328" s="4" t="str">
        <f>IF($C328="","",SUMIFS(tbl_ledger[数量],tbl_ledger[品番],$C328,tbl_ledger[イベント種類],"梱包完了",tbl_ledger[ロットID],"=")+SUMIFS(tbl_ledger[数量],tbl_ledger[品番],$C328,tbl_ledger[イベント種類],"余剰化",tbl_ledger[元状態],G$304)-SUMIFS(tbl_ledger[数量],tbl_ledger[品番],$C328,tbl_ledger[ロットID],"=",tbl_ledger[元状態],G$304))</f>
        <v/>
      </c>
      <c r="H328" s="4" t="str">
        <f>IF($C328="","",SUMIFS(tbl_ledger[数量],tbl_ledger[品番],$C328,tbl_ledger[イベント種類],"発送準備完了",tbl_ledger[ロットID],"=")+SUMIFS(tbl_ledger[数量],tbl_ledger[品番],$C328,tbl_ledger[イベント種類],"余剰化",tbl_ledger[元状態],H$304)-SUMIFS(tbl_ledger[数量],tbl_ledger[品番],$C328,tbl_ledger[ロットID],"=",tbl_ledger[元状態],H$304))</f>
        <v/>
      </c>
      <c r="I328" s="4" t="str">
        <f>IF($C328="","",SUMIFS(tbl_ledger[数量],tbl_ledger[品番],$C328,tbl_ledger[イベント種類],"不良発生",tbl_ledger[ロットID],"=")+SUMIFS(tbl_ledger[数量],tbl_ledger[品番],$C328,tbl_ledger[イベント種類],"余剰化",tbl_ledger[元状態],I$304)-SUMIFS(tbl_ledger[数量],tbl_ledger[品番],$C328,tbl_ledger[ロットID],"=",tbl_ledger[元状態],I$304))</f>
        <v/>
      </c>
      <c r="J328" s="4" t="str">
        <f t="shared" si="11"/>
        <v/>
      </c>
    </row>
    <row r="329" spans="1:10" ht="15" x14ac:dyDescent="0.25">
      <c r="A329" s="4" t="str">
        <f t="shared" si="10"/>
        <v/>
      </c>
      <c r="B329" s="6"/>
      <c r="C329" s="4" t="str">
        <f>IFERROR(INDEX(tbl_master[品番],ROW()-304),"")</f>
        <v/>
      </c>
      <c r="D329" s="4" t="str">
        <f>IF($C329="","",SUMIFS(tbl_ledger[数量],tbl_ledger[品番],$C329,tbl_ledger[イベント種類],"搬入",tbl_ledger[ロットID],"=")+SUMIFS(tbl_ledger[数量],tbl_ledger[品番],$C329,tbl_ledger[イベント種類],"余剰化",tbl_ledger[元状態],D$304)-SUMIFS(tbl_ledger[数量],tbl_ledger[品番],$C329,tbl_ledger[ロットID],"=",tbl_ledger[元状態],D$304))</f>
        <v/>
      </c>
      <c r="E329" s="4" t="str">
        <f>IF($C329="","",SUMIFS(tbl_ledger[数量],tbl_ledger[品番],$C329,tbl_ledger[イベント種類],"アニール完了",tbl_ledger[ロットID],"=")+SUMIFS(tbl_ledger[数量],tbl_ledger[品番],$C329,tbl_ledger[イベント種類],"余剰化",tbl_ledger[元状態],E$304)-SUMIFS(tbl_ledger[数量],tbl_ledger[品番],$C329,tbl_ledger[ロットID],"=",tbl_ledger[元状態],E$304))</f>
        <v/>
      </c>
      <c r="F329" s="4" t="str">
        <f>IF($C329="","",SUMIFS(tbl_ledger[数量],tbl_ledger[品番],$C329,tbl_ledger[イベント種類],"アセンブリ完了",tbl_ledger[ロットID],"=")+SUMIFS(tbl_ledger[数量],tbl_ledger[品番],$C329,tbl_ledger[イベント種類],"余剰化",tbl_ledger[元状態],F$304)-SUMIFS(tbl_ledger[数量],tbl_ledger[品番],$C329,tbl_ledger[ロットID],"=",tbl_ledger[元状態],F$304))</f>
        <v/>
      </c>
      <c r="G329" s="4" t="str">
        <f>IF($C329="","",SUMIFS(tbl_ledger[数量],tbl_ledger[品番],$C329,tbl_ledger[イベント種類],"梱包完了",tbl_ledger[ロットID],"=")+SUMIFS(tbl_ledger[数量],tbl_ledger[品番],$C329,tbl_ledger[イベント種類],"余剰化",tbl_ledger[元状態],G$304)-SUMIFS(tbl_ledger[数量],tbl_ledger[品番],$C329,tbl_ledger[ロットID],"=",tbl_ledger[元状態],G$304))</f>
        <v/>
      </c>
      <c r="H329" s="4" t="str">
        <f>IF($C329="","",SUMIFS(tbl_ledger[数量],tbl_ledger[品番],$C329,tbl_ledger[イベント種類],"発送準備完了",tbl_ledger[ロットID],"=")+SUMIFS(tbl_ledger[数量],tbl_ledger[品番],$C329,tbl_ledger[イベント種類],"余剰化",tbl_ledger[元状態],H$304)-SUMIFS(tbl_ledger[数量],tbl_ledger[品番],$C329,tbl_ledger[ロットID],"=",tbl_ledger[元状態],H$304))</f>
        <v/>
      </c>
      <c r="I329" s="4" t="str">
        <f>IF($C329="","",SUMIFS(tbl_ledger[数量],tbl_ledger[品番],$C329,tbl_ledger[イベント種類],"不良発生",tbl_ledger[ロットID],"=")+SUMIFS(tbl_ledger[数量],tbl_ledger[品番],$C329,tbl_ledger[イベント種類],"余剰化",tbl_ledger[元状態],I$304)-SUMIFS(tbl_ledger[数量],tbl_ledger[品番],$C329,tbl_ledger[ロットID],"=",tbl_ledger[元状態],I$304))</f>
        <v/>
      </c>
      <c r="J329" s="4" t="str">
        <f t="shared" si="11"/>
        <v/>
      </c>
    </row>
    <row r="330" spans="1:10" ht="15" x14ac:dyDescent="0.25">
      <c r="A330" s="4" t="str">
        <f t="shared" si="10"/>
        <v/>
      </c>
      <c r="B330" s="6"/>
      <c r="C330" s="4" t="str">
        <f>IFERROR(INDEX(tbl_master[品番],ROW()-304),"")</f>
        <v/>
      </c>
      <c r="D330" s="4" t="str">
        <f>IF($C330="","",SUMIFS(tbl_ledger[数量],tbl_ledger[品番],$C330,tbl_ledger[イベント種類],"搬入",tbl_ledger[ロットID],"=")+SUMIFS(tbl_ledger[数量],tbl_ledger[品番],$C330,tbl_ledger[イベント種類],"余剰化",tbl_ledger[元状態],D$304)-SUMIFS(tbl_ledger[数量],tbl_ledger[品番],$C330,tbl_ledger[ロットID],"=",tbl_ledger[元状態],D$304))</f>
        <v/>
      </c>
      <c r="E330" s="4" t="str">
        <f>IF($C330="","",SUMIFS(tbl_ledger[数量],tbl_ledger[品番],$C330,tbl_ledger[イベント種類],"アニール完了",tbl_ledger[ロットID],"=")+SUMIFS(tbl_ledger[数量],tbl_ledger[品番],$C330,tbl_ledger[イベント種類],"余剰化",tbl_ledger[元状態],E$304)-SUMIFS(tbl_ledger[数量],tbl_ledger[品番],$C330,tbl_ledger[ロットID],"=",tbl_ledger[元状態],E$304))</f>
        <v/>
      </c>
      <c r="F330" s="4" t="str">
        <f>IF($C330="","",SUMIFS(tbl_ledger[数量],tbl_ledger[品番],$C330,tbl_ledger[イベント種類],"アセンブリ完了",tbl_ledger[ロットID],"=")+SUMIFS(tbl_ledger[数量],tbl_ledger[品番],$C330,tbl_ledger[イベント種類],"余剰化",tbl_ledger[元状態],F$304)-SUMIFS(tbl_ledger[数量],tbl_ledger[品番],$C330,tbl_ledger[ロットID],"=",tbl_ledger[元状態],F$304))</f>
        <v/>
      </c>
      <c r="G330" s="4" t="str">
        <f>IF($C330="","",SUMIFS(tbl_ledger[数量],tbl_ledger[品番],$C330,tbl_ledger[イベント種類],"梱包完了",tbl_ledger[ロットID],"=")+SUMIFS(tbl_ledger[数量],tbl_ledger[品番],$C330,tbl_ledger[イベント種類],"余剰化",tbl_ledger[元状態],G$304)-SUMIFS(tbl_ledger[数量],tbl_ledger[品番],$C330,tbl_ledger[ロットID],"=",tbl_ledger[元状態],G$304))</f>
        <v/>
      </c>
      <c r="H330" s="4" t="str">
        <f>IF($C330="","",SUMIFS(tbl_ledger[数量],tbl_ledger[品番],$C330,tbl_ledger[イベント種類],"発送準備完了",tbl_ledger[ロットID],"=")+SUMIFS(tbl_ledger[数量],tbl_ledger[品番],$C330,tbl_ledger[イベント種類],"余剰化",tbl_ledger[元状態],H$304)-SUMIFS(tbl_ledger[数量],tbl_ledger[品番],$C330,tbl_ledger[ロットID],"=",tbl_ledger[元状態],H$304))</f>
        <v/>
      </c>
      <c r="I330" s="4" t="str">
        <f>IF($C330="","",SUMIFS(tbl_ledger[数量],tbl_ledger[品番],$C330,tbl_ledger[イベント種類],"不良発生",tbl_ledger[ロットID],"=")+SUMIFS(tbl_ledger[数量],tbl_ledger[品番],$C330,tbl_ledger[イベント種類],"余剰化",tbl_ledger[元状態],I$304)-SUMIFS(tbl_ledger[数量],tbl_ledger[品番],$C330,tbl_ledger[ロットID],"=",tbl_ledger[元状態],I$304))</f>
        <v/>
      </c>
      <c r="J330" s="4" t="str">
        <f t="shared" si="11"/>
        <v/>
      </c>
    </row>
    <row r="331" spans="1:10" ht="15" x14ac:dyDescent="0.25">
      <c r="A331" s="4" t="str">
        <f t="shared" si="10"/>
        <v/>
      </c>
      <c r="B331" s="6"/>
      <c r="C331" s="4" t="str">
        <f>IFERROR(INDEX(tbl_master[品番],ROW()-304),"")</f>
        <v/>
      </c>
      <c r="D331" s="4" t="str">
        <f>IF($C331="","",SUMIFS(tbl_ledger[数量],tbl_ledger[品番],$C331,tbl_ledger[イベント種類],"搬入",tbl_ledger[ロットID],"=")+SUMIFS(tbl_ledger[数量],tbl_ledger[品番],$C331,tbl_ledger[イベント種類],"余剰化",tbl_ledger[元状態],D$304)-SUMIFS(tbl_ledger[数量],tbl_ledger[品番],$C331,tbl_ledger[ロットID],"=",tbl_ledger[元状態],D$304))</f>
        <v/>
      </c>
      <c r="E331" s="4" t="str">
        <f>IF($C331="","",SUMIFS(tbl_ledger[数量],tbl_ledger[品番],$C331,tbl_ledger[イベント種類],"アニール完了",tbl_ledger[ロットID],"=")+SUMIFS(tbl_ledger[数量],tbl_ledger[品番],$C331,tbl_ledger[イベント種類],"余剰化",tbl_ledger[元状態],E$304)-SUMIFS(tbl_ledger[数量],tbl_ledger[品番],$C331,tbl_ledger[ロットID],"=",tbl_ledger[元状態],E$304))</f>
        <v/>
      </c>
      <c r="F331" s="4" t="str">
        <f>IF($C331="","",SUMIFS(tbl_ledger[数量],tbl_ledger[品番],$C331,tbl_ledger[イベント種類],"アセンブリ完了",tbl_ledger[ロットID],"=")+SUMIFS(tbl_ledger[数量],tbl_ledger[品番],$C331,tbl_ledger[イベント種類],"余剰化",tbl_ledger[元状態],F$304)-SUMIFS(tbl_ledger[数量],tbl_ledger[品番],$C331,tbl_ledger[ロットID],"=",tbl_ledger[元状態],F$304))</f>
        <v/>
      </c>
      <c r="G331" s="4" t="str">
        <f>IF($C331="","",SUMIFS(tbl_ledger[数量],tbl_ledger[品番],$C331,tbl_ledger[イベント種類],"梱包完了",tbl_ledger[ロットID],"=")+SUMIFS(tbl_ledger[数量],tbl_ledger[品番],$C331,tbl_ledger[イベント種類],"余剰化",tbl_ledger[元状態],G$304)-SUMIFS(tbl_ledger[数量],tbl_ledger[品番],$C331,tbl_ledger[ロットID],"=",tbl_ledger[元状態],G$304))</f>
        <v/>
      </c>
      <c r="H331" s="4" t="str">
        <f>IF($C331="","",SUMIFS(tbl_ledger[数量],tbl_ledger[品番],$C331,tbl_ledger[イベント種類],"発送準備完了",tbl_ledger[ロットID],"=")+SUMIFS(tbl_ledger[数量],tbl_ledger[品番],$C331,tbl_ledger[イベント種類],"余剰化",tbl_ledger[元状態],H$304)-SUMIFS(tbl_ledger[数量],tbl_ledger[品番],$C331,tbl_ledger[ロットID],"=",tbl_ledger[元状態],H$304))</f>
        <v/>
      </c>
      <c r="I331" s="4" t="str">
        <f>IF($C331="","",SUMIFS(tbl_ledger[数量],tbl_ledger[品番],$C331,tbl_ledger[イベント種類],"不良発生",tbl_ledger[ロットID],"=")+SUMIFS(tbl_ledger[数量],tbl_ledger[品番],$C331,tbl_ledger[イベント種類],"余剰化",tbl_ledger[元状態],I$304)-SUMIFS(tbl_ledger[数量],tbl_ledger[品番],$C331,tbl_ledger[ロットID],"=",tbl_ledger[元状態],I$304))</f>
        <v/>
      </c>
      <c r="J331" s="4" t="str">
        <f t="shared" si="11"/>
        <v/>
      </c>
    </row>
    <row r="332" spans="1:10" ht="15" x14ac:dyDescent="0.25">
      <c r="A332" s="4" t="str">
        <f t="shared" si="10"/>
        <v/>
      </c>
      <c r="B332" s="6"/>
      <c r="C332" s="4" t="str">
        <f>IFERROR(INDEX(tbl_master[品番],ROW()-304),"")</f>
        <v/>
      </c>
      <c r="D332" s="4" t="str">
        <f>IF($C332="","",SUMIFS(tbl_ledger[数量],tbl_ledger[品番],$C332,tbl_ledger[イベント種類],"搬入",tbl_ledger[ロットID],"=")+SUMIFS(tbl_ledger[数量],tbl_ledger[品番],$C332,tbl_ledger[イベント種類],"余剰化",tbl_ledger[元状態],D$304)-SUMIFS(tbl_ledger[数量],tbl_ledger[品番],$C332,tbl_ledger[ロットID],"=",tbl_ledger[元状態],D$304))</f>
        <v/>
      </c>
      <c r="E332" s="4" t="str">
        <f>IF($C332="","",SUMIFS(tbl_ledger[数量],tbl_ledger[品番],$C332,tbl_ledger[イベント種類],"アニール完了",tbl_ledger[ロットID],"=")+SUMIFS(tbl_ledger[数量],tbl_ledger[品番],$C332,tbl_ledger[イベント種類],"余剰化",tbl_ledger[元状態],E$304)-SUMIFS(tbl_ledger[数量],tbl_ledger[品番],$C332,tbl_ledger[ロットID],"=",tbl_ledger[元状態],E$304))</f>
        <v/>
      </c>
      <c r="F332" s="4" t="str">
        <f>IF($C332="","",SUMIFS(tbl_ledger[数量],tbl_ledger[品番],$C332,tbl_ledger[イベント種類],"アセンブリ完了",tbl_ledger[ロットID],"=")+SUMIFS(tbl_ledger[数量],tbl_ledger[品番],$C332,tbl_ledger[イベント種類],"余剰化",tbl_ledger[元状態],F$304)-SUMIFS(tbl_ledger[数量],tbl_ledger[品番],$C332,tbl_ledger[ロットID],"=",tbl_ledger[元状態],F$304))</f>
        <v/>
      </c>
      <c r="G332" s="4" t="str">
        <f>IF($C332="","",SUMIFS(tbl_ledger[数量],tbl_ledger[品番],$C332,tbl_ledger[イベント種類],"梱包完了",tbl_ledger[ロットID],"=")+SUMIFS(tbl_ledger[数量],tbl_ledger[品番],$C332,tbl_ledger[イベント種類],"余剰化",tbl_ledger[元状態],G$304)-SUMIFS(tbl_ledger[数量],tbl_ledger[品番],$C332,tbl_ledger[ロットID],"=",tbl_ledger[元状態],G$304))</f>
        <v/>
      </c>
      <c r="H332" s="4" t="str">
        <f>IF($C332="","",SUMIFS(tbl_ledger[数量],tbl_ledger[品番],$C332,tbl_ledger[イベント種類],"発送準備完了",tbl_ledger[ロットID],"=")+SUMIFS(tbl_ledger[数量],tbl_ledger[品番],$C332,tbl_ledger[イベント種類],"余剰化",tbl_ledger[元状態],H$304)-SUMIFS(tbl_ledger[数量],tbl_ledger[品番],$C332,tbl_ledger[ロットID],"=",tbl_ledger[元状態],H$304))</f>
        <v/>
      </c>
      <c r="I332" s="4" t="str">
        <f>IF($C332="","",SUMIFS(tbl_ledger[数量],tbl_ledger[品番],$C332,tbl_ledger[イベント種類],"不良発生",tbl_ledger[ロットID],"=")+SUMIFS(tbl_ledger[数量],tbl_ledger[品番],$C332,tbl_ledger[イベント種類],"余剰化",tbl_ledger[元状態],I$304)-SUMIFS(tbl_ledger[数量],tbl_ledger[品番],$C332,tbl_ledger[ロットID],"=",tbl_ledger[元状態],I$304))</f>
        <v/>
      </c>
      <c r="J332" s="4" t="str">
        <f t="shared" si="11"/>
        <v/>
      </c>
    </row>
    <row r="333" spans="1:10" ht="15" x14ac:dyDescent="0.25">
      <c r="A333" s="4" t="str">
        <f t="shared" si="10"/>
        <v/>
      </c>
      <c r="B333" s="6"/>
      <c r="C333" s="4" t="str">
        <f>IFERROR(INDEX(tbl_master[品番],ROW()-304),"")</f>
        <v/>
      </c>
      <c r="D333" s="4" t="str">
        <f>IF($C333="","",SUMIFS(tbl_ledger[数量],tbl_ledger[品番],$C333,tbl_ledger[イベント種類],"搬入",tbl_ledger[ロットID],"=")+SUMIFS(tbl_ledger[数量],tbl_ledger[品番],$C333,tbl_ledger[イベント種類],"余剰化",tbl_ledger[元状態],D$304)-SUMIFS(tbl_ledger[数量],tbl_ledger[品番],$C333,tbl_ledger[ロットID],"=",tbl_ledger[元状態],D$304))</f>
        <v/>
      </c>
      <c r="E333" s="4" t="str">
        <f>IF($C333="","",SUMIFS(tbl_ledger[数量],tbl_ledger[品番],$C333,tbl_ledger[イベント種類],"アニール完了",tbl_ledger[ロットID],"=")+SUMIFS(tbl_ledger[数量],tbl_ledger[品番],$C333,tbl_ledger[イベント種類],"余剰化",tbl_ledger[元状態],E$304)-SUMIFS(tbl_ledger[数量],tbl_ledger[品番],$C333,tbl_ledger[ロットID],"=",tbl_ledger[元状態],E$304))</f>
        <v/>
      </c>
      <c r="F333" s="4" t="str">
        <f>IF($C333="","",SUMIFS(tbl_ledger[数量],tbl_ledger[品番],$C333,tbl_ledger[イベント種類],"アセンブリ完了",tbl_ledger[ロットID],"=")+SUMIFS(tbl_ledger[数量],tbl_ledger[品番],$C333,tbl_ledger[イベント種類],"余剰化",tbl_ledger[元状態],F$304)-SUMIFS(tbl_ledger[数量],tbl_ledger[品番],$C333,tbl_ledger[ロットID],"=",tbl_ledger[元状態],F$304))</f>
        <v/>
      </c>
      <c r="G333" s="4" t="str">
        <f>IF($C333="","",SUMIFS(tbl_ledger[数量],tbl_ledger[品番],$C333,tbl_ledger[イベント種類],"梱包完了",tbl_ledger[ロットID],"=")+SUMIFS(tbl_ledger[数量],tbl_ledger[品番],$C333,tbl_ledger[イベント種類],"余剰化",tbl_ledger[元状態],G$304)-SUMIFS(tbl_ledger[数量],tbl_ledger[品番],$C333,tbl_ledger[ロットID],"=",tbl_ledger[元状態],G$304))</f>
        <v/>
      </c>
      <c r="H333" s="4" t="str">
        <f>IF($C333="","",SUMIFS(tbl_ledger[数量],tbl_ledger[品番],$C333,tbl_ledger[イベント種類],"発送準備完了",tbl_ledger[ロットID],"=")+SUMIFS(tbl_ledger[数量],tbl_ledger[品番],$C333,tbl_ledger[イベント種類],"余剰化",tbl_ledger[元状態],H$304)-SUMIFS(tbl_ledger[数量],tbl_ledger[品番],$C333,tbl_ledger[ロットID],"=",tbl_ledger[元状態],H$304))</f>
        <v/>
      </c>
      <c r="I333" s="4" t="str">
        <f>IF($C333="","",SUMIFS(tbl_ledger[数量],tbl_ledger[品番],$C333,tbl_ledger[イベント種類],"不良発生",tbl_ledger[ロットID],"=")+SUMIFS(tbl_ledger[数量],tbl_ledger[品番],$C333,tbl_ledger[イベント種類],"余剰化",tbl_ledger[元状態],I$304)-SUMIFS(tbl_ledger[数量],tbl_ledger[品番],$C333,tbl_ledger[ロットID],"=",tbl_ledger[元状態],I$304))</f>
        <v/>
      </c>
      <c r="J333" s="4" t="str">
        <f t="shared" si="11"/>
        <v/>
      </c>
    </row>
    <row r="334" spans="1:10" ht="15" x14ac:dyDescent="0.25">
      <c r="A334" s="4" t="str">
        <f t="shared" si="10"/>
        <v/>
      </c>
      <c r="B334" s="6"/>
      <c r="C334" s="4" t="str">
        <f>IFERROR(INDEX(tbl_master[品番],ROW()-304),"")</f>
        <v/>
      </c>
      <c r="D334" s="4" t="str">
        <f>IF($C334="","",SUMIFS(tbl_ledger[数量],tbl_ledger[品番],$C334,tbl_ledger[イベント種類],"搬入",tbl_ledger[ロットID],"=")+SUMIFS(tbl_ledger[数量],tbl_ledger[品番],$C334,tbl_ledger[イベント種類],"余剰化",tbl_ledger[元状態],D$304)-SUMIFS(tbl_ledger[数量],tbl_ledger[品番],$C334,tbl_ledger[ロットID],"=",tbl_ledger[元状態],D$304))</f>
        <v/>
      </c>
      <c r="E334" s="4" t="str">
        <f>IF($C334="","",SUMIFS(tbl_ledger[数量],tbl_ledger[品番],$C334,tbl_ledger[イベント種類],"アニール完了",tbl_ledger[ロットID],"=")+SUMIFS(tbl_ledger[数量],tbl_ledger[品番],$C334,tbl_ledger[イベント種類],"余剰化",tbl_ledger[元状態],E$304)-SUMIFS(tbl_ledger[数量],tbl_ledger[品番],$C334,tbl_ledger[ロットID],"=",tbl_ledger[元状態],E$304))</f>
        <v/>
      </c>
      <c r="F334" s="4" t="str">
        <f>IF($C334="","",SUMIFS(tbl_ledger[数量],tbl_ledger[品番],$C334,tbl_ledger[イベント種類],"アセンブリ完了",tbl_ledger[ロットID],"=")+SUMIFS(tbl_ledger[数量],tbl_ledger[品番],$C334,tbl_ledger[イベント種類],"余剰化",tbl_ledger[元状態],F$304)-SUMIFS(tbl_ledger[数量],tbl_ledger[品番],$C334,tbl_ledger[ロットID],"=",tbl_ledger[元状態],F$304))</f>
        <v/>
      </c>
      <c r="G334" s="4" t="str">
        <f>IF($C334="","",SUMIFS(tbl_ledger[数量],tbl_ledger[品番],$C334,tbl_ledger[イベント種類],"梱包完了",tbl_ledger[ロットID],"=")+SUMIFS(tbl_ledger[数量],tbl_ledger[品番],$C334,tbl_ledger[イベント種類],"余剰化",tbl_ledger[元状態],G$304)-SUMIFS(tbl_ledger[数量],tbl_ledger[品番],$C334,tbl_ledger[ロットID],"=",tbl_ledger[元状態],G$304))</f>
        <v/>
      </c>
      <c r="H334" s="4" t="str">
        <f>IF($C334="","",SUMIFS(tbl_ledger[数量],tbl_ledger[品番],$C334,tbl_ledger[イベント種類],"発送準備完了",tbl_ledger[ロットID],"=")+SUMIFS(tbl_ledger[数量],tbl_ledger[品番],$C334,tbl_ledger[イベント種類],"余剰化",tbl_ledger[元状態],H$304)-SUMIFS(tbl_ledger[数量],tbl_ledger[品番],$C334,tbl_ledger[ロットID],"=",tbl_ledger[元状態],H$304))</f>
        <v/>
      </c>
      <c r="I334" s="4" t="str">
        <f>IF($C334="","",SUMIFS(tbl_ledger[数量],tbl_ledger[品番],$C334,tbl_ledger[イベント種類],"不良発生",tbl_ledger[ロットID],"=")+SUMIFS(tbl_ledger[数量],tbl_ledger[品番],$C334,tbl_ledger[イベント種類],"余剰化",tbl_ledger[元状態],I$304)-SUMIFS(tbl_ledger[数量],tbl_ledger[品番],$C334,tbl_ledger[ロットID],"=",tbl_ledger[元状態],I$304))</f>
        <v/>
      </c>
      <c r="J334" s="4" t="str">
        <f t="shared" si="11"/>
        <v/>
      </c>
    </row>
    <row r="335" spans="1:10" ht="15" x14ac:dyDescent="0.25">
      <c r="A335" s="4" t="str">
        <f t="shared" si="10"/>
        <v/>
      </c>
      <c r="B335" s="6"/>
      <c r="C335" s="4" t="str">
        <f>IFERROR(INDEX(tbl_master[品番],ROW()-304),"")</f>
        <v/>
      </c>
      <c r="D335" s="4" t="str">
        <f>IF($C335="","",SUMIFS(tbl_ledger[数量],tbl_ledger[品番],$C335,tbl_ledger[イベント種類],"搬入",tbl_ledger[ロットID],"=")+SUMIFS(tbl_ledger[数量],tbl_ledger[品番],$C335,tbl_ledger[イベント種類],"余剰化",tbl_ledger[元状態],D$304)-SUMIFS(tbl_ledger[数量],tbl_ledger[品番],$C335,tbl_ledger[ロットID],"=",tbl_ledger[元状態],D$304))</f>
        <v/>
      </c>
      <c r="E335" s="4" t="str">
        <f>IF($C335="","",SUMIFS(tbl_ledger[数量],tbl_ledger[品番],$C335,tbl_ledger[イベント種類],"アニール完了",tbl_ledger[ロットID],"=")+SUMIFS(tbl_ledger[数量],tbl_ledger[品番],$C335,tbl_ledger[イベント種類],"余剰化",tbl_ledger[元状態],E$304)-SUMIFS(tbl_ledger[数量],tbl_ledger[品番],$C335,tbl_ledger[ロットID],"=",tbl_ledger[元状態],E$304))</f>
        <v/>
      </c>
      <c r="F335" s="4" t="str">
        <f>IF($C335="","",SUMIFS(tbl_ledger[数量],tbl_ledger[品番],$C335,tbl_ledger[イベント種類],"アセンブリ完了",tbl_ledger[ロットID],"=")+SUMIFS(tbl_ledger[数量],tbl_ledger[品番],$C335,tbl_ledger[イベント種類],"余剰化",tbl_ledger[元状態],F$304)-SUMIFS(tbl_ledger[数量],tbl_ledger[品番],$C335,tbl_ledger[ロットID],"=",tbl_ledger[元状態],F$304))</f>
        <v/>
      </c>
      <c r="G335" s="4" t="str">
        <f>IF($C335="","",SUMIFS(tbl_ledger[数量],tbl_ledger[品番],$C335,tbl_ledger[イベント種類],"梱包完了",tbl_ledger[ロットID],"=")+SUMIFS(tbl_ledger[数量],tbl_ledger[品番],$C335,tbl_ledger[イベント種類],"余剰化",tbl_ledger[元状態],G$304)-SUMIFS(tbl_ledger[数量],tbl_ledger[品番],$C335,tbl_ledger[ロットID],"=",tbl_ledger[元状態],G$304))</f>
        <v/>
      </c>
      <c r="H335" s="4" t="str">
        <f>IF($C335="","",SUMIFS(tbl_ledger[数量],tbl_ledger[品番],$C335,tbl_ledger[イベント種類],"発送準備完了",tbl_ledger[ロットID],"=")+SUMIFS(tbl_ledger[数量],tbl_ledger[品番],$C335,tbl_ledger[イベント種類],"余剰化",tbl_ledger[元状態],H$304)-SUMIFS(tbl_ledger[数量],tbl_ledger[品番],$C335,tbl_ledger[ロットID],"=",tbl_ledger[元状態],H$304))</f>
        <v/>
      </c>
      <c r="I335" s="4" t="str">
        <f>IF($C335="","",SUMIFS(tbl_ledger[数量],tbl_ledger[品番],$C335,tbl_ledger[イベント種類],"不良発生",tbl_ledger[ロットID],"=")+SUMIFS(tbl_ledger[数量],tbl_ledger[品番],$C335,tbl_ledger[イベント種類],"余剰化",tbl_ledger[元状態],I$304)-SUMIFS(tbl_ledger[数量],tbl_ledger[品番],$C335,tbl_ledger[ロットID],"=",tbl_ledger[元状態],I$304))</f>
        <v/>
      </c>
      <c r="J335" s="4" t="str">
        <f t="shared" si="11"/>
        <v/>
      </c>
    </row>
    <row r="336" spans="1:10" ht="15" x14ac:dyDescent="0.25">
      <c r="A336" s="4" t="str">
        <f t="shared" si="10"/>
        <v/>
      </c>
      <c r="B336" s="6"/>
      <c r="C336" s="4" t="str">
        <f>IFERROR(INDEX(tbl_master[品番],ROW()-304),"")</f>
        <v/>
      </c>
      <c r="D336" s="4" t="str">
        <f>IF($C336="","",SUMIFS(tbl_ledger[数量],tbl_ledger[品番],$C336,tbl_ledger[イベント種類],"搬入",tbl_ledger[ロットID],"=")+SUMIFS(tbl_ledger[数量],tbl_ledger[品番],$C336,tbl_ledger[イベント種類],"余剰化",tbl_ledger[元状態],D$304)-SUMIFS(tbl_ledger[数量],tbl_ledger[品番],$C336,tbl_ledger[ロットID],"=",tbl_ledger[元状態],D$304))</f>
        <v/>
      </c>
      <c r="E336" s="4" t="str">
        <f>IF($C336="","",SUMIFS(tbl_ledger[数量],tbl_ledger[品番],$C336,tbl_ledger[イベント種類],"アニール完了",tbl_ledger[ロットID],"=")+SUMIFS(tbl_ledger[数量],tbl_ledger[品番],$C336,tbl_ledger[イベント種類],"余剰化",tbl_ledger[元状態],E$304)-SUMIFS(tbl_ledger[数量],tbl_ledger[品番],$C336,tbl_ledger[ロットID],"=",tbl_ledger[元状態],E$304))</f>
        <v/>
      </c>
      <c r="F336" s="4" t="str">
        <f>IF($C336="","",SUMIFS(tbl_ledger[数量],tbl_ledger[品番],$C336,tbl_ledger[イベント種類],"アセンブリ完了",tbl_ledger[ロットID],"=")+SUMIFS(tbl_ledger[数量],tbl_ledger[品番],$C336,tbl_ledger[イベント種類],"余剰化",tbl_ledger[元状態],F$304)-SUMIFS(tbl_ledger[数量],tbl_ledger[品番],$C336,tbl_ledger[ロットID],"=",tbl_ledger[元状態],F$304))</f>
        <v/>
      </c>
      <c r="G336" s="4" t="str">
        <f>IF($C336="","",SUMIFS(tbl_ledger[数量],tbl_ledger[品番],$C336,tbl_ledger[イベント種類],"梱包完了",tbl_ledger[ロットID],"=")+SUMIFS(tbl_ledger[数量],tbl_ledger[品番],$C336,tbl_ledger[イベント種類],"余剰化",tbl_ledger[元状態],G$304)-SUMIFS(tbl_ledger[数量],tbl_ledger[品番],$C336,tbl_ledger[ロットID],"=",tbl_ledger[元状態],G$304))</f>
        <v/>
      </c>
      <c r="H336" s="4" t="str">
        <f>IF($C336="","",SUMIFS(tbl_ledger[数量],tbl_ledger[品番],$C336,tbl_ledger[イベント種類],"発送準備完了",tbl_ledger[ロットID],"=")+SUMIFS(tbl_ledger[数量],tbl_ledger[品番],$C336,tbl_ledger[イベント種類],"余剰化",tbl_ledger[元状態],H$304)-SUMIFS(tbl_ledger[数量],tbl_ledger[品番],$C336,tbl_ledger[ロットID],"=",tbl_ledger[元状態],H$304))</f>
        <v/>
      </c>
      <c r="I336" s="4" t="str">
        <f>IF($C336="","",SUMIFS(tbl_ledger[数量],tbl_ledger[品番],$C336,tbl_ledger[イベント種類],"不良発生",tbl_ledger[ロットID],"=")+SUMIFS(tbl_ledger[数量],tbl_ledger[品番],$C336,tbl_ledger[イベント種類],"余剰化",tbl_ledger[元状態],I$304)-SUMIFS(tbl_ledger[数量],tbl_ledger[品番],$C336,tbl_ledger[ロットID],"=",tbl_ledger[元状態],I$304))</f>
        <v/>
      </c>
      <c r="J336" s="4" t="str">
        <f t="shared" si="11"/>
        <v/>
      </c>
    </row>
    <row r="337" spans="1:10" ht="15" x14ac:dyDescent="0.25">
      <c r="A337" s="4" t="str">
        <f t="shared" ref="A337:A368" si="12">IF($C337="","","未割当")</f>
        <v/>
      </c>
      <c r="B337" s="6"/>
      <c r="C337" s="4" t="str">
        <f>IFERROR(INDEX(tbl_master[品番],ROW()-304),"")</f>
        <v/>
      </c>
      <c r="D337" s="4" t="str">
        <f>IF($C337="","",SUMIFS(tbl_ledger[数量],tbl_ledger[品番],$C337,tbl_ledger[イベント種類],"搬入",tbl_ledger[ロットID],"=")+SUMIFS(tbl_ledger[数量],tbl_ledger[品番],$C337,tbl_ledger[イベント種類],"余剰化",tbl_ledger[元状態],D$304)-SUMIFS(tbl_ledger[数量],tbl_ledger[品番],$C337,tbl_ledger[ロットID],"=",tbl_ledger[元状態],D$304))</f>
        <v/>
      </c>
      <c r="E337" s="4" t="str">
        <f>IF($C337="","",SUMIFS(tbl_ledger[数量],tbl_ledger[品番],$C337,tbl_ledger[イベント種類],"アニール完了",tbl_ledger[ロットID],"=")+SUMIFS(tbl_ledger[数量],tbl_ledger[品番],$C337,tbl_ledger[イベント種類],"余剰化",tbl_ledger[元状態],E$304)-SUMIFS(tbl_ledger[数量],tbl_ledger[品番],$C337,tbl_ledger[ロットID],"=",tbl_ledger[元状態],E$304))</f>
        <v/>
      </c>
      <c r="F337" s="4" t="str">
        <f>IF($C337="","",SUMIFS(tbl_ledger[数量],tbl_ledger[品番],$C337,tbl_ledger[イベント種類],"アセンブリ完了",tbl_ledger[ロットID],"=")+SUMIFS(tbl_ledger[数量],tbl_ledger[品番],$C337,tbl_ledger[イベント種類],"余剰化",tbl_ledger[元状態],F$304)-SUMIFS(tbl_ledger[数量],tbl_ledger[品番],$C337,tbl_ledger[ロットID],"=",tbl_ledger[元状態],F$304))</f>
        <v/>
      </c>
      <c r="G337" s="4" t="str">
        <f>IF($C337="","",SUMIFS(tbl_ledger[数量],tbl_ledger[品番],$C337,tbl_ledger[イベント種類],"梱包完了",tbl_ledger[ロットID],"=")+SUMIFS(tbl_ledger[数量],tbl_ledger[品番],$C337,tbl_ledger[イベント種類],"余剰化",tbl_ledger[元状態],G$304)-SUMIFS(tbl_ledger[数量],tbl_ledger[品番],$C337,tbl_ledger[ロットID],"=",tbl_ledger[元状態],G$304))</f>
        <v/>
      </c>
      <c r="H337" s="4" t="str">
        <f>IF($C337="","",SUMIFS(tbl_ledger[数量],tbl_ledger[品番],$C337,tbl_ledger[イベント種類],"発送準備完了",tbl_ledger[ロットID],"=")+SUMIFS(tbl_ledger[数量],tbl_ledger[品番],$C337,tbl_ledger[イベント種類],"余剰化",tbl_ledger[元状態],H$304)-SUMIFS(tbl_ledger[数量],tbl_ledger[品番],$C337,tbl_ledger[ロットID],"=",tbl_ledger[元状態],H$304))</f>
        <v/>
      </c>
      <c r="I337" s="4" t="str">
        <f>IF($C337="","",SUMIFS(tbl_ledger[数量],tbl_ledger[品番],$C337,tbl_ledger[イベント種類],"不良発生",tbl_ledger[ロットID],"=")+SUMIFS(tbl_ledger[数量],tbl_ledger[品番],$C337,tbl_ledger[イベント種類],"余剰化",tbl_ledger[元状態],I$304)-SUMIFS(tbl_ledger[数量],tbl_ledger[品番],$C337,tbl_ledger[ロットID],"=",tbl_ledger[元状態],I$304))</f>
        <v/>
      </c>
      <c r="J337" s="4" t="str">
        <f t="shared" ref="J337:J368" si="13">IF($C337="","",SUM(D337:I337))</f>
        <v/>
      </c>
    </row>
    <row r="338" spans="1:10" ht="15" x14ac:dyDescent="0.25">
      <c r="A338" s="4" t="str">
        <f t="shared" si="12"/>
        <v/>
      </c>
      <c r="B338" s="6"/>
      <c r="C338" s="4" t="str">
        <f>IFERROR(INDEX(tbl_master[品番],ROW()-304),"")</f>
        <v/>
      </c>
      <c r="D338" s="4" t="str">
        <f>IF($C338="","",SUMIFS(tbl_ledger[数量],tbl_ledger[品番],$C338,tbl_ledger[イベント種類],"搬入",tbl_ledger[ロットID],"=")+SUMIFS(tbl_ledger[数量],tbl_ledger[品番],$C338,tbl_ledger[イベント種類],"余剰化",tbl_ledger[元状態],D$304)-SUMIFS(tbl_ledger[数量],tbl_ledger[品番],$C338,tbl_ledger[ロットID],"=",tbl_ledger[元状態],D$304))</f>
        <v/>
      </c>
      <c r="E338" s="4" t="str">
        <f>IF($C338="","",SUMIFS(tbl_ledger[数量],tbl_ledger[品番],$C338,tbl_ledger[イベント種類],"アニール完了",tbl_ledger[ロットID],"=")+SUMIFS(tbl_ledger[数量],tbl_ledger[品番],$C338,tbl_ledger[イベント種類],"余剰化",tbl_ledger[元状態],E$304)-SUMIFS(tbl_ledger[数量],tbl_ledger[品番],$C338,tbl_ledger[ロットID],"=",tbl_ledger[元状態],E$304))</f>
        <v/>
      </c>
      <c r="F338" s="4" t="str">
        <f>IF($C338="","",SUMIFS(tbl_ledger[数量],tbl_ledger[品番],$C338,tbl_ledger[イベント種類],"アセンブリ完了",tbl_ledger[ロットID],"=")+SUMIFS(tbl_ledger[数量],tbl_ledger[品番],$C338,tbl_ledger[イベント種類],"余剰化",tbl_ledger[元状態],F$304)-SUMIFS(tbl_ledger[数量],tbl_ledger[品番],$C338,tbl_ledger[ロットID],"=",tbl_ledger[元状態],F$304))</f>
        <v/>
      </c>
      <c r="G338" s="4" t="str">
        <f>IF($C338="","",SUMIFS(tbl_ledger[数量],tbl_ledger[品番],$C338,tbl_ledger[イベント種類],"梱包完了",tbl_ledger[ロットID],"=")+SUMIFS(tbl_ledger[数量],tbl_ledger[品番],$C338,tbl_ledger[イベント種類],"余剰化",tbl_ledger[元状態],G$304)-SUMIFS(tbl_ledger[数量],tbl_ledger[品番],$C338,tbl_ledger[ロットID],"=",tbl_ledger[元状態],G$304))</f>
        <v/>
      </c>
      <c r="H338" s="4" t="str">
        <f>IF($C338="","",SUMIFS(tbl_ledger[数量],tbl_ledger[品番],$C338,tbl_ledger[イベント種類],"発送準備完了",tbl_ledger[ロットID],"=")+SUMIFS(tbl_ledger[数量],tbl_ledger[品番],$C338,tbl_ledger[イベント種類],"余剰化",tbl_ledger[元状態],H$304)-SUMIFS(tbl_ledger[数量],tbl_ledger[品番],$C338,tbl_ledger[ロットID],"=",tbl_ledger[元状態],H$304))</f>
        <v/>
      </c>
      <c r="I338" s="4" t="str">
        <f>IF($C338="","",SUMIFS(tbl_ledger[数量],tbl_ledger[品番],$C338,tbl_ledger[イベント種類],"不良発生",tbl_ledger[ロットID],"=")+SUMIFS(tbl_ledger[数量],tbl_ledger[品番],$C338,tbl_ledger[イベント種類],"余剰化",tbl_ledger[元状態],I$304)-SUMIFS(tbl_ledger[数量],tbl_ledger[品番],$C338,tbl_ledger[ロットID],"=",tbl_ledger[元状態],I$304))</f>
        <v/>
      </c>
      <c r="J338" s="4" t="str">
        <f t="shared" si="13"/>
        <v/>
      </c>
    </row>
    <row r="339" spans="1:10" ht="15" x14ac:dyDescent="0.25">
      <c r="A339" s="4" t="str">
        <f t="shared" si="12"/>
        <v/>
      </c>
      <c r="B339" s="6"/>
      <c r="C339" s="4" t="str">
        <f>IFERROR(INDEX(tbl_master[品番],ROW()-304),"")</f>
        <v/>
      </c>
      <c r="D339" s="4" t="str">
        <f>IF($C339="","",SUMIFS(tbl_ledger[数量],tbl_ledger[品番],$C339,tbl_ledger[イベント種類],"搬入",tbl_ledger[ロットID],"=")+SUMIFS(tbl_ledger[数量],tbl_ledger[品番],$C339,tbl_ledger[イベント種類],"余剰化",tbl_ledger[元状態],D$304)-SUMIFS(tbl_ledger[数量],tbl_ledger[品番],$C339,tbl_ledger[ロットID],"=",tbl_ledger[元状態],D$304))</f>
        <v/>
      </c>
      <c r="E339" s="4" t="str">
        <f>IF($C339="","",SUMIFS(tbl_ledger[数量],tbl_ledger[品番],$C339,tbl_ledger[イベント種類],"アニール完了",tbl_ledger[ロットID],"=")+SUMIFS(tbl_ledger[数量],tbl_ledger[品番],$C339,tbl_ledger[イベント種類],"余剰化",tbl_ledger[元状態],E$304)-SUMIFS(tbl_ledger[数量],tbl_ledger[品番],$C339,tbl_ledger[ロットID],"=",tbl_ledger[元状態],E$304))</f>
        <v/>
      </c>
      <c r="F339" s="4" t="str">
        <f>IF($C339="","",SUMIFS(tbl_ledger[数量],tbl_ledger[品番],$C339,tbl_ledger[イベント種類],"アセンブリ完了",tbl_ledger[ロットID],"=")+SUMIFS(tbl_ledger[数量],tbl_ledger[品番],$C339,tbl_ledger[イベント種類],"余剰化",tbl_ledger[元状態],F$304)-SUMIFS(tbl_ledger[数量],tbl_ledger[品番],$C339,tbl_ledger[ロットID],"=",tbl_ledger[元状態],F$304))</f>
        <v/>
      </c>
      <c r="G339" s="4" t="str">
        <f>IF($C339="","",SUMIFS(tbl_ledger[数量],tbl_ledger[品番],$C339,tbl_ledger[イベント種類],"梱包完了",tbl_ledger[ロットID],"=")+SUMIFS(tbl_ledger[数量],tbl_ledger[品番],$C339,tbl_ledger[イベント種類],"余剰化",tbl_ledger[元状態],G$304)-SUMIFS(tbl_ledger[数量],tbl_ledger[品番],$C339,tbl_ledger[ロットID],"=",tbl_ledger[元状態],G$304))</f>
        <v/>
      </c>
      <c r="H339" s="4" t="str">
        <f>IF($C339="","",SUMIFS(tbl_ledger[数量],tbl_ledger[品番],$C339,tbl_ledger[イベント種類],"発送準備完了",tbl_ledger[ロットID],"=")+SUMIFS(tbl_ledger[数量],tbl_ledger[品番],$C339,tbl_ledger[イベント種類],"余剰化",tbl_ledger[元状態],H$304)-SUMIFS(tbl_ledger[数量],tbl_ledger[品番],$C339,tbl_ledger[ロットID],"=",tbl_ledger[元状態],H$304))</f>
        <v/>
      </c>
      <c r="I339" s="4" t="str">
        <f>IF($C339="","",SUMIFS(tbl_ledger[数量],tbl_ledger[品番],$C339,tbl_ledger[イベント種類],"不良発生",tbl_ledger[ロットID],"=")+SUMIFS(tbl_ledger[数量],tbl_ledger[品番],$C339,tbl_ledger[イベント種類],"余剰化",tbl_ledger[元状態],I$304)-SUMIFS(tbl_ledger[数量],tbl_ledger[品番],$C339,tbl_ledger[ロットID],"=",tbl_ledger[元状態],I$304))</f>
        <v/>
      </c>
      <c r="J339" s="4" t="str">
        <f t="shared" si="13"/>
        <v/>
      </c>
    </row>
    <row r="340" spans="1:10" ht="15" x14ac:dyDescent="0.25">
      <c r="A340" s="4" t="str">
        <f t="shared" si="12"/>
        <v/>
      </c>
      <c r="B340" s="6"/>
      <c r="C340" s="4" t="str">
        <f>IFERROR(INDEX(tbl_master[品番],ROW()-304),"")</f>
        <v/>
      </c>
      <c r="D340" s="4" t="str">
        <f>IF($C340="","",SUMIFS(tbl_ledger[数量],tbl_ledger[品番],$C340,tbl_ledger[イベント種類],"搬入",tbl_ledger[ロットID],"=")+SUMIFS(tbl_ledger[数量],tbl_ledger[品番],$C340,tbl_ledger[イベント種類],"余剰化",tbl_ledger[元状態],D$304)-SUMIFS(tbl_ledger[数量],tbl_ledger[品番],$C340,tbl_ledger[ロットID],"=",tbl_ledger[元状態],D$304))</f>
        <v/>
      </c>
      <c r="E340" s="4" t="str">
        <f>IF($C340="","",SUMIFS(tbl_ledger[数量],tbl_ledger[品番],$C340,tbl_ledger[イベント種類],"アニール完了",tbl_ledger[ロットID],"=")+SUMIFS(tbl_ledger[数量],tbl_ledger[品番],$C340,tbl_ledger[イベント種類],"余剰化",tbl_ledger[元状態],E$304)-SUMIFS(tbl_ledger[数量],tbl_ledger[品番],$C340,tbl_ledger[ロットID],"=",tbl_ledger[元状態],E$304))</f>
        <v/>
      </c>
      <c r="F340" s="4" t="str">
        <f>IF($C340="","",SUMIFS(tbl_ledger[数量],tbl_ledger[品番],$C340,tbl_ledger[イベント種類],"アセンブリ完了",tbl_ledger[ロットID],"=")+SUMIFS(tbl_ledger[数量],tbl_ledger[品番],$C340,tbl_ledger[イベント種類],"余剰化",tbl_ledger[元状態],F$304)-SUMIFS(tbl_ledger[数量],tbl_ledger[品番],$C340,tbl_ledger[ロットID],"=",tbl_ledger[元状態],F$304))</f>
        <v/>
      </c>
      <c r="G340" s="4" t="str">
        <f>IF($C340="","",SUMIFS(tbl_ledger[数量],tbl_ledger[品番],$C340,tbl_ledger[イベント種類],"梱包完了",tbl_ledger[ロットID],"=")+SUMIFS(tbl_ledger[数量],tbl_ledger[品番],$C340,tbl_ledger[イベント種類],"余剰化",tbl_ledger[元状態],G$304)-SUMIFS(tbl_ledger[数量],tbl_ledger[品番],$C340,tbl_ledger[ロットID],"=",tbl_ledger[元状態],G$304))</f>
        <v/>
      </c>
      <c r="H340" s="4" t="str">
        <f>IF($C340="","",SUMIFS(tbl_ledger[数量],tbl_ledger[品番],$C340,tbl_ledger[イベント種類],"発送準備完了",tbl_ledger[ロットID],"=")+SUMIFS(tbl_ledger[数量],tbl_ledger[品番],$C340,tbl_ledger[イベント種類],"余剰化",tbl_ledger[元状態],H$304)-SUMIFS(tbl_ledger[数量],tbl_ledger[品番],$C340,tbl_ledger[ロットID],"=",tbl_ledger[元状態],H$304))</f>
        <v/>
      </c>
      <c r="I340" s="4" t="str">
        <f>IF($C340="","",SUMIFS(tbl_ledger[数量],tbl_ledger[品番],$C340,tbl_ledger[イベント種類],"不良発生",tbl_ledger[ロットID],"=")+SUMIFS(tbl_ledger[数量],tbl_ledger[品番],$C340,tbl_ledger[イベント種類],"余剰化",tbl_ledger[元状態],I$304)-SUMIFS(tbl_ledger[数量],tbl_ledger[品番],$C340,tbl_ledger[ロットID],"=",tbl_ledger[元状態],I$304))</f>
        <v/>
      </c>
      <c r="J340" s="4" t="str">
        <f t="shared" si="13"/>
        <v/>
      </c>
    </row>
    <row r="341" spans="1:10" ht="15" x14ac:dyDescent="0.25">
      <c r="A341" s="4" t="str">
        <f t="shared" si="12"/>
        <v/>
      </c>
      <c r="B341" s="6"/>
      <c r="C341" s="4" t="str">
        <f>IFERROR(INDEX(tbl_master[品番],ROW()-304),"")</f>
        <v/>
      </c>
      <c r="D341" s="4" t="str">
        <f>IF($C341="","",SUMIFS(tbl_ledger[数量],tbl_ledger[品番],$C341,tbl_ledger[イベント種類],"搬入",tbl_ledger[ロットID],"=")+SUMIFS(tbl_ledger[数量],tbl_ledger[品番],$C341,tbl_ledger[イベント種類],"余剰化",tbl_ledger[元状態],D$304)-SUMIFS(tbl_ledger[数量],tbl_ledger[品番],$C341,tbl_ledger[ロットID],"=",tbl_ledger[元状態],D$304))</f>
        <v/>
      </c>
      <c r="E341" s="4" t="str">
        <f>IF($C341="","",SUMIFS(tbl_ledger[数量],tbl_ledger[品番],$C341,tbl_ledger[イベント種類],"アニール完了",tbl_ledger[ロットID],"=")+SUMIFS(tbl_ledger[数量],tbl_ledger[品番],$C341,tbl_ledger[イベント種類],"余剰化",tbl_ledger[元状態],E$304)-SUMIFS(tbl_ledger[数量],tbl_ledger[品番],$C341,tbl_ledger[ロットID],"=",tbl_ledger[元状態],E$304))</f>
        <v/>
      </c>
      <c r="F341" s="4" t="str">
        <f>IF($C341="","",SUMIFS(tbl_ledger[数量],tbl_ledger[品番],$C341,tbl_ledger[イベント種類],"アセンブリ完了",tbl_ledger[ロットID],"=")+SUMIFS(tbl_ledger[数量],tbl_ledger[品番],$C341,tbl_ledger[イベント種類],"余剰化",tbl_ledger[元状態],F$304)-SUMIFS(tbl_ledger[数量],tbl_ledger[品番],$C341,tbl_ledger[ロットID],"=",tbl_ledger[元状態],F$304))</f>
        <v/>
      </c>
      <c r="G341" s="4" t="str">
        <f>IF($C341="","",SUMIFS(tbl_ledger[数量],tbl_ledger[品番],$C341,tbl_ledger[イベント種類],"梱包完了",tbl_ledger[ロットID],"=")+SUMIFS(tbl_ledger[数量],tbl_ledger[品番],$C341,tbl_ledger[イベント種類],"余剰化",tbl_ledger[元状態],G$304)-SUMIFS(tbl_ledger[数量],tbl_ledger[品番],$C341,tbl_ledger[ロットID],"=",tbl_ledger[元状態],G$304))</f>
        <v/>
      </c>
      <c r="H341" s="4" t="str">
        <f>IF($C341="","",SUMIFS(tbl_ledger[数量],tbl_ledger[品番],$C341,tbl_ledger[イベント種類],"発送準備完了",tbl_ledger[ロットID],"=")+SUMIFS(tbl_ledger[数量],tbl_ledger[品番],$C341,tbl_ledger[イベント種類],"余剰化",tbl_ledger[元状態],H$304)-SUMIFS(tbl_ledger[数量],tbl_ledger[品番],$C341,tbl_ledger[ロットID],"=",tbl_ledger[元状態],H$304))</f>
        <v/>
      </c>
      <c r="I341" s="4" t="str">
        <f>IF($C341="","",SUMIFS(tbl_ledger[数量],tbl_ledger[品番],$C341,tbl_ledger[イベント種類],"不良発生",tbl_ledger[ロットID],"=")+SUMIFS(tbl_ledger[数量],tbl_ledger[品番],$C341,tbl_ledger[イベント種類],"余剰化",tbl_ledger[元状態],I$304)-SUMIFS(tbl_ledger[数量],tbl_ledger[品番],$C341,tbl_ledger[ロットID],"=",tbl_ledger[元状態],I$304))</f>
        <v/>
      </c>
      <c r="J341" s="4" t="str">
        <f t="shared" si="13"/>
        <v/>
      </c>
    </row>
    <row r="342" spans="1:10" ht="15" x14ac:dyDescent="0.25">
      <c r="A342" s="4" t="str">
        <f t="shared" si="12"/>
        <v/>
      </c>
      <c r="B342" s="6"/>
      <c r="C342" s="4" t="str">
        <f>IFERROR(INDEX(tbl_master[品番],ROW()-304),"")</f>
        <v/>
      </c>
      <c r="D342" s="4" t="str">
        <f>IF($C342="","",SUMIFS(tbl_ledger[数量],tbl_ledger[品番],$C342,tbl_ledger[イベント種類],"搬入",tbl_ledger[ロットID],"=")+SUMIFS(tbl_ledger[数量],tbl_ledger[品番],$C342,tbl_ledger[イベント種類],"余剰化",tbl_ledger[元状態],D$304)-SUMIFS(tbl_ledger[数量],tbl_ledger[品番],$C342,tbl_ledger[ロットID],"=",tbl_ledger[元状態],D$304))</f>
        <v/>
      </c>
      <c r="E342" s="4" t="str">
        <f>IF($C342="","",SUMIFS(tbl_ledger[数量],tbl_ledger[品番],$C342,tbl_ledger[イベント種類],"アニール完了",tbl_ledger[ロットID],"=")+SUMIFS(tbl_ledger[数量],tbl_ledger[品番],$C342,tbl_ledger[イベント種類],"余剰化",tbl_ledger[元状態],E$304)-SUMIFS(tbl_ledger[数量],tbl_ledger[品番],$C342,tbl_ledger[ロットID],"=",tbl_ledger[元状態],E$304))</f>
        <v/>
      </c>
      <c r="F342" s="4" t="str">
        <f>IF($C342="","",SUMIFS(tbl_ledger[数量],tbl_ledger[品番],$C342,tbl_ledger[イベント種類],"アセンブリ完了",tbl_ledger[ロットID],"=")+SUMIFS(tbl_ledger[数量],tbl_ledger[品番],$C342,tbl_ledger[イベント種類],"余剰化",tbl_ledger[元状態],F$304)-SUMIFS(tbl_ledger[数量],tbl_ledger[品番],$C342,tbl_ledger[ロットID],"=",tbl_ledger[元状態],F$304))</f>
        <v/>
      </c>
      <c r="G342" s="4" t="str">
        <f>IF($C342="","",SUMIFS(tbl_ledger[数量],tbl_ledger[品番],$C342,tbl_ledger[イベント種類],"梱包完了",tbl_ledger[ロットID],"=")+SUMIFS(tbl_ledger[数量],tbl_ledger[品番],$C342,tbl_ledger[イベント種類],"余剰化",tbl_ledger[元状態],G$304)-SUMIFS(tbl_ledger[数量],tbl_ledger[品番],$C342,tbl_ledger[ロットID],"=",tbl_ledger[元状態],G$304))</f>
        <v/>
      </c>
      <c r="H342" s="4" t="str">
        <f>IF($C342="","",SUMIFS(tbl_ledger[数量],tbl_ledger[品番],$C342,tbl_ledger[イベント種類],"発送準備完了",tbl_ledger[ロットID],"=")+SUMIFS(tbl_ledger[数量],tbl_ledger[品番],$C342,tbl_ledger[イベント種類],"余剰化",tbl_ledger[元状態],H$304)-SUMIFS(tbl_ledger[数量],tbl_ledger[品番],$C342,tbl_ledger[ロットID],"=",tbl_ledger[元状態],H$304))</f>
        <v/>
      </c>
      <c r="I342" s="4" t="str">
        <f>IF($C342="","",SUMIFS(tbl_ledger[数量],tbl_ledger[品番],$C342,tbl_ledger[イベント種類],"不良発生",tbl_ledger[ロットID],"=")+SUMIFS(tbl_ledger[数量],tbl_ledger[品番],$C342,tbl_ledger[イベント種類],"余剰化",tbl_ledger[元状態],I$304)-SUMIFS(tbl_ledger[数量],tbl_ledger[品番],$C342,tbl_ledger[ロットID],"=",tbl_ledger[元状態],I$304))</f>
        <v/>
      </c>
      <c r="J342" s="4" t="str">
        <f t="shared" si="13"/>
        <v/>
      </c>
    </row>
    <row r="343" spans="1:10" ht="15" x14ac:dyDescent="0.25">
      <c r="A343" s="4" t="str">
        <f t="shared" si="12"/>
        <v/>
      </c>
      <c r="B343" s="6"/>
      <c r="C343" s="4" t="str">
        <f>IFERROR(INDEX(tbl_master[品番],ROW()-304),"")</f>
        <v/>
      </c>
      <c r="D343" s="4" t="str">
        <f>IF($C343="","",SUMIFS(tbl_ledger[数量],tbl_ledger[品番],$C343,tbl_ledger[イベント種類],"搬入",tbl_ledger[ロットID],"=")+SUMIFS(tbl_ledger[数量],tbl_ledger[品番],$C343,tbl_ledger[イベント種類],"余剰化",tbl_ledger[元状態],D$304)-SUMIFS(tbl_ledger[数量],tbl_ledger[品番],$C343,tbl_ledger[ロットID],"=",tbl_ledger[元状態],D$304))</f>
        <v/>
      </c>
      <c r="E343" s="4" t="str">
        <f>IF($C343="","",SUMIFS(tbl_ledger[数量],tbl_ledger[品番],$C343,tbl_ledger[イベント種類],"アニール完了",tbl_ledger[ロットID],"=")+SUMIFS(tbl_ledger[数量],tbl_ledger[品番],$C343,tbl_ledger[イベント種類],"余剰化",tbl_ledger[元状態],E$304)-SUMIFS(tbl_ledger[数量],tbl_ledger[品番],$C343,tbl_ledger[ロットID],"=",tbl_ledger[元状態],E$304))</f>
        <v/>
      </c>
      <c r="F343" s="4" t="str">
        <f>IF($C343="","",SUMIFS(tbl_ledger[数量],tbl_ledger[品番],$C343,tbl_ledger[イベント種類],"アセンブリ完了",tbl_ledger[ロットID],"=")+SUMIFS(tbl_ledger[数量],tbl_ledger[品番],$C343,tbl_ledger[イベント種類],"余剰化",tbl_ledger[元状態],F$304)-SUMIFS(tbl_ledger[数量],tbl_ledger[品番],$C343,tbl_ledger[ロットID],"=",tbl_ledger[元状態],F$304))</f>
        <v/>
      </c>
      <c r="G343" s="4" t="str">
        <f>IF($C343="","",SUMIFS(tbl_ledger[数量],tbl_ledger[品番],$C343,tbl_ledger[イベント種類],"梱包完了",tbl_ledger[ロットID],"=")+SUMIFS(tbl_ledger[数量],tbl_ledger[品番],$C343,tbl_ledger[イベント種類],"余剰化",tbl_ledger[元状態],G$304)-SUMIFS(tbl_ledger[数量],tbl_ledger[品番],$C343,tbl_ledger[ロットID],"=",tbl_ledger[元状態],G$304))</f>
        <v/>
      </c>
      <c r="H343" s="4" t="str">
        <f>IF($C343="","",SUMIFS(tbl_ledger[数量],tbl_ledger[品番],$C343,tbl_ledger[イベント種類],"発送準備完了",tbl_ledger[ロットID],"=")+SUMIFS(tbl_ledger[数量],tbl_ledger[品番],$C343,tbl_ledger[イベント種類],"余剰化",tbl_ledger[元状態],H$304)-SUMIFS(tbl_ledger[数量],tbl_ledger[品番],$C343,tbl_ledger[ロットID],"=",tbl_ledger[元状態],H$304))</f>
        <v/>
      </c>
      <c r="I343" s="4" t="str">
        <f>IF($C343="","",SUMIFS(tbl_ledger[数量],tbl_ledger[品番],$C343,tbl_ledger[イベント種類],"不良発生",tbl_ledger[ロットID],"=")+SUMIFS(tbl_ledger[数量],tbl_ledger[品番],$C343,tbl_ledger[イベント種類],"余剰化",tbl_ledger[元状態],I$304)-SUMIFS(tbl_ledger[数量],tbl_ledger[品番],$C343,tbl_ledger[ロットID],"=",tbl_ledger[元状態],I$304))</f>
        <v/>
      </c>
      <c r="J343" s="4" t="str">
        <f t="shared" si="13"/>
        <v/>
      </c>
    </row>
    <row r="344" spans="1:10" ht="15" x14ac:dyDescent="0.25">
      <c r="A344" s="4" t="str">
        <f t="shared" si="12"/>
        <v/>
      </c>
      <c r="B344" s="6"/>
      <c r="C344" s="4" t="str">
        <f>IFERROR(INDEX(tbl_master[品番],ROW()-304),"")</f>
        <v/>
      </c>
      <c r="D344" s="4" t="str">
        <f>IF($C344="","",SUMIFS(tbl_ledger[数量],tbl_ledger[品番],$C344,tbl_ledger[イベント種類],"搬入",tbl_ledger[ロットID],"=")+SUMIFS(tbl_ledger[数量],tbl_ledger[品番],$C344,tbl_ledger[イベント種類],"余剰化",tbl_ledger[元状態],D$304)-SUMIFS(tbl_ledger[数量],tbl_ledger[品番],$C344,tbl_ledger[ロットID],"=",tbl_ledger[元状態],D$304))</f>
        <v/>
      </c>
      <c r="E344" s="4" t="str">
        <f>IF($C344="","",SUMIFS(tbl_ledger[数量],tbl_ledger[品番],$C344,tbl_ledger[イベント種類],"アニール完了",tbl_ledger[ロットID],"=")+SUMIFS(tbl_ledger[数量],tbl_ledger[品番],$C344,tbl_ledger[イベント種類],"余剰化",tbl_ledger[元状態],E$304)-SUMIFS(tbl_ledger[数量],tbl_ledger[品番],$C344,tbl_ledger[ロットID],"=",tbl_ledger[元状態],E$304))</f>
        <v/>
      </c>
      <c r="F344" s="4" t="str">
        <f>IF($C344="","",SUMIFS(tbl_ledger[数量],tbl_ledger[品番],$C344,tbl_ledger[イベント種類],"アセンブリ完了",tbl_ledger[ロットID],"=")+SUMIFS(tbl_ledger[数量],tbl_ledger[品番],$C344,tbl_ledger[イベント種類],"余剰化",tbl_ledger[元状態],F$304)-SUMIFS(tbl_ledger[数量],tbl_ledger[品番],$C344,tbl_ledger[ロットID],"=",tbl_ledger[元状態],F$304))</f>
        <v/>
      </c>
      <c r="G344" s="4" t="str">
        <f>IF($C344="","",SUMIFS(tbl_ledger[数量],tbl_ledger[品番],$C344,tbl_ledger[イベント種類],"梱包完了",tbl_ledger[ロットID],"=")+SUMIFS(tbl_ledger[数量],tbl_ledger[品番],$C344,tbl_ledger[イベント種類],"余剰化",tbl_ledger[元状態],G$304)-SUMIFS(tbl_ledger[数量],tbl_ledger[品番],$C344,tbl_ledger[ロットID],"=",tbl_ledger[元状態],G$304))</f>
        <v/>
      </c>
      <c r="H344" s="4" t="str">
        <f>IF($C344="","",SUMIFS(tbl_ledger[数量],tbl_ledger[品番],$C344,tbl_ledger[イベント種類],"発送準備完了",tbl_ledger[ロットID],"=")+SUMIFS(tbl_ledger[数量],tbl_ledger[品番],$C344,tbl_ledger[イベント種類],"余剰化",tbl_ledger[元状態],H$304)-SUMIFS(tbl_ledger[数量],tbl_ledger[品番],$C344,tbl_ledger[ロットID],"=",tbl_ledger[元状態],H$304))</f>
        <v/>
      </c>
      <c r="I344" s="4" t="str">
        <f>IF($C344="","",SUMIFS(tbl_ledger[数量],tbl_ledger[品番],$C344,tbl_ledger[イベント種類],"不良発生",tbl_ledger[ロットID],"=")+SUMIFS(tbl_ledger[数量],tbl_ledger[品番],$C344,tbl_ledger[イベント種類],"余剰化",tbl_ledger[元状態],I$304)-SUMIFS(tbl_ledger[数量],tbl_ledger[品番],$C344,tbl_ledger[ロットID],"=",tbl_ledger[元状態],I$304))</f>
        <v/>
      </c>
      <c r="J344" s="4" t="str">
        <f t="shared" si="13"/>
        <v/>
      </c>
    </row>
    <row r="345" spans="1:10" ht="15" x14ac:dyDescent="0.25">
      <c r="A345" s="4" t="str">
        <f t="shared" si="12"/>
        <v/>
      </c>
      <c r="B345" s="6"/>
      <c r="C345" s="4" t="str">
        <f>IFERROR(INDEX(tbl_master[品番],ROW()-304),"")</f>
        <v/>
      </c>
      <c r="D345" s="4" t="str">
        <f>IF($C345="","",SUMIFS(tbl_ledger[数量],tbl_ledger[品番],$C345,tbl_ledger[イベント種類],"搬入",tbl_ledger[ロットID],"=")+SUMIFS(tbl_ledger[数量],tbl_ledger[品番],$C345,tbl_ledger[イベント種類],"余剰化",tbl_ledger[元状態],D$304)-SUMIFS(tbl_ledger[数量],tbl_ledger[品番],$C345,tbl_ledger[ロットID],"=",tbl_ledger[元状態],D$304))</f>
        <v/>
      </c>
      <c r="E345" s="4" t="str">
        <f>IF($C345="","",SUMIFS(tbl_ledger[数量],tbl_ledger[品番],$C345,tbl_ledger[イベント種類],"アニール完了",tbl_ledger[ロットID],"=")+SUMIFS(tbl_ledger[数量],tbl_ledger[品番],$C345,tbl_ledger[イベント種類],"余剰化",tbl_ledger[元状態],E$304)-SUMIFS(tbl_ledger[数量],tbl_ledger[品番],$C345,tbl_ledger[ロットID],"=",tbl_ledger[元状態],E$304))</f>
        <v/>
      </c>
      <c r="F345" s="4" t="str">
        <f>IF($C345="","",SUMIFS(tbl_ledger[数量],tbl_ledger[品番],$C345,tbl_ledger[イベント種類],"アセンブリ完了",tbl_ledger[ロットID],"=")+SUMIFS(tbl_ledger[数量],tbl_ledger[品番],$C345,tbl_ledger[イベント種類],"余剰化",tbl_ledger[元状態],F$304)-SUMIFS(tbl_ledger[数量],tbl_ledger[品番],$C345,tbl_ledger[ロットID],"=",tbl_ledger[元状態],F$304))</f>
        <v/>
      </c>
      <c r="G345" s="4" t="str">
        <f>IF($C345="","",SUMIFS(tbl_ledger[数量],tbl_ledger[品番],$C345,tbl_ledger[イベント種類],"梱包完了",tbl_ledger[ロットID],"=")+SUMIFS(tbl_ledger[数量],tbl_ledger[品番],$C345,tbl_ledger[イベント種類],"余剰化",tbl_ledger[元状態],G$304)-SUMIFS(tbl_ledger[数量],tbl_ledger[品番],$C345,tbl_ledger[ロットID],"=",tbl_ledger[元状態],G$304))</f>
        <v/>
      </c>
      <c r="H345" s="4" t="str">
        <f>IF($C345="","",SUMIFS(tbl_ledger[数量],tbl_ledger[品番],$C345,tbl_ledger[イベント種類],"発送準備完了",tbl_ledger[ロットID],"=")+SUMIFS(tbl_ledger[数量],tbl_ledger[品番],$C345,tbl_ledger[イベント種類],"余剰化",tbl_ledger[元状態],H$304)-SUMIFS(tbl_ledger[数量],tbl_ledger[品番],$C345,tbl_ledger[ロットID],"=",tbl_ledger[元状態],H$304))</f>
        <v/>
      </c>
      <c r="I345" s="4" t="str">
        <f>IF($C345="","",SUMIFS(tbl_ledger[数量],tbl_ledger[品番],$C345,tbl_ledger[イベント種類],"不良発生",tbl_ledger[ロットID],"=")+SUMIFS(tbl_ledger[数量],tbl_ledger[品番],$C345,tbl_ledger[イベント種類],"余剰化",tbl_ledger[元状態],I$304)-SUMIFS(tbl_ledger[数量],tbl_ledger[品番],$C345,tbl_ledger[ロットID],"=",tbl_ledger[元状態],I$304))</f>
        <v/>
      </c>
      <c r="J345" s="4" t="str">
        <f t="shared" si="13"/>
        <v/>
      </c>
    </row>
    <row r="346" spans="1:10" ht="15" x14ac:dyDescent="0.25">
      <c r="A346" s="4" t="str">
        <f t="shared" si="12"/>
        <v/>
      </c>
      <c r="B346" s="6"/>
      <c r="C346" s="4" t="str">
        <f>IFERROR(INDEX(tbl_master[品番],ROW()-304),"")</f>
        <v/>
      </c>
      <c r="D346" s="4" t="str">
        <f>IF($C346="","",SUMIFS(tbl_ledger[数量],tbl_ledger[品番],$C346,tbl_ledger[イベント種類],"搬入",tbl_ledger[ロットID],"=")+SUMIFS(tbl_ledger[数量],tbl_ledger[品番],$C346,tbl_ledger[イベント種類],"余剰化",tbl_ledger[元状態],D$304)-SUMIFS(tbl_ledger[数量],tbl_ledger[品番],$C346,tbl_ledger[ロットID],"=",tbl_ledger[元状態],D$304))</f>
        <v/>
      </c>
      <c r="E346" s="4" t="str">
        <f>IF($C346="","",SUMIFS(tbl_ledger[数量],tbl_ledger[品番],$C346,tbl_ledger[イベント種類],"アニール完了",tbl_ledger[ロットID],"=")+SUMIFS(tbl_ledger[数量],tbl_ledger[品番],$C346,tbl_ledger[イベント種類],"余剰化",tbl_ledger[元状態],E$304)-SUMIFS(tbl_ledger[数量],tbl_ledger[品番],$C346,tbl_ledger[ロットID],"=",tbl_ledger[元状態],E$304))</f>
        <v/>
      </c>
      <c r="F346" s="4" t="str">
        <f>IF($C346="","",SUMIFS(tbl_ledger[数量],tbl_ledger[品番],$C346,tbl_ledger[イベント種類],"アセンブリ完了",tbl_ledger[ロットID],"=")+SUMIFS(tbl_ledger[数量],tbl_ledger[品番],$C346,tbl_ledger[イベント種類],"余剰化",tbl_ledger[元状態],F$304)-SUMIFS(tbl_ledger[数量],tbl_ledger[品番],$C346,tbl_ledger[ロットID],"=",tbl_ledger[元状態],F$304))</f>
        <v/>
      </c>
      <c r="G346" s="4" t="str">
        <f>IF($C346="","",SUMIFS(tbl_ledger[数量],tbl_ledger[品番],$C346,tbl_ledger[イベント種類],"梱包完了",tbl_ledger[ロットID],"=")+SUMIFS(tbl_ledger[数量],tbl_ledger[品番],$C346,tbl_ledger[イベント種類],"余剰化",tbl_ledger[元状態],G$304)-SUMIFS(tbl_ledger[数量],tbl_ledger[品番],$C346,tbl_ledger[ロットID],"=",tbl_ledger[元状態],G$304))</f>
        <v/>
      </c>
      <c r="H346" s="4" t="str">
        <f>IF($C346="","",SUMIFS(tbl_ledger[数量],tbl_ledger[品番],$C346,tbl_ledger[イベント種類],"発送準備完了",tbl_ledger[ロットID],"=")+SUMIFS(tbl_ledger[数量],tbl_ledger[品番],$C346,tbl_ledger[イベント種類],"余剰化",tbl_ledger[元状態],H$304)-SUMIFS(tbl_ledger[数量],tbl_ledger[品番],$C346,tbl_ledger[ロットID],"=",tbl_ledger[元状態],H$304))</f>
        <v/>
      </c>
      <c r="I346" s="4" t="str">
        <f>IF($C346="","",SUMIFS(tbl_ledger[数量],tbl_ledger[品番],$C346,tbl_ledger[イベント種類],"不良発生",tbl_ledger[ロットID],"=")+SUMIFS(tbl_ledger[数量],tbl_ledger[品番],$C346,tbl_ledger[イベント種類],"余剰化",tbl_ledger[元状態],I$304)-SUMIFS(tbl_ledger[数量],tbl_ledger[品番],$C346,tbl_ledger[ロットID],"=",tbl_ledger[元状態],I$304))</f>
        <v/>
      </c>
      <c r="J346" s="4" t="str">
        <f t="shared" si="13"/>
        <v/>
      </c>
    </row>
    <row r="347" spans="1:10" ht="15" x14ac:dyDescent="0.25">
      <c r="A347" s="4" t="str">
        <f t="shared" si="12"/>
        <v/>
      </c>
      <c r="B347" s="6"/>
      <c r="C347" s="4" t="str">
        <f>IFERROR(INDEX(tbl_master[品番],ROW()-304),"")</f>
        <v/>
      </c>
      <c r="D347" s="4" t="str">
        <f>IF($C347="","",SUMIFS(tbl_ledger[数量],tbl_ledger[品番],$C347,tbl_ledger[イベント種類],"搬入",tbl_ledger[ロットID],"=")+SUMIFS(tbl_ledger[数量],tbl_ledger[品番],$C347,tbl_ledger[イベント種類],"余剰化",tbl_ledger[元状態],D$304)-SUMIFS(tbl_ledger[数量],tbl_ledger[品番],$C347,tbl_ledger[ロットID],"=",tbl_ledger[元状態],D$304))</f>
        <v/>
      </c>
      <c r="E347" s="4" t="str">
        <f>IF($C347="","",SUMIFS(tbl_ledger[数量],tbl_ledger[品番],$C347,tbl_ledger[イベント種類],"アニール完了",tbl_ledger[ロットID],"=")+SUMIFS(tbl_ledger[数量],tbl_ledger[品番],$C347,tbl_ledger[イベント種類],"余剰化",tbl_ledger[元状態],E$304)-SUMIFS(tbl_ledger[数量],tbl_ledger[品番],$C347,tbl_ledger[ロットID],"=",tbl_ledger[元状態],E$304))</f>
        <v/>
      </c>
      <c r="F347" s="4" t="str">
        <f>IF($C347="","",SUMIFS(tbl_ledger[数量],tbl_ledger[品番],$C347,tbl_ledger[イベント種類],"アセンブリ完了",tbl_ledger[ロットID],"=")+SUMIFS(tbl_ledger[数量],tbl_ledger[品番],$C347,tbl_ledger[イベント種類],"余剰化",tbl_ledger[元状態],F$304)-SUMIFS(tbl_ledger[数量],tbl_ledger[品番],$C347,tbl_ledger[ロットID],"=",tbl_ledger[元状態],F$304))</f>
        <v/>
      </c>
      <c r="G347" s="4" t="str">
        <f>IF($C347="","",SUMIFS(tbl_ledger[数量],tbl_ledger[品番],$C347,tbl_ledger[イベント種類],"梱包完了",tbl_ledger[ロットID],"=")+SUMIFS(tbl_ledger[数量],tbl_ledger[品番],$C347,tbl_ledger[イベント種類],"余剰化",tbl_ledger[元状態],G$304)-SUMIFS(tbl_ledger[数量],tbl_ledger[品番],$C347,tbl_ledger[ロットID],"=",tbl_ledger[元状態],G$304))</f>
        <v/>
      </c>
      <c r="H347" s="4" t="str">
        <f>IF($C347="","",SUMIFS(tbl_ledger[数量],tbl_ledger[品番],$C347,tbl_ledger[イベント種類],"発送準備完了",tbl_ledger[ロットID],"=")+SUMIFS(tbl_ledger[数量],tbl_ledger[品番],$C347,tbl_ledger[イベント種類],"余剰化",tbl_ledger[元状態],H$304)-SUMIFS(tbl_ledger[数量],tbl_ledger[品番],$C347,tbl_ledger[ロットID],"=",tbl_ledger[元状態],H$304))</f>
        <v/>
      </c>
      <c r="I347" s="4" t="str">
        <f>IF($C347="","",SUMIFS(tbl_ledger[数量],tbl_ledger[品番],$C347,tbl_ledger[イベント種類],"不良発生",tbl_ledger[ロットID],"=")+SUMIFS(tbl_ledger[数量],tbl_ledger[品番],$C347,tbl_ledger[イベント種類],"余剰化",tbl_ledger[元状態],I$304)-SUMIFS(tbl_ledger[数量],tbl_ledger[品番],$C347,tbl_ledger[ロットID],"=",tbl_ledger[元状態],I$304))</f>
        <v/>
      </c>
      <c r="J347" s="4" t="str">
        <f t="shared" si="13"/>
        <v/>
      </c>
    </row>
    <row r="348" spans="1:10" ht="15" x14ac:dyDescent="0.25">
      <c r="A348" s="4" t="str">
        <f t="shared" si="12"/>
        <v/>
      </c>
      <c r="B348" s="6"/>
      <c r="C348" s="4" t="str">
        <f>IFERROR(INDEX(tbl_master[品番],ROW()-304),"")</f>
        <v/>
      </c>
      <c r="D348" s="4" t="str">
        <f>IF($C348="","",SUMIFS(tbl_ledger[数量],tbl_ledger[品番],$C348,tbl_ledger[イベント種類],"搬入",tbl_ledger[ロットID],"=")+SUMIFS(tbl_ledger[数量],tbl_ledger[品番],$C348,tbl_ledger[イベント種類],"余剰化",tbl_ledger[元状態],D$304)-SUMIFS(tbl_ledger[数量],tbl_ledger[品番],$C348,tbl_ledger[ロットID],"=",tbl_ledger[元状態],D$304))</f>
        <v/>
      </c>
      <c r="E348" s="4" t="str">
        <f>IF($C348="","",SUMIFS(tbl_ledger[数量],tbl_ledger[品番],$C348,tbl_ledger[イベント種類],"アニール完了",tbl_ledger[ロットID],"=")+SUMIFS(tbl_ledger[数量],tbl_ledger[品番],$C348,tbl_ledger[イベント種類],"余剰化",tbl_ledger[元状態],E$304)-SUMIFS(tbl_ledger[数量],tbl_ledger[品番],$C348,tbl_ledger[ロットID],"=",tbl_ledger[元状態],E$304))</f>
        <v/>
      </c>
      <c r="F348" s="4" t="str">
        <f>IF($C348="","",SUMIFS(tbl_ledger[数量],tbl_ledger[品番],$C348,tbl_ledger[イベント種類],"アセンブリ完了",tbl_ledger[ロットID],"=")+SUMIFS(tbl_ledger[数量],tbl_ledger[品番],$C348,tbl_ledger[イベント種類],"余剰化",tbl_ledger[元状態],F$304)-SUMIFS(tbl_ledger[数量],tbl_ledger[品番],$C348,tbl_ledger[ロットID],"=",tbl_ledger[元状態],F$304))</f>
        <v/>
      </c>
      <c r="G348" s="4" t="str">
        <f>IF($C348="","",SUMIFS(tbl_ledger[数量],tbl_ledger[品番],$C348,tbl_ledger[イベント種類],"梱包完了",tbl_ledger[ロットID],"=")+SUMIFS(tbl_ledger[数量],tbl_ledger[品番],$C348,tbl_ledger[イベント種類],"余剰化",tbl_ledger[元状態],G$304)-SUMIFS(tbl_ledger[数量],tbl_ledger[品番],$C348,tbl_ledger[ロットID],"=",tbl_ledger[元状態],G$304))</f>
        <v/>
      </c>
      <c r="H348" s="4" t="str">
        <f>IF($C348="","",SUMIFS(tbl_ledger[数量],tbl_ledger[品番],$C348,tbl_ledger[イベント種類],"発送準備完了",tbl_ledger[ロットID],"=")+SUMIFS(tbl_ledger[数量],tbl_ledger[品番],$C348,tbl_ledger[イベント種類],"余剰化",tbl_ledger[元状態],H$304)-SUMIFS(tbl_ledger[数量],tbl_ledger[品番],$C348,tbl_ledger[ロットID],"=",tbl_ledger[元状態],H$304))</f>
        <v/>
      </c>
      <c r="I348" s="4" t="str">
        <f>IF($C348="","",SUMIFS(tbl_ledger[数量],tbl_ledger[品番],$C348,tbl_ledger[イベント種類],"不良発生",tbl_ledger[ロットID],"=")+SUMIFS(tbl_ledger[数量],tbl_ledger[品番],$C348,tbl_ledger[イベント種類],"余剰化",tbl_ledger[元状態],I$304)-SUMIFS(tbl_ledger[数量],tbl_ledger[品番],$C348,tbl_ledger[ロットID],"=",tbl_ledger[元状態],I$304))</f>
        <v/>
      </c>
      <c r="J348" s="4" t="str">
        <f t="shared" si="13"/>
        <v/>
      </c>
    </row>
    <row r="349" spans="1:10" ht="15" x14ac:dyDescent="0.25">
      <c r="A349" s="4" t="str">
        <f t="shared" si="12"/>
        <v/>
      </c>
      <c r="B349" s="6"/>
      <c r="C349" s="4" t="str">
        <f>IFERROR(INDEX(tbl_master[品番],ROW()-304),"")</f>
        <v/>
      </c>
      <c r="D349" s="4" t="str">
        <f>IF($C349="","",SUMIFS(tbl_ledger[数量],tbl_ledger[品番],$C349,tbl_ledger[イベント種類],"搬入",tbl_ledger[ロットID],"=")+SUMIFS(tbl_ledger[数量],tbl_ledger[品番],$C349,tbl_ledger[イベント種類],"余剰化",tbl_ledger[元状態],D$304)-SUMIFS(tbl_ledger[数量],tbl_ledger[品番],$C349,tbl_ledger[ロットID],"=",tbl_ledger[元状態],D$304))</f>
        <v/>
      </c>
      <c r="E349" s="4" t="str">
        <f>IF($C349="","",SUMIFS(tbl_ledger[数量],tbl_ledger[品番],$C349,tbl_ledger[イベント種類],"アニール完了",tbl_ledger[ロットID],"=")+SUMIFS(tbl_ledger[数量],tbl_ledger[品番],$C349,tbl_ledger[イベント種類],"余剰化",tbl_ledger[元状態],E$304)-SUMIFS(tbl_ledger[数量],tbl_ledger[品番],$C349,tbl_ledger[ロットID],"=",tbl_ledger[元状態],E$304))</f>
        <v/>
      </c>
      <c r="F349" s="4" t="str">
        <f>IF($C349="","",SUMIFS(tbl_ledger[数量],tbl_ledger[品番],$C349,tbl_ledger[イベント種類],"アセンブリ完了",tbl_ledger[ロットID],"=")+SUMIFS(tbl_ledger[数量],tbl_ledger[品番],$C349,tbl_ledger[イベント種類],"余剰化",tbl_ledger[元状態],F$304)-SUMIFS(tbl_ledger[数量],tbl_ledger[品番],$C349,tbl_ledger[ロットID],"=",tbl_ledger[元状態],F$304))</f>
        <v/>
      </c>
      <c r="G349" s="4" t="str">
        <f>IF($C349="","",SUMIFS(tbl_ledger[数量],tbl_ledger[品番],$C349,tbl_ledger[イベント種類],"梱包完了",tbl_ledger[ロットID],"=")+SUMIFS(tbl_ledger[数量],tbl_ledger[品番],$C349,tbl_ledger[イベント種類],"余剰化",tbl_ledger[元状態],G$304)-SUMIFS(tbl_ledger[数量],tbl_ledger[品番],$C349,tbl_ledger[ロットID],"=",tbl_ledger[元状態],G$304))</f>
        <v/>
      </c>
      <c r="H349" s="4" t="str">
        <f>IF($C349="","",SUMIFS(tbl_ledger[数量],tbl_ledger[品番],$C349,tbl_ledger[イベント種類],"発送準備完了",tbl_ledger[ロットID],"=")+SUMIFS(tbl_ledger[数量],tbl_ledger[品番],$C349,tbl_ledger[イベント種類],"余剰化",tbl_ledger[元状態],H$304)-SUMIFS(tbl_ledger[数量],tbl_ledger[品番],$C349,tbl_ledger[ロットID],"=",tbl_ledger[元状態],H$304))</f>
        <v/>
      </c>
      <c r="I349" s="4" t="str">
        <f>IF($C349="","",SUMIFS(tbl_ledger[数量],tbl_ledger[品番],$C349,tbl_ledger[イベント種類],"不良発生",tbl_ledger[ロットID],"=")+SUMIFS(tbl_ledger[数量],tbl_ledger[品番],$C349,tbl_ledger[イベント種類],"余剰化",tbl_ledger[元状態],I$304)-SUMIFS(tbl_ledger[数量],tbl_ledger[品番],$C349,tbl_ledger[ロットID],"=",tbl_ledger[元状態],I$304))</f>
        <v/>
      </c>
      <c r="J349" s="4" t="str">
        <f t="shared" si="13"/>
        <v/>
      </c>
    </row>
    <row r="350" spans="1:10" ht="15" x14ac:dyDescent="0.25">
      <c r="A350" s="4" t="str">
        <f t="shared" si="12"/>
        <v/>
      </c>
      <c r="B350" s="6"/>
      <c r="C350" s="4" t="str">
        <f>IFERROR(INDEX(tbl_master[品番],ROW()-304),"")</f>
        <v/>
      </c>
      <c r="D350" s="4" t="str">
        <f>IF($C350="","",SUMIFS(tbl_ledger[数量],tbl_ledger[品番],$C350,tbl_ledger[イベント種類],"搬入",tbl_ledger[ロットID],"=")+SUMIFS(tbl_ledger[数量],tbl_ledger[品番],$C350,tbl_ledger[イベント種類],"余剰化",tbl_ledger[元状態],D$304)-SUMIFS(tbl_ledger[数量],tbl_ledger[品番],$C350,tbl_ledger[ロットID],"=",tbl_ledger[元状態],D$304))</f>
        <v/>
      </c>
      <c r="E350" s="4" t="str">
        <f>IF($C350="","",SUMIFS(tbl_ledger[数量],tbl_ledger[品番],$C350,tbl_ledger[イベント種類],"アニール完了",tbl_ledger[ロットID],"=")+SUMIFS(tbl_ledger[数量],tbl_ledger[品番],$C350,tbl_ledger[イベント種類],"余剰化",tbl_ledger[元状態],E$304)-SUMIFS(tbl_ledger[数量],tbl_ledger[品番],$C350,tbl_ledger[ロットID],"=",tbl_ledger[元状態],E$304))</f>
        <v/>
      </c>
      <c r="F350" s="4" t="str">
        <f>IF($C350="","",SUMIFS(tbl_ledger[数量],tbl_ledger[品番],$C350,tbl_ledger[イベント種類],"アセンブリ完了",tbl_ledger[ロットID],"=")+SUMIFS(tbl_ledger[数量],tbl_ledger[品番],$C350,tbl_ledger[イベント種類],"余剰化",tbl_ledger[元状態],F$304)-SUMIFS(tbl_ledger[数量],tbl_ledger[品番],$C350,tbl_ledger[ロットID],"=",tbl_ledger[元状態],F$304))</f>
        <v/>
      </c>
      <c r="G350" s="4" t="str">
        <f>IF($C350="","",SUMIFS(tbl_ledger[数量],tbl_ledger[品番],$C350,tbl_ledger[イベント種類],"梱包完了",tbl_ledger[ロットID],"=")+SUMIFS(tbl_ledger[数量],tbl_ledger[品番],$C350,tbl_ledger[イベント種類],"余剰化",tbl_ledger[元状態],G$304)-SUMIFS(tbl_ledger[数量],tbl_ledger[品番],$C350,tbl_ledger[ロットID],"=",tbl_ledger[元状態],G$304))</f>
        <v/>
      </c>
      <c r="H350" s="4" t="str">
        <f>IF($C350="","",SUMIFS(tbl_ledger[数量],tbl_ledger[品番],$C350,tbl_ledger[イベント種類],"発送準備完了",tbl_ledger[ロットID],"=")+SUMIFS(tbl_ledger[数量],tbl_ledger[品番],$C350,tbl_ledger[イベント種類],"余剰化",tbl_ledger[元状態],H$304)-SUMIFS(tbl_ledger[数量],tbl_ledger[品番],$C350,tbl_ledger[ロットID],"=",tbl_ledger[元状態],H$304))</f>
        <v/>
      </c>
      <c r="I350" s="4" t="str">
        <f>IF($C350="","",SUMIFS(tbl_ledger[数量],tbl_ledger[品番],$C350,tbl_ledger[イベント種類],"不良発生",tbl_ledger[ロットID],"=")+SUMIFS(tbl_ledger[数量],tbl_ledger[品番],$C350,tbl_ledger[イベント種類],"余剰化",tbl_ledger[元状態],I$304)-SUMIFS(tbl_ledger[数量],tbl_ledger[品番],$C350,tbl_ledger[ロットID],"=",tbl_ledger[元状態],I$304))</f>
        <v/>
      </c>
      <c r="J350" s="4" t="str">
        <f t="shared" si="13"/>
        <v/>
      </c>
    </row>
    <row r="351" spans="1:10" ht="15" x14ac:dyDescent="0.25">
      <c r="A351" s="4" t="str">
        <f t="shared" si="12"/>
        <v/>
      </c>
      <c r="B351" s="6"/>
      <c r="C351" s="4" t="str">
        <f>IFERROR(INDEX(tbl_master[品番],ROW()-304),"")</f>
        <v/>
      </c>
      <c r="D351" s="4" t="str">
        <f>IF($C351="","",SUMIFS(tbl_ledger[数量],tbl_ledger[品番],$C351,tbl_ledger[イベント種類],"搬入",tbl_ledger[ロットID],"=")+SUMIFS(tbl_ledger[数量],tbl_ledger[品番],$C351,tbl_ledger[イベント種類],"余剰化",tbl_ledger[元状態],D$304)-SUMIFS(tbl_ledger[数量],tbl_ledger[品番],$C351,tbl_ledger[ロットID],"=",tbl_ledger[元状態],D$304))</f>
        <v/>
      </c>
      <c r="E351" s="4" t="str">
        <f>IF($C351="","",SUMIFS(tbl_ledger[数量],tbl_ledger[品番],$C351,tbl_ledger[イベント種類],"アニール完了",tbl_ledger[ロットID],"=")+SUMIFS(tbl_ledger[数量],tbl_ledger[品番],$C351,tbl_ledger[イベント種類],"余剰化",tbl_ledger[元状態],E$304)-SUMIFS(tbl_ledger[数量],tbl_ledger[品番],$C351,tbl_ledger[ロットID],"=",tbl_ledger[元状態],E$304))</f>
        <v/>
      </c>
      <c r="F351" s="4" t="str">
        <f>IF($C351="","",SUMIFS(tbl_ledger[数量],tbl_ledger[品番],$C351,tbl_ledger[イベント種類],"アセンブリ完了",tbl_ledger[ロットID],"=")+SUMIFS(tbl_ledger[数量],tbl_ledger[品番],$C351,tbl_ledger[イベント種類],"余剰化",tbl_ledger[元状態],F$304)-SUMIFS(tbl_ledger[数量],tbl_ledger[品番],$C351,tbl_ledger[ロットID],"=",tbl_ledger[元状態],F$304))</f>
        <v/>
      </c>
      <c r="G351" s="4" t="str">
        <f>IF($C351="","",SUMIFS(tbl_ledger[数量],tbl_ledger[品番],$C351,tbl_ledger[イベント種類],"梱包完了",tbl_ledger[ロットID],"=")+SUMIFS(tbl_ledger[数量],tbl_ledger[品番],$C351,tbl_ledger[イベント種類],"余剰化",tbl_ledger[元状態],G$304)-SUMIFS(tbl_ledger[数量],tbl_ledger[品番],$C351,tbl_ledger[ロットID],"=",tbl_ledger[元状態],G$304))</f>
        <v/>
      </c>
      <c r="H351" s="4" t="str">
        <f>IF($C351="","",SUMIFS(tbl_ledger[数量],tbl_ledger[品番],$C351,tbl_ledger[イベント種類],"発送準備完了",tbl_ledger[ロットID],"=")+SUMIFS(tbl_ledger[数量],tbl_ledger[品番],$C351,tbl_ledger[イベント種類],"余剰化",tbl_ledger[元状態],H$304)-SUMIFS(tbl_ledger[数量],tbl_ledger[品番],$C351,tbl_ledger[ロットID],"=",tbl_ledger[元状態],H$304))</f>
        <v/>
      </c>
      <c r="I351" s="4" t="str">
        <f>IF($C351="","",SUMIFS(tbl_ledger[数量],tbl_ledger[品番],$C351,tbl_ledger[イベント種類],"不良発生",tbl_ledger[ロットID],"=")+SUMIFS(tbl_ledger[数量],tbl_ledger[品番],$C351,tbl_ledger[イベント種類],"余剰化",tbl_ledger[元状態],I$304)-SUMIFS(tbl_ledger[数量],tbl_ledger[品番],$C351,tbl_ledger[ロットID],"=",tbl_ledger[元状態],I$304))</f>
        <v/>
      </c>
      <c r="J351" s="4" t="str">
        <f t="shared" si="13"/>
        <v/>
      </c>
    </row>
    <row r="352" spans="1:10" ht="15" x14ac:dyDescent="0.25">
      <c r="A352" s="4" t="str">
        <f t="shared" si="12"/>
        <v/>
      </c>
      <c r="B352" s="6"/>
      <c r="C352" s="4" t="str">
        <f>IFERROR(INDEX(tbl_master[品番],ROW()-304),"")</f>
        <v/>
      </c>
      <c r="D352" s="4" t="str">
        <f>IF($C352="","",SUMIFS(tbl_ledger[数量],tbl_ledger[品番],$C352,tbl_ledger[イベント種類],"搬入",tbl_ledger[ロットID],"=")+SUMIFS(tbl_ledger[数量],tbl_ledger[品番],$C352,tbl_ledger[イベント種類],"余剰化",tbl_ledger[元状態],D$304)-SUMIFS(tbl_ledger[数量],tbl_ledger[品番],$C352,tbl_ledger[ロットID],"=",tbl_ledger[元状態],D$304))</f>
        <v/>
      </c>
      <c r="E352" s="4" t="str">
        <f>IF($C352="","",SUMIFS(tbl_ledger[数量],tbl_ledger[品番],$C352,tbl_ledger[イベント種類],"アニール完了",tbl_ledger[ロットID],"=")+SUMIFS(tbl_ledger[数量],tbl_ledger[品番],$C352,tbl_ledger[イベント種類],"余剰化",tbl_ledger[元状態],E$304)-SUMIFS(tbl_ledger[数量],tbl_ledger[品番],$C352,tbl_ledger[ロットID],"=",tbl_ledger[元状態],E$304))</f>
        <v/>
      </c>
      <c r="F352" s="4" t="str">
        <f>IF($C352="","",SUMIFS(tbl_ledger[数量],tbl_ledger[品番],$C352,tbl_ledger[イベント種類],"アセンブリ完了",tbl_ledger[ロットID],"=")+SUMIFS(tbl_ledger[数量],tbl_ledger[品番],$C352,tbl_ledger[イベント種類],"余剰化",tbl_ledger[元状態],F$304)-SUMIFS(tbl_ledger[数量],tbl_ledger[品番],$C352,tbl_ledger[ロットID],"=",tbl_ledger[元状態],F$304))</f>
        <v/>
      </c>
      <c r="G352" s="4" t="str">
        <f>IF($C352="","",SUMIFS(tbl_ledger[数量],tbl_ledger[品番],$C352,tbl_ledger[イベント種類],"梱包完了",tbl_ledger[ロットID],"=")+SUMIFS(tbl_ledger[数量],tbl_ledger[品番],$C352,tbl_ledger[イベント種類],"余剰化",tbl_ledger[元状態],G$304)-SUMIFS(tbl_ledger[数量],tbl_ledger[品番],$C352,tbl_ledger[ロットID],"=",tbl_ledger[元状態],G$304))</f>
        <v/>
      </c>
      <c r="H352" s="4" t="str">
        <f>IF($C352="","",SUMIFS(tbl_ledger[数量],tbl_ledger[品番],$C352,tbl_ledger[イベント種類],"発送準備完了",tbl_ledger[ロットID],"=")+SUMIFS(tbl_ledger[数量],tbl_ledger[品番],$C352,tbl_ledger[イベント種類],"余剰化",tbl_ledger[元状態],H$304)-SUMIFS(tbl_ledger[数量],tbl_ledger[品番],$C352,tbl_ledger[ロットID],"=",tbl_ledger[元状態],H$304))</f>
        <v/>
      </c>
      <c r="I352" s="4" t="str">
        <f>IF($C352="","",SUMIFS(tbl_ledger[数量],tbl_ledger[品番],$C352,tbl_ledger[イベント種類],"不良発生",tbl_ledger[ロットID],"=")+SUMIFS(tbl_ledger[数量],tbl_ledger[品番],$C352,tbl_ledger[イベント種類],"余剰化",tbl_ledger[元状態],I$304)-SUMIFS(tbl_ledger[数量],tbl_ledger[品番],$C352,tbl_ledger[ロットID],"=",tbl_ledger[元状態],I$304))</f>
        <v/>
      </c>
      <c r="J352" s="4" t="str">
        <f t="shared" si="13"/>
        <v/>
      </c>
    </row>
    <row r="353" spans="1:10" ht="15" x14ac:dyDescent="0.25">
      <c r="A353" s="4" t="str">
        <f t="shared" si="12"/>
        <v/>
      </c>
      <c r="B353" s="6"/>
      <c r="C353" s="4" t="str">
        <f>IFERROR(INDEX(tbl_master[品番],ROW()-304),"")</f>
        <v/>
      </c>
      <c r="D353" s="4" t="str">
        <f>IF($C353="","",SUMIFS(tbl_ledger[数量],tbl_ledger[品番],$C353,tbl_ledger[イベント種類],"搬入",tbl_ledger[ロットID],"=")+SUMIFS(tbl_ledger[数量],tbl_ledger[品番],$C353,tbl_ledger[イベント種類],"余剰化",tbl_ledger[元状態],D$304)-SUMIFS(tbl_ledger[数量],tbl_ledger[品番],$C353,tbl_ledger[ロットID],"=",tbl_ledger[元状態],D$304))</f>
        <v/>
      </c>
      <c r="E353" s="4" t="str">
        <f>IF($C353="","",SUMIFS(tbl_ledger[数量],tbl_ledger[品番],$C353,tbl_ledger[イベント種類],"アニール完了",tbl_ledger[ロットID],"=")+SUMIFS(tbl_ledger[数量],tbl_ledger[品番],$C353,tbl_ledger[イベント種類],"余剰化",tbl_ledger[元状態],E$304)-SUMIFS(tbl_ledger[数量],tbl_ledger[品番],$C353,tbl_ledger[ロットID],"=",tbl_ledger[元状態],E$304))</f>
        <v/>
      </c>
      <c r="F353" s="4" t="str">
        <f>IF($C353="","",SUMIFS(tbl_ledger[数量],tbl_ledger[品番],$C353,tbl_ledger[イベント種類],"アセンブリ完了",tbl_ledger[ロットID],"=")+SUMIFS(tbl_ledger[数量],tbl_ledger[品番],$C353,tbl_ledger[イベント種類],"余剰化",tbl_ledger[元状態],F$304)-SUMIFS(tbl_ledger[数量],tbl_ledger[品番],$C353,tbl_ledger[ロットID],"=",tbl_ledger[元状態],F$304))</f>
        <v/>
      </c>
      <c r="G353" s="4" t="str">
        <f>IF($C353="","",SUMIFS(tbl_ledger[数量],tbl_ledger[品番],$C353,tbl_ledger[イベント種類],"梱包完了",tbl_ledger[ロットID],"=")+SUMIFS(tbl_ledger[数量],tbl_ledger[品番],$C353,tbl_ledger[イベント種類],"余剰化",tbl_ledger[元状態],G$304)-SUMIFS(tbl_ledger[数量],tbl_ledger[品番],$C353,tbl_ledger[ロットID],"=",tbl_ledger[元状態],G$304))</f>
        <v/>
      </c>
      <c r="H353" s="4" t="str">
        <f>IF($C353="","",SUMIFS(tbl_ledger[数量],tbl_ledger[品番],$C353,tbl_ledger[イベント種類],"発送準備完了",tbl_ledger[ロットID],"=")+SUMIFS(tbl_ledger[数量],tbl_ledger[品番],$C353,tbl_ledger[イベント種類],"余剰化",tbl_ledger[元状態],H$304)-SUMIFS(tbl_ledger[数量],tbl_ledger[品番],$C353,tbl_ledger[ロットID],"=",tbl_ledger[元状態],H$304))</f>
        <v/>
      </c>
      <c r="I353" s="4" t="str">
        <f>IF($C353="","",SUMIFS(tbl_ledger[数量],tbl_ledger[品番],$C353,tbl_ledger[イベント種類],"不良発生",tbl_ledger[ロットID],"=")+SUMIFS(tbl_ledger[数量],tbl_ledger[品番],$C353,tbl_ledger[イベント種類],"余剰化",tbl_ledger[元状態],I$304)-SUMIFS(tbl_ledger[数量],tbl_ledger[品番],$C353,tbl_ledger[ロットID],"=",tbl_ledger[元状態],I$304))</f>
        <v/>
      </c>
      <c r="J353" s="4" t="str">
        <f t="shared" si="13"/>
        <v/>
      </c>
    </row>
    <row r="354" spans="1:10" ht="15" x14ac:dyDescent="0.25">
      <c r="A354" s="4" t="str">
        <f t="shared" si="12"/>
        <v/>
      </c>
      <c r="B354" s="6"/>
      <c r="C354" s="4" t="str">
        <f>IFERROR(INDEX(tbl_master[品番],ROW()-304),"")</f>
        <v/>
      </c>
      <c r="D354" s="4" t="str">
        <f>IF($C354="","",SUMIFS(tbl_ledger[数量],tbl_ledger[品番],$C354,tbl_ledger[イベント種類],"搬入",tbl_ledger[ロットID],"=")+SUMIFS(tbl_ledger[数量],tbl_ledger[品番],$C354,tbl_ledger[イベント種類],"余剰化",tbl_ledger[元状態],D$304)-SUMIFS(tbl_ledger[数量],tbl_ledger[品番],$C354,tbl_ledger[ロットID],"=",tbl_ledger[元状態],D$304))</f>
        <v/>
      </c>
      <c r="E354" s="4" t="str">
        <f>IF($C354="","",SUMIFS(tbl_ledger[数量],tbl_ledger[品番],$C354,tbl_ledger[イベント種類],"アニール完了",tbl_ledger[ロットID],"=")+SUMIFS(tbl_ledger[数量],tbl_ledger[品番],$C354,tbl_ledger[イベント種類],"余剰化",tbl_ledger[元状態],E$304)-SUMIFS(tbl_ledger[数量],tbl_ledger[品番],$C354,tbl_ledger[ロットID],"=",tbl_ledger[元状態],E$304))</f>
        <v/>
      </c>
      <c r="F354" s="4" t="str">
        <f>IF($C354="","",SUMIFS(tbl_ledger[数量],tbl_ledger[品番],$C354,tbl_ledger[イベント種類],"アセンブリ完了",tbl_ledger[ロットID],"=")+SUMIFS(tbl_ledger[数量],tbl_ledger[品番],$C354,tbl_ledger[イベント種類],"余剰化",tbl_ledger[元状態],F$304)-SUMIFS(tbl_ledger[数量],tbl_ledger[品番],$C354,tbl_ledger[ロットID],"=",tbl_ledger[元状態],F$304))</f>
        <v/>
      </c>
      <c r="G354" s="4" t="str">
        <f>IF($C354="","",SUMIFS(tbl_ledger[数量],tbl_ledger[品番],$C354,tbl_ledger[イベント種類],"梱包完了",tbl_ledger[ロットID],"=")+SUMIFS(tbl_ledger[数量],tbl_ledger[品番],$C354,tbl_ledger[イベント種類],"余剰化",tbl_ledger[元状態],G$304)-SUMIFS(tbl_ledger[数量],tbl_ledger[品番],$C354,tbl_ledger[ロットID],"=",tbl_ledger[元状態],G$304))</f>
        <v/>
      </c>
      <c r="H354" s="4" t="str">
        <f>IF($C354="","",SUMIFS(tbl_ledger[数量],tbl_ledger[品番],$C354,tbl_ledger[イベント種類],"発送準備完了",tbl_ledger[ロットID],"=")+SUMIFS(tbl_ledger[数量],tbl_ledger[品番],$C354,tbl_ledger[イベント種類],"余剰化",tbl_ledger[元状態],H$304)-SUMIFS(tbl_ledger[数量],tbl_ledger[品番],$C354,tbl_ledger[ロットID],"=",tbl_ledger[元状態],H$304))</f>
        <v/>
      </c>
      <c r="I354" s="4" t="str">
        <f>IF($C354="","",SUMIFS(tbl_ledger[数量],tbl_ledger[品番],$C354,tbl_ledger[イベント種類],"不良発生",tbl_ledger[ロットID],"=")+SUMIFS(tbl_ledger[数量],tbl_ledger[品番],$C354,tbl_ledger[イベント種類],"余剰化",tbl_ledger[元状態],I$304)-SUMIFS(tbl_ledger[数量],tbl_ledger[品番],$C354,tbl_ledger[ロットID],"=",tbl_ledger[元状態],I$304))</f>
        <v/>
      </c>
      <c r="J354" s="4" t="str">
        <f t="shared" si="13"/>
        <v/>
      </c>
    </row>
    <row r="355" spans="1:10" ht="15" x14ac:dyDescent="0.25">
      <c r="A355" s="4" t="str">
        <f t="shared" si="12"/>
        <v/>
      </c>
      <c r="B355" s="6"/>
      <c r="C355" s="4" t="str">
        <f>IFERROR(INDEX(tbl_master[品番],ROW()-304),"")</f>
        <v/>
      </c>
      <c r="D355" s="4" t="str">
        <f>IF($C355="","",SUMIFS(tbl_ledger[数量],tbl_ledger[品番],$C355,tbl_ledger[イベント種類],"搬入",tbl_ledger[ロットID],"=")+SUMIFS(tbl_ledger[数量],tbl_ledger[品番],$C355,tbl_ledger[イベント種類],"余剰化",tbl_ledger[元状態],D$304)-SUMIFS(tbl_ledger[数量],tbl_ledger[品番],$C355,tbl_ledger[ロットID],"=",tbl_ledger[元状態],D$304))</f>
        <v/>
      </c>
      <c r="E355" s="4" t="str">
        <f>IF($C355="","",SUMIFS(tbl_ledger[数量],tbl_ledger[品番],$C355,tbl_ledger[イベント種類],"アニール完了",tbl_ledger[ロットID],"=")+SUMIFS(tbl_ledger[数量],tbl_ledger[品番],$C355,tbl_ledger[イベント種類],"余剰化",tbl_ledger[元状態],E$304)-SUMIFS(tbl_ledger[数量],tbl_ledger[品番],$C355,tbl_ledger[ロットID],"=",tbl_ledger[元状態],E$304))</f>
        <v/>
      </c>
      <c r="F355" s="4" t="str">
        <f>IF($C355="","",SUMIFS(tbl_ledger[数量],tbl_ledger[品番],$C355,tbl_ledger[イベント種類],"アセンブリ完了",tbl_ledger[ロットID],"=")+SUMIFS(tbl_ledger[数量],tbl_ledger[品番],$C355,tbl_ledger[イベント種類],"余剰化",tbl_ledger[元状態],F$304)-SUMIFS(tbl_ledger[数量],tbl_ledger[品番],$C355,tbl_ledger[ロットID],"=",tbl_ledger[元状態],F$304))</f>
        <v/>
      </c>
      <c r="G355" s="4" t="str">
        <f>IF($C355="","",SUMIFS(tbl_ledger[数量],tbl_ledger[品番],$C355,tbl_ledger[イベント種類],"梱包完了",tbl_ledger[ロットID],"=")+SUMIFS(tbl_ledger[数量],tbl_ledger[品番],$C355,tbl_ledger[イベント種類],"余剰化",tbl_ledger[元状態],G$304)-SUMIFS(tbl_ledger[数量],tbl_ledger[品番],$C355,tbl_ledger[ロットID],"=",tbl_ledger[元状態],G$304))</f>
        <v/>
      </c>
      <c r="H355" s="4" t="str">
        <f>IF($C355="","",SUMIFS(tbl_ledger[数量],tbl_ledger[品番],$C355,tbl_ledger[イベント種類],"発送準備完了",tbl_ledger[ロットID],"=")+SUMIFS(tbl_ledger[数量],tbl_ledger[品番],$C355,tbl_ledger[イベント種類],"余剰化",tbl_ledger[元状態],H$304)-SUMIFS(tbl_ledger[数量],tbl_ledger[品番],$C355,tbl_ledger[ロットID],"=",tbl_ledger[元状態],H$304))</f>
        <v/>
      </c>
      <c r="I355" s="4" t="str">
        <f>IF($C355="","",SUMIFS(tbl_ledger[数量],tbl_ledger[品番],$C355,tbl_ledger[イベント種類],"不良発生",tbl_ledger[ロットID],"=")+SUMIFS(tbl_ledger[数量],tbl_ledger[品番],$C355,tbl_ledger[イベント種類],"余剰化",tbl_ledger[元状態],I$304)-SUMIFS(tbl_ledger[数量],tbl_ledger[品番],$C355,tbl_ledger[ロットID],"=",tbl_ledger[元状態],I$304))</f>
        <v/>
      </c>
      <c r="J355" s="4" t="str">
        <f t="shared" si="13"/>
        <v/>
      </c>
    </row>
    <row r="356" spans="1:10" ht="15" x14ac:dyDescent="0.25">
      <c r="A356" s="4" t="str">
        <f t="shared" si="12"/>
        <v/>
      </c>
      <c r="B356" s="6"/>
      <c r="C356" s="4" t="str">
        <f>IFERROR(INDEX(tbl_master[品番],ROW()-304),"")</f>
        <v/>
      </c>
      <c r="D356" s="4" t="str">
        <f>IF($C356="","",SUMIFS(tbl_ledger[数量],tbl_ledger[品番],$C356,tbl_ledger[イベント種類],"搬入",tbl_ledger[ロットID],"=")+SUMIFS(tbl_ledger[数量],tbl_ledger[品番],$C356,tbl_ledger[イベント種類],"余剰化",tbl_ledger[元状態],D$304)-SUMIFS(tbl_ledger[数量],tbl_ledger[品番],$C356,tbl_ledger[ロットID],"=",tbl_ledger[元状態],D$304))</f>
        <v/>
      </c>
      <c r="E356" s="4" t="str">
        <f>IF($C356="","",SUMIFS(tbl_ledger[数量],tbl_ledger[品番],$C356,tbl_ledger[イベント種類],"アニール完了",tbl_ledger[ロットID],"=")+SUMIFS(tbl_ledger[数量],tbl_ledger[品番],$C356,tbl_ledger[イベント種類],"余剰化",tbl_ledger[元状態],E$304)-SUMIFS(tbl_ledger[数量],tbl_ledger[品番],$C356,tbl_ledger[ロットID],"=",tbl_ledger[元状態],E$304))</f>
        <v/>
      </c>
      <c r="F356" s="4" t="str">
        <f>IF($C356="","",SUMIFS(tbl_ledger[数量],tbl_ledger[品番],$C356,tbl_ledger[イベント種類],"アセンブリ完了",tbl_ledger[ロットID],"=")+SUMIFS(tbl_ledger[数量],tbl_ledger[品番],$C356,tbl_ledger[イベント種類],"余剰化",tbl_ledger[元状態],F$304)-SUMIFS(tbl_ledger[数量],tbl_ledger[品番],$C356,tbl_ledger[ロットID],"=",tbl_ledger[元状態],F$304))</f>
        <v/>
      </c>
      <c r="G356" s="4" t="str">
        <f>IF($C356="","",SUMIFS(tbl_ledger[数量],tbl_ledger[品番],$C356,tbl_ledger[イベント種類],"梱包完了",tbl_ledger[ロットID],"=")+SUMIFS(tbl_ledger[数量],tbl_ledger[品番],$C356,tbl_ledger[イベント種類],"余剰化",tbl_ledger[元状態],G$304)-SUMIFS(tbl_ledger[数量],tbl_ledger[品番],$C356,tbl_ledger[ロットID],"=",tbl_ledger[元状態],G$304))</f>
        <v/>
      </c>
      <c r="H356" s="4" t="str">
        <f>IF($C356="","",SUMIFS(tbl_ledger[数量],tbl_ledger[品番],$C356,tbl_ledger[イベント種類],"発送準備完了",tbl_ledger[ロットID],"=")+SUMIFS(tbl_ledger[数量],tbl_ledger[品番],$C356,tbl_ledger[イベント種類],"余剰化",tbl_ledger[元状態],H$304)-SUMIFS(tbl_ledger[数量],tbl_ledger[品番],$C356,tbl_ledger[ロットID],"=",tbl_ledger[元状態],H$304))</f>
        <v/>
      </c>
      <c r="I356" s="4" t="str">
        <f>IF($C356="","",SUMIFS(tbl_ledger[数量],tbl_ledger[品番],$C356,tbl_ledger[イベント種類],"不良発生",tbl_ledger[ロットID],"=")+SUMIFS(tbl_ledger[数量],tbl_ledger[品番],$C356,tbl_ledger[イベント種類],"余剰化",tbl_ledger[元状態],I$304)-SUMIFS(tbl_ledger[数量],tbl_ledger[品番],$C356,tbl_ledger[ロットID],"=",tbl_ledger[元状態],I$304))</f>
        <v/>
      </c>
      <c r="J356" s="4" t="str">
        <f t="shared" si="13"/>
        <v/>
      </c>
    </row>
    <row r="357" spans="1:10" ht="15" x14ac:dyDescent="0.25">
      <c r="A357" s="4" t="str">
        <f t="shared" si="12"/>
        <v/>
      </c>
      <c r="B357" s="6"/>
      <c r="C357" s="4" t="str">
        <f>IFERROR(INDEX(tbl_master[品番],ROW()-304),"")</f>
        <v/>
      </c>
      <c r="D357" s="4" t="str">
        <f>IF($C357="","",SUMIFS(tbl_ledger[数量],tbl_ledger[品番],$C357,tbl_ledger[イベント種類],"搬入",tbl_ledger[ロットID],"=")+SUMIFS(tbl_ledger[数量],tbl_ledger[品番],$C357,tbl_ledger[イベント種類],"余剰化",tbl_ledger[元状態],D$304)-SUMIFS(tbl_ledger[数量],tbl_ledger[品番],$C357,tbl_ledger[ロットID],"=",tbl_ledger[元状態],D$304))</f>
        <v/>
      </c>
      <c r="E357" s="4" t="str">
        <f>IF($C357="","",SUMIFS(tbl_ledger[数量],tbl_ledger[品番],$C357,tbl_ledger[イベント種類],"アニール完了",tbl_ledger[ロットID],"=")+SUMIFS(tbl_ledger[数量],tbl_ledger[品番],$C357,tbl_ledger[イベント種類],"余剰化",tbl_ledger[元状態],E$304)-SUMIFS(tbl_ledger[数量],tbl_ledger[品番],$C357,tbl_ledger[ロットID],"=",tbl_ledger[元状態],E$304))</f>
        <v/>
      </c>
      <c r="F357" s="4" t="str">
        <f>IF($C357="","",SUMIFS(tbl_ledger[数量],tbl_ledger[品番],$C357,tbl_ledger[イベント種類],"アセンブリ完了",tbl_ledger[ロットID],"=")+SUMIFS(tbl_ledger[数量],tbl_ledger[品番],$C357,tbl_ledger[イベント種類],"余剰化",tbl_ledger[元状態],F$304)-SUMIFS(tbl_ledger[数量],tbl_ledger[品番],$C357,tbl_ledger[ロットID],"=",tbl_ledger[元状態],F$304))</f>
        <v/>
      </c>
      <c r="G357" s="4" t="str">
        <f>IF($C357="","",SUMIFS(tbl_ledger[数量],tbl_ledger[品番],$C357,tbl_ledger[イベント種類],"梱包完了",tbl_ledger[ロットID],"=")+SUMIFS(tbl_ledger[数量],tbl_ledger[品番],$C357,tbl_ledger[イベント種類],"余剰化",tbl_ledger[元状態],G$304)-SUMIFS(tbl_ledger[数量],tbl_ledger[品番],$C357,tbl_ledger[ロットID],"=",tbl_ledger[元状態],G$304))</f>
        <v/>
      </c>
      <c r="H357" s="4" t="str">
        <f>IF($C357="","",SUMIFS(tbl_ledger[数量],tbl_ledger[品番],$C357,tbl_ledger[イベント種類],"発送準備完了",tbl_ledger[ロットID],"=")+SUMIFS(tbl_ledger[数量],tbl_ledger[品番],$C357,tbl_ledger[イベント種類],"余剰化",tbl_ledger[元状態],H$304)-SUMIFS(tbl_ledger[数量],tbl_ledger[品番],$C357,tbl_ledger[ロットID],"=",tbl_ledger[元状態],H$304))</f>
        <v/>
      </c>
      <c r="I357" s="4" t="str">
        <f>IF($C357="","",SUMIFS(tbl_ledger[数量],tbl_ledger[品番],$C357,tbl_ledger[イベント種類],"不良発生",tbl_ledger[ロットID],"=")+SUMIFS(tbl_ledger[数量],tbl_ledger[品番],$C357,tbl_ledger[イベント種類],"余剰化",tbl_ledger[元状態],I$304)-SUMIFS(tbl_ledger[数量],tbl_ledger[品番],$C357,tbl_ledger[ロットID],"=",tbl_ledger[元状態],I$304))</f>
        <v/>
      </c>
      <c r="J357" s="4" t="str">
        <f t="shared" si="13"/>
        <v/>
      </c>
    </row>
    <row r="358" spans="1:10" ht="15" x14ac:dyDescent="0.25">
      <c r="A358" s="4" t="str">
        <f t="shared" si="12"/>
        <v/>
      </c>
      <c r="B358" s="6"/>
      <c r="C358" s="4" t="str">
        <f>IFERROR(INDEX(tbl_master[品番],ROW()-304),"")</f>
        <v/>
      </c>
      <c r="D358" s="4" t="str">
        <f>IF($C358="","",SUMIFS(tbl_ledger[数量],tbl_ledger[品番],$C358,tbl_ledger[イベント種類],"搬入",tbl_ledger[ロットID],"=")+SUMIFS(tbl_ledger[数量],tbl_ledger[品番],$C358,tbl_ledger[イベント種類],"余剰化",tbl_ledger[元状態],D$304)-SUMIFS(tbl_ledger[数量],tbl_ledger[品番],$C358,tbl_ledger[ロットID],"=",tbl_ledger[元状態],D$304))</f>
        <v/>
      </c>
      <c r="E358" s="4" t="str">
        <f>IF($C358="","",SUMIFS(tbl_ledger[数量],tbl_ledger[品番],$C358,tbl_ledger[イベント種類],"アニール完了",tbl_ledger[ロットID],"=")+SUMIFS(tbl_ledger[数量],tbl_ledger[品番],$C358,tbl_ledger[イベント種類],"余剰化",tbl_ledger[元状態],E$304)-SUMIFS(tbl_ledger[数量],tbl_ledger[品番],$C358,tbl_ledger[ロットID],"=",tbl_ledger[元状態],E$304))</f>
        <v/>
      </c>
      <c r="F358" s="4" t="str">
        <f>IF($C358="","",SUMIFS(tbl_ledger[数量],tbl_ledger[品番],$C358,tbl_ledger[イベント種類],"アセンブリ完了",tbl_ledger[ロットID],"=")+SUMIFS(tbl_ledger[数量],tbl_ledger[品番],$C358,tbl_ledger[イベント種類],"余剰化",tbl_ledger[元状態],F$304)-SUMIFS(tbl_ledger[数量],tbl_ledger[品番],$C358,tbl_ledger[ロットID],"=",tbl_ledger[元状態],F$304))</f>
        <v/>
      </c>
      <c r="G358" s="4" t="str">
        <f>IF($C358="","",SUMIFS(tbl_ledger[数量],tbl_ledger[品番],$C358,tbl_ledger[イベント種類],"梱包完了",tbl_ledger[ロットID],"=")+SUMIFS(tbl_ledger[数量],tbl_ledger[品番],$C358,tbl_ledger[イベント種類],"余剰化",tbl_ledger[元状態],G$304)-SUMIFS(tbl_ledger[数量],tbl_ledger[品番],$C358,tbl_ledger[ロットID],"=",tbl_ledger[元状態],G$304))</f>
        <v/>
      </c>
      <c r="H358" s="4" t="str">
        <f>IF($C358="","",SUMIFS(tbl_ledger[数量],tbl_ledger[品番],$C358,tbl_ledger[イベント種類],"発送準備完了",tbl_ledger[ロットID],"=")+SUMIFS(tbl_ledger[数量],tbl_ledger[品番],$C358,tbl_ledger[イベント種類],"余剰化",tbl_ledger[元状態],H$304)-SUMIFS(tbl_ledger[数量],tbl_ledger[品番],$C358,tbl_ledger[ロットID],"=",tbl_ledger[元状態],H$304))</f>
        <v/>
      </c>
      <c r="I358" s="4" t="str">
        <f>IF($C358="","",SUMIFS(tbl_ledger[数量],tbl_ledger[品番],$C358,tbl_ledger[イベント種類],"不良発生",tbl_ledger[ロットID],"=")+SUMIFS(tbl_ledger[数量],tbl_ledger[品番],$C358,tbl_ledger[イベント種類],"余剰化",tbl_ledger[元状態],I$304)-SUMIFS(tbl_ledger[数量],tbl_ledger[品番],$C358,tbl_ledger[ロットID],"=",tbl_ledger[元状態],I$304))</f>
        <v/>
      </c>
      <c r="J358" s="4" t="str">
        <f t="shared" si="13"/>
        <v/>
      </c>
    </row>
    <row r="359" spans="1:10" ht="15" x14ac:dyDescent="0.25">
      <c r="A359" s="4" t="str">
        <f t="shared" si="12"/>
        <v/>
      </c>
      <c r="B359" s="6"/>
      <c r="C359" s="4" t="str">
        <f>IFERROR(INDEX(tbl_master[品番],ROW()-304),"")</f>
        <v/>
      </c>
      <c r="D359" s="4" t="str">
        <f>IF($C359="","",SUMIFS(tbl_ledger[数量],tbl_ledger[品番],$C359,tbl_ledger[イベント種類],"搬入",tbl_ledger[ロットID],"=")+SUMIFS(tbl_ledger[数量],tbl_ledger[品番],$C359,tbl_ledger[イベント種類],"余剰化",tbl_ledger[元状態],D$304)-SUMIFS(tbl_ledger[数量],tbl_ledger[品番],$C359,tbl_ledger[ロットID],"=",tbl_ledger[元状態],D$304))</f>
        <v/>
      </c>
      <c r="E359" s="4" t="str">
        <f>IF($C359="","",SUMIFS(tbl_ledger[数量],tbl_ledger[品番],$C359,tbl_ledger[イベント種類],"アニール完了",tbl_ledger[ロットID],"=")+SUMIFS(tbl_ledger[数量],tbl_ledger[品番],$C359,tbl_ledger[イベント種類],"余剰化",tbl_ledger[元状態],E$304)-SUMIFS(tbl_ledger[数量],tbl_ledger[品番],$C359,tbl_ledger[ロットID],"=",tbl_ledger[元状態],E$304))</f>
        <v/>
      </c>
      <c r="F359" s="4" t="str">
        <f>IF($C359="","",SUMIFS(tbl_ledger[数量],tbl_ledger[品番],$C359,tbl_ledger[イベント種類],"アセンブリ完了",tbl_ledger[ロットID],"=")+SUMIFS(tbl_ledger[数量],tbl_ledger[品番],$C359,tbl_ledger[イベント種類],"余剰化",tbl_ledger[元状態],F$304)-SUMIFS(tbl_ledger[数量],tbl_ledger[品番],$C359,tbl_ledger[ロットID],"=",tbl_ledger[元状態],F$304))</f>
        <v/>
      </c>
      <c r="G359" s="4" t="str">
        <f>IF($C359="","",SUMIFS(tbl_ledger[数量],tbl_ledger[品番],$C359,tbl_ledger[イベント種類],"梱包完了",tbl_ledger[ロットID],"=")+SUMIFS(tbl_ledger[数量],tbl_ledger[品番],$C359,tbl_ledger[イベント種類],"余剰化",tbl_ledger[元状態],G$304)-SUMIFS(tbl_ledger[数量],tbl_ledger[品番],$C359,tbl_ledger[ロットID],"=",tbl_ledger[元状態],G$304))</f>
        <v/>
      </c>
      <c r="H359" s="4" t="str">
        <f>IF($C359="","",SUMIFS(tbl_ledger[数量],tbl_ledger[品番],$C359,tbl_ledger[イベント種類],"発送準備完了",tbl_ledger[ロットID],"=")+SUMIFS(tbl_ledger[数量],tbl_ledger[品番],$C359,tbl_ledger[イベント種類],"余剰化",tbl_ledger[元状態],H$304)-SUMIFS(tbl_ledger[数量],tbl_ledger[品番],$C359,tbl_ledger[ロットID],"=",tbl_ledger[元状態],H$304))</f>
        <v/>
      </c>
      <c r="I359" s="4" t="str">
        <f>IF($C359="","",SUMIFS(tbl_ledger[数量],tbl_ledger[品番],$C359,tbl_ledger[イベント種類],"不良発生",tbl_ledger[ロットID],"=")+SUMIFS(tbl_ledger[数量],tbl_ledger[品番],$C359,tbl_ledger[イベント種類],"余剰化",tbl_ledger[元状態],I$304)-SUMIFS(tbl_ledger[数量],tbl_ledger[品番],$C359,tbl_ledger[ロットID],"=",tbl_ledger[元状態],I$304))</f>
        <v/>
      </c>
      <c r="J359" s="4" t="str">
        <f t="shared" si="13"/>
        <v/>
      </c>
    </row>
    <row r="360" spans="1:10" ht="15" x14ac:dyDescent="0.25">
      <c r="A360" s="4" t="str">
        <f t="shared" si="12"/>
        <v/>
      </c>
      <c r="B360" s="6"/>
      <c r="C360" s="4" t="str">
        <f>IFERROR(INDEX(tbl_master[品番],ROW()-304),"")</f>
        <v/>
      </c>
      <c r="D360" s="4" t="str">
        <f>IF($C360="","",SUMIFS(tbl_ledger[数量],tbl_ledger[品番],$C360,tbl_ledger[イベント種類],"搬入",tbl_ledger[ロットID],"=")+SUMIFS(tbl_ledger[数量],tbl_ledger[品番],$C360,tbl_ledger[イベント種類],"余剰化",tbl_ledger[元状態],D$304)-SUMIFS(tbl_ledger[数量],tbl_ledger[品番],$C360,tbl_ledger[ロットID],"=",tbl_ledger[元状態],D$304))</f>
        <v/>
      </c>
      <c r="E360" s="4" t="str">
        <f>IF($C360="","",SUMIFS(tbl_ledger[数量],tbl_ledger[品番],$C360,tbl_ledger[イベント種類],"アニール完了",tbl_ledger[ロットID],"=")+SUMIFS(tbl_ledger[数量],tbl_ledger[品番],$C360,tbl_ledger[イベント種類],"余剰化",tbl_ledger[元状態],E$304)-SUMIFS(tbl_ledger[数量],tbl_ledger[品番],$C360,tbl_ledger[ロットID],"=",tbl_ledger[元状態],E$304))</f>
        <v/>
      </c>
      <c r="F360" s="4" t="str">
        <f>IF($C360="","",SUMIFS(tbl_ledger[数量],tbl_ledger[品番],$C360,tbl_ledger[イベント種類],"アセンブリ完了",tbl_ledger[ロットID],"=")+SUMIFS(tbl_ledger[数量],tbl_ledger[品番],$C360,tbl_ledger[イベント種類],"余剰化",tbl_ledger[元状態],F$304)-SUMIFS(tbl_ledger[数量],tbl_ledger[品番],$C360,tbl_ledger[ロットID],"=",tbl_ledger[元状態],F$304))</f>
        <v/>
      </c>
      <c r="G360" s="4" t="str">
        <f>IF($C360="","",SUMIFS(tbl_ledger[数量],tbl_ledger[品番],$C360,tbl_ledger[イベント種類],"梱包完了",tbl_ledger[ロットID],"=")+SUMIFS(tbl_ledger[数量],tbl_ledger[品番],$C360,tbl_ledger[イベント種類],"余剰化",tbl_ledger[元状態],G$304)-SUMIFS(tbl_ledger[数量],tbl_ledger[品番],$C360,tbl_ledger[ロットID],"=",tbl_ledger[元状態],G$304))</f>
        <v/>
      </c>
      <c r="H360" s="4" t="str">
        <f>IF($C360="","",SUMIFS(tbl_ledger[数量],tbl_ledger[品番],$C360,tbl_ledger[イベント種類],"発送準備完了",tbl_ledger[ロットID],"=")+SUMIFS(tbl_ledger[数量],tbl_ledger[品番],$C360,tbl_ledger[イベント種類],"余剰化",tbl_ledger[元状態],H$304)-SUMIFS(tbl_ledger[数量],tbl_ledger[品番],$C360,tbl_ledger[ロットID],"=",tbl_ledger[元状態],H$304))</f>
        <v/>
      </c>
      <c r="I360" s="4" t="str">
        <f>IF($C360="","",SUMIFS(tbl_ledger[数量],tbl_ledger[品番],$C360,tbl_ledger[イベント種類],"不良発生",tbl_ledger[ロットID],"=")+SUMIFS(tbl_ledger[数量],tbl_ledger[品番],$C360,tbl_ledger[イベント種類],"余剰化",tbl_ledger[元状態],I$304)-SUMIFS(tbl_ledger[数量],tbl_ledger[品番],$C360,tbl_ledger[ロットID],"=",tbl_ledger[元状態],I$304))</f>
        <v/>
      </c>
      <c r="J360" s="4" t="str">
        <f t="shared" si="13"/>
        <v/>
      </c>
    </row>
    <row r="361" spans="1:10" ht="15" x14ac:dyDescent="0.25">
      <c r="A361" s="4" t="str">
        <f t="shared" si="12"/>
        <v/>
      </c>
      <c r="B361" s="6"/>
      <c r="C361" s="4" t="str">
        <f>IFERROR(INDEX(tbl_master[品番],ROW()-304),"")</f>
        <v/>
      </c>
      <c r="D361" s="4" t="str">
        <f>IF($C361="","",SUMIFS(tbl_ledger[数量],tbl_ledger[品番],$C361,tbl_ledger[イベント種類],"搬入",tbl_ledger[ロットID],"=")+SUMIFS(tbl_ledger[数量],tbl_ledger[品番],$C361,tbl_ledger[イベント種類],"余剰化",tbl_ledger[元状態],D$304)-SUMIFS(tbl_ledger[数量],tbl_ledger[品番],$C361,tbl_ledger[ロットID],"=",tbl_ledger[元状態],D$304))</f>
        <v/>
      </c>
      <c r="E361" s="4" t="str">
        <f>IF($C361="","",SUMIFS(tbl_ledger[数量],tbl_ledger[品番],$C361,tbl_ledger[イベント種類],"アニール完了",tbl_ledger[ロットID],"=")+SUMIFS(tbl_ledger[数量],tbl_ledger[品番],$C361,tbl_ledger[イベント種類],"余剰化",tbl_ledger[元状態],E$304)-SUMIFS(tbl_ledger[数量],tbl_ledger[品番],$C361,tbl_ledger[ロットID],"=",tbl_ledger[元状態],E$304))</f>
        <v/>
      </c>
      <c r="F361" s="4" t="str">
        <f>IF($C361="","",SUMIFS(tbl_ledger[数量],tbl_ledger[品番],$C361,tbl_ledger[イベント種類],"アセンブリ完了",tbl_ledger[ロットID],"=")+SUMIFS(tbl_ledger[数量],tbl_ledger[品番],$C361,tbl_ledger[イベント種類],"余剰化",tbl_ledger[元状態],F$304)-SUMIFS(tbl_ledger[数量],tbl_ledger[品番],$C361,tbl_ledger[ロットID],"=",tbl_ledger[元状態],F$304))</f>
        <v/>
      </c>
      <c r="G361" s="4" t="str">
        <f>IF($C361="","",SUMIFS(tbl_ledger[数量],tbl_ledger[品番],$C361,tbl_ledger[イベント種類],"梱包完了",tbl_ledger[ロットID],"=")+SUMIFS(tbl_ledger[数量],tbl_ledger[品番],$C361,tbl_ledger[イベント種類],"余剰化",tbl_ledger[元状態],G$304)-SUMIFS(tbl_ledger[数量],tbl_ledger[品番],$C361,tbl_ledger[ロットID],"=",tbl_ledger[元状態],G$304))</f>
        <v/>
      </c>
      <c r="H361" s="4" t="str">
        <f>IF($C361="","",SUMIFS(tbl_ledger[数量],tbl_ledger[品番],$C361,tbl_ledger[イベント種類],"発送準備完了",tbl_ledger[ロットID],"=")+SUMIFS(tbl_ledger[数量],tbl_ledger[品番],$C361,tbl_ledger[イベント種類],"余剰化",tbl_ledger[元状態],H$304)-SUMIFS(tbl_ledger[数量],tbl_ledger[品番],$C361,tbl_ledger[ロットID],"=",tbl_ledger[元状態],H$304))</f>
        <v/>
      </c>
      <c r="I361" s="4" t="str">
        <f>IF($C361="","",SUMIFS(tbl_ledger[数量],tbl_ledger[品番],$C361,tbl_ledger[イベント種類],"不良発生",tbl_ledger[ロットID],"=")+SUMIFS(tbl_ledger[数量],tbl_ledger[品番],$C361,tbl_ledger[イベント種類],"余剰化",tbl_ledger[元状態],I$304)-SUMIFS(tbl_ledger[数量],tbl_ledger[品番],$C361,tbl_ledger[ロットID],"=",tbl_ledger[元状態],I$304))</f>
        <v/>
      </c>
      <c r="J361" s="4" t="str">
        <f t="shared" si="13"/>
        <v/>
      </c>
    </row>
    <row r="362" spans="1:10" ht="15" x14ac:dyDescent="0.25">
      <c r="A362" s="4" t="str">
        <f t="shared" si="12"/>
        <v/>
      </c>
      <c r="B362" s="6"/>
      <c r="C362" s="4" t="str">
        <f>IFERROR(INDEX(tbl_master[品番],ROW()-304),"")</f>
        <v/>
      </c>
      <c r="D362" s="4" t="str">
        <f>IF($C362="","",SUMIFS(tbl_ledger[数量],tbl_ledger[品番],$C362,tbl_ledger[イベント種類],"搬入",tbl_ledger[ロットID],"=")+SUMIFS(tbl_ledger[数量],tbl_ledger[品番],$C362,tbl_ledger[イベント種類],"余剰化",tbl_ledger[元状態],D$304)-SUMIFS(tbl_ledger[数量],tbl_ledger[品番],$C362,tbl_ledger[ロットID],"=",tbl_ledger[元状態],D$304))</f>
        <v/>
      </c>
      <c r="E362" s="4" t="str">
        <f>IF($C362="","",SUMIFS(tbl_ledger[数量],tbl_ledger[品番],$C362,tbl_ledger[イベント種類],"アニール完了",tbl_ledger[ロットID],"=")+SUMIFS(tbl_ledger[数量],tbl_ledger[品番],$C362,tbl_ledger[イベント種類],"余剰化",tbl_ledger[元状態],E$304)-SUMIFS(tbl_ledger[数量],tbl_ledger[品番],$C362,tbl_ledger[ロットID],"=",tbl_ledger[元状態],E$304))</f>
        <v/>
      </c>
      <c r="F362" s="4" t="str">
        <f>IF($C362="","",SUMIFS(tbl_ledger[数量],tbl_ledger[品番],$C362,tbl_ledger[イベント種類],"アセンブリ完了",tbl_ledger[ロットID],"=")+SUMIFS(tbl_ledger[数量],tbl_ledger[品番],$C362,tbl_ledger[イベント種類],"余剰化",tbl_ledger[元状態],F$304)-SUMIFS(tbl_ledger[数量],tbl_ledger[品番],$C362,tbl_ledger[ロットID],"=",tbl_ledger[元状態],F$304))</f>
        <v/>
      </c>
      <c r="G362" s="4" t="str">
        <f>IF($C362="","",SUMIFS(tbl_ledger[数量],tbl_ledger[品番],$C362,tbl_ledger[イベント種類],"梱包完了",tbl_ledger[ロットID],"=")+SUMIFS(tbl_ledger[数量],tbl_ledger[品番],$C362,tbl_ledger[イベント種類],"余剰化",tbl_ledger[元状態],G$304)-SUMIFS(tbl_ledger[数量],tbl_ledger[品番],$C362,tbl_ledger[ロットID],"=",tbl_ledger[元状態],G$304))</f>
        <v/>
      </c>
      <c r="H362" s="4" t="str">
        <f>IF($C362="","",SUMIFS(tbl_ledger[数量],tbl_ledger[品番],$C362,tbl_ledger[イベント種類],"発送準備完了",tbl_ledger[ロットID],"=")+SUMIFS(tbl_ledger[数量],tbl_ledger[品番],$C362,tbl_ledger[イベント種類],"余剰化",tbl_ledger[元状態],H$304)-SUMIFS(tbl_ledger[数量],tbl_ledger[品番],$C362,tbl_ledger[ロットID],"=",tbl_ledger[元状態],H$304))</f>
        <v/>
      </c>
      <c r="I362" s="4" t="str">
        <f>IF($C362="","",SUMIFS(tbl_ledger[数量],tbl_ledger[品番],$C362,tbl_ledger[イベント種類],"不良発生",tbl_ledger[ロットID],"=")+SUMIFS(tbl_ledger[数量],tbl_ledger[品番],$C362,tbl_ledger[イベント種類],"余剰化",tbl_ledger[元状態],I$304)-SUMIFS(tbl_ledger[数量],tbl_ledger[品番],$C362,tbl_ledger[ロットID],"=",tbl_ledger[元状態],I$304))</f>
        <v/>
      </c>
      <c r="J362" s="4" t="str">
        <f t="shared" si="13"/>
        <v/>
      </c>
    </row>
    <row r="363" spans="1:10" ht="15" x14ac:dyDescent="0.25">
      <c r="A363" s="4" t="str">
        <f t="shared" si="12"/>
        <v/>
      </c>
      <c r="B363" s="6"/>
      <c r="C363" s="4" t="str">
        <f>IFERROR(INDEX(tbl_master[品番],ROW()-304),"")</f>
        <v/>
      </c>
      <c r="D363" s="4" t="str">
        <f>IF($C363="","",SUMIFS(tbl_ledger[数量],tbl_ledger[品番],$C363,tbl_ledger[イベント種類],"搬入",tbl_ledger[ロットID],"=")+SUMIFS(tbl_ledger[数量],tbl_ledger[品番],$C363,tbl_ledger[イベント種類],"余剰化",tbl_ledger[元状態],D$304)-SUMIFS(tbl_ledger[数量],tbl_ledger[品番],$C363,tbl_ledger[ロットID],"=",tbl_ledger[元状態],D$304))</f>
        <v/>
      </c>
      <c r="E363" s="4" t="str">
        <f>IF($C363="","",SUMIFS(tbl_ledger[数量],tbl_ledger[品番],$C363,tbl_ledger[イベント種類],"アニール完了",tbl_ledger[ロットID],"=")+SUMIFS(tbl_ledger[数量],tbl_ledger[品番],$C363,tbl_ledger[イベント種類],"余剰化",tbl_ledger[元状態],E$304)-SUMIFS(tbl_ledger[数量],tbl_ledger[品番],$C363,tbl_ledger[ロットID],"=",tbl_ledger[元状態],E$304))</f>
        <v/>
      </c>
      <c r="F363" s="4" t="str">
        <f>IF($C363="","",SUMIFS(tbl_ledger[数量],tbl_ledger[品番],$C363,tbl_ledger[イベント種類],"アセンブリ完了",tbl_ledger[ロットID],"=")+SUMIFS(tbl_ledger[数量],tbl_ledger[品番],$C363,tbl_ledger[イベント種類],"余剰化",tbl_ledger[元状態],F$304)-SUMIFS(tbl_ledger[数量],tbl_ledger[品番],$C363,tbl_ledger[ロットID],"=",tbl_ledger[元状態],F$304))</f>
        <v/>
      </c>
      <c r="G363" s="4" t="str">
        <f>IF($C363="","",SUMIFS(tbl_ledger[数量],tbl_ledger[品番],$C363,tbl_ledger[イベント種類],"梱包完了",tbl_ledger[ロットID],"=")+SUMIFS(tbl_ledger[数量],tbl_ledger[品番],$C363,tbl_ledger[イベント種類],"余剰化",tbl_ledger[元状態],G$304)-SUMIFS(tbl_ledger[数量],tbl_ledger[品番],$C363,tbl_ledger[ロットID],"=",tbl_ledger[元状態],G$304))</f>
        <v/>
      </c>
      <c r="H363" s="4" t="str">
        <f>IF($C363="","",SUMIFS(tbl_ledger[数量],tbl_ledger[品番],$C363,tbl_ledger[イベント種類],"発送準備完了",tbl_ledger[ロットID],"=")+SUMIFS(tbl_ledger[数量],tbl_ledger[品番],$C363,tbl_ledger[イベント種類],"余剰化",tbl_ledger[元状態],H$304)-SUMIFS(tbl_ledger[数量],tbl_ledger[品番],$C363,tbl_ledger[ロットID],"=",tbl_ledger[元状態],H$304))</f>
        <v/>
      </c>
      <c r="I363" s="4" t="str">
        <f>IF($C363="","",SUMIFS(tbl_ledger[数量],tbl_ledger[品番],$C363,tbl_ledger[イベント種類],"不良発生",tbl_ledger[ロットID],"=")+SUMIFS(tbl_ledger[数量],tbl_ledger[品番],$C363,tbl_ledger[イベント種類],"余剰化",tbl_ledger[元状態],I$304)-SUMIFS(tbl_ledger[数量],tbl_ledger[品番],$C363,tbl_ledger[ロットID],"=",tbl_ledger[元状態],I$304))</f>
        <v/>
      </c>
      <c r="J363" s="4" t="str">
        <f t="shared" si="13"/>
        <v/>
      </c>
    </row>
    <row r="364" spans="1:10" ht="15" x14ac:dyDescent="0.25">
      <c r="A364" s="4" t="str">
        <f t="shared" si="12"/>
        <v/>
      </c>
      <c r="B364" s="6"/>
      <c r="C364" s="4" t="str">
        <f>IFERROR(INDEX(tbl_master[品番],ROW()-304),"")</f>
        <v/>
      </c>
      <c r="D364" s="4" t="str">
        <f>IF($C364="","",SUMIFS(tbl_ledger[数量],tbl_ledger[品番],$C364,tbl_ledger[イベント種類],"搬入",tbl_ledger[ロットID],"=")+SUMIFS(tbl_ledger[数量],tbl_ledger[品番],$C364,tbl_ledger[イベント種類],"余剰化",tbl_ledger[元状態],D$304)-SUMIFS(tbl_ledger[数量],tbl_ledger[品番],$C364,tbl_ledger[ロットID],"=",tbl_ledger[元状態],D$304))</f>
        <v/>
      </c>
      <c r="E364" s="4" t="str">
        <f>IF($C364="","",SUMIFS(tbl_ledger[数量],tbl_ledger[品番],$C364,tbl_ledger[イベント種類],"アニール完了",tbl_ledger[ロットID],"=")+SUMIFS(tbl_ledger[数量],tbl_ledger[品番],$C364,tbl_ledger[イベント種類],"余剰化",tbl_ledger[元状態],E$304)-SUMIFS(tbl_ledger[数量],tbl_ledger[品番],$C364,tbl_ledger[ロットID],"=",tbl_ledger[元状態],E$304))</f>
        <v/>
      </c>
      <c r="F364" s="4" t="str">
        <f>IF($C364="","",SUMIFS(tbl_ledger[数量],tbl_ledger[品番],$C364,tbl_ledger[イベント種類],"アセンブリ完了",tbl_ledger[ロットID],"=")+SUMIFS(tbl_ledger[数量],tbl_ledger[品番],$C364,tbl_ledger[イベント種類],"余剰化",tbl_ledger[元状態],F$304)-SUMIFS(tbl_ledger[数量],tbl_ledger[品番],$C364,tbl_ledger[ロットID],"=",tbl_ledger[元状態],F$304))</f>
        <v/>
      </c>
      <c r="G364" s="4" t="str">
        <f>IF($C364="","",SUMIFS(tbl_ledger[数量],tbl_ledger[品番],$C364,tbl_ledger[イベント種類],"梱包完了",tbl_ledger[ロットID],"=")+SUMIFS(tbl_ledger[数量],tbl_ledger[品番],$C364,tbl_ledger[イベント種類],"余剰化",tbl_ledger[元状態],G$304)-SUMIFS(tbl_ledger[数量],tbl_ledger[品番],$C364,tbl_ledger[ロットID],"=",tbl_ledger[元状態],G$304))</f>
        <v/>
      </c>
      <c r="H364" s="4" t="str">
        <f>IF($C364="","",SUMIFS(tbl_ledger[数量],tbl_ledger[品番],$C364,tbl_ledger[イベント種類],"発送準備完了",tbl_ledger[ロットID],"=")+SUMIFS(tbl_ledger[数量],tbl_ledger[品番],$C364,tbl_ledger[イベント種類],"余剰化",tbl_ledger[元状態],H$304)-SUMIFS(tbl_ledger[数量],tbl_ledger[品番],$C364,tbl_ledger[ロットID],"=",tbl_ledger[元状態],H$304))</f>
        <v/>
      </c>
      <c r="I364" s="4" t="str">
        <f>IF($C364="","",SUMIFS(tbl_ledger[数量],tbl_ledger[品番],$C364,tbl_ledger[イベント種類],"不良発生",tbl_ledger[ロットID],"=")+SUMIFS(tbl_ledger[数量],tbl_ledger[品番],$C364,tbl_ledger[イベント種類],"余剰化",tbl_ledger[元状態],I$304)-SUMIFS(tbl_ledger[数量],tbl_ledger[品番],$C364,tbl_ledger[ロットID],"=",tbl_ledger[元状態],I$304))</f>
        <v/>
      </c>
      <c r="J364" s="4" t="str">
        <f t="shared" si="13"/>
        <v/>
      </c>
    </row>
    <row r="365" spans="1:10" ht="15" x14ac:dyDescent="0.25">
      <c r="A365" s="4" t="str">
        <f t="shared" si="12"/>
        <v/>
      </c>
      <c r="B365" s="6"/>
      <c r="C365" s="4" t="str">
        <f>IFERROR(INDEX(tbl_master[品番],ROW()-304),"")</f>
        <v/>
      </c>
      <c r="D365" s="4" t="str">
        <f>IF($C365="","",SUMIFS(tbl_ledger[数量],tbl_ledger[品番],$C365,tbl_ledger[イベント種類],"搬入",tbl_ledger[ロットID],"=")+SUMIFS(tbl_ledger[数量],tbl_ledger[品番],$C365,tbl_ledger[イベント種類],"余剰化",tbl_ledger[元状態],D$304)-SUMIFS(tbl_ledger[数量],tbl_ledger[品番],$C365,tbl_ledger[ロットID],"=",tbl_ledger[元状態],D$304))</f>
        <v/>
      </c>
      <c r="E365" s="4" t="str">
        <f>IF($C365="","",SUMIFS(tbl_ledger[数量],tbl_ledger[品番],$C365,tbl_ledger[イベント種類],"アニール完了",tbl_ledger[ロットID],"=")+SUMIFS(tbl_ledger[数量],tbl_ledger[品番],$C365,tbl_ledger[イベント種類],"余剰化",tbl_ledger[元状態],E$304)-SUMIFS(tbl_ledger[数量],tbl_ledger[品番],$C365,tbl_ledger[ロットID],"=",tbl_ledger[元状態],E$304))</f>
        <v/>
      </c>
      <c r="F365" s="4" t="str">
        <f>IF($C365="","",SUMIFS(tbl_ledger[数量],tbl_ledger[品番],$C365,tbl_ledger[イベント種類],"アセンブリ完了",tbl_ledger[ロットID],"=")+SUMIFS(tbl_ledger[数量],tbl_ledger[品番],$C365,tbl_ledger[イベント種類],"余剰化",tbl_ledger[元状態],F$304)-SUMIFS(tbl_ledger[数量],tbl_ledger[品番],$C365,tbl_ledger[ロットID],"=",tbl_ledger[元状態],F$304))</f>
        <v/>
      </c>
      <c r="G365" s="4" t="str">
        <f>IF($C365="","",SUMIFS(tbl_ledger[数量],tbl_ledger[品番],$C365,tbl_ledger[イベント種類],"梱包完了",tbl_ledger[ロットID],"=")+SUMIFS(tbl_ledger[数量],tbl_ledger[品番],$C365,tbl_ledger[イベント種類],"余剰化",tbl_ledger[元状態],G$304)-SUMIFS(tbl_ledger[数量],tbl_ledger[品番],$C365,tbl_ledger[ロットID],"=",tbl_ledger[元状態],G$304))</f>
        <v/>
      </c>
      <c r="H365" s="4" t="str">
        <f>IF($C365="","",SUMIFS(tbl_ledger[数量],tbl_ledger[品番],$C365,tbl_ledger[イベント種類],"発送準備完了",tbl_ledger[ロットID],"=")+SUMIFS(tbl_ledger[数量],tbl_ledger[品番],$C365,tbl_ledger[イベント種類],"余剰化",tbl_ledger[元状態],H$304)-SUMIFS(tbl_ledger[数量],tbl_ledger[品番],$C365,tbl_ledger[ロットID],"=",tbl_ledger[元状態],H$304))</f>
        <v/>
      </c>
      <c r="I365" s="4" t="str">
        <f>IF($C365="","",SUMIFS(tbl_ledger[数量],tbl_ledger[品番],$C365,tbl_ledger[イベント種類],"不良発生",tbl_ledger[ロットID],"=")+SUMIFS(tbl_ledger[数量],tbl_ledger[品番],$C365,tbl_ledger[イベント種類],"余剰化",tbl_ledger[元状態],I$304)-SUMIFS(tbl_ledger[数量],tbl_ledger[品番],$C365,tbl_ledger[ロットID],"=",tbl_ledger[元状態],I$304))</f>
        <v/>
      </c>
      <c r="J365" s="4" t="str">
        <f t="shared" si="13"/>
        <v/>
      </c>
    </row>
    <row r="366" spans="1:10" ht="15" x14ac:dyDescent="0.25">
      <c r="A366" s="4" t="str">
        <f t="shared" si="12"/>
        <v/>
      </c>
      <c r="B366" s="6"/>
      <c r="C366" s="4" t="str">
        <f>IFERROR(INDEX(tbl_master[品番],ROW()-304),"")</f>
        <v/>
      </c>
      <c r="D366" s="4" t="str">
        <f>IF($C366="","",SUMIFS(tbl_ledger[数量],tbl_ledger[品番],$C366,tbl_ledger[イベント種類],"搬入",tbl_ledger[ロットID],"=")+SUMIFS(tbl_ledger[数量],tbl_ledger[品番],$C366,tbl_ledger[イベント種類],"余剰化",tbl_ledger[元状態],D$304)-SUMIFS(tbl_ledger[数量],tbl_ledger[品番],$C366,tbl_ledger[ロットID],"=",tbl_ledger[元状態],D$304))</f>
        <v/>
      </c>
      <c r="E366" s="4" t="str">
        <f>IF($C366="","",SUMIFS(tbl_ledger[数量],tbl_ledger[品番],$C366,tbl_ledger[イベント種類],"アニール完了",tbl_ledger[ロットID],"=")+SUMIFS(tbl_ledger[数量],tbl_ledger[品番],$C366,tbl_ledger[イベント種類],"余剰化",tbl_ledger[元状態],E$304)-SUMIFS(tbl_ledger[数量],tbl_ledger[品番],$C366,tbl_ledger[ロットID],"=",tbl_ledger[元状態],E$304))</f>
        <v/>
      </c>
      <c r="F366" s="4" t="str">
        <f>IF($C366="","",SUMIFS(tbl_ledger[数量],tbl_ledger[品番],$C366,tbl_ledger[イベント種類],"アセンブリ完了",tbl_ledger[ロットID],"=")+SUMIFS(tbl_ledger[数量],tbl_ledger[品番],$C366,tbl_ledger[イベント種類],"余剰化",tbl_ledger[元状態],F$304)-SUMIFS(tbl_ledger[数量],tbl_ledger[品番],$C366,tbl_ledger[ロットID],"=",tbl_ledger[元状態],F$304))</f>
        <v/>
      </c>
      <c r="G366" s="4" t="str">
        <f>IF($C366="","",SUMIFS(tbl_ledger[数量],tbl_ledger[品番],$C366,tbl_ledger[イベント種類],"梱包完了",tbl_ledger[ロットID],"=")+SUMIFS(tbl_ledger[数量],tbl_ledger[品番],$C366,tbl_ledger[イベント種類],"余剰化",tbl_ledger[元状態],G$304)-SUMIFS(tbl_ledger[数量],tbl_ledger[品番],$C366,tbl_ledger[ロットID],"=",tbl_ledger[元状態],G$304))</f>
        <v/>
      </c>
      <c r="H366" s="4" t="str">
        <f>IF($C366="","",SUMIFS(tbl_ledger[数量],tbl_ledger[品番],$C366,tbl_ledger[イベント種類],"発送準備完了",tbl_ledger[ロットID],"=")+SUMIFS(tbl_ledger[数量],tbl_ledger[品番],$C366,tbl_ledger[イベント種類],"余剰化",tbl_ledger[元状態],H$304)-SUMIFS(tbl_ledger[数量],tbl_ledger[品番],$C366,tbl_ledger[ロットID],"=",tbl_ledger[元状態],H$304))</f>
        <v/>
      </c>
      <c r="I366" s="4" t="str">
        <f>IF($C366="","",SUMIFS(tbl_ledger[数量],tbl_ledger[品番],$C366,tbl_ledger[イベント種類],"不良発生",tbl_ledger[ロットID],"=")+SUMIFS(tbl_ledger[数量],tbl_ledger[品番],$C366,tbl_ledger[イベント種類],"余剰化",tbl_ledger[元状態],I$304)-SUMIFS(tbl_ledger[数量],tbl_ledger[品番],$C366,tbl_ledger[ロットID],"=",tbl_ledger[元状態],I$304))</f>
        <v/>
      </c>
      <c r="J366" s="4" t="str">
        <f t="shared" si="13"/>
        <v/>
      </c>
    </row>
    <row r="367" spans="1:10" ht="15" x14ac:dyDescent="0.25">
      <c r="A367" s="4" t="str">
        <f t="shared" si="12"/>
        <v/>
      </c>
      <c r="B367" s="6"/>
      <c r="C367" s="4" t="str">
        <f>IFERROR(INDEX(tbl_master[品番],ROW()-304),"")</f>
        <v/>
      </c>
      <c r="D367" s="4" t="str">
        <f>IF($C367="","",SUMIFS(tbl_ledger[数量],tbl_ledger[品番],$C367,tbl_ledger[イベント種類],"搬入",tbl_ledger[ロットID],"=")+SUMIFS(tbl_ledger[数量],tbl_ledger[品番],$C367,tbl_ledger[イベント種類],"余剰化",tbl_ledger[元状態],D$304)-SUMIFS(tbl_ledger[数量],tbl_ledger[品番],$C367,tbl_ledger[ロットID],"=",tbl_ledger[元状態],D$304))</f>
        <v/>
      </c>
      <c r="E367" s="4" t="str">
        <f>IF($C367="","",SUMIFS(tbl_ledger[数量],tbl_ledger[品番],$C367,tbl_ledger[イベント種類],"アニール完了",tbl_ledger[ロットID],"=")+SUMIFS(tbl_ledger[数量],tbl_ledger[品番],$C367,tbl_ledger[イベント種類],"余剰化",tbl_ledger[元状態],E$304)-SUMIFS(tbl_ledger[数量],tbl_ledger[品番],$C367,tbl_ledger[ロットID],"=",tbl_ledger[元状態],E$304))</f>
        <v/>
      </c>
      <c r="F367" s="4" t="str">
        <f>IF($C367="","",SUMIFS(tbl_ledger[数量],tbl_ledger[品番],$C367,tbl_ledger[イベント種類],"アセンブリ完了",tbl_ledger[ロットID],"=")+SUMIFS(tbl_ledger[数量],tbl_ledger[品番],$C367,tbl_ledger[イベント種類],"余剰化",tbl_ledger[元状態],F$304)-SUMIFS(tbl_ledger[数量],tbl_ledger[品番],$C367,tbl_ledger[ロットID],"=",tbl_ledger[元状態],F$304))</f>
        <v/>
      </c>
      <c r="G367" s="4" t="str">
        <f>IF($C367="","",SUMIFS(tbl_ledger[数量],tbl_ledger[品番],$C367,tbl_ledger[イベント種類],"梱包完了",tbl_ledger[ロットID],"=")+SUMIFS(tbl_ledger[数量],tbl_ledger[品番],$C367,tbl_ledger[イベント種類],"余剰化",tbl_ledger[元状態],G$304)-SUMIFS(tbl_ledger[数量],tbl_ledger[品番],$C367,tbl_ledger[ロットID],"=",tbl_ledger[元状態],G$304))</f>
        <v/>
      </c>
      <c r="H367" s="4" t="str">
        <f>IF($C367="","",SUMIFS(tbl_ledger[数量],tbl_ledger[品番],$C367,tbl_ledger[イベント種類],"発送準備完了",tbl_ledger[ロットID],"=")+SUMIFS(tbl_ledger[数量],tbl_ledger[品番],$C367,tbl_ledger[イベント種類],"余剰化",tbl_ledger[元状態],H$304)-SUMIFS(tbl_ledger[数量],tbl_ledger[品番],$C367,tbl_ledger[ロットID],"=",tbl_ledger[元状態],H$304))</f>
        <v/>
      </c>
      <c r="I367" s="4" t="str">
        <f>IF($C367="","",SUMIFS(tbl_ledger[数量],tbl_ledger[品番],$C367,tbl_ledger[イベント種類],"不良発生",tbl_ledger[ロットID],"=")+SUMIFS(tbl_ledger[数量],tbl_ledger[品番],$C367,tbl_ledger[イベント種類],"余剰化",tbl_ledger[元状態],I$304)-SUMIFS(tbl_ledger[数量],tbl_ledger[品番],$C367,tbl_ledger[ロットID],"=",tbl_ledger[元状態],I$304))</f>
        <v/>
      </c>
      <c r="J367" s="4" t="str">
        <f t="shared" si="13"/>
        <v/>
      </c>
    </row>
    <row r="368" spans="1:10" ht="15" x14ac:dyDescent="0.25">
      <c r="A368" s="4" t="str">
        <f t="shared" si="12"/>
        <v/>
      </c>
      <c r="B368" s="6"/>
      <c r="C368" s="4" t="str">
        <f>IFERROR(INDEX(tbl_master[品番],ROW()-304),"")</f>
        <v/>
      </c>
      <c r="D368" s="4" t="str">
        <f>IF($C368="","",SUMIFS(tbl_ledger[数量],tbl_ledger[品番],$C368,tbl_ledger[イベント種類],"搬入",tbl_ledger[ロットID],"=")+SUMIFS(tbl_ledger[数量],tbl_ledger[品番],$C368,tbl_ledger[イベント種類],"余剰化",tbl_ledger[元状態],D$304)-SUMIFS(tbl_ledger[数量],tbl_ledger[品番],$C368,tbl_ledger[ロットID],"=",tbl_ledger[元状態],D$304))</f>
        <v/>
      </c>
      <c r="E368" s="4" t="str">
        <f>IF($C368="","",SUMIFS(tbl_ledger[数量],tbl_ledger[品番],$C368,tbl_ledger[イベント種類],"アニール完了",tbl_ledger[ロットID],"=")+SUMIFS(tbl_ledger[数量],tbl_ledger[品番],$C368,tbl_ledger[イベント種類],"余剰化",tbl_ledger[元状態],E$304)-SUMIFS(tbl_ledger[数量],tbl_ledger[品番],$C368,tbl_ledger[ロットID],"=",tbl_ledger[元状態],E$304))</f>
        <v/>
      </c>
      <c r="F368" s="4" t="str">
        <f>IF($C368="","",SUMIFS(tbl_ledger[数量],tbl_ledger[品番],$C368,tbl_ledger[イベント種類],"アセンブリ完了",tbl_ledger[ロットID],"=")+SUMIFS(tbl_ledger[数量],tbl_ledger[品番],$C368,tbl_ledger[イベント種類],"余剰化",tbl_ledger[元状態],F$304)-SUMIFS(tbl_ledger[数量],tbl_ledger[品番],$C368,tbl_ledger[ロットID],"=",tbl_ledger[元状態],F$304))</f>
        <v/>
      </c>
      <c r="G368" s="4" t="str">
        <f>IF($C368="","",SUMIFS(tbl_ledger[数量],tbl_ledger[品番],$C368,tbl_ledger[イベント種類],"梱包完了",tbl_ledger[ロットID],"=")+SUMIFS(tbl_ledger[数量],tbl_ledger[品番],$C368,tbl_ledger[イベント種類],"余剰化",tbl_ledger[元状態],G$304)-SUMIFS(tbl_ledger[数量],tbl_ledger[品番],$C368,tbl_ledger[ロットID],"=",tbl_ledger[元状態],G$304))</f>
        <v/>
      </c>
      <c r="H368" s="4" t="str">
        <f>IF($C368="","",SUMIFS(tbl_ledger[数量],tbl_ledger[品番],$C368,tbl_ledger[イベント種類],"発送準備完了",tbl_ledger[ロットID],"=")+SUMIFS(tbl_ledger[数量],tbl_ledger[品番],$C368,tbl_ledger[イベント種類],"余剰化",tbl_ledger[元状態],H$304)-SUMIFS(tbl_ledger[数量],tbl_ledger[品番],$C368,tbl_ledger[ロットID],"=",tbl_ledger[元状態],H$304))</f>
        <v/>
      </c>
      <c r="I368" s="4" t="str">
        <f>IF($C368="","",SUMIFS(tbl_ledger[数量],tbl_ledger[品番],$C368,tbl_ledger[イベント種類],"不良発生",tbl_ledger[ロットID],"=")+SUMIFS(tbl_ledger[数量],tbl_ledger[品番],$C368,tbl_ledger[イベント種類],"余剰化",tbl_ledger[元状態],I$304)-SUMIFS(tbl_ledger[数量],tbl_ledger[品番],$C368,tbl_ledger[ロットID],"=",tbl_ledger[元状態],I$304))</f>
        <v/>
      </c>
      <c r="J368" s="4" t="str">
        <f t="shared" si="13"/>
        <v/>
      </c>
    </row>
    <row r="369" spans="1:10" ht="15" x14ac:dyDescent="0.25">
      <c r="A369" s="4" t="str">
        <f t="shared" ref="A369:A404" si="14">IF($C369="","","未割当")</f>
        <v/>
      </c>
      <c r="B369" s="6"/>
      <c r="C369" s="4" t="str">
        <f>IFERROR(INDEX(tbl_master[品番],ROW()-304),"")</f>
        <v/>
      </c>
      <c r="D369" s="4" t="str">
        <f>IF($C369="","",SUMIFS(tbl_ledger[数量],tbl_ledger[品番],$C369,tbl_ledger[イベント種類],"搬入",tbl_ledger[ロットID],"=")+SUMIFS(tbl_ledger[数量],tbl_ledger[品番],$C369,tbl_ledger[イベント種類],"余剰化",tbl_ledger[元状態],D$304)-SUMIFS(tbl_ledger[数量],tbl_ledger[品番],$C369,tbl_ledger[ロットID],"=",tbl_ledger[元状態],D$304))</f>
        <v/>
      </c>
      <c r="E369" s="4" t="str">
        <f>IF($C369="","",SUMIFS(tbl_ledger[数量],tbl_ledger[品番],$C369,tbl_ledger[イベント種類],"アニール完了",tbl_ledger[ロットID],"=")+SUMIFS(tbl_ledger[数量],tbl_ledger[品番],$C369,tbl_ledger[イベント種類],"余剰化",tbl_ledger[元状態],E$304)-SUMIFS(tbl_ledger[数量],tbl_ledger[品番],$C369,tbl_ledger[ロットID],"=",tbl_ledger[元状態],E$304))</f>
        <v/>
      </c>
      <c r="F369" s="4" t="str">
        <f>IF($C369="","",SUMIFS(tbl_ledger[数量],tbl_ledger[品番],$C369,tbl_ledger[イベント種類],"アセンブリ完了",tbl_ledger[ロットID],"=")+SUMIFS(tbl_ledger[数量],tbl_ledger[品番],$C369,tbl_ledger[イベント種類],"余剰化",tbl_ledger[元状態],F$304)-SUMIFS(tbl_ledger[数量],tbl_ledger[品番],$C369,tbl_ledger[ロットID],"=",tbl_ledger[元状態],F$304))</f>
        <v/>
      </c>
      <c r="G369" s="4" t="str">
        <f>IF($C369="","",SUMIFS(tbl_ledger[数量],tbl_ledger[品番],$C369,tbl_ledger[イベント種類],"梱包完了",tbl_ledger[ロットID],"=")+SUMIFS(tbl_ledger[数量],tbl_ledger[品番],$C369,tbl_ledger[イベント種類],"余剰化",tbl_ledger[元状態],G$304)-SUMIFS(tbl_ledger[数量],tbl_ledger[品番],$C369,tbl_ledger[ロットID],"=",tbl_ledger[元状態],G$304))</f>
        <v/>
      </c>
      <c r="H369" s="4" t="str">
        <f>IF($C369="","",SUMIFS(tbl_ledger[数量],tbl_ledger[品番],$C369,tbl_ledger[イベント種類],"発送準備完了",tbl_ledger[ロットID],"=")+SUMIFS(tbl_ledger[数量],tbl_ledger[品番],$C369,tbl_ledger[イベント種類],"余剰化",tbl_ledger[元状態],H$304)-SUMIFS(tbl_ledger[数量],tbl_ledger[品番],$C369,tbl_ledger[ロットID],"=",tbl_ledger[元状態],H$304))</f>
        <v/>
      </c>
      <c r="I369" s="4" t="str">
        <f>IF($C369="","",SUMIFS(tbl_ledger[数量],tbl_ledger[品番],$C369,tbl_ledger[イベント種類],"不良発生",tbl_ledger[ロットID],"=")+SUMIFS(tbl_ledger[数量],tbl_ledger[品番],$C369,tbl_ledger[イベント種類],"余剰化",tbl_ledger[元状態],I$304)-SUMIFS(tbl_ledger[数量],tbl_ledger[品番],$C369,tbl_ledger[ロットID],"=",tbl_ledger[元状態],I$304))</f>
        <v/>
      </c>
      <c r="J369" s="4" t="str">
        <f t="shared" ref="J369:J400" si="15">IF($C369="","",SUM(D369:I369))</f>
        <v/>
      </c>
    </row>
    <row r="370" spans="1:10" ht="15" x14ac:dyDescent="0.25">
      <c r="A370" s="4" t="str">
        <f t="shared" si="14"/>
        <v/>
      </c>
      <c r="B370" s="6"/>
      <c r="C370" s="4" t="str">
        <f>IFERROR(INDEX(tbl_master[品番],ROW()-304),"")</f>
        <v/>
      </c>
      <c r="D370" s="4" t="str">
        <f>IF($C370="","",SUMIFS(tbl_ledger[数量],tbl_ledger[品番],$C370,tbl_ledger[イベント種類],"搬入",tbl_ledger[ロットID],"=")+SUMIFS(tbl_ledger[数量],tbl_ledger[品番],$C370,tbl_ledger[イベント種類],"余剰化",tbl_ledger[元状態],D$304)-SUMIFS(tbl_ledger[数量],tbl_ledger[品番],$C370,tbl_ledger[ロットID],"=",tbl_ledger[元状態],D$304))</f>
        <v/>
      </c>
      <c r="E370" s="4" t="str">
        <f>IF($C370="","",SUMIFS(tbl_ledger[数量],tbl_ledger[品番],$C370,tbl_ledger[イベント種類],"アニール完了",tbl_ledger[ロットID],"=")+SUMIFS(tbl_ledger[数量],tbl_ledger[品番],$C370,tbl_ledger[イベント種類],"余剰化",tbl_ledger[元状態],E$304)-SUMIFS(tbl_ledger[数量],tbl_ledger[品番],$C370,tbl_ledger[ロットID],"=",tbl_ledger[元状態],E$304))</f>
        <v/>
      </c>
      <c r="F370" s="4" t="str">
        <f>IF($C370="","",SUMIFS(tbl_ledger[数量],tbl_ledger[品番],$C370,tbl_ledger[イベント種類],"アセンブリ完了",tbl_ledger[ロットID],"=")+SUMIFS(tbl_ledger[数量],tbl_ledger[品番],$C370,tbl_ledger[イベント種類],"余剰化",tbl_ledger[元状態],F$304)-SUMIFS(tbl_ledger[数量],tbl_ledger[品番],$C370,tbl_ledger[ロットID],"=",tbl_ledger[元状態],F$304))</f>
        <v/>
      </c>
      <c r="G370" s="4" t="str">
        <f>IF($C370="","",SUMIFS(tbl_ledger[数量],tbl_ledger[品番],$C370,tbl_ledger[イベント種類],"梱包完了",tbl_ledger[ロットID],"=")+SUMIFS(tbl_ledger[数量],tbl_ledger[品番],$C370,tbl_ledger[イベント種類],"余剰化",tbl_ledger[元状態],G$304)-SUMIFS(tbl_ledger[数量],tbl_ledger[品番],$C370,tbl_ledger[ロットID],"=",tbl_ledger[元状態],G$304))</f>
        <v/>
      </c>
      <c r="H370" s="4" t="str">
        <f>IF($C370="","",SUMIFS(tbl_ledger[数量],tbl_ledger[品番],$C370,tbl_ledger[イベント種類],"発送準備完了",tbl_ledger[ロットID],"=")+SUMIFS(tbl_ledger[数量],tbl_ledger[品番],$C370,tbl_ledger[イベント種類],"余剰化",tbl_ledger[元状態],H$304)-SUMIFS(tbl_ledger[数量],tbl_ledger[品番],$C370,tbl_ledger[ロットID],"=",tbl_ledger[元状態],H$304))</f>
        <v/>
      </c>
      <c r="I370" s="4" t="str">
        <f>IF($C370="","",SUMIFS(tbl_ledger[数量],tbl_ledger[品番],$C370,tbl_ledger[イベント種類],"不良発生",tbl_ledger[ロットID],"=")+SUMIFS(tbl_ledger[数量],tbl_ledger[品番],$C370,tbl_ledger[イベント種類],"余剰化",tbl_ledger[元状態],I$304)-SUMIFS(tbl_ledger[数量],tbl_ledger[品番],$C370,tbl_ledger[ロットID],"=",tbl_ledger[元状態],I$304))</f>
        <v/>
      </c>
      <c r="J370" s="4" t="str">
        <f t="shared" si="15"/>
        <v/>
      </c>
    </row>
    <row r="371" spans="1:10" ht="15" x14ac:dyDescent="0.25">
      <c r="A371" s="4" t="str">
        <f t="shared" si="14"/>
        <v/>
      </c>
      <c r="B371" s="6"/>
      <c r="C371" s="4" t="str">
        <f>IFERROR(INDEX(tbl_master[品番],ROW()-304),"")</f>
        <v/>
      </c>
      <c r="D371" s="4" t="str">
        <f>IF($C371="","",SUMIFS(tbl_ledger[数量],tbl_ledger[品番],$C371,tbl_ledger[イベント種類],"搬入",tbl_ledger[ロットID],"=")+SUMIFS(tbl_ledger[数量],tbl_ledger[品番],$C371,tbl_ledger[イベント種類],"余剰化",tbl_ledger[元状態],D$304)-SUMIFS(tbl_ledger[数量],tbl_ledger[品番],$C371,tbl_ledger[ロットID],"=",tbl_ledger[元状態],D$304))</f>
        <v/>
      </c>
      <c r="E371" s="4" t="str">
        <f>IF($C371="","",SUMIFS(tbl_ledger[数量],tbl_ledger[品番],$C371,tbl_ledger[イベント種類],"アニール完了",tbl_ledger[ロットID],"=")+SUMIFS(tbl_ledger[数量],tbl_ledger[品番],$C371,tbl_ledger[イベント種類],"余剰化",tbl_ledger[元状態],E$304)-SUMIFS(tbl_ledger[数量],tbl_ledger[品番],$C371,tbl_ledger[ロットID],"=",tbl_ledger[元状態],E$304))</f>
        <v/>
      </c>
      <c r="F371" s="4" t="str">
        <f>IF($C371="","",SUMIFS(tbl_ledger[数量],tbl_ledger[品番],$C371,tbl_ledger[イベント種類],"アセンブリ完了",tbl_ledger[ロットID],"=")+SUMIFS(tbl_ledger[数量],tbl_ledger[品番],$C371,tbl_ledger[イベント種類],"余剰化",tbl_ledger[元状態],F$304)-SUMIFS(tbl_ledger[数量],tbl_ledger[品番],$C371,tbl_ledger[ロットID],"=",tbl_ledger[元状態],F$304))</f>
        <v/>
      </c>
      <c r="G371" s="4" t="str">
        <f>IF($C371="","",SUMIFS(tbl_ledger[数量],tbl_ledger[品番],$C371,tbl_ledger[イベント種類],"梱包完了",tbl_ledger[ロットID],"=")+SUMIFS(tbl_ledger[数量],tbl_ledger[品番],$C371,tbl_ledger[イベント種類],"余剰化",tbl_ledger[元状態],G$304)-SUMIFS(tbl_ledger[数量],tbl_ledger[品番],$C371,tbl_ledger[ロットID],"=",tbl_ledger[元状態],G$304))</f>
        <v/>
      </c>
      <c r="H371" s="4" t="str">
        <f>IF($C371="","",SUMIFS(tbl_ledger[数量],tbl_ledger[品番],$C371,tbl_ledger[イベント種類],"発送準備完了",tbl_ledger[ロットID],"=")+SUMIFS(tbl_ledger[数量],tbl_ledger[品番],$C371,tbl_ledger[イベント種類],"余剰化",tbl_ledger[元状態],H$304)-SUMIFS(tbl_ledger[数量],tbl_ledger[品番],$C371,tbl_ledger[ロットID],"=",tbl_ledger[元状態],H$304))</f>
        <v/>
      </c>
      <c r="I371" s="4" t="str">
        <f>IF($C371="","",SUMIFS(tbl_ledger[数量],tbl_ledger[品番],$C371,tbl_ledger[イベント種類],"不良発生",tbl_ledger[ロットID],"=")+SUMIFS(tbl_ledger[数量],tbl_ledger[品番],$C371,tbl_ledger[イベント種類],"余剰化",tbl_ledger[元状態],I$304)-SUMIFS(tbl_ledger[数量],tbl_ledger[品番],$C371,tbl_ledger[ロットID],"=",tbl_ledger[元状態],I$304))</f>
        <v/>
      </c>
      <c r="J371" s="4" t="str">
        <f t="shared" si="15"/>
        <v/>
      </c>
    </row>
    <row r="372" spans="1:10" ht="15" x14ac:dyDescent="0.25">
      <c r="A372" s="4" t="str">
        <f t="shared" si="14"/>
        <v/>
      </c>
      <c r="B372" s="6"/>
      <c r="C372" s="4" t="str">
        <f>IFERROR(INDEX(tbl_master[品番],ROW()-304),"")</f>
        <v/>
      </c>
      <c r="D372" s="4" t="str">
        <f>IF($C372="","",SUMIFS(tbl_ledger[数量],tbl_ledger[品番],$C372,tbl_ledger[イベント種類],"搬入",tbl_ledger[ロットID],"=")+SUMIFS(tbl_ledger[数量],tbl_ledger[品番],$C372,tbl_ledger[イベント種類],"余剰化",tbl_ledger[元状態],D$304)-SUMIFS(tbl_ledger[数量],tbl_ledger[品番],$C372,tbl_ledger[ロットID],"=",tbl_ledger[元状態],D$304))</f>
        <v/>
      </c>
      <c r="E372" s="4" t="str">
        <f>IF($C372="","",SUMIFS(tbl_ledger[数量],tbl_ledger[品番],$C372,tbl_ledger[イベント種類],"アニール完了",tbl_ledger[ロットID],"=")+SUMIFS(tbl_ledger[数量],tbl_ledger[品番],$C372,tbl_ledger[イベント種類],"余剰化",tbl_ledger[元状態],E$304)-SUMIFS(tbl_ledger[数量],tbl_ledger[品番],$C372,tbl_ledger[ロットID],"=",tbl_ledger[元状態],E$304))</f>
        <v/>
      </c>
      <c r="F372" s="4" t="str">
        <f>IF($C372="","",SUMIFS(tbl_ledger[数量],tbl_ledger[品番],$C372,tbl_ledger[イベント種類],"アセンブリ完了",tbl_ledger[ロットID],"=")+SUMIFS(tbl_ledger[数量],tbl_ledger[品番],$C372,tbl_ledger[イベント種類],"余剰化",tbl_ledger[元状態],F$304)-SUMIFS(tbl_ledger[数量],tbl_ledger[品番],$C372,tbl_ledger[ロットID],"=",tbl_ledger[元状態],F$304))</f>
        <v/>
      </c>
      <c r="G372" s="4" t="str">
        <f>IF($C372="","",SUMIFS(tbl_ledger[数量],tbl_ledger[品番],$C372,tbl_ledger[イベント種類],"梱包完了",tbl_ledger[ロットID],"=")+SUMIFS(tbl_ledger[数量],tbl_ledger[品番],$C372,tbl_ledger[イベント種類],"余剰化",tbl_ledger[元状態],G$304)-SUMIFS(tbl_ledger[数量],tbl_ledger[品番],$C372,tbl_ledger[ロットID],"=",tbl_ledger[元状態],G$304))</f>
        <v/>
      </c>
      <c r="H372" s="4" t="str">
        <f>IF($C372="","",SUMIFS(tbl_ledger[数量],tbl_ledger[品番],$C372,tbl_ledger[イベント種類],"発送準備完了",tbl_ledger[ロットID],"=")+SUMIFS(tbl_ledger[数量],tbl_ledger[品番],$C372,tbl_ledger[イベント種類],"余剰化",tbl_ledger[元状態],H$304)-SUMIFS(tbl_ledger[数量],tbl_ledger[品番],$C372,tbl_ledger[ロットID],"=",tbl_ledger[元状態],H$304))</f>
        <v/>
      </c>
      <c r="I372" s="4" t="str">
        <f>IF($C372="","",SUMIFS(tbl_ledger[数量],tbl_ledger[品番],$C372,tbl_ledger[イベント種類],"不良発生",tbl_ledger[ロットID],"=")+SUMIFS(tbl_ledger[数量],tbl_ledger[品番],$C372,tbl_ledger[イベント種類],"余剰化",tbl_ledger[元状態],I$304)-SUMIFS(tbl_ledger[数量],tbl_ledger[品番],$C372,tbl_ledger[ロットID],"=",tbl_ledger[元状態],I$304))</f>
        <v/>
      </c>
      <c r="J372" s="4" t="str">
        <f t="shared" si="15"/>
        <v/>
      </c>
    </row>
    <row r="373" spans="1:10" ht="15" x14ac:dyDescent="0.25">
      <c r="A373" s="4" t="str">
        <f t="shared" si="14"/>
        <v/>
      </c>
      <c r="B373" s="6"/>
      <c r="C373" s="4" t="str">
        <f>IFERROR(INDEX(tbl_master[品番],ROW()-304),"")</f>
        <v/>
      </c>
      <c r="D373" s="4" t="str">
        <f>IF($C373="","",SUMIFS(tbl_ledger[数量],tbl_ledger[品番],$C373,tbl_ledger[イベント種類],"搬入",tbl_ledger[ロットID],"=")+SUMIFS(tbl_ledger[数量],tbl_ledger[品番],$C373,tbl_ledger[イベント種類],"余剰化",tbl_ledger[元状態],D$304)-SUMIFS(tbl_ledger[数量],tbl_ledger[品番],$C373,tbl_ledger[ロットID],"=",tbl_ledger[元状態],D$304))</f>
        <v/>
      </c>
      <c r="E373" s="4" t="str">
        <f>IF($C373="","",SUMIFS(tbl_ledger[数量],tbl_ledger[品番],$C373,tbl_ledger[イベント種類],"アニール完了",tbl_ledger[ロットID],"=")+SUMIFS(tbl_ledger[数量],tbl_ledger[品番],$C373,tbl_ledger[イベント種類],"余剰化",tbl_ledger[元状態],E$304)-SUMIFS(tbl_ledger[数量],tbl_ledger[品番],$C373,tbl_ledger[ロットID],"=",tbl_ledger[元状態],E$304))</f>
        <v/>
      </c>
      <c r="F373" s="4" t="str">
        <f>IF($C373="","",SUMIFS(tbl_ledger[数量],tbl_ledger[品番],$C373,tbl_ledger[イベント種類],"アセンブリ完了",tbl_ledger[ロットID],"=")+SUMIFS(tbl_ledger[数量],tbl_ledger[品番],$C373,tbl_ledger[イベント種類],"余剰化",tbl_ledger[元状態],F$304)-SUMIFS(tbl_ledger[数量],tbl_ledger[品番],$C373,tbl_ledger[ロットID],"=",tbl_ledger[元状態],F$304))</f>
        <v/>
      </c>
      <c r="G373" s="4" t="str">
        <f>IF($C373="","",SUMIFS(tbl_ledger[数量],tbl_ledger[品番],$C373,tbl_ledger[イベント種類],"梱包完了",tbl_ledger[ロットID],"=")+SUMIFS(tbl_ledger[数量],tbl_ledger[品番],$C373,tbl_ledger[イベント種類],"余剰化",tbl_ledger[元状態],G$304)-SUMIFS(tbl_ledger[数量],tbl_ledger[品番],$C373,tbl_ledger[ロットID],"=",tbl_ledger[元状態],G$304))</f>
        <v/>
      </c>
      <c r="H373" s="4" t="str">
        <f>IF($C373="","",SUMIFS(tbl_ledger[数量],tbl_ledger[品番],$C373,tbl_ledger[イベント種類],"発送準備完了",tbl_ledger[ロットID],"=")+SUMIFS(tbl_ledger[数量],tbl_ledger[品番],$C373,tbl_ledger[イベント種類],"余剰化",tbl_ledger[元状態],H$304)-SUMIFS(tbl_ledger[数量],tbl_ledger[品番],$C373,tbl_ledger[ロットID],"=",tbl_ledger[元状態],H$304))</f>
        <v/>
      </c>
      <c r="I373" s="4" t="str">
        <f>IF($C373="","",SUMIFS(tbl_ledger[数量],tbl_ledger[品番],$C373,tbl_ledger[イベント種類],"不良発生",tbl_ledger[ロットID],"=")+SUMIFS(tbl_ledger[数量],tbl_ledger[品番],$C373,tbl_ledger[イベント種類],"余剰化",tbl_ledger[元状態],I$304)-SUMIFS(tbl_ledger[数量],tbl_ledger[品番],$C373,tbl_ledger[ロットID],"=",tbl_ledger[元状態],I$304))</f>
        <v/>
      </c>
      <c r="J373" s="4" t="str">
        <f t="shared" si="15"/>
        <v/>
      </c>
    </row>
    <row r="374" spans="1:10" ht="15" x14ac:dyDescent="0.25">
      <c r="A374" s="4" t="str">
        <f t="shared" si="14"/>
        <v/>
      </c>
      <c r="B374" s="6"/>
      <c r="C374" s="4" t="str">
        <f>IFERROR(INDEX(tbl_master[品番],ROW()-304),"")</f>
        <v/>
      </c>
      <c r="D374" s="4" t="str">
        <f>IF($C374="","",SUMIFS(tbl_ledger[数量],tbl_ledger[品番],$C374,tbl_ledger[イベント種類],"搬入",tbl_ledger[ロットID],"=")+SUMIFS(tbl_ledger[数量],tbl_ledger[品番],$C374,tbl_ledger[イベント種類],"余剰化",tbl_ledger[元状態],D$304)-SUMIFS(tbl_ledger[数量],tbl_ledger[品番],$C374,tbl_ledger[ロットID],"=",tbl_ledger[元状態],D$304))</f>
        <v/>
      </c>
      <c r="E374" s="4" t="str">
        <f>IF($C374="","",SUMIFS(tbl_ledger[数量],tbl_ledger[品番],$C374,tbl_ledger[イベント種類],"アニール完了",tbl_ledger[ロットID],"=")+SUMIFS(tbl_ledger[数量],tbl_ledger[品番],$C374,tbl_ledger[イベント種類],"余剰化",tbl_ledger[元状態],E$304)-SUMIFS(tbl_ledger[数量],tbl_ledger[品番],$C374,tbl_ledger[ロットID],"=",tbl_ledger[元状態],E$304))</f>
        <v/>
      </c>
      <c r="F374" s="4" t="str">
        <f>IF($C374="","",SUMIFS(tbl_ledger[数量],tbl_ledger[品番],$C374,tbl_ledger[イベント種類],"アセンブリ完了",tbl_ledger[ロットID],"=")+SUMIFS(tbl_ledger[数量],tbl_ledger[品番],$C374,tbl_ledger[イベント種類],"余剰化",tbl_ledger[元状態],F$304)-SUMIFS(tbl_ledger[数量],tbl_ledger[品番],$C374,tbl_ledger[ロットID],"=",tbl_ledger[元状態],F$304))</f>
        <v/>
      </c>
      <c r="G374" s="4" t="str">
        <f>IF($C374="","",SUMIFS(tbl_ledger[数量],tbl_ledger[品番],$C374,tbl_ledger[イベント種類],"梱包完了",tbl_ledger[ロットID],"=")+SUMIFS(tbl_ledger[数量],tbl_ledger[品番],$C374,tbl_ledger[イベント種類],"余剰化",tbl_ledger[元状態],G$304)-SUMIFS(tbl_ledger[数量],tbl_ledger[品番],$C374,tbl_ledger[ロットID],"=",tbl_ledger[元状態],G$304))</f>
        <v/>
      </c>
      <c r="H374" s="4" t="str">
        <f>IF($C374="","",SUMIFS(tbl_ledger[数量],tbl_ledger[品番],$C374,tbl_ledger[イベント種類],"発送準備完了",tbl_ledger[ロットID],"=")+SUMIFS(tbl_ledger[数量],tbl_ledger[品番],$C374,tbl_ledger[イベント種類],"余剰化",tbl_ledger[元状態],H$304)-SUMIFS(tbl_ledger[数量],tbl_ledger[品番],$C374,tbl_ledger[ロットID],"=",tbl_ledger[元状態],H$304))</f>
        <v/>
      </c>
      <c r="I374" s="4" t="str">
        <f>IF($C374="","",SUMIFS(tbl_ledger[数量],tbl_ledger[品番],$C374,tbl_ledger[イベント種類],"不良発生",tbl_ledger[ロットID],"=")+SUMIFS(tbl_ledger[数量],tbl_ledger[品番],$C374,tbl_ledger[イベント種類],"余剰化",tbl_ledger[元状態],I$304)-SUMIFS(tbl_ledger[数量],tbl_ledger[品番],$C374,tbl_ledger[ロットID],"=",tbl_ledger[元状態],I$304))</f>
        <v/>
      </c>
      <c r="J374" s="4" t="str">
        <f t="shared" si="15"/>
        <v/>
      </c>
    </row>
    <row r="375" spans="1:10" ht="15" x14ac:dyDescent="0.25">
      <c r="A375" s="4" t="str">
        <f t="shared" si="14"/>
        <v/>
      </c>
      <c r="B375" s="6"/>
      <c r="C375" s="4" t="str">
        <f>IFERROR(INDEX(tbl_master[品番],ROW()-304),"")</f>
        <v/>
      </c>
      <c r="D375" s="4" t="str">
        <f>IF($C375="","",SUMIFS(tbl_ledger[数量],tbl_ledger[品番],$C375,tbl_ledger[イベント種類],"搬入",tbl_ledger[ロットID],"=")+SUMIFS(tbl_ledger[数量],tbl_ledger[品番],$C375,tbl_ledger[イベント種類],"余剰化",tbl_ledger[元状態],D$304)-SUMIFS(tbl_ledger[数量],tbl_ledger[品番],$C375,tbl_ledger[ロットID],"=",tbl_ledger[元状態],D$304))</f>
        <v/>
      </c>
      <c r="E375" s="4" t="str">
        <f>IF($C375="","",SUMIFS(tbl_ledger[数量],tbl_ledger[品番],$C375,tbl_ledger[イベント種類],"アニール完了",tbl_ledger[ロットID],"=")+SUMIFS(tbl_ledger[数量],tbl_ledger[品番],$C375,tbl_ledger[イベント種類],"余剰化",tbl_ledger[元状態],E$304)-SUMIFS(tbl_ledger[数量],tbl_ledger[品番],$C375,tbl_ledger[ロットID],"=",tbl_ledger[元状態],E$304))</f>
        <v/>
      </c>
      <c r="F375" s="4" t="str">
        <f>IF($C375="","",SUMIFS(tbl_ledger[数量],tbl_ledger[品番],$C375,tbl_ledger[イベント種類],"アセンブリ完了",tbl_ledger[ロットID],"=")+SUMIFS(tbl_ledger[数量],tbl_ledger[品番],$C375,tbl_ledger[イベント種類],"余剰化",tbl_ledger[元状態],F$304)-SUMIFS(tbl_ledger[数量],tbl_ledger[品番],$C375,tbl_ledger[ロットID],"=",tbl_ledger[元状態],F$304))</f>
        <v/>
      </c>
      <c r="G375" s="4" t="str">
        <f>IF($C375="","",SUMIFS(tbl_ledger[数量],tbl_ledger[品番],$C375,tbl_ledger[イベント種類],"梱包完了",tbl_ledger[ロットID],"=")+SUMIFS(tbl_ledger[数量],tbl_ledger[品番],$C375,tbl_ledger[イベント種類],"余剰化",tbl_ledger[元状態],G$304)-SUMIFS(tbl_ledger[数量],tbl_ledger[品番],$C375,tbl_ledger[ロットID],"=",tbl_ledger[元状態],G$304))</f>
        <v/>
      </c>
      <c r="H375" s="4" t="str">
        <f>IF($C375="","",SUMIFS(tbl_ledger[数量],tbl_ledger[品番],$C375,tbl_ledger[イベント種類],"発送準備完了",tbl_ledger[ロットID],"=")+SUMIFS(tbl_ledger[数量],tbl_ledger[品番],$C375,tbl_ledger[イベント種類],"余剰化",tbl_ledger[元状態],H$304)-SUMIFS(tbl_ledger[数量],tbl_ledger[品番],$C375,tbl_ledger[ロットID],"=",tbl_ledger[元状態],H$304))</f>
        <v/>
      </c>
      <c r="I375" s="4" t="str">
        <f>IF($C375="","",SUMIFS(tbl_ledger[数量],tbl_ledger[品番],$C375,tbl_ledger[イベント種類],"不良発生",tbl_ledger[ロットID],"=")+SUMIFS(tbl_ledger[数量],tbl_ledger[品番],$C375,tbl_ledger[イベント種類],"余剰化",tbl_ledger[元状態],I$304)-SUMIFS(tbl_ledger[数量],tbl_ledger[品番],$C375,tbl_ledger[ロットID],"=",tbl_ledger[元状態],I$304))</f>
        <v/>
      </c>
      <c r="J375" s="4" t="str">
        <f t="shared" si="15"/>
        <v/>
      </c>
    </row>
    <row r="376" spans="1:10" ht="15" x14ac:dyDescent="0.25">
      <c r="A376" s="4" t="str">
        <f t="shared" si="14"/>
        <v/>
      </c>
      <c r="B376" s="6"/>
      <c r="C376" s="4" t="str">
        <f>IFERROR(INDEX(tbl_master[品番],ROW()-304),"")</f>
        <v/>
      </c>
      <c r="D376" s="4" t="str">
        <f>IF($C376="","",SUMIFS(tbl_ledger[数量],tbl_ledger[品番],$C376,tbl_ledger[イベント種類],"搬入",tbl_ledger[ロットID],"=")+SUMIFS(tbl_ledger[数量],tbl_ledger[品番],$C376,tbl_ledger[イベント種類],"余剰化",tbl_ledger[元状態],D$304)-SUMIFS(tbl_ledger[数量],tbl_ledger[品番],$C376,tbl_ledger[ロットID],"=",tbl_ledger[元状態],D$304))</f>
        <v/>
      </c>
      <c r="E376" s="4" t="str">
        <f>IF($C376="","",SUMIFS(tbl_ledger[数量],tbl_ledger[品番],$C376,tbl_ledger[イベント種類],"アニール完了",tbl_ledger[ロットID],"=")+SUMIFS(tbl_ledger[数量],tbl_ledger[品番],$C376,tbl_ledger[イベント種類],"余剰化",tbl_ledger[元状態],E$304)-SUMIFS(tbl_ledger[数量],tbl_ledger[品番],$C376,tbl_ledger[ロットID],"=",tbl_ledger[元状態],E$304))</f>
        <v/>
      </c>
      <c r="F376" s="4" t="str">
        <f>IF($C376="","",SUMIFS(tbl_ledger[数量],tbl_ledger[品番],$C376,tbl_ledger[イベント種類],"アセンブリ完了",tbl_ledger[ロットID],"=")+SUMIFS(tbl_ledger[数量],tbl_ledger[品番],$C376,tbl_ledger[イベント種類],"余剰化",tbl_ledger[元状態],F$304)-SUMIFS(tbl_ledger[数量],tbl_ledger[品番],$C376,tbl_ledger[ロットID],"=",tbl_ledger[元状態],F$304))</f>
        <v/>
      </c>
      <c r="G376" s="4" t="str">
        <f>IF($C376="","",SUMIFS(tbl_ledger[数量],tbl_ledger[品番],$C376,tbl_ledger[イベント種類],"梱包完了",tbl_ledger[ロットID],"=")+SUMIFS(tbl_ledger[数量],tbl_ledger[品番],$C376,tbl_ledger[イベント種類],"余剰化",tbl_ledger[元状態],G$304)-SUMIFS(tbl_ledger[数量],tbl_ledger[品番],$C376,tbl_ledger[ロットID],"=",tbl_ledger[元状態],G$304))</f>
        <v/>
      </c>
      <c r="H376" s="4" t="str">
        <f>IF($C376="","",SUMIFS(tbl_ledger[数量],tbl_ledger[品番],$C376,tbl_ledger[イベント種類],"発送準備完了",tbl_ledger[ロットID],"=")+SUMIFS(tbl_ledger[数量],tbl_ledger[品番],$C376,tbl_ledger[イベント種類],"余剰化",tbl_ledger[元状態],H$304)-SUMIFS(tbl_ledger[数量],tbl_ledger[品番],$C376,tbl_ledger[ロットID],"=",tbl_ledger[元状態],H$304))</f>
        <v/>
      </c>
      <c r="I376" s="4" t="str">
        <f>IF($C376="","",SUMIFS(tbl_ledger[数量],tbl_ledger[品番],$C376,tbl_ledger[イベント種類],"不良発生",tbl_ledger[ロットID],"=")+SUMIFS(tbl_ledger[数量],tbl_ledger[品番],$C376,tbl_ledger[イベント種類],"余剰化",tbl_ledger[元状態],I$304)-SUMIFS(tbl_ledger[数量],tbl_ledger[品番],$C376,tbl_ledger[ロットID],"=",tbl_ledger[元状態],I$304))</f>
        <v/>
      </c>
      <c r="J376" s="4" t="str">
        <f t="shared" si="15"/>
        <v/>
      </c>
    </row>
    <row r="377" spans="1:10" ht="15" x14ac:dyDescent="0.25">
      <c r="A377" s="4" t="str">
        <f t="shared" si="14"/>
        <v/>
      </c>
      <c r="B377" s="6"/>
      <c r="C377" s="4" t="str">
        <f>IFERROR(INDEX(tbl_master[品番],ROW()-304),"")</f>
        <v/>
      </c>
      <c r="D377" s="4" t="str">
        <f>IF($C377="","",SUMIFS(tbl_ledger[数量],tbl_ledger[品番],$C377,tbl_ledger[イベント種類],"搬入",tbl_ledger[ロットID],"=")+SUMIFS(tbl_ledger[数量],tbl_ledger[品番],$C377,tbl_ledger[イベント種類],"余剰化",tbl_ledger[元状態],D$304)-SUMIFS(tbl_ledger[数量],tbl_ledger[品番],$C377,tbl_ledger[ロットID],"=",tbl_ledger[元状態],D$304))</f>
        <v/>
      </c>
      <c r="E377" s="4" t="str">
        <f>IF($C377="","",SUMIFS(tbl_ledger[数量],tbl_ledger[品番],$C377,tbl_ledger[イベント種類],"アニール完了",tbl_ledger[ロットID],"=")+SUMIFS(tbl_ledger[数量],tbl_ledger[品番],$C377,tbl_ledger[イベント種類],"余剰化",tbl_ledger[元状態],E$304)-SUMIFS(tbl_ledger[数量],tbl_ledger[品番],$C377,tbl_ledger[ロットID],"=",tbl_ledger[元状態],E$304))</f>
        <v/>
      </c>
      <c r="F377" s="4" t="str">
        <f>IF($C377="","",SUMIFS(tbl_ledger[数量],tbl_ledger[品番],$C377,tbl_ledger[イベント種類],"アセンブリ完了",tbl_ledger[ロットID],"=")+SUMIFS(tbl_ledger[数量],tbl_ledger[品番],$C377,tbl_ledger[イベント種類],"余剰化",tbl_ledger[元状態],F$304)-SUMIFS(tbl_ledger[数量],tbl_ledger[品番],$C377,tbl_ledger[ロットID],"=",tbl_ledger[元状態],F$304))</f>
        <v/>
      </c>
      <c r="G377" s="4" t="str">
        <f>IF($C377="","",SUMIFS(tbl_ledger[数量],tbl_ledger[品番],$C377,tbl_ledger[イベント種類],"梱包完了",tbl_ledger[ロットID],"=")+SUMIFS(tbl_ledger[数量],tbl_ledger[品番],$C377,tbl_ledger[イベント種類],"余剰化",tbl_ledger[元状態],G$304)-SUMIFS(tbl_ledger[数量],tbl_ledger[品番],$C377,tbl_ledger[ロットID],"=",tbl_ledger[元状態],G$304))</f>
        <v/>
      </c>
      <c r="H377" s="4" t="str">
        <f>IF($C377="","",SUMIFS(tbl_ledger[数量],tbl_ledger[品番],$C377,tbl_ledger[イベント種類],"発送準備完了",tbl_ledger[ロットID],"=")+SUMIFS(tbl_ledger[数量],tbl_ledger[品番],$C377,tbl_ledger[イベント種類],"余剰化",tbl_ledger[元状態],H$304)-SUMIFS(tbl_ledger[数量],tbl_ledger[品番],$C377,tbl_ledger[ロットID],"=",tbl_ledger[元状態],H$304))</f>
        <v/>
      </c>
      <c r="I377" s="4" t="str">
        <f>IF($C377="","",SUMIFS(tbl_ledger[数量],tbl_ledger[品番],$C377,tbl_ledger[イベント種類],"不良発生",tbl_ledger[ロットID],"=")+SUMIFS(tbl_ledger[数量],tbl_ledger[品番],$C377,tbl_ledger[イベント種類],"余剰化",tbl_ledger[元状態],I$304)-SUMIFS(tbl_ledger[数量],tbl_ledger[品番],$C377,tbl_ledger[ロットID],"=",tbl_ledger[元状態],I$304))</f>
        <v/>
      </c>
      <c r="J377" s="4" t="str">
        <f t="shared" si="15"/>
        <v/>
      </c>
    </row>
    <row r="378" spans="1:10" ht="15" x14ac:dyDescent="0.25">
      <c r="A378" s="4" t="str">
        <f t="shared" si="14"/>
        <v/>
      </c>
      <c r="B378" s="6"/>
      <c r="C378" s="4" t="str">
        <f>IFERROR(INDEX(tbl_master[品番],ROW()-304),"")</f>
        <v/>
      </c>
      <c r="D378" s="4" t="str">
        <f>IF($C378="","",SUMIFS(tbl_ledger[数量],tbl_ledger[品番],$C378,tbl_ledger[イベント種類],"搬入",tbl_ledger[ロットID],"=")+SUMIFS(tbl_ledger[数量],tbl_ledger[品番],$C378,tbl_ledger[イベント種類],"余剰化",tbl_ledger[元状態],D$304)-SUMIFS(tbl_ledger[数量],tbl_ledger[品番],$C378,tbl_ledger[ロットID],"=",tbl_ledger[元状態],D$304))</f>
        <v/>
      </c>
      <c r="E378" s="4" t="str">
        <f>IF($C378="","",SUMIFS(tbl_ledger[数量],tbl_ledger[品番],$C378,tbl_ledger[イベント種類],"アニール完了",tbl_ledger[ロットID],"=")+SUMIFS(tbl_ledger[数量],tbl_ledger[品番],$C378,tbl_ledger[イベント種類],"余剰化",tbl_ledger[元状態],E$304)-SUMIFS(tbl_ledger[数量],tbl_ledger[品番],$C378,tbl_ledger[ロットID],"=",tbl_ledger[元状態],E$304))</f>
        <v/>
      </c>
      <c r="F378" s="4" t="str">
        <f>IF($C378="","",SUMIFS(tbl_ledger[数量],tbl_ledger[品番],$C378,tbl_ledger[イベント種類],"アセンブリ完了",tbl_ledger[ロットID],"=")+SUMIFS(tbl_ledger[数量],tbl_ledger[品番],$C378,tbl_ledger[イベント種類],"余剰化",tbl_ledger[元状態],F$304)-SUMIFS(tbl_ledger[数量],tbl_ledger[品番],$C378,tbl_ledger[ロットID],"=",tbl_ledger[元状態],F$304))</f>
        <v/>
      </c>
      <c r="G378" s="4" t="str">
        <f>IF($C378="","",SUMIFS(tbl_ledger[数量],tbl_ledger[品番],$C378,tbl_ledger[イベント種類],"梱包完了",tbl_ledger[ロットID],"=")+SUMIFS(tbl_ledger[数量],tbl_ledger[品番],$C378,tbl_ledger[イベント種類],"余剰化",tbl_ledger[元状態],G$304)-SUMIFS(tbl_ledger[数量],tbl_ledger[品番],$C378,tbl_ledger[ロットID],"=",tbl_ledger[元状態],G$304))</f>
        <v/>
      </c>
      <c r="H378" s="4" t="str">
        <f>IF($C378="","",SUMIFS(tbl_ledger[数量],tbl_ledger[品番],$C378,tbl_ledger[イベント種類],"発送準備完了",tbl_ledger[ロットID],"=")+SUMIFS(tbl_ledger[数量],tbl_ledger[品番],$C378,tbl_ledger[イベント種類],"余剰化",tbl_ledger[元状態],H$304)-SUMIFS(tbl_ledger[数量],tbl_ledger[品番],$C378,tbl_ledger[ロットID],"=",tbl_ledger[元状態],H$304))</f>
        <v/>
      </c>
      <c r="I378" s="4" t="str">
        <f>IF($C378="","",SUMIFS(tbl_ledger[数量],tbl_ledger[品番],$C378,tbl_ledger[イベント種類],"不良発生",tbl_ledger[ロットID],"=")+SUMIFS(tbl_ledger[数量],tbl_ledger[品番],$C378,tbl_ledger[イベント種類],"余剰化",tbl_ledger[元状態],I$304)-SUMIFS(tbl_ledger[数量],tbl_ledger[品番],$C378,tbl_ledger[ロットID],"=",tbl_ledger[元状態],I$304))</f>
        <v/>
      </c>
      <c r="J378" s="4" t="str">
        <f t="shared" si="15"/>
        <v/>
      </c>
    </row>
    <row r="379" spans="1:10" ht="15" x14ac:dyDescent="0.25">
      <c r="A379" s="4" t="str">
        <f t="shared" si="14"/>
        <v/>
      </c>
      <c r="B379" s="6"/>
      <c r="C379" s="4" t="str">
        <f>IFERROR(INDEX(tbl_master[品番],ROW()-304),"")</f>
        <v/>
      </c>
      <c r="D379" s="4" t="str">
        <f>IF($C379="","",SUMIFS(tbl_ledger[数量],tbl_ledger[品番],$C379,tbl_ledger[イベント種類],"搬入",tbl_ledger[ロットID],"=")+SUMIFS(tbl_ledger[数量],tbl_ledger[品番],$C379,tbl_ledger[イベント種類],"余剰化",tbl_ledger[元状態],D$304)-SUMIFS(tbl_ledger[数量],tbl_ledger[品番],$C379,tbl_ledger[ロットID],"=",tbl_ledger[元状態],D$304))</f>
        <v/>
      </c>
      <c r="E379" s="4" t="str">
        <f>IF($C379="","",SUMIFS(tbl_ledger[数量],tbl_ledger[品番],$C379,tbl_ledger[イベント種類],"アニール完了",tbl_ledger[ロットID],"=")+SUMIFS(tbl_ledger[数量],tbl_ledger[品番],$C379,tbl_ledger[イベント種類],"余剰化",tbl_ledger[元状態],E$304)-SUMIFS(tbl_ledger[数量],tbl_ledger[品番],$C379,tbl_ledger[ロットID],"=",tbl_ledger[元状態],E$304))</f>
        <v/>
      </c>
      <c r="F379" s="4" t="str">
        <f>IF($C379="","",SUMIFS(tbl_ledger[数量],tbl_ledger[品番],$C379,tbl_ledger[イベント種類],"アセンブリ完了",tbl_ledger[ロットID],"=")+SUMIFS(tbl_ledger[数量],tbl_ledger[品番],$C379,tbl_ledger[イベント種類],"余剰化",tbl_ledger[元状態],F$304)-SUMIFS(tbl_ledger[数量],tbl_ledger[品番],$C379,tbl_ledger[ロットID],"=",tbl_ledger[元状態],F$304))</f>
        <v/>
      </c>
      <c r="G379" s="4" t="str">
        <f>IF($C379="","",SUMIFS(tbl_ledger[数量],tbl_ledger[品番],$C379,tbl_ledger[イベント種類],"梱包完了",tbl_ledger[ロットID],"=")+SUMIFS(tbl_ledger[数量],tbl_ledger[品番],$C379,tbl_ledger[イベント種類],"余剰化",tbl_ledger[元状態],G$304)-SUMIFS(tbl_ledger[数量],tbl_ledger[品番],$C379,tbl_ledger[ロットID],"=",tbl_ledger[元状態],G$304))</f>
        <v/>
      </c>
      <c r="H379" s="4" t="str">
        <f>IF($C379="","",SUMIFS(tbl_ledger[数量],tbl_ledger[品番],$C379,tbl_ledger[イベント種類],"発送準備完了",tbl_ledger[ロットID],"=")+SUMIFS(tbl_ledger[数量],tbl_ledger[品番],$C379,tbl_ledger[イベント種類],"余剰化",tbl_ledger[元状態],H$304)-SUMIFS(tbl_ledger[数量],tbl_ledger[品番],$C379,tbl_ledger[ロットID],"=",tbl_ledger[元状態],H$304))</f>
        <v/>
      </c>
      <c r="I379" s="4" t="str">
        <f>IF($C379="","",SUMIFS(tbl_ledger[数量],tbl_ledger[品番],$C379,tbl_ledger[イベント種類],"不良発生",tbl_ledger[ロットID],"=")+SUMIFS(tbl_ledger[数量],tbl_ledger[品番],$C379,tbl_ledger[イベント種類],"余剰化",tbl_ledger[元状態],I$304)-SUMIFS(tbl_ledger[数量],tbl_ledger[品番],$C379,tbl_ledger[ロットID],"=",tbl_ledger[元状態],I$304))</f>
        <v/>
      </c>
      <c r="J379" s="4" t="str">
        <f t="shared" si="15"/>
        <v/>
      </c>
    </row>
    <row r="380" spans="1:10" ht="15" x14ac:dyDescent="0.25">
      <c r="A380" s="4" t="str">
        <f t="shared" si="14"/>
        <v/>
      </c>
      <c r="B380" s="6"/>
      <c r="C380" s="4" t="str">
        <f>IFERROR(INDEX(tbl_master[品番],ROW()-304),"")</f>
        <v/>
      </c>
      <c r="D380" s="4" t="str">
        <f>IF($C380="","",SUMIFS(tbl_ledger[数量],tbl_ledger[品番],$C380,tbl_ledger[イベント種類],"搬入",tbl_ledger[ロットID],"=")+SUMIFS(tbl_ledger[数量],tbl_ledger[品番],$C380,tbl_ledger[イベント種類],"余剰化",tbl_ledger[元状態],D$304)-SUMIFS(tbl_ledger[数量],tbl_ledger[品番],$C380,tbl_ledger[ロットID],"=",tbl_ledger[元状態],D$304))</f>
        <v/>
      </c>
      <c r="E380" s="4" t="str">
        <f>IF($C380="","",SUMIFS(tbl_ledger[数量],tbl_ledger[品番],$C380,tbl_ledger[イベント種類],"アニール完了",tbl_ledger[ロットID],"=")+SUMIFS(tbl_ledger[数量],tbl_ledger[品番],$C380,tbl_ledger[イベント種類],"余剰化",tbl_ledger[元状態],E$304)-SUMIFS(tbl_ledger[数量],tbl_ledger[品番],$C380,tbl_ledger[ロットID],"=",tbl_ledger[元状態],E$304))</f>
        <v/>
      </c>
      <c r="F380" s="4" t="str">
        <f>IF($C380="","",SUMIFS(tbl_ledger[数量],tbl_ledger[品番],$C380,tbl_ledger[イベント種類],"アセンブリ完了",tbl_ledger[ロットID],"=")+SUMIFS(tbl_ledger[数量],tbl_ledger[品番],$C380,tbl_ledger[イベント種類],"余剰化",tbl_ledger[元状態],F$304)-SUMIFS(tbl_ledger[数量],tbl_ledger[品番],$C380,tbl_ledger[ロットID],"=",tbl_ledger[元状態],F$304))</f>
        <v/>
      </c>
      <c r="G380" s="4" t="str">
        <f>IF($C380="","",SUMIFS(tbl_ledger[数量],tbl_ledger[品番],$C380,tbl_ledger[イベント種類],"梱包完了",tbl_ledger[ロットID],"=")+SUMIFS(tbl_ledger[数量],tbl_ledger[品番],$C380,tbl_ledger[イベント種類],"余剰化",tbl_ledger[元状態],G$304)-SUMIFS(tbl_ledger[数量],tbl_ledger[品番],$C380,tbl_ledger[ロットID],"=",tbl_ledger[元状態],G$304))</f>
        <v/>
      </c>
      <c r="H380" s="4" t="str">
        <f>IF($C380="","",SUMIFS(tbl_ledger[数量],tbl_ledger[品番],$C380,tbl_ledger[イベント種類],"発送準備完了",tbl_ledger[ロットID],"=")+SUMIFS(tbl_ledger[数量],tbl_ledger[品番],$C380,tbl_ledger[イベント種類],"余剰化",tbl_ledger[元状態],H$304)-SUMIFS(tbl_ledger[数量],tbl_ledger[品番],$C380,tbl_ledger[ロットID],"=",tbl_ledger[元状態],H$304))</f>
        <v/>
      </c>
      <c r="I380" s="4" t="str">
        <f>IF($C380="","",SUMIFS(tbl_ledger[数量],tbl_ledger[品番],$C380,tbl_ledger[イベント種類],"不良発生",tbl_ledger[ロットID],"=")+SUMIFS(tbl_ledger[数量],tbl_ledger[品番],$C380,tbl_ledger[イベント種類],"余剰化",tbl_ledger[元状態],I$304)-SUMIFS(tbl_ledger[数量],tbl_ledger[品番],$C380,tbl_ledger[ロットID],"=",tbl_ledger[元状態],I$304))</f>
        <v/>
      </c>
      <c r="J380" s="4" t="str">
        <f t="shared" si="15"/>
        <v/>
      </c>
    </row>
    <row r="381" spans="1:10" ht="15" x14ac:dyDescent="0.25">
      <c r="A381" s="4" t="str">
        <f t="shared" si="14"/>
        <v/>
      </c>
      <c r="B381" s="6"/>
      <c r="C381" s="4" t="str">
        <f>IFERROR(INDEX(tbl_master[品番],ROW()-304),"")</f>
        <v/>
      </c>
      <c r="D381" s="4" t="str">
        <f>IF($C381="","",SUMIFS(tbl_ledger[数量],tbl_ledger[品番],$C381,tbl_ledger[イベント種類],"搬入",tbl_ledger[ロットID],"=")+SUMIFS(tbl_ledger[数量],tbl_ledger[品番],$C381,tbl_ledger[イベント種類],"余剰化",tbl_ledger[元状態],D$304)-SUMIFS(tbl_ledger[数量],tbl_ledger[品番],$C381,tbl_ledger[ロットID],"=",tbl_ledger[元状態],D$304))</f>
        <v/>
      </c>
      <c r="E381" s="4" t="str">
        <f>IF($C381="","",SUMIFS(tbl_ledger[数量],tbl_ledger[品番],$C381,tbl_ledger[イベント種類],"アニール完了",tbl_ledger[ロットID],"=")+SUMIFS(tbl_ledger[数量],tbl_ledger[品番],$C381,tbl_ledger[イベント種類],"余剰化",tbl_ledger[元状態],E$304)-SUMIFS(tbl_ledger[数量],tbl_ledger[品番],$C381,tbl_ledger[ロットID],"=",tbl_ledger[元状態],E$304))</f>
        <v/>
      </c>
      <c r="F381" s="4" t="str">
        <f>IF($C381="","",SUMIFS(tbl_ledger[数量],tbl_ledger[品番],$C381,tbl_ledger[イベント種類],"アセンブリ完了",tbl_ledger[ロットID],"=")+SUMIFS(tbl_ledger[数量],tbl_ledger[品番],$C381,tbl_ledger[イベント種類],"余剰化",tbl_ledger[元状態],F$304)-SUMIFS(tbl_ledger[数量],tbl_ledger[品番],$C381,tbl_ledger[ロットID],"=",tbl_ledger[元状態],F$304))</f>
        <v/>
      </c>
      <c r="G381" s="4" t="str">
        <f>IF($C381="","",SUMIFS(tbl_ledger[数量],tbl_ledger[品番],$C381,tbl_ledger[イベント種類],"梱包完了",tbl_ledger[ロットID],"=")+SUMIFS(tbl_ledger[数量],tbl_ledger[品番],$C381,tbl_ledger[イベント種類],"余剰化",tbl_ledger[元状態],G$304)-SUMIFS(tbl_ledger[数量],tbl_ledger[品番],$C381,tbl_ledger[ロットID],"=",tbl_ledger[元状態],G$304))</f>
        <v/>
      </c>
      <c r="H381" s="4" t="str">
        <f>IF($C381="","",SUMIFS(tbl_ledger[数量],tbl_ledger[品番],$C381,tbl_ledger[イベント種類],"発送準備完了",tbl_ledger[ロットID],"=")+SUMIFS(tbl_ledger[数量],tbl_ledger[品番],$C381,tbl_ledger[イベント種類],"余剰化",tbl_ledger[元状態],H$304)-SUMIFS(tbl_ledger[数量],tbl_ledger[品番],$C381,tbl_ledger[ロットID],"=",tbl_ledger[元状態],H$304))</f>
        <v/>
      </c>
      <c r="I381" s="4" t="str">
        <f>IF($C381="","",SUMIFS(tbl_ledger[数量],tbl_ledger[品番],$C381,tbl_ledger[イベント種類],"不良発生",tbl_ledger[ロットID],"=")+SUMIFS(tbl_ledger[数量],tbl_ledger[品番],$C381,tbl_ledger[イベント種類],"余剰化",tbl_ledger[元状態],I$304)-SUMIFS(tbl_ledger[数量],tbl_ledger[品番],$C381,tbl_ledger[ロットID],"=",tbl_ledger[元状態],I$304))</f>
        <v/>
      </c>
      <c r="J381" s="4" t="str">
        <f t="shared" si="15"/>
        <v/>
      </c>
    </row>
    <row r="382" spans="1:10" ht="15" x14ac:dyDescent="0.25">
      <c r="A382" s="4" t="str">
        <f t="shared" si="14"/>
        <v/>
      </c>
      <c r="B382" s="6"/>
      <c r="C382" s="4" t="str">
        <f>IFERROR(INDEX(tbl_master[品番],ROW()-304),"")</f>
        <v/>
      </c>
      <c r="D382" s="4" t="str">
        <f>IF($C382="","",SUMIFS(tbl_ledger[数量],tbl_ledger[品番],$C382,tbl_ledger[イベント種類],"搬入",tbl_ledger[ロットID],"=")+SUMIFS(tbl_ledger[数量],tbl_ledger[品番],$C382,tbl_ledger[イベント種類],"余剰化",tbl_ledger[元状態],D$304)-SUMIFS(tbl_ledger[数量],tbl_ledger[品番],$C382,tbl_ledger[ロットID],"=",tbl_ledger[元状態],D$304))</f>
        <v/>
      </c>
      <c r="E382" s="4" t="str">
        <f>IF($C382="","",SUMIFS(tbl_ledger[数量],tbl_ledger[品番],$C382,tbl_ledger[イベント種類],"アニール完了",tbl_ledger[ロットID],"=")+SUMIFS(tbl_ledger[数量],tbl_ledger[品番],$C382,tbl_ledger[イベント種類],"余剰化",tbl_ledger[元状態],E$304)-SUMIFS(tbl_ledger[数量],tbl_ledger[品番],$C382,tbl_ledger[ロットID],"=",tbl_ledger[元状態],E$304))</f>
        <v/>
      </c>
      <c r="F382" s="4" t="str">
        <f>IF($C382="","",SUMIFS(tbl_ledger[数量],tbl_ledger[品番],$C382,tbl_ledger[イベント種類],"アセンブリ完了",tbl_ledger[ロットID],"=")+SUMIFS(tbl_ledger[数量],tbl_ledger[品番],$C382,tbl_ledger[イベント種類],"余剰化",tbl_ledger[元状態],F$304)-SUMIFS(tbl_ledger[数量],tbl_ledger[品番],$C382,tbl_ledger[ロットID],"=",tbl_ledger[元状態],F$304))</f>
        <v/>
      </c>
      <c r="G382" s="4" t="str">
        <f>IF($C382="","",SUMIFS(tbl_ledger[数量],tbl_ledger[品番],$C382,tbl_ledger[イベント種類],"梱包完了",tbl_ledger[ロットID],"=")+SUMIFS(tbl_ledger[数量],tbl_ledger[品番],$C382,tbl_ledger[イベント種類],"余剰化",tbl_ledger[元状態],G$304)-SUMIFS(tbl_ledger[数量],tbl_ledger[品番],$C382,tbl_ledger[ロットID],"=",tbl_ledger[元状態],G$304))</f>
        <v/>
      </c>
      <c r="H382" s="4" t="str">
        <f>IF($C382="","",SUMIFS(tbl_ledger[数量],tbl_ledger[品番],$C382,tbl_ledger[イベント種類],"発送準備完了",tbl_ledger[ロットID],"=")+SUMIFS(tbl_ledger[数量],tbl_ledger[品番],$C382,tbl_ledger[イベント種類],"余剰化",tbl_ledger[元状態],H$304)-SUMIFS(tbl_ledger[数量],tbl_ledger[品番],$C382,tbl_ledger[ロットID],"=",tbl_ledger[元状態],H$304))</f>
        <v/>
      </c>
      <c r="I382" s="4" t="str">
        <f>IF($C382="","",SUMIFS(tbl_ledger[数量],tbl_ledger[品番],$C382,tbl_ledger[イベント種類],"不良発生",tbl_ledger[ロットID],"=")+SUMIFS(tbl_ledger[数量],tbl_ledger[品番],$C382,tbl_ledger[イベント種類],"余剰化",tbl_ledger[元状態],I$304)-SUMIFS(tbl_ledger[数量],tbl_ledger[品番],$C382,tbl_ledger[ロットID],"=",tbl_ledger[元状態],I$304))</f>
        <v/>
      </c>
      <c r="J382" s="4" t="str">
        <f t="shared" si="15"/>
        <v/>
      </c>
    </row>
    <row r="383" spans="1:10" ht="15" x14ac:dyDescent="0.25">
      <c r="A383" s="4" t="str">
        <f t="shared" si="14"/>
        <v/>
      </c>
      <c r="B383" s="6"/>
      <c r="C383" s="4" t="str">
        <f>IFERROR(INDEX(tbl_master[品番],ROW()-304),"")</f>
        <v/>
      </c>
      <c r="D383" s="4" t="str">
        <f>IF($C383="","",SUMIFS(tbl_ledger[数量],tbl_ledger[品番],$C383,tbl_ledger[イベント種類],"搬入",tbl_ledger[ロットID],"=")+SUMIFS(tbl_ledger[数量],tbl_ledger[品番],$C383,tbl_ledger[イベント種類],"余剰化",tbl_ledger[元状態],D$304)-SUMIFS(tbl_ledger[数量],tbl_ledger[品番],$C383,tbl_ledger[ロットID],"=",tbl_ledger[元状態],D$304))</f>
        <v/>
      </c>
      <c r="E383" s="4" t="str">
        <f>IF($C383="","",SUMIFS(tbl_ledger[数量],tbl_ledger[品番],$C383,tbl_ledger[イベント種類],"アニール完了",tbl_ledger[ロットID],"=")+SUMIFS(tbl_ledger[数量],tbl_ledger[品番],$C383,tbl_ledger[イベント種類],"余剰化",tbl_ledger[元状態],E$304)-SUMIFS(tbl_ledger[数量],tbl_ledger[品番],$C383,tbl_ledger[ロットID],"=",tbl_ledger[元状態],E$304))</f>
        <v/>
      </c>
      <c r="F383" s="4" t="str">
        <f>IF($C383="","",SUMIFS(tbl_ledger[数量],tbl_ledger[品番],$C383,tbl_ledger[イベント種類],"アセンブリ完了",tbl_ledger[ロットID],"=")+SUMIFS(tbl_ledger[数量],tbl_ledger[品番],$C383,tbl_ledger[イベント種類],"余剰化",tbl_ledger[元状態],F$304)-SUMIFS(tbl_ledger[数量],tbl_ledger[品番],$C383,tbl_ledger[ロットID],"=",tbl_ledger[元状態],F$304))</f>
        <v/>
      </c>
      <c r="G383" s="4" t="str">
        <f>IF($C383="","",SUMIFS(tbl_ledger[数量],tbl_ledger[品番],$C383,tbl_ledger[イベント種類],"梱包完了",tbl_ledger[ロットID],"=")+SUMIFS(tbl_ledger[数量],tbl_ledger[品番],$C383,tbl_ledger[イベント種類],"余剰化",tbl_ledger[元状態],G$304)-SUMIFS(tbl_ledger[数量],tbl_ledger[品番],$C383,tbl_ledger[ロットID],"=",tbl_ledger[元状態],G$304))</f>
        <v/>
      </c>
      <c r="H383" s="4" t="str">
        <f>IF($C383="","",SUMIFS(tbl_ledger[数量],tbl_ledger[品番],$C383,tbl_ledger[イベント種類],"発送準備完了",tbl_ledger[ロットID],"=")+SUMIFS(tbl_ledger[数量],tbl_ledger[品番],$C383,tbl_ledger[イベント種類],"余剰化",tbl_ledger[元状態],H$304)-SUMIFS(tbl_ledger[数量],tbl_ledger[品番],$C383,tbl_ledger[ロットID],"=",tbl_ledger[元状態],H$304))</f>
        <v/>
      </c>
      <c r="I383" s="4" t="str">
        <f>IF($C383="","",SUMIFS(tbl_ledger[数量],tbl_ledger[品番],$C383,tbl_ledger[イベント種類],"不良発生",tbl_ledger[ロットID],"=")+SUMIFS(tbl_ledger[数量],tbl_ledger[品番],$C383,tbl_ledger[イベント種類],"余剰化",tbl_ledger[元状態],I$304)-SUMIFS(tbl_ledger[数量],tbl_ledger[品番],$C383,tbl_ledger[ロットID],"=",tbl_ledger[元状態],I$304))</f>
        <v/>
      </c>
      <c r="J383" s="4" t="str">
        <f t="shared" si="15"/>
        <v/>
      </c>
    </row>
    <row r="384" spans="1:10" ht="15" x14ac:dyDescent="0.25">
      <c r="A384" s="4" t="str">
        <f t="shared" si="14"/>
        <v/>
      </c>
      <c r="B384" s="6"/>
      <c r="C384" s="4" t="str">
        <f>IFERROR(INDEX(tbl_master[品番],ROW()-304),"")</f>
        <v/>
      </c>
      <c r="D384" s="4" t="str">
        <f>IF($C384="","",SUMIFS(tbl_ledger[数量],tbl_ledger[品番],$C384,tbl_ledger[イベント種類],"搬入",tbl_ledger[ロットID],"=")+SUMIFS(tbl_ledger[数量],tbl_ledger[品番],$C384,tbl_ledger[イベント種類],"余剰化",tbl_ledger[元状態],D$304)-SUMIFS(tbl_ledger[数量],tbl_ledger[品番],$C384,tbl_ledger[ロットID],"=",tbl_ledger[元状態],D$304))</f>
        <v/>
      </c>
      <c r="E384" s="4" t="str">
        <f>IF($C384="","",SUMIFS(tbl_ledger[数量],tbl_ledger[品番],$C384,tbl_ledger[イベント種類],"アニール完了",tbl_ledger[ロットID],"=")+SUMIFS(tbl_ledger[数量],tbl_ledger[品番],$C384,tbl_ledger[イベント種類],"余剰化",tbl_ledger[元状態],E$304)-SUMIFS(tbl_ledger[数量],tbl_ledger[品番],$C384,tbl_ledger[ロットID],"=",tbl_ledger[元状態],E$304))</f>
        <v/>
      </c>
      <c r="F384" s="4" t="str">
        <f>IF($C384="","",SUMIFS(tbl_ledger[数量],tbl_ledger[品番],$C384,tbl_ledger[イベント種類],"アセンブリ完了",tbl_ledger[ロットID],"=")+SUMIFS(tbl_ledger[数量],tbl_ledger[品番],$C384,tbl_ledger[イベント種類],"余剰化",tbl_ledger[元状態],F$304)-SUMIFS(tbl_ledger[数量],tbl_ledger[品番],$C384,tbl_ledger[ロットID],"=",tbl_ledger[元状態],F$304))</f>
        <v/>
      </c>
      <c r="G384" s="4" t="str">
        <f>IF($C384="","",SUMIFS(tbl_ledger[数量],tbl_ledger[品番],$C384,tbl_ledger[イベント種類],"梱包完了",tbl_ledger[ロットID],"=")+SUMIFS(tbl_ledger[数量],tbl_ledger[品番],$C384,tbl_ledger[イベント種類],"余剰化",tbl_ledger[元状態],G$304)-SUMIFS(tbl_ledger[数量],tbl_ledger[品番],$C384,tbl_ledger[ロットID],"=",tbl_ledger[元状態],G$304))</f>
        <v/>
      </c>
      <c r="H384" s="4" t="str">
        <f>IF($C384="","",SUMIFS(tbl_ledger[数量],tbl_ledger[品番],$C384,tbl_ledger[イベント種類],"発送準備完了",tbl_ledger[ロットID],"=")+SUMIFS(tbl_ledger[数量],tbl_ledger[品番],$C384,tbl_ledger[イベント種類],"余剰化",tbl_ledger[元状態],H$304)-SUMIFS(tbl_ledger[数量],tbl_ledger[品番],$C384,tbl_ledger[ロットID],"=",tbl_ledger[元状態],H$304))</f>
        <v/>
      </c>
      <c r="I384" s="4" t="str">
        <f>IF($C384="","",SUMIFS(tbl_ledger[数量],tbl_ledger[品番],$C384,tbl_ledger[イベント種類],"不良発生",tbl_ledger[ロットID],"=")+SUMIFS(tbl_ledger[数量],tbl_ledger[品番],$C384,tbl_ledger[イベント種類],"余剰化",tbl_ledger[元状態],I$304)-SUMIFS(tbl_ledger[数量],tbl_ledger[品番],$C384,tbl_ledger[ロットID],"=",tbl_ledger[元状態],I$304))</f>
        <v/>
      </c>
      <c r="J384" s="4" t="str">
        <f t="shared" si="15"/>
        <v/>
      </c>
    </row>
    <row r="385" spans="1:10" ht="15" x14ac:dyDescent="0.25">
      <c r="A385" s="4" t="str">
        <f t="shared" si="14"/>
        <v/>
      </c>
      <c r="B385" s="6"/>
      <c r="C385" s="4" t="str">
        <f>IFERROR(INDEX(tbl_master[品番],ROW()-304),"")</f>
        <v/>
      </c>
      <c r="D385" s="4" t="str">
        <f>IF($C385="","",SUMIFS(tbl_ledger[数量],tbl_ledger[品番],$C385,tbl_ledger[イベント種類],"搬入",tbl_ledger[ロットID],"=")+SUMIFS(tbl_ledger[数量],tbl_ledger[品番],$C385,tbl_ledger[イベント種類],"余剰化",tbl_ledger[元状態],D$304)-SUMIFS(tbl_ledger[数量],tbl_ledger[品番],$C385,tbl_ledger[ロットID],"=",tbl_ledger[元状態],D$304))</f>
        <v/>
      </c>
      <c r="E385" s="4" t="str">
        <f>IF($C385="","",SUMIFS(tbl_ledger[数量],tbl_ledger[品番],$C385,tbl_ledger[イベント種類],"アニール完了",tbl_ledger[ロットID],"=")+SUMIFS(tbl_ledger[数量],tbl_ledger[品番],$C385,tbl_ledger[イベント種類],"余剰化",tbl_ledger[元状態],E$304)-SUMIFS(tbl_ledger[数量],tbl_ledger[品番],$C385,tbl_ledger[ロットID],"=",tbl_ledger[元状態],E$304))</f>
        <v/>
      </c>
      <c r="F385" s="4" t="str">
        <f>IF($C385="","",SUMIFS(tbl_ledger[数量],tbl_ledger[品番],$C385,tbl_ledger[イベント種類],"アセンブリ完了",tbl_ledger[ロットID],"=")+SUMIFS(tbl_ledger[数量],tbl_ledger[品番],$C385,tbl_ledger[イベント種類],"余剰化",tbl_ledger[元状態],F$304)-SUMIFS(tbl_ledger[数量],tbl_ledger[品番],$C385,tbl_ledger[ロットID],"=",tbl_ledger[元状態],F$304))</f>
        <v/>
      </c>
      <c r="G385" s="4" t="str">
        <f>IF($C385="","",SUMIFS(tbl_ledger[数量],tbl_ledger[品番],$C385,tbl_ledger[イベント種類],"梱包完了",tbl_ledger[ロットID],"=")+SUMIFS(tbl_ledger[数量],tbl_ledger[品番],$C385,tbl_ledger[イベント種類],"余剰化",tbl_ledger[元状態],G$304)-SUMIFS(tbl_ledger[数量],tbl_ledger[品番],$C385,tbl_ledger[ロットID],"=",tbl_ledger[元状態],G$304))</f>
        <v/>
      </c>
      <c r="H385" s="4" t="str">
        <f>IF($C385="","",SUMIFS(tbl_ledger[数量],tbl_ledger[品番],$C385,tbl_ledger[イベント種類],"発送準備完了",tbl_ledger[ロットID],"=")+SUMIFS(tbl_ledger[数量],tbl_ledger[品番],$C385,tbl_ledger[イベント種類],"余剰化",tbl_ledger[元状態],H$304)-SUMIFS(tbl_ledger[数量],tbl_ledger[品番],$C385,tbl_ledger[ロットID],"=",tbl_ledger[元状態],H$304))</f>
        <v/>
      </c>
      <c r="I385" s="4" t="str">
        <f>IF($C385="","",SUMIFS(tbl_ledger[数量],tbl_ledger[品番],$C385,tbl_ledger[イベント種類],"不良発生",tbl_ledger[ロットID],"=")+SUMIFS(tbl_ledger[数量],tbl_ledger[品番],$C385,tbl_ledger[イベント種類],"余剰化",tbl_ledger[元状態],I$304)-SUMIFS(tbl_ledger[数量],tbl_ledger[品番],$C385,tbl_ledger[ロットID],"=",tbl_ledger[元状態],I$304))</f>
        <v/>
      </c>
      <c r="J385" s="4" t="str">
        <f t="shared" si="15"/>
        <v/>
      </c>
    </row>
    <row r="386" spans="1:10" ht="15" x14ac:dyDescent="0.25">
      <c r="A386" s="4" t="str">
        <f t="shared" si="14"/>
        <v/>
      </c>
      <c r="B386" s="6"/>
      <c r="C386" s="4" t="str">
        <f>IFERROR(INDEX(tbl_master[品番],ROW()-304),"")</f>
        <v/>
      </c>
      <c r="D386" s="4" t="str">
        <f>IF($C386="","",SUMIFS(tbl_ledger[数量],tbl_ledger[品番],$C386,tbl_ledger[イベント種類],"搬入",tbl_ledger[ロットID],"=")+SUMIFS(tbl_ledger[数量],tbl_ledger[品番],$C386,tbl_ledger[イベント種類],"余剰化",tbl_ledger[元状態],D$304)-SUMIFS(tbl_ledger[数量],tbl_ledger[品番],$C386,tbl_ledger[ロットID],"=",tbl_ledger[元状態],D$304))</f>
        <v/>
      </c>
      <c r="E386" s="4" t="str">
        <f>IF($C386="","",SUMIFS(tbl_ledger[数量],tbl_ledger[品番],$C386,tbl_ledger[イベント種類],"アニール完了",tbl_ledger[ロットID],"=")+SUMIFS(tbl_ledger[数量],tbl_ledger[品番],$C386,tbl_ledger[イベント種類],"余剰化",tbl_ledger[元状態],E$304)-SUMIFS(tbl_ledger[数量],tbl_ledger[品番],$C386,tbl_ledger[ロットID],"=",tbl_ledger[元状態],E$304))</f>
        <v/>
      </c>
      <c r="F386" s="4" t="str">
        <f>IF($C386="","",SUMIFS(tbl_ledger[数量],tbl_ledger[品番],$C386,tbl_ledger[イベント種類],"アセンブリ完了",tbl_ledger[ロットID],"=")+SUMIFS(tbl_ledger[数量],tbl_ledger[品番],$C386,tbl_ledger[イベント種類],"余剰化",tbl_ledger[元状態],F$304)-SUMIFS(tbl_ledger[数量],tbl_ledger[品番],$C386,tbl_ledger[ロットID],"=",tbl_ledger[元状態],F$304))</f>
        <v/>
      </c>
      <c r="G386" s="4" t="str">
        <f>IF($C386="","",SUMIFS(tbl_ledger[数量],tbl_ledger[品番],$C386,tbl_ledger[イベント種類],"梱包完了",tbl_ledger[ロットID],"=")+SUMIFS(tbl_ledger[数量],tbl_ledger[品番],$C386,tbl_ledger[イベント種類],"余剰化",tbl_ledger[元状態],G$304)-SUMIFS(tbl_ledger[数量],tbl_ledger[品番],$C386,tbl_ledger[ロットID],"=",tbl_ledger[元状態],G$304))</f>
        <v/>
      </c>
      <c r="H386" s="4" t="str">
        <f>IF($C386="","",SUMIFS(tbl_ledger[数量],tbl_ledger[品番],$C386,tbl_ledger[イベント種類],"発送準備完了",tbl_ledger[ロットID],"=")+SUMIFS(tbl_ledger[数量],tbl_ledger[品番],$C386,tbl_ledger[イベント種類],"余剰化",tbl_ledger[元状態],H$304)-SUMIFS(tbl_ledger[数量],tbl_ledger[品番],$C386,tbl_ledger[ロットID],"=",tbl_ledger[元状態],H$304))</f>
        <v/>
      </c>
      <c r="I386" s="4" t="str">
        <f>IF($C386="","",SUMIFS(tbl_ledger[数量],tbl_ledger[品番],$C386,tbl_ledger[イベント種類],"不良発生",tbl_ledger[ロットID],"=")+SUMIFS(tbl_ledger[数量],tbl_ledger[品番],$C386,tbl_ledger[イベント種類],"余剰化",tbl_ledger[元状態],I$304)-SUMIFS(tbl_ledger[数量],tbl_ledger[品番],$C386,tbl_ledger[ロットID],"=",tbl_ledger[元状態],I$304))</f>
        <v/>
      </c>
      <c r="J386" s="4" t="str">
        <f t="shared" si="15"/>
        <v/>
      </c>
    </row>
    <row r="387" spans="1:10" ht="15" x14ac:dyDescent="0.25">
      <c r="A387" s="4" t="str">
        <f t="shared" si="14"/>
        <v/>
      </c>
      <c r="B387" s="6"/>
      <c r="C387" s="4" t="str">
        <f>IFERROR(INDEX(tbl_master[品番],ROW()-304),"")</f>
        <v/>
      </c>
      <c r="D387" s="4" t="str">
        <f>IF($C387="","",SUMIFS(tbl_ledger[数量],tbl_ledger[品番],$C387,tbl_ledger[イベント種類],"搬入",tbl_ledger[ロットID],"=")+SUMIFS(tbl_ledger[数量],tbl_ledger[品番],$C387,tbl_ledger[イベント種類],"余剰化",tbl_ledger[元状態],D$304)-SUMIFS(tbl_ledger[数量],tbl_ledger[品番],$C387,tbl_ledger[ロットID],"=",tbl_ledger[元状態],D$304))</f>
        <v/>
      </c>
      <c r="E387" s="4" t="str">
        <f>IF($C387="","",SUMIFS(tbl_ledger[数量],tbl_ledger[品番],$C387,tbl_ledger[イベント種類],"アニール完了",tbl_ledger[ロットID],"=")+SUMIFS(tbl_ledger[数量],tbl_ledger[品番],$C387,tbl_ledger[イベント種類],"余剰化",tbl_ledger[元状態],E$304)-SUMIFS(tbl_ledger[数量],tbl_ledger[品番],$C387,tbl_ledger[ロットID],"=",tbl_ledger[元状態],E$304))</f>
        <v/>
      </c>
      <c r="F387" s="4" t="str">
        <f>IF($C387="","",SUMIFS(tbl_ledger[数量],tbl_ledger[品番],$C387,tbl_ledger[イベント種類],"アセンブリ完了",tbl_ledger[ロットID],"=")+SUMIFS(tbl_ledger[数量],tbl_ledger[品番],$C387,tbl_ledger[イベント種類],"余剰化",tbl_ledger[元状態],F$304)-SUMIFS(tbl_ledger[数量],tbl_ledger[品番],$C387,tbl_ledger[ロットID],"=",tbl_ledger[元状態],F$304))</f>
        <v/>
      </c>
      <c r="G387" s="4" t="str">
        <f>IF($C387="","",SUMIFS(tbl_ledger[数量],tbl_ledger[品番],$C387,tbl_ledger[イベント種類],"梱包完了",tbl_ledger[ロットID],"=")+SUMIFS(tbl_ledger[数量],tbl_ledger[品番],$C387,tbl_ledger[イベント種類],"余剰化",tbl_ledger[元状態],G$304)-SUMIFS(tbl_ledger[数量],tbl_ledger[品番],$C387,tbl_ledger[ロットID],"=",tbl_ledger[元状態],G$304))</f>
        <v/>
      </c>
      <c r="H387" s="4" t="str">
        <f>IF($C387="","",SUMIFS(tbl_ledger[数量],tbl_ledger[品番],$C387,tbl_ledger[イベント種類],"発送準備完了",tbl_ledger[ロットID],"=")+SUMIFS(tbl_ledger[数量],tbl_ledger[品番],$C387,tbl_ledger[イベント種類],"余剰化",tbl_ledger[元状態],H$304)-SUMIFS(tbl_ledger[数量],tbl_ledger[品番],$C387,tbl_ledger[ロットID],"=",tbl_ledger[元状態],H$304))</f>
        <v/>
      </c>
      <c r="I387" s="4" t="str">
        <f>IF($C387="","",SUMIFS(tbl_ledger[数量],tbl_ledger[品番],$C387,tbl_ledger[イベント種類],"不良発生",tbl_ledger[ロットID],"=")+SUMIFS(tbl_ledger[数量],tbl_ledger[品番],$C387,tbl_ledger[イベント種類],"余剰化",tbl_ledger[元状態],I$304)-SUMIFS(tbl_ledger[数量],tbl_ledger[品番],$C387,tbl_ledger[ロットID],"=",tbl_ledger[元状態],I$304))</f>
        <v/>
      </c>
      <c r="J387" s="4" t="str">
        <f t="shared" si="15"/>
        <v/>
      </c>
    </row>
    <row r="388" spans="1:10" ht="15" x14ac:dyDescent="0.25">
      <c r="A388" s="4" t="str">
        <f t="shared" si="14"/>
        <v/>
      </c>
      <c r="B388" s="6"/>
      <c r="C388" s="4" t="str">
        <f>IFERROR(INDEX(tbl_master[品番],ROW()-304),"")</f>
        <v/>
      </c>
      <c r="D388" s="4" t="str">
        <f>IF($C388="","",SUMIFS(tbl_ledger[数量],tbl_ledger[品番],$C388,tbl_ledger[イベント種類],"搬入",tbl_ledger[ロットID],"=")+SUMIFS(tbl_ledger[数量],tbl_ledger[品番],$C388,tbl_ledger[イベント種類],"余剰化",tbl_ledger[元状態],D$304)-SUMIFS(tbl_ledger[数量],tbl_ledger[品番],$C388,tbl_ledger[ロットID],"=",tbl_ledger[元状態],D$304))</f>
        <v/>
      </c>
      <c r="E388" s="4" t="str">
        <f>IF($C388="","",SUMIFS(tbl_ledger[数量],tbl_ledger[品番],$C388,tbl_ledger[イベント種類],"アニール完了",tbl_ledger[ロットID],"=")+SUMIFS(tbl_ledger[数量],tbl_ledger[品番],$C388,tbl_ledger[イベント種類],"余剰化",tbl_ledger[元状態],E$304)-SUMIFS(tbl_ledger[数量],tbl_ledger[品番],$C388,tbl_ledger[ロットID],"=",tbl_ledger[元状態],E$304))</f>
        <v/>
      </c>
      <c r="F388" s="4" t="str">
        <f>IF($C388="","",SUMIFS(tbl_ledger[数量],tbl_ledger[品番],$C388,tbl_ledger[イベント種類],"アセンブリ完了",tbl_ledger[ロットID],"=")+SUMIFS(tbl_ledger[数量],tbl_ledger[品番],$C388,tbl_ledger[イベント種類],"余剰化",tbl_ledger[元状態],F$304)-SUMIFS(tbl_ledger[数量],tbl_ledger[品番],$C388,tbl_ledger[ロットID],"=",tbl_ledger[元状態],F$304))</f>
        <v/>
      </c>
      <c r="G388" s="4" t="str">
        <f>IF($C388="","",SUMIFS(tbl_ledger[数量],tbl_ledger[品番],$C388,tbl_ledger[イベント種類],"梱包完了",tbl_ledger[ロットID],"=")+SUMIFS(tbl_ledger[数量],tbl_ledger[品番],$C388,tbl_ledger[イベント種類],"余剰化",tbl_ledger[元状態],G$304)-SUMIFS(tbl_ledger[数量],tbl_ledger[品番],$C388,tbl_ledger[ロットID],"=",tbl_ledger[元状態],G$304))</f>
        <v/>
      </c>
      <c r="H388" s="4" t="str">
        <f>IF($C388="","",SUMIFS(tbl_ledger[数量],tbl_ledger[品番],$C388,tbl_ledger[イベント種類],"発送準備完了",tbl_ledger[ロットID],"=")+SUMIFS(tbl_ledger[数量],tbl_ledger[品番],$C388,tbl_ledger[イベント種類],"余剰化",tbl_ledger[元状態],H$304)-SUMIFS(tbl_ledger[数量],tbl_ledger[品番],$C388,tbl_ledger[ロットID],"=",tbl_ledger[元状態],H$304))</f>
        <v/>
      </c>
      <c r="I388" s="4" t="str">
        <f>IF($C388="","",SUMIFS(tbl_ledger[数量],tbl_ledger[品番],$C388,tbl_ledger[イベント種類],"不良発生",tbl_ledger[ロットID],"=")+SUMIFS(tbl_ledger[数量],tbl_ledger[品番],$C388,tbl_ledger[イベント種類],"余剰化",tbl_ledger[元状態],I$304)-SUMIFS(tbl_ledger[数量],tbl_ledger[品番],$C388,tbl_ledger[ロットID],"=",tbl_ledger[元状態],I$304))</f>
        <v/>
      </c>
      <c r="J388" s="4" t="str">
        <f t="shared" si="15"/>
        <v/>
      </c>
    </row>
    <row r="389" spans="1:10" ht="15" x14ac:dyDescent="0.25">
      <c r="A389" s="4" t="str">
        <f t="shared" si="14"/>
        <v/>
      </c>
      <c r="B389" s="6"/>
      <c r="C389" s="4" t="str">
        <f>IFERROR(INDEX(tbl_master[品番],ROW()-304),"")</f>
        <v/>
      </c>
      <c r="D389" s="4" t="str">
        <f>IF($C389="","",SUMIFS(tbl_ledger[数量],tbl_ledger[品番],$C389,tbl_ledger[イベント種類],"搬入",tbl_ledger[ロットID],"=")+SUMIFS(tbl_ledger[数量],tbl_ledger[品番],$C389,tbl_ledger[イベント種類],"余剰化",tbl_ledger[元状態],D$304)-SUMIFS(tbl_ledger[数量],tbl_ledger[品番],$C389,tbl_ledger[ロットID],"=",tbl_ledger[元状態],D$304))</f>
        <v/>
      </c>
      <c r="E389" s="4" t="str">
        <f>IF($C389="","",SUMIFS(tbl_ledger[数量],tbl_ledger[品番],$C389,tbl_ledger[イベント種類],"アニール完了",tbl_ledger[ロットID],"=")+SUMIFS(tbl_ledger[数量],tbl_ledger[品番],$C389,tbl_ledger[イベント種類],"余剰化",tbl_ledger[元状態],E$304)-SUMIFS(tbl_ledger[数量],tbl_ledger[品番],$C389,tbl_ledger[ロットID],"=",tbl_ledger[元状態],E$304))</f>
        <v/>
      </c>
      <c r="F389" s="4" t="str">
        <f>IF($C389="","",SUMIFS(tbl_ledger[数量],tbl_ledger[品番],$C389,tbl_ledger[イベント種類],"アセンブリ完了",tbl_ledger[ロットID],"=")+SUMIFS(tbl_ledger[数量],tbl_ledger[品番],$C389,tbl_ledger[イベント種類],"余剰化",tbl_ledger[元状態],F$304)-SUMIFS(tbl_ledger[数量],tbl_ledger[品番],$C389,tbl_ledger[ロットID],"=",tbl_ledger[元状態],F$304))</f>
        <v/>
      </c>
      <c r="G389" s="4" t="str">
        <f>IF($C389="","",SUMIFS(tbl_ledger[数量],tbl_ledger[品番],$C389,tbl_ledger[イベント種類],"梱包完了",tbl_ledger[ロットID],"=")+SUMIFS(tbl_ledger[数量],tbl_ledger[品番],$C389,tbl_ledger[イベント種類],"余剰化",tbl_ledger[元状態],G$304)-SUMIFS(tbl_ledger[数量],tbl_ledger[品番],$C389,tbl_ledger[ロットID],"=",tbl_ledger[元状態],G$304))</f>
        <v/>
      </c>
      <c r="H389" s="4" t="str">
        <f>IF($C389="","",SUMIFS(tbl_ledger[数量],tbl_ledger[品番],$C389,tbl_ledger[イベント種類],"発送準備完了",tbl_ledger[ロットID],"=")+SUMIFS(tbl_ledger[数量],tbl_ledger[品番],$C389,tbl_ledger[イベント種類],"余剰化",tbl_ledger[元状態],H$304)-SUMIFS(tbl_ledger[数量],tbl_ledger[品番],$C389,tbl_ledger[ロットID],"=",tbl_ledger[元状態],H$304))</f>
        <v/>
      </c>
      <c r="I389" s="4" t="str">
        <f>IF($C389="","",SUMIFS(tbl_ledger[数量],tbl_ledger[品番],$C389,tbl_ledger[イベント種類],"不良発生",tbl_ledger[ロットID],"=")+SUMIFS(tbl_ledger[数量],tbl_ledger[品番],$C389,tbl_ledger[イベント種類],"余剰化",tbl_ledger[元状態],I$304)-SUMIFS(tbl_ledger[数量],tbl_ledger[品番],$C389,tbl_ledger[ロットID],"=",tbl_ledger[元状態],I$304))</f>
        <v/>
      </c>
      <c r="J389" s="4" t="str">
        <f t="shared" si="15"/>
        <v/>
      </c>
    </row>
    <row r="390" spans="1:10" ht="15" x14ac:dyDescent="0.25">
      <c r="A390" s="4" t="str">
        <f t="shared" si="14"/>
        <v/>
      </c>
      <c r="B390" s="6"/>
      <c r="C390" s="4" t="str">
        <f>IFERROR(INDEX(tbl_master[品番],ROW()-304),"")</f>
        <v/>
      </c>
      <c r="D390" s="4" t="str">
        <f>IF($C390="","",SUMIFS(tbl_ledger[数量],tbl_ledger[品番],$C390,tbl_ledger[イベント種類],"搬入",tbl_ledger[ロットID],"=")+SUMIFS(tbl_ledger[数量],tbl_ledger[品番],$C390,tbl_ledger[イベント種類],"余剰化",tbl_ledger[元状態],D$304)-SUMIFS(tbl_ledger[数量],tbl_ledger[品番],$C390,tbl_ledger[ロットID],"=",tbl_ledger[元状態],D$304))</f>
        <v/>
      </c>
      <c r="E390" s="4" t="str">
        <f>IF($C390="","",SUMIFS(tbl_ledger[数量],tbl_ledger[品番],$C390,tbl_ledger[イベント種類],"アニール完了",tbl_ledger[ロットID],"=")+SUMIFS(tbl_ledger[数量],tbl_ledger[品番],$C390,tbl_ledger[イベント種類],"余剰化",tbl_ledger[元状態],E$304)-SUMIFS(tbl_ledger[数量],tbl_ledger[品番],$C390,tbl_ledger[ロットID],"=",tbl_ledger[元状態],E$304))</f>
        <v/>
      </c>
      <c r="F390" s="4" t="str">
        <f>IF($C390="","",SUMIFS(tbl_ledger[数量],tbl_ledger[品番],$C390,tbl_ledger[イベント種類],"アセンブリ完了",tbl_ledger[ロットID],"=")+SUMIFS(tbl_ledger[数量],tbl_ledger[品番],$C390,tbl_ledger[イベント種類],"余剰化",tbl_ledger[元状態],F$304)-SUMIFS(tbl_ledger[数量],tbl_ledger[品番],$C390,tbl_ledger[ロットID],"=",tbl_ledger[元状態],F$304))</f>
        <v/>
      </c>
      <c r="G390" s="4" t="str">
        <f>IF($C390="","",SUMIFS(tbl_ledger[数量],tbl_ledger[品番],$C390,tbl_ledger[イベント種類],"梱包完了",tbl_ledger[ロットID],"=")+SUMIFS(tbl_ledger[数量],tbl_ledger[品番],$C390,tbl_ledger[イベント種類],"余剰化",tbl_ledger[元状態],G$304)-SUMIFS(tbl_ledger[数量],tbl_ledger[品番],$C390,tbl_ledger[ロットID],"=",tbl_ledger[元状態],G$304))</f>
        <v/>
      </c>
      <c r="H390" s="4" t="str">
        <f>IF($C390="","",SUMIFS(tbl_ledger[数量],tbl_ledger[品番],$C390,tbl_ledger[イベント種類],"発送準備完了",tbl_ledger[ロットID],"=")+SUMIFS(tbl_ledger[数量],tbl_ledger[品番],$C390,tbl_ledger[イベント種類],"余剰化",tbl_ledger[元状態],H$304)-SUMIFS(tbl_ledger[数量],tbl_ledger[品番],$C390,tbl_ledger[ロットID],"=",tbl_ledger[元状態],H$304))</f>
        <v/>
      </c>
      <c r="I390" s="4" t="str">
        <f>IF($C390="","",SUMIFS(tbl_ledger[数量],tbl_ledger[品番],$C390,tbl_ledger[イベント種類],"不良発生",tbl_ledger[ロットID],"=")+SUMIFS(tbl_ledger[数量],tbl_ledger[品番],$C390,tbl_ledger[イベント種類],"余剰化",tbl_ledger[元状態],I$304)-SUMIFS(tbl_ledger[数量],tbl_ledger[品番],$C390,tbl_ledger[ロットID],"=",tbl_ledger[元状態],I$304))</f>
        <v/>
      </c>
      <c r="J390" s="4" t="str">
        <f t="shared" si="15"/>
        <v/>
      </c>
    </row>
    <row r="391" spans="1:10" ht="15" x14ac:dyDescent="0.25">
      <c r="A391" s="4" t="str">
        <f t="shared" si="14"/>
        <v/>
      </c>
      <c r="B391" s="6"/>
      <c r="C391" s="4" t="str">
        <f>IFERROR(INDEX(tbl_master[品番],ROW()-304),"")</f>
        <v/>
      </c>
      <c r="D391" s="4" t="str">
        <f>IF($C391="","",SUMIFS(tbl_ledger[数量],tbl_ledger[品番],$C391,tbl_ledger[イベント種類],"搬入",tbl_ledger[ロットID],"=")+SUMIFS(tbl_ledger[数量],tbl_ledger[品番],$C391,tbl_ledger[イベント種類],"余剰化",tbl_ledger[元状態],D$304)-SUMIFS(tbl_ledger[数量],tbl_ledger[品番],$C391,tbl_ledger[ロットID],"=",tbl_ledger[元状態],D$304))</f>
        <v/>
      </c>
      <c r="E391" s="4" t="str">
        <f>IF($C391="","",SUMIFS(tbl_ledger[数量],tbl_ledger[品番],$C391,tbl_ledger[イベント種類],"アニール完了",tbl_ledger[ロットID],"=")+SUMIFS(tbl_ledger[数量],tbl_ledger[品番],$C391,tbl_ledger[イベント種類],"余剰化",tbl_ledger[元状態],E$304)-SUMIFS(tbl_ledger[数量],tbl_ledger[品番],$C391,tbl_ledger[ロットID],"=",tbl_ledger[元状態],E$304))</f>
        <v/>
      </c>
      <c r="F391" s="4" t="str">
        <f>IF($C391="","",SUMIFS(tbl_ledger[数量],tbl_ledger[品番],$C391,tbl_ledger[イベント種類],"アセンブリ完了",tbl_ledger[ロットID],"=")+SUMIFS(tbl_ledger[数量],tbl_ledger[品番],$C391,tbl_ledger[イベント種類],"余剰化",tbl_ledger[元状態],F$304)-SUMIFS(tbl_ledger[数量],tbl_ledger[品番],$C391,tbl_ledger[ロットID],"=",tbl_ledger[元状態],F$304))</f>
        <v/>
      </c>
      <c r="G391" s="4" t="str">
        <f>IF($C391="","",SUMIFS(tbl_ledger[数量],tbl_ledger[品番],$C391,tbl_ledger[イベント種類],"梱包完了",tbl_ledger[ロットID],"=")+SUMIFS(tbl_ledger[数量],tbl_ledger[品番],$C391,tbl_ledger[イベント種類],"余剰化",tbl_ledger[元状態],G$304)-SUMIFS(tbl_ledger[数量],tbl_ledger[品番],$C391,tbl_ledger[ロットID],"=",tbl_ledger[元状態],G$304))</f>
        <v/>
      </c>
      <c r="H391" s="4" t="str">
        <f>IF($C391="","",SUMIFS(tbl_ledger[数量],tbl_ledger[品番],$C391,tbl_ledger[イベント種類],"発送準備完了",tbl_ledger[ロットID],"=")+SUMIFS(tbl_ledger[数量],tbl_ledger[品番],$C391,tbl_ledger[イベント種類],"余剰化",tbl_ledger[元状態],H$304)-SUMIFS(tbl_ledger[数量],tbl_ledger[品番],$C391,tbl_ledger[ロットID],"=",tbl_ledger[元状態],H$304))</f>
        <v/>
      </c>
      <c r="I391" s="4" t="str">
        <f>IF($C391="","",SUMIFS(tbl_ledger[数量],tbl_ledger[品番],$C391,tbl_ledger[イベント種類],"不良発生",tbl_ledger[ロットID],"=")+SUMIFS(tbl_ledger[数量],tbl_ledger[品番],$C391,tbl_ledger[イベント種類],"余剰化",tbl_ledger[元状態],I$304)-SUMIFS(tbl_ledger[数量],tbl_ledger[品番],$C391,tbl_ledger[ロットID],"=",tbl_ledger[元状態],I$304))</f>
        <v/>
      </c>
      <c r="J391" s="4" t="str">
        <f t="shared" si="15"/>
        <v/>
      </c>
    </row>
    <row r="392" spans="1:10" ht="15" x14ac:dyDescent="0.25">
      <c r="A392" s="4" t="str">
        <f t="shared" si="14"/>
        <v/>
      </c>
      <c r="B392" s="6"/>
      <c r="C392" s="4" t="str">
        <f>IFERROR(INDEX(tbl_master[品番],ROW()-304),"")</f>
        <v/>
      </c>
      <c r="D392" s="4" t="str">
        <f>IF($C392="","",SUMIFS(tbl_ledger[数量],tbl_ledger[品番],$C392,tbl_ledger[イベント種類],"搬入",tbl_ledger[ロットID],"=")+SUMIFS(tbl_ledger[数量],tbl_ledger[品番],$C392,tbl_ledger[イベント種類],"余剰化",tbl_ledger[元状態],D$304)-SUMIFS(tbl_ledger[数量],tbl_ledger[品番],$C392,tbl_ledger[ロットID],"=",tbl_ledger[元状態],D$304))</f>
        <v/>
      </c>
      <c r="E392" s="4" t="str">
        <f>IF($C392="","",SUMIFS(tbl_ledger[数量],tbl_ledger[品番],$C392,tbl_ledger[イベント種類],"アニール完了",tbl_ledger[ロットID],"=")+SUMIFS(tbl_ledger[数量],tbl_ledger[品番],$C392,tbl_ledger[イベント種類],"余剰化",tbl_ledger[元状態],E$304)-SUMIFS(tbl_ledger[数量],tbl_ledger[品番],$C392,tbl_ledger[ロットID],"=",tbl_ledger[元状態],E$304))</f>
        <v/>
      </c>
      <c r="F392" s="4" t="str">
        <f>IF($C392="","",SUMIFS(tbl_ledger[数量],tbl_ledger[品番],$C392,tbl_ledger[イベント種類],"アセンブリ完了",tbl_ledger[ロットID],"=")+SUMIFS(tbl_ledger[数量],tbl_ledger[品番],$C392,tbl_ledger[イベント種類],"余剰化",tbl_ledger[元状態],F$304)-SUMIFS(tbl_ledger[数量],tbl_ledger[品番],$C392,tbl_ledger[ロットID],"=",tbl_ledger[元状態],F$304))</f>
        <v/>
      </c>
      <c r="G392" s="4" t="str">
        <f>IF($C392="","",SUMIFS(tbl_ledger[数量],tbl_ledger[品番],$C392,tbl_ledger[イベント種類],"梱包完了",tbl_ledger[ロットID],"=")+SUMIFS(tbl_ledger[数量],tbl_ledger[品番],$C392,tbl_ledger[イベント種類],"余剰化",tbl_ledger[元状態],G$304)-SUMIFS(tbl_ledger[数量],tbl_ledger[品番],$C392,tbl_ledger[ロットID],"=",tbl_ledger[元状態],G$304))</f>
        <v/>
      </c>
      <c r="H392" s="4" t="str">
        <f>IF($C392="","",SUMIFS(tbl_ledger[数量],tbl_ledger[品番],$C392,tbl_ledger[イベント種類],"発送準備完了",tbl_ledger[ロットID],"=")+SUMIFS(tbl_ledger[数量],tbl_ledger[品番],$C392,tbl_ledger[イベント種類],"余剰化",tbl_ledger[元状態],H$304)-SUMIFS(tbl_ledger[数量],tbl_ledger[品番],$C392,tbl_ledger[ロットID],"=",tbl_ledger[元状態],H$304))</f>
        <v/>
      </c>
      <c r="I392" s="4" t="str">
        <f>IF($C392="","",SUMIFS(tbl_ledger[数量],tbl_ledger[品番],$C392,tbl_ledger[イベント種類],"不良発生",tbl_ledger[ロットID],"=")+SUMIFS(tbl_ledger[数量],tbl_ledger[品番],$C392,tbl_ledger[イベント種類],"余剰化",tbl_ledger[元状態],I$304)-SUMIFS(tbl_ledger[数量],tbl_ledger[品番],$C392,tbl_ledger[ロットID],"=",tbl_ledger[元状態],I$304))</f>
        <v/>
      </c>
      <c r="J392" s="4" t="str">
        <f t="shared" si="15"/>
        <v/>
      </c>
    </row>
    <row r="393" spans="1:10" ht="15" x14ac:dyDescent="0.25">
      <c r="A393" s="4" t="str">
        <f t="shared" si="14"/>
        <v/>
      </c>
      <c r="B393" s="6"/>
      <c r="C393" s="4" t="str">
        <f>IFERROR(INDEX(tbl_master[品番],ROW()-304),"")</f>
        <v/>
      </c>
      <c r="D393" s="4" t="str">
        <f>IF($C393="","",SUMIFS(tbl_ledger[数量],tbl_ledger[品番],$C393,tbl_ledger[イベント種類],"搬入",tbl_ledger[ロットID],"=")+SUMIFS(tbl_ledger[数量],tbl_ledger[品番],$C393,tbl_ledger[イベント種類],"余剰化",tbl_ledger[元状態],D$304)-SUMIFS(tbl_ledger[数量],tbl_ledger[品番],$C393,tbl_ledger[ロットID],"=",tbl_ledger[元状態],D$304))</f>
        <v/>
      </c>
      <c r="E393" s="4" t="str">
        <f>IF($C393="","",SUMIFS(tbl_ledger[数量],tbl_ledger[品番],$C393,tbl_ledger[イベント種類],"アニール完了",tbl_ledger[ロットID],"=")+SUMIFS(tbl_ledger[数量],tbl_ledger[品番],$C393,tbl_ledger[イベント種類],"余剰化",tbl_ledger[元状態],E$304)-SUMIFS(tbl_ledger[数量],tbl_ledger[品番],$C393,tbl_ledger[ロットID],"=",tbl_ledger[元状態],E$304))</f>
        <v/>
      </c>
      <c r="F393" s="4" t="str">
        <f>IF($C393="","",SUMIFS(tbl_ledger[数量],tbl_ledger[品番],$C393,tbl_ledger[イベント種類],"アセンブリ完了",tbl_ledger[ロットID],"=")+SUMIFS(tbl_ledger[数量],tbl_ledger[品番],$C393,tbl_ledger[イベント種類],"余剰化",tbl_ledger[元状態],F$304)-SUMIFS(tbl_ledger[数量],tbl_ledger[品番],$C393,tbl_ledger[ロットID],"=",tbl_ledger[元状態],F$304))</f>
        <v/>
      </c>
      <c r="G393" s="4" t="str">
        <f>IF($C393="","",SUMIFS(tbl_ledger[数量],tbl_ledger[品番],$C393,tbl_ledger[イベント種類],"梱包完了",tbl_ledger[ロットID],"=")+SUMIFS(tbl_ledger[数量],tbl_ledger[品番],$C393,tbl_ledger[イベント種類],"余剰化",tbl_ledger[元状態],G$304)-SUMIFS(tbl_ledger[数量],tbl_ledger[品番],$C393,tbl_ledger[ロットID],"=",tbl_ledger[元状態],G$304))</f>
        <v/>
      </c>
      <c r="H393" s="4" t="str">
        <f>IF($C393="","",SUMIFS(tbl_ledger[数量],tbl_ledger[品番],$C393,tbl_ledger[イベント種類],"発送準備完了",tbl_ledger[ロットID],"=")+SUMIFS(tbl_ledger[数量],tbl_ledger[品番],$C393,tbl_ledger[イベント種類],"余剰化",tbl_ledger[元状態],H$304)-SUMIFS(tbl_ledger[数量],tbl_ledger[品番],$C393,tbl_ledger[ロットID],"=",tbl_ledger[元状態],H$304))</f>
        <v/>
      </c>
      <c r="I393" s="4" t="str">
        <f>IF($C393="","",SUMIFS(tbl_ledger[数量],tbl_ledger[品番],$C393,tbl_ledger[イベント種類],"不良発生",tbl_ledger[ロットID],"=")+SUMIFS(tbl_ledger[数量],tbl_ledger[品番],$C393,tbl_ledger[イベント種類],"余剰化",tbl_ledger[元状態],I$304)-SUMIFS(tbl_ledger[数量],tbl_ledger[品番],$C393,tbl_ledger[ロットID],"=",tbl_ledger[元状態],I$304))</f>
        <v/>
      </c>
      <c r="J393" s="4" t="str">
        <f t="shared" si="15"/>
        <v/>
      </c>
    </row>
    <row r="394" spans="1:10" ht="15" x14ac:dyDescent="0.25">
      <c r="A394" s="4" t="str">
        <f t="shared" si="14"/>
        <v/>
      </c>
      <c r="B394" s="6"/>
      <c r="C394" s="4" t="str">
        <f>IFERROR(INDEX(tbl_master[品番],ROW()-304),"")</f>
        <v/>
      </c>
      <c r="D394" s="4" t="str">
        <f>IF($C394="","",SUMIFS(tbl_ledger[数量],tbl_ledger[品番],$C394,tbl_ledger[イベント種類],"搬入",tbl_ledger[ロットID],"=")+SUMIFS(tbl_ledger[数量],tbl_ledger[品番],$C394,tbl_ledger[イベント種類],"余剰化",tbl_ledger[元状態],D$304)-SUMIFS(tbl_ledger[数量],tbl_ledger[品番],$C394,tbl_ledger[ロットID],"=",tbl_ledger[元状態],D$304))</f>
        <v/>
      </c>
      <c r="E394" s="4" t="str">
        <f>IF($C394="","",SUMIFS(tbl_ledger[数量],tbl_ledger[品番],$C394,tbl_ledger[イベント種類],"アニール完了",tbl_ledger[ロットID],"=")+SUMIFS(tbl_ledger[数量],tbl_ledger[品番],$C394,tbl_ledger[イベント種類],"余剰化",tbl_ledger[元状態],E$304)-SUMIFS(tbl_ledger[数量],tbl_ledger[品番],$C394,tbl_ledger[ロットID],"=",tbl_ledger[元状態],E$304))</f>
        <v/>
      </c>
      <c r="F394" s="4" t="str">
        <f>IF($C394="","",SUMIFS(tbl_ledger[数量],tbl_ledger[品番],$C394,tbl_ledger[イベント種類],"アセンブリ完了",tbl_ledger[ロットID],"=")+SUMIFS(tbl_ledger[数量],tbl_ledger[品番],$C394,tbl_ledger[イベント種類],"余剰化",tbl_ledger[元状態],F$304)-SUMIFS(tbl_ledger[数量],tbl_ledger[品番],$C394,tbl_ledger[ロットID],"=",tbl_ledger[元状態],F$304))</f>
        <v/>
      </c>
      <c r="G394" s="4" t="str">
        <f>IF($C394="","",SUMIFS(tbl_ledger[数量],tbl_ledger[品番],$C394,tbl_ledger[イベント種類],"梱包完了",tbl_ledger[ロットID],"=")+SUMIFS(tbl_ledger[数量],tbl_ledger[品番],$C394,tbl_ledger[イベント種類],"余剰化",tbl_ledger[元状態],G$304)-SUMIFS(tbl_ledger[数量],tbl_ledger[品番],$C394,tbl_ledger[ロットID],"=",tbl_ledger[元状態],G$304))</f>
        <v/>
      </c>
      <c r="H394" s="4" t="str">
        <f>IF($C394="","",SUMIFS(tbl_ledger[数量],tbl_ledger[品番],$C394,tbl_ledger[イベント種類],"発送準備完了",tbl_ledger[ロットID],"=")+SUMIFS(tbl_ledger[数量],tbl_ledger[品番],$C394,tbl_ledger[イベント種類],"余剰化",tbl_ledger[元状態],H$304)-SUMIFS(tbl_ledger[数量],tbl_ledger[品番],$C394,tbl_ledger[ロットID],"=",tbl_ledger[元状態],H$304))</f>
        <v/>
      </c>
      <c r="I394" s="4" t="str">
        <f>IF($C394="","",SUMIFS(tbl_ledger[数量],tbl_ledger[品番],$C394,tbl_ledger[イベント種類],"不良発生",tbl_ledger[ロットID],"=")+SUMIFS(tbl_ledger[数量],tbl_ledger[品番],$C394,tbl_ledger[イベント種類],"余剰化",tbl_ledger[元状態],I$304)-SUMIFS(tbl_ledger[数量],tbl_ledger[品番],$C394,tbl_ledger[ロットID],"=",tbl_ledger[元状態],I$304))</f>
        <v/>
      </c>
      <c r="J394" s="4" t="str">
        <f t="shared" si="15"/>
        <v/>
      </c>
    </row>
    <row r="395" spans="1:10" ht="15" x14ac:dyDescent="0.25">
      <c r="A395" s="4" t="str">
        <f t="shared" si="14"/>
        <v/>
      </c>
      <c r="B395" s="6"/>
      <c r="C395" s="4" t="str">
        <f>IFERROR(INDEX(tbl_master[品番],ROW()-304),"")</f>
        <v/>
      </c>
      <c r="D395" s="4" t="str">
        <f>IF($C395="","",SUMIFS(tbl_ledger[数量],tbl_ledger[品番],$C395,tbl_ledger[イベント種類],"搬入",tbl_ledger[ロットID],"=")+SUMIFS(tbl_ledger[数量],tbl_ledger[品番],$C395,tbl_ledger[イベント種類],"余剰化",tbl_ledger[元状態],D$304)-SUMIFS(tbl_ledger[数量],tbl_ledger[品番],$C395,tbl_ledger[ロットID],"=",tbl_ledger[元状態],D$304))</f>
        <v/>
      </c>
      <c r="E395" s="4" t="str">
        <f>IF($C395="","",SUMIFS(tbl_ledger[数量],tbl_ledger[品番],$C395,tbl_ledger[イベント種類],"アニール完了",tbl_ledger[ロットID],"=")+SUMIFS(tbl_ledger[数量],tbl_ledger[品番],$C395,tbl_ledger[イベント種類],"余剰化",tbl_ledger[元状態],E$304)-SUMIFS(tbl_ledger[数量],tbl_ledger[品番],$C395,tbl_ledger[ロットID],"=",tbl_ledger[元状態],E$304))</f>
        <v/>
      </c>
      <c r="F395" s="4" t="str">
        <f>IF($C395="","",SUMIFS(tbl_ledger[数量],tbl_ledger[品番],$C395,tbl_ledger[イベント種類],"アセンブリ完了",tbl_ledger[ロットID],"=")+SUMIFS(tbl_ledger[数量],tbl_ledger[品番],$C395,tbl_ledger[イベント種類],"余剰化",tbl_ledger[元状態],F$304)-SUMIFS(tbl_ledger[数量],tbl_ledger[品番],$C395,tbl_ledger[ロットID],"=",tbl_ledger[元状態],F$304))</f>
        <v/>
      </c>
      <c r="G395" s="4" t="str">
        <f>IF($C395="","",SUMIFS(tbl_ledger[数量],tbl_ledger[品番],$C395,tbl_ledger[イベント種類],"梱包完了",tbl_ledger[ロットID],"=")+SUMIFS(tbl_ledger[数量],tbl_ledger[品番],$C395,tbl_ledger[イベント種類],"余剰化",tbl_ledger[元状態],G$304)-SUMIFS(tbl_ledger[数量],tbl_ledger[品番],$C395,tbl_ledger[ロットID],"=",tbl_ledger[元状態],G$304))</f>
        <v/>
      </c>
      <c r="H395" s="4" t="str">
        <f>IF($C395="","",SUMIFS(tbl_ledger[数量],tbl_ledger[品番],$C395,tbl_ledger[イベント種類],"発送準備完了",tbl_ledger[ロットID],"=")+SUMIFS(tbl_ledger[数量],tbl_ledger[品番],$C395,tbl_ledger[イベント種類],"余剰化",tbl_ledger[元状態],H$304)-SUMIFS(tbl_ledger[数量],tbl_ledger[品番],$C395,tbl_ledger[ロットID],"=",tbl_ledger[元状態],H$304))</f>
        <v/>
      </c>
      <c r="I395" s="4" t="str">
        <f>IF($C395="","",SUMIFS(tbl_ledger[数量],tbl_ledger[品番],$C395,tbl_ledger[イベント種類],"不良発生",tbl_ledger[ロットID],"=")+SUMIFS(tbl_ledger[数量],tbl_ledger[品番],$C395,tbl_ledger[イベント種類],"余剰化",tbl_ledger[元状態],I$304)-SUMIFS(tbl_ledger[数量],tbl_ledger[品番],$C395,tbl_ledger[ロットID],"=",tbl_ledger[元状態],I$304))</f>
        <v/>
      </c>
      <c r="J395" s="4" t="str">
        <f t="shared" si="15"/>
        <v/>
      </c>
    </row>
    <row r="396" spans="1:10" ht="15" x14ac:dyDescent="0.25">
      <c r="A396" s="4" t="str">
        <f t="shared" si="14"/>
        <v/>
      </c>
      <c r="B396" s="6"/>
      <c r="C396" s="4" t="str">
        <f>IFERROR(INDEX(tbl_master[品番],ROW()-304),"")</f>
        <v/>
      </c>
      <c r="D396" s="4" t="str">
        <f>IF($C396="","",SUMIFS(tbl_ledger[数量],tbl_ledger[品番],$C396,tbl_ledger[イベント種類],"搬入",tbl_ledger[ロットID],"=")+SUMIFS(tbl_ledger[数量],tbl_ledger[品番],$C396,tbl_ledger[イベント種類],"余剰化",tbl_ledger[元状態],D$304)-SUMIFS(tbl_ledger[数量],tbl_ledger[品番],$C396,tbl_ledger[ロットID],"=",tbl_ledger[元状態],D$304))</f>
        <v/>
      </c>
      <c r="E396" s="4" t="str">
        <f>IF($C396="","",SUMIFS(tbl_ledger[数量],tbl_ledger[品番],$C396,tbl_ledger[イベント種類],"アニール完了",tbl_ledger[ロットID],"=")+SUMIFS(tbl_ledger[数量],tbl_ledger[品番],$C396,tbl_ledger[イベント種類],"余剰化",tbl_ledger[元状態],E$304)-SUMIFS(tbl_ledger[数量],tbl_ledger[品番],$C396,tbl_ledger[ロットID],"=",tbl_ledger[元状態],E$304))</f>
        <v/>
      </c>
      <c r="F396" s="4" t="str">
        <f>IF($C396="","",SUMIFS(tbl_ledger[数量],tbl_ledger[品番],$C396,tbl_ledger[イベント種類],"アセンブリ完了",tbl_ledger[ロットID],"=")+SUMIFS(tbl_ledger[数量],tbl_ledger[品番],$C396,tbl_ledger[イベント種類],"余剰化",tbl_ledger[元状態],F$304)-SUMIFS(tbl_ledger[数量],tbl_ledger[品番],$C396,tbl_ledger[ロットID],"=",tbl_ledger[元状態],F$304))</f>
        <v/>
      </c>
      <c r="G396" s="4" t="str">
        <f>IF($C396="","",SUMIFS(tbl_ledger[数量],tbl_ledger[品番],$C396,tbl_ledger[イベント種類],"梱包完了",tbl_ledger[ロットID],"=")+SUMIFS(tbl_ledger[数量],tbl_ledger[品番],$C396,tbl_ledger[イベント種類],"余剰化",tbl_ledger[元状態],G$304)-SUMIFS(tbl_ledger[数量],tbl_ledger[品番],$C396,tbl_ledger[ロットID],"=",tbl_ledger[元状態],G$304))</f>
        <v/>
      </c>
      <c r="H396" s="4" t="str">
        <f>IF($C396="","",SUMIFS(tbl_ledger[数量],tbl_ledger[品番],$C396,tbl_ledger[イベント種類],"発送準備完了",tbl_ledger[ロットID],"=")+SUMIFS(tbl_ledger[数量],tbl_ledger[品番],$C396,tbl_ledger[イベント種類],"余剰化",tbl_ledger[元状態],H$304)-SUMIFS(tbl_ledger[数量],tbl_ledger[品番],$C396,tbl_ledger[ロットID],"=",tbl_ledger[元状態],H$304))</f>
        <v/>
      </c>
      <c r="I396" s="4" t="str">
        <f>IF($C396="","",SUMIFS(tbl_ledger[数量],tbl_ledger[品番],$C396,tbl_ledger[イベント種類],"不良発生",tbl_ledger[ロットID],"=")+SUMIFS(tbl_ledger[数量],tbl_ledger[品番],$C396,tbl_ledger[イベント種類],"余剰化",tbl_ledger[元状態],I$304)-SUMIFS(tbl_ledger[数量],tbl_ledger[品番],$C396,tbl_ledger[ロットID],"=",tbl_ledger[元状態],I$304))</f>
        <v/>
      </c>
      <c r="J396" s="4" t="str">
        <f t="shared" si="15"/>
        <v/>
      </c>
    </row>
    <row r="397" spans="1:10" ht="15" x14ac:dyDescent="0.25">
      <c r="A397" s="4" t="str">
        <f t="shared" si="14"/>
        <v/>
      </c>
      <c r="B397" s="6"/>
      <c r="C397" s="4" t="str">
        <f>IFERROR(INDEX(tbl_master[品番],ROW()-304),"")</f>
        <v/>
      </c>
      <c r="D397" s="4" t="str">
        <f>IF($C397="","",SUMIFS(tbl_ledger[数量],tbl_ledger[品番],$C397,tbl_ledger[イベント種類],"搬入",tbl_ledger[ロットID],"=")+SUMIFS(tbl_ledger[数量],tbl_ledger[品番],$C397,tbl_ledger[イベント種類],"余剰化",tbl_ledger[元状態],D$304)-SUMIFS(tbl_ledger[数量],tbl_ledger[品番],$C397,tbl_ledger[ロットID],"=",tbl_ledger[元状態],D$304))</f>
        <v/>
      </c>
      <c r="E397" s="4" t="str">
        <f>IF($C397="","",SUMIFS(tbl_ledger[数量],tbl_ledger[品番],$C397,tbl_ledger[イベント種類],"アニール完了",tbl_ledger[ロットID],"=")+SUMIFS(tbl_ledger[数量],tbl_ledger[品番],$C397,tbl_ledger[イベント種類],"余剰化",tbl_ledger[元状態],E$304)-SUMIFS(tbl_ledger[数量],tbl_ledger[品番],$C397,tbl_ledger[ロットID],"=",tbl_ledger[元状態],E$304))</f>
        <v/>
      </c>
      <c r="F397" s="4" t="str">
        <f>IF($C397="","",SUMIFS(tbl_ledger[数量],tbl_ledger[品番],$C397,tbl_ledger[イベント種類],"アセンブリ完了",tbl_ledger[ロットID],"=")+SUMIFS(tbl_ledger[数量],tbl_ledger[品番],$C397,tbl_ledger[イベント種類],"余剰化",tbl_ledger[元状態],F$304)-SUMIFS(tbl_ledger[数量],tbl_ledger[品番],$C397,tbl_ledger[ロットID],"=",tbl_ledger[元状態],F$304))</f>
        <v/>
      </c>
      <c r="G397" s="4" t="str">
        <f>IF($C397="","",SUMIFS(tbl_ledger[数量],tbl_ledger[品番],$C397,tbl_ledger[イベント種類],"梱包完了",tbl_ledger[ロットID],"=")+SUMIFS(tbl_ledger[数量],tbl_ledger[品番],$C397,tbl_ledger[イベント種類],"余剰化",tbl_ledger[元状態],G$304)-SUMIFS(tbl_ledger[数量],tbl_ledger[品番],$C397,tbl_ledger[ロットID],"=",tbl_ledger[元状態],G$304))</f>
        <v/>
      </c>
      <c r="H397" s="4" t="str">
        <f>IF($C397="","",SUMIFS(tbl_ledger[数量],tbl_ledger[品番],$C397,tbl_ledger[イベント種類],"発送準備完了",tbl_ledger[ロットID],"=")+SUMIFS(tbl_ledger[数量],tbl_ledger[品番],$C397,tbl_ledger[イベント種類],"余剰化",tbl_ledger[元状態],H$304)-SUMIFS(tbl_ledger[数量],tbl_ledger[品番],$C397,tbl_ledger[ロットID],"=",tbl_ledger[元状態],H$304))</f>
        <v/>
      </c>
      <c r="I397" s="4" t="str">
        <f>IF($C397="","",SUMIFS(tbl_ledger[数量],tbl_ledger[品番],$C397,tbl_ledger[イベント種類],"不良発生",tbl_ledger[ロットID],"=")+SUMIFS(tbl_ledger[数量],tbl_ledger[品番],$C397,tbl_ledger[イベント種類],"余剰化",tbl_ledger[元状態],I$304)-SUMIFS(tbl_ledger[数量],tbl_ledger[品番],$C397,tbl_ledger[ロットID],"=",tbl_ledger[元状態],I$304))</f>
        <v/>
      </c>
      <c r="J397" s="4" t="str">
        <f t="shared" si="15"/>
        <v/>
      </c>
    </row>
    <row r="398" spans="1:10" ht="15" x14ac:dyDescent="0.25">
      <c r="A398" s="4" t="str">
        <f t="shared" si="14"/>
        <v/>
      </c>
      <c r="B398" s="6"/>
      <c r="C398" s="4" t="str">
        <f>IFERROR(INDEX(tbl_master[品番],ROW()-304),"")</f>
        <v/>
      </c>
      <c r="D398" s="4" t="str">
        <f>IF($C398="","",SUMIFS(tbl_ledger[数量],tbl_ledger[品番],$C398,tbl_ledger[イベント種類],"搬入",tbl_ledger[ロットID],"=")+SUMIFS(tbl_ledger[数量],tbl_ledger[品番],$C398,tbl_ledger[イベント種類],"余剰化",tbl_ledger[元状態],D$304)-SUMIFS(tbl_ledger[数量],tbl_ledger[品番],$C398,tbl_ledger[ロットID],"=",tbl_ledger[元状態],D$304))</f>
        <v/>
      </c>
      <c r="E398" s="4" t="str">
        <f>IF($C398="","",SUMIFS(tbl_ledger[数量],tbl_ledger[品番],$C398,tbl_ledger[イベント種類],"アニール完了",tbl_ledger[ロットID],"=")+SUMIFS(tbl_ledger[数量],tbl_ledger[品番],$C398,tbl_ledger[イベント種類],"余剰化",tbl_ledger[元状態],E$304)-SUMIFS(tbl_ledger[数量],tbl_ledger[品番],$C398,tbl_ledger[ロットID],"=",tbl_ledger[元状態],E$304))</f>
        <v/>
      </c>
      <c r="F398" s="4" t="str">
        <f>IF($C398="","",SUMIFS(tbl_ledger[数量],tbl_ledger[品番],$C398,tbl_ledger[イベント種類],"アセンブリ完了",tbl_ledger[ロットID],"=")+SUMIFS(tbl_ledger[数量],tbl_ledger[品番],$C398,tbl_ledger[イベント種類],"余剰化",tbl_ledger[元状態],F$304)-SUMIFS(tbl_ledger[数量],tbl_ledger[品番],$C398,tbl_ledger[ロットID],"=",tbl_ledger[元状態],F$304))</f>
        <v/>
      </c>
      <c r="G398" s="4" t="str">
        <f>IF($C398="","",SUMIFS(tbl_ledger[数量],tbl_ledger[品番],$C398,tbl_ledger[イベント種類],"梱包完了",tbl_ledger[ロットID],"=")+SUMIFS(tbl_ledger[数量],tbl_ledger[品番],$C398,tbl_ledger[イベント種類],"余剰化",tbl_ledger[元状態],G$304)-SUMIFS(tbl_ledger[数量],tbl_ledger[品番],$C398,tbl_ledger[ロットID],"=",tbl_ledger[元状態],G$304))</f>
        <v/>
      </c>
      <c r="H398" s="4" t="str">
        <f>IF($C398="","",SUMIFS(tbl_ledger[数量],tbl_ledger[品番],$C398,tbl_ledger[イベント種類],"発送準備完了",tbl_ledger[ロットID],"=")+SUMIFS(tbl_ledger[数量],tbl_ledger[品番],$C398,tbl_ledger[イベント種類],"余剰化",tbl_ledger[元状態],H$304)-SUMIFS(tbl_ledger[数量],tbl_ledger[品番],$C398,tbl_ledger[ロットID],"=",tbl_ledger[元状態],H$304))</f>
        <v/>
      </c>
      <c r="I398" s="4" t="str">
        <f>IF($C398="","",SUMIFS(tbl_ledger[数量],tbl_ledger[品番],$C398,tbl_ledger[イベント種類],"不良発生",tbl_ledger[ロットID],"=")+SUMIFS(tbl_ledger[数量],tbl_ledger[品番],$C398,tbl_ledger[イベント種類],"余剰化",tbl_ledger[元状態],I$304)-SUMIFS(tbl_ledger[数量],tbl_ledger[品番],$C398,tbl_ledger[ロットID],"=",tbl_ledger[元状態],I$304))</f>
        <v/>
      </c>
      <c r="J398" s="4" t="str">
        <f t="shared" si="15"/>
        <v/>
      </c>
    </row>
    <row r="399" spans="1:10" ht="15" x14ac:dyDescent="0.25">
      <c r="A399" s="4" t="str">
        <f t="shared" si="14"/>
        <v/>
      </c>
      <c r="B399" s="6"/>
      <c r="C399" s="4" t="str">
        <f>IFERROR(INDEX(tbl_master[品番],ROW()-304),"")</f>
        <v/>
      </c>
      <c r="D399" s="4" t="str">
        <f>IF($C399="","",SUMIFS(tbl_ledger[数量],tbl_ledger[品番],$C399,tbl_ledger[イベント種類],"搬入",tbl_ledger[ロットID],"=")+SUMIFS(tbl_ledger[数量],tbl_ledger[品番],$C399,tbl_ledger[イベント種類],"余剰化",tbl_ledger[元状態],D$304)-SUMIFS(tbl_ledger[数量],tbl_ledger[品番],$C399,tbl_ledger[ロットID],"=",tbl_ledger[元状態],D$304))</f>
        <v/>
      </c>
      <c r="E399" s="4" t="str">
        <f>IF($C399="","",SUMIFS(tbl_ledger[数量],tbl_ledger[品番],$C399,tbl_ledger[イベント種類],"アニール完了",tbl_ledger[ロットID],"=")+SUMIFS(tbl_ledger[数量],tbl_ledger[品番],$C399,tbl_ledger[イベント種類],"余剰化",tbl_ledger[元状態],E$304)-SUMIFS(tbl_ledger[数量],tbl_ledger[品番],$C399,tbl_ledger[ロットID],"=",tbl_ledger[元状態],E$304))</f>
        <v/>
      </c>
      <c r="F399" s="4" t="str">
        <f>IF($C399="","",SUMIFS(tbl_ledger[数量],tbl_ledger[品番],$C399,tbl_ledger[イベント種類],"アセンブリ完了",tbl_ledger[ロットID],"=")+SUMIFS(tbl_ledger[数量],tbl_ledger[品番],$C399,tbl_ledger[イベント種類],"余剰化",tbl_ledger[元状態],F$304)-SUMIFS(tbl_ledger[数量],tbl_ledger[品番],$C399,tbl_ledger[ロットID],"=",tbl_ledger[元状態],F$304))</f>
        <v/>
      </c>
      <c r="G399" s="4" t="str">
        <f>IF($C399="","",SUMIFS(tbl_ledger[数量],tbl_ledger[品番],$C399,tbl_ledger[イベント種類],"梱包完了",tbl_ledger[ロットID],"=")+SUMIFS(tbl_ledger[数量],tbl_ledger[品番],$C399,tbl_ledger[イベント種類],"余剰化",tbl_ledger[元状態],G$304)-SUMIFS(tbl_ledger[数量],tbl_ledger[品番],$C399,tbl_ledger[ロットID],"=",tbl_ledger[元状態],G$304))</f>
        <v/>
      </c>
      <c r="H399" s="4" t="str">
        <f>IF($C399="","",SUMIFS(tbl_ledger[数量],tbl_ledger[品番],$C399,tbl_ledger[イベント種類],"発送準備完了",tbl_ledger[ロットID],"=")+SUMIFS(tbl_ledger[数量],tbl_ledger[品番],$C399,tbl_ledger[イベント種類],"余剰化",tbl_ledger[元状態],H$304)-SUMIFS(tbl_ledger[数量],tbl_ledger[品番],$C399,tbl_ledger[ロットID],"=",tbl_ledger[元状態],H$304))</f>
        <v/>
      </c>
      <c r="I399" s="4" t="str">
        <f>IF($C399="","",SUMIFS(tbl_ledger[数量],tbl_ledger[品番],$C399,tbl_ledger[イベント種類],"不良発生",tbl_ledger[ロットID],"=")+SUMIFS(tbl_ledger[数量],tbl_ledger[品番],$C399,tbl_ledger[イベント種類],"余剰化",tbl_ledger[元状態],I$304)-SUMIFS(tbl_ledger[数量],tbl_ledger[品番],$C399,tbl_ledger[ロットID],"=",tbl_ledger[元状態],I$304))</f>
        <v/>
      </c>
      <c r="J399" s="4" t="str">
        <f t="shared" si="15"/>
        <v/>
      </c>
    </row>
    <row r="400" spans="1:10" ht="15" x14ac:dyDescent="0.25">
      <c r="A400" s="4" t="str">
        <f t="shared" si="14"/>
        <v/>
      </c>
      <c r="B400" s="6"/>
      <c r="C400" s="4" t="str">
        <f>IFERROR(INDEX(tbl_master[品番],ROW()-304),"")</f>
        <v/>
      </c>
      <c r="D400" s="4" t="str">
        <f>IF($C400="","",SUMIFS(tbl_ledger[数量],tbl_ledger[品番],$C400,tbl_ledger[イベント種類],"搬入",tbl_ledger[ロットID],"=")+SUMIFS(tbl_ledger[数量],tbl_ledger[品番],$C400,tbl_ledger[イベント種類],"余剰化",tbl_ledger[元状態],D$304)-SUMIFS(tbl_ledger[数量],tbl_ledger[品番],$C400,tbl_ledger[ロットID],"=",tbl_ledger[元状態],D$304))</f>
        <v/>
      </c>
      <c r="E400" s="4" t="str">
        <f>IF($C400="","",SUMIFS(tbl_ledger[数量],tbl_ledger[品番],$C400,tbl_ledger[イベント種類],"アニール完了",tbl_ledger[ロットID],"=")+SUMIFS(tbl_ledger[数量],tbl_ledger[品番],$C400,tbl_ledger[イベント種類],"余剰化",tbl_ledger[元状態],E$304)-SUMIFS(tbl_ledger[数量],tbl_ledger[品番],$C400,tbl_ledger[ロットID],"=",tbl_ledger[元状態],E$304))</f>
        <v/>
      </c>
      <c r="F400" s="4" t="str">
        <f>IF($C400="","",SUMIFS(tbl_ledger[数量],tbl_ledger[品番],$C400,tbl_ledger[イベント種類],"アセンブリ完了",tbl_ledger[ロットID],"=")+SUMIFS(tbl_ledger[数量],tbl_ledger[品番],$C400,tbl_ledger[イベント種類],"余剰化",tbl_ledger[元状態],F$304)-SUMIFS(tbl_ledger[数量],tbl_ledger[品番],$C400,tbl_ledger[ロットID],"=",tbl_ledger[元状態],F$304))</f>
        <v/>
      </c>
      <c r="G400" s="4" t="str">
        <f>IF($C400="","",SUMIFS(tbl_ledger[数量],tbl_ledger[品番],$C400,tbl_ledger[イベント種類],"梱包完了",tbl_ledger[ロットID],"=")+SUMIFS(tbl_ledger[数量],tbl_ledger[品番],$C400,tbl_ledger[イベント種類],"余剰化",tbl_ledger[元状態],G$304)-SUMIFS(tbl_ledger[数量],tbl_ledger[品番],$C400,tbl_ledger[ロットID],"=",tbl_ledger[元状態],G$304))</f>
        <v/>
      </c>
      <c r="H400" s="4" t="str">
        <f>IF($C400="","",SUMIFS(tbl_ledger[数量],tbl_ledger[品番],$C400,tbl_ledger[イベント種類],"発送準備完了",tbl_ledger[ロットID],"=")+SUMIFS(tbl_ledger[数量],tbl_ledger[品番],$C400,tbl_ledger[イベント種類],"余剰化",tbl_ledger[元状態],H$304)-SUMIFS(tbl_ledger[数量],tbl_ledger[品番],$C400,tbl_ledger[ロットID],"=",tbl_ledger[元状態],H$304))</f>
        <v/>
      </c>
      <c r="I400" s="4" t="str">
        <f>IF($C400="","",SUMIFS(tbl_ledger[数量],tbl_ledger[品番],$C400,tbl_ledger[イベント種類],"不良発生",tbl_ledger[ロットID],"=")+SUMIFS(tbl_ledger[数量],tbl_ledger[品番],$C400,tbl_ledger[イベント種類],"余剰化",tbl_ledger[元状態],I$304)-SUMIFS(tbl_ledger[数量],tbl_ledger[品番],$C400,tbl_ledger[ロットID],"=",tbl_ledger[元状態],I$304))</f>
        <v/>
      </c>
      <c r="J400" s="4" t="str">
        <f t="shared" si="15"/>
        <v/>
      </c>
    </row>
    <row r="401" spans="1:10" ht="15" x14ac:dyDescent="0.25">
      <c r="A401" s="4" t="str">
        <f t="shared" si="14"/>
        <v/>
      </c>
      <c r="B401" s="6"/>
      <c r="C401" s="4" t="str">
        <f>IFERROR(INDEX(tbl_master[品番],ROW()-304),"")</f>
        <v/>
      </c>
      <c r="D401" s="4" t="str">
        <f>IF($C401="","",SUMIFS(tbl_ledger[数量],tbl_ledger[品番],$C401,tbl_ledger[イベント種類],"搬入",tbl_ledger[ロットID],"=")+SUMIFS(tbl_ledger[数量],tbl_ledger[品番],$C401,tbl_ledger[イベント種類],"余剰化",tbl_ledger[元状態],D$304)-SUMIFS(tbl_ledger[数量],tbl_ledger[品番],$C401,tbl_ledger[ロットID],"=",tbl_ledger[元状態],D$304))</f>
        <v/>
      </c>
      <c r="E401" s="4" t="str">
        <f>IF($C401="","",SUMIFS(tbl_ledger[数量],tbl_ledger[品番],$C401,tbl_ledger[イベント種類],"アニール完了",tbl_ledger[ロットID],"=")+SUMIFS(tbl_ledger[数量],tbl_ledger[品番],$C401,tbl_ledger[イベント種類],"余剰化",tbl_ledger[元状態],E$304)-SUMIFS(tbl_ledger[数量],tbl_ledger[品番],$C401,tbl_ledger[ロットID],"=",tbl_ledger[元状態],E$304))</f>
        <v/>
      </c>
      <c r="F401" s="4" t="str">
        <f>IF($C401="","",SUMIFS(tbl_ledger[数量],tbl_ledger[品番],$C401,tbl_ledger[イベント種類],"アセンブリ完了",tbl_ledger[ロットID],"=")+SUMIFS(tbl_ledger[数量],tbl_ledger[品番],$C401,tbl_ledger[イベント種類],"余剰化",tbl_ledger[元状態],F$304)-SUMIFS(tbl_ledger[数量],tbl_ledger[品番],$C401,tbl_ledger[ロットID],"=",tbl_ledger[元状態],F$304))</f>
        <v/>
      </c>
      <c r="G401" s="4" t="str">
        <f>IF($C401="","",SUMIFS(tbl_ledger[数量],tbl_ledger[品番],$C401,tbl_ledger[イベント種類],"梱包完了",tbl_ledger[ロットID],"=")+SUMIFS(tbl_ledger[数量],tbl_ledger[品番],$C401,tbl_ledger[イベント種類],"余剰化",tbl_ledger[元状態],G$304)-SUMIFS(tbl_ledger[数量],tbl_ledger[品番],$C401,tbl_ledger[ロットID],"=",tbl_ledger[元状態],G$304))</f>
        <v/>
      </c>
      <c r="H401" s="4" t="str">
        <f>IF($C401="","",SUMIFS(tbl_ledger[数量],tbl_ledger[品番],$C401,tbl_ledger[イベント種類],"発送準備完了",tbl_ledger[ロットID],"=")+SUMIFS(tbl_ledger[数量],tbl_ledger[品番],$C401,tbl_ledger[イベント種類],"余剰化",tbl_ledger[元状態],H$304)-SUMIFS(tbl_ledger[数量],tbl_ledger[品番],$C401,tbl_ledger[ロットID],"=",tbl_ledger[元状態],H$304))</f>
        <v/>
      </c>
      <c r="I401" s="4" t="str">
        <f>IF($C401="","",SUMIFS(tbl_ledger[数量],tbl_ledger[品番],$C401,tbl_ledger[イベント種類],"不良発生",tbl_ledger[ロットID],"=")+SUMIFS(tbl_ledger[数量],tbl_ledger[品番],$C401,tbl_ledger[イベント種類],"余剰化",tbl_ledger[元状態],I$304)-SUMIFS(tbl_ledger[数量],tbl_ledger[品番],$C401,tbl_ledger[ロットID],"=",tbl_ledger[元状態],I$304))</f>
        <v/>
      </c>
      <c r="J401" s="4" t="str">
        <f t="shared" ref="J401:J404" si="16">IF($C401="","",SUM(D401:I401))</f>
        <v/>
      </c>
    </row>
    <row r="402" spans="1:10" ht="15" x14ac:dyDescent="0.25">
      <c r="A402" s="4" t="str">
        <f t="shared" si="14"/>
        <v/>
      </c>
      <c r="B402" s="6"/>
      <c r="C402" s="4" t="str">
        <f>IFERROR(INDEX(tbl_master[品番],ROW()-304),"")</f>
        <v/>
      </c>
      <c r="D402" s="4" t="str">
        <f>IF($C402="","",SUMIFS(tbl_ledger[数量],tbl_ledger[品番],$C402,tbl_ledger[イベント種類],"搬入",tbl_ledger[ロットID],"=")+SUMIFS(tbl_ledger[数量],tbl_ledger[品番],$C402,tbl_ledger[イベント種類],"余剰化",tbl_ledger[元状態],D$304)-SUMIFS(tbl_ledger[数量],tbl_ledger[品番],$C402,tbl_ledger[ロットID],"=",tbl_ledger[元状態],D$304))</f>
        <v/>
      </c>
      <c r="E402" s="4" t="str">
        <f>IF($C402="","",SUMIFS(tbl_ledger[数量],tbl_ledger[品番],$C402,tbl_ledger[イベント種類],"アニール完了",tbl_ledger[ロットID],"=")+SUMIFS(tbl_ledger[数量],tbl_ledger[品番],$C402,tbl_ledger[イベント種類],"余剰化",tbl_ledger[元状態],E$304)-SUMIFS(tbl_ledger[数量],tbl_ledger[品番],$C402,tbl_ledger[ロットID],"=",tbl_ledger[元状態],E$304))</f>
        <v/>
      </c>
      <c r="F402" s="4" t="str">
        <f>IF($C402="","",SUMIFS(tbl_ledger[数量],tbl_ledger[品番],$C402,tbl_ledger[イベント種類],"アセンブリ完了",tbl_ledger[ロットID],"=")+SUMIFS(tbl_ledger[数量],tbl_ledger[品番],$C402,tbl_ledger[イベント種類],"余剰化",tbl_ledger[元状態],F$304)-SUMIFS(tbl_ledger[数量],tbl_ledger[品番],$C402,tbl_ledger[ロットID],"=",tbl_ledger[元状態],F$304))</f>
        <v/>
      </c>
      <c r="G402" s="4" t="str">
        <f>IF($C402="","",SUMIFS(tbl_ledger[数量],tbl_ledger[品番],$C402,tbl_ledger[イベント種類],"梱包完了",tbl_ledger[ロットID],"=")+SUMIFS(tbl_ledger[数量],tbl_ledger[品番],$C402,tbl_ledger[イベント種類],"余剰化",tbl_ledger[元状態],G$304)-SUMIFS(tbl_ledger[数量],tbl_ledger[品番],$C402,tbl_ledger[ロットID],"=",tbl_ledger[元状態],G$304))</f>
        <v/>
      </c>
      <c r="H402" s="4" t="str">
        <f>IF($C402="","",SUMIFS(tbl_ledger[数量],tbl_ledger[品番],$C402,tbl_ledger[イベント種類],"発送準備完了",tbl_ledger[ロットID],"=")+SUMIFS(tbl_ledger[数量],tbl_ledger[品番],$C402,tbl_ledger[イベント種類],"余剰化",tbl_ledger[元状態],H$304)-SUMIFS(tbl_ledger[数量],tbl_ledger[品番],$C402,tbl_ledger[ロットID],"=",tbl_ledger[元状態],H$304))</f>
        <v/>
      </c>
      <c r="I402" s="4" t="str">
        <f>IF($C402="","",SUMIFS(tbl_ledger[数量],tbl_ledger[品番],$C402,tbl_ledger[イベント種類],"不良発生",tbl_ledger[ロットID],"=")+SUMIFS(tbl_ledger[数量],tbl_ledger[品番],$C402,tbl_ledger[イベント種類],"余剰化",tbl_ledger[元状態],I$304)-SUMIFS(tbl_ledger[数量],tbl_ledger[品番],$C402,tbl_ledger[ロットID],"=",tbl_ledger[元状態],I$304))</f>
        <v/>
      </c>
      <c r="J402" s="4" t="str">
        <f t="shared" si="16"/>
        <v/>
      </c>
    </row>
    <row r="403" spans="1:10" ht="15" x14ac:dyDescent="0.25">
      <c r="A403" s="4" t="str">
        <f t="shared" si="14"/>
        <v/>
      </c>
      <c r="B403" s="6"/>
      <c r="C403" s="4" t="str">
        <f>IFERROR(INDEX(tbl_master[品番],ROW()-304),"")</f>
        <v/>
      </c>
      <c r="D403" s="4" t="str">
        <f>IF($C403="","",SUMIFS(tbl_ledger[数量],tbl_ledger[品番],$C403,tbl_ledger[イベント種類],"搬入",tbl_ledger[ロットID],"=")+SUMIFS(tbl_ledger[数量],tbl_ledger[品番],$C403,tbl_ledger[イベント種類],"余剰化",tbl_ledger[元状態],D$304)-SUMIFS(tbl_ledger[数量],tbl_ledger[品番],$C403,tbl_ledger[ロットID],"=",tbl_ledger[元状態],D$304))</f>
        <v/>
      </c>
      <c r="E403" s="4" t="str">
        <f>IF($C403="","",SUMIFS(tbl_ledger[数量],tbl_ledger[品番],$C403,tbl_ledger[イベント種類],"アニール完了",tbl_ledger[ロットID],"=")+SUMIFS(tbl_ledger[数量],tbl_ledger[品番],$C403,tbl_ledger[イベント種類],"余剰化",tbl_ledger[元状態],E$304)-SUMIFS(tbl_ledger[数量],tbl_ledger[品番],$C403,tbl_ledger[ロットID],"=",tbl_ledger[元状態],E$304))</f>
        <v/>
      </c>
      <c r="F403" s="4" t="str">
        <f>IF($C403="","",SUMIFS(tbl_ledger[数量],tbl_ledger[品番],$C403,tbl_ledger[イベント種類],"アセンブリ完了",tbl_ledger[ロットID],"=")+SUMIFS(tbl_ledger[数量],tbl_ledger[品番],$C403,tbl_ledger[イベント種類],"余剰化",tbl_ledger[元状態],F$304)-SUMIFS(tbl_ledger[数量],tbl_ledger[品番],$C403,tbl_ledger[ロットID],"=",tbl_ledger[元状態],F$304))</f>
        <v/>
      </c>
      <c r="G403" s="4" t="str">
        <f>IF($C403="","",SUMIFS(tbl_ledger[数量],tbl_ledger[品番],$C403,tbl_ledger[イベント種類],"梱包完了",tbl_ledger[ロットID],"=")+SUMIFS(tbl_ledger[数量],tbl_ledger[品番],$C403,tbl_ledger[イベント種類],"余剰化",tbl_ledger[元状態],G$304)-SUMIFS(tbl_ledger[数量],tbl_ledger[品番],$C403,tbl_ledger[ロットID],"=",tbl_ledger[元状態],G$304))</f>
        <v/>
      </c>
      <c r="H403" s="4" t="str">
        <f>IF($C403="","",SUMIFS(tbl_ledger[数量],tbl_ledger[品番],$C403,tbl_ledger[イベント種類],"発送準備完了",tbl_ledger[ロットID],"=")+SUMIFS(tbl_ledger[数量],tbl_ledger[品番],$C403,tbl_ledger[イベント種類],"余剰化",tbl_ledger[元状態],H$304)-SUMIFS(tbl_ledger[数量],tbl_ledger[品番],$C403,tbl_ledger[ロットID],"=",tbl_ledger[元状態],H$304))</f>
        <v/>
      </c>
      <c r="I403" s="4" t="str">
        <f>IF($C403="","",SUMIFS(tbl_ledger[数量],tbl_ledger[品番],$C403,tbl_ledger[イベント種類],"不良発生",tbl_ledger[ロットID],"=")+SUMIFS(tbl_ledger[数量],tbl_ledger[品番],$C403,tbl_ledger[イベント種類],"余剰化",tbl_ledger[元状態],I$304)-SUMIFS(tbl_ledger[数量],tbl_ledger[品番],$C403,tbl_ledger[ロットID],"=",tbl_ledger[元状態],I$304))</f>
        <v/>
      </c>
      <c r="J403" s="4" t="str">
        <f t="shared" si="16"/>
        <v/>
      </c>
    </row>
    <row r="404" spans="1:10" ht="15" x14ac:dyDescent="0.25">
      <c r="A404" s="4" t="str">
        <f t="shared" si="14"/>
        <v/>
      </c>
      <c r="B404" s="6"/>
      <c r="C404" s="4" t="str">
        <f>IFERROR(INDEX(tbl_master[品番],ROW()-304),"")</f>
        <v/>
      </c>
      <c r="D404" s="4" t="str">
        <f>IF($C404="","",SUMIFS(tbl_ledger[数量],tbl_ledger[品番],$C404,tbl_ledger[イベント種類],"搬入",tbl_ledger[ロットID],"=")+SUMIFS(tbl_ledger[数量],tbl_ledger[品番],$C404,tbl_ledger[イベント種類],"余剰化",tbl_ledger[元状態],D$304)-SUMIFS(tbl_ledger[数量],tbl_ledger[品番],$C404,tbl_ledger[ロットID],"=",tbl_ledger[元状態],D$304))</f>
        <v/>
      </c>
      <c r="E404" s="4" t="str">
        <f>IF($C404="","",SUMIFS(tbl_ledger[数量],tbl_ledger[品番],$C404,tbl_ledger[イベント種類],"アニール完了",tbl_ledger[ロットID],"=")+SUMIFS(tbl_ledger[数量],tbl_ledger[品番],$C404,tbl_ledger[イベント種類],"余剰化",tbl_ledger[元状態],E$304)-SUMIFS(tbl_ledger[数量],tbl_ledger[品番],$C404,tbl_ledger[ロットID],"=",tbl_ledger[元状態],E$304))</f>
        <v/>
      </c>
      <c r="F404" s="4" t="str">
        <f>IF($C404="","",SUMIFS(tbl_ledger[数量],tbl_ledger[品番],$C404,tbl_ledger[イベント種類],"アセンブリ完了",tbl_ledger[ロットID],"=")+SUMIFS(tbl_ledger[数量],tbl_ledger[品番],$C404,tbl_ledger[イベント種類],"余剰化",tbl_ledger[元状態],F$304)-SUMIFS(tbl_ledger[数量],tbl_ledger[品番],$C404,tbl_ledger[ロットID],"=",tbl_ledger[元状態],F$304))</f>
        <v/>
      </c>
      <c r="G404" s="4" t="str">
        <f>IF($C404="","",SUMIFS(tbl_ledger[数量],tbl_ledger[品番],$C404,tbl_ledger[イベント種類],"梱包完了",tbl_ledger[ロットID],"=")+SUMIFS(tbl_ledger[数量],tbl_ledger[品番],$C404,tbl_ledger[イベント種類],"余剰化",tbl_ledger[元状態],G$304)-SUMIFS(tbl_ledger[数量],tbl_ledger[品番],$C404,tbl_ledger[ロットID],"=",tbl_ledger[元状態],G$304))</f>
        <v/>
      </c>
      <c r="H404" s="4" t="str">
        <f>IF($C404="","",SUMIFS(tbl_ledger[数量],tbl_ledger[品番],$C404,tbl_ledger[イベント種類],"発送準備完了",tbl_ledger[ロットID],"=")+SUMIFS(tbl_ledger[数量],tbl_ledger[品番],$C404,tbl_ledger[イベント種類],"余剰化",tbl_ledger[元状態],H$304)-SUMIFS(tbl_ledger[数量],tbl_ledger[品番],$C404,tbl_ledger[ロットID],"=",tbl_ledger[元状態],H$304))</f>
        <v/>
      </c>
      <c r="I404" s="4" t="str">
        <f>IF($C404="","",SUMIFS(tbl_ledger[数量],tbl_ledger[品番],$C404,tbl_ledger[イベント種類],"不良発生",tbl_ledger[ロットID],"=")+SUMIFS(tbl_ledger[数量],tbl_ledger[品番],$C404,tbl_ledger[イベント種類],"余剰化",tbl_ledger[元状態],I$304)-SUMIFS(tbl_ledger[数量],tbl_ledger[品番],$C404,tbl_ledger[ロットID],"=",tbl_ledger[元状態],I$304))</f>
        <v/>
      </c>
      <c r="J404" s="4" t="str">
        <f t="shared" si="16"/>
        <v/>
      </c>
    </row>
  </sheetData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6" customWidth="1"/>
    <col min="2" max="2" width="12" customWidth="1"/>
    <col min="3" max="3" width="15" customWidth="1"/>
    <col min="4" max="4" width="12" customWidth="1"/>
    <col min="5" max="6" width="22" customWidth="1"/>
    <col min="7" max="7" width="14" customWidth="1"/>
    <col min="8" max="8" width="8" customWidth="1"/>
    <col min="9" max="9" width="14" customWidth="1"/>
    <col min="10" max="10" width="10" customWidth="1"/>
    <col min="11" max="11" width="30" customWidth="1"/>
  </cols>
  <sheetData>
    <row r="1" spans="1:11" ht="15" x14ac:dyDescent="0.25">
      <c r="A1" s="2" t="s">
        <v>90</v>
      </c>
      <c r="B1" s="2" t="s">
        <v>91</v>
      </c>
      <c r="C1" s="2" t="s">
        <v>92</v>
      </c>
      <c r="D1" s="2" t="s">
        <v>69</v>
      </c>
      <c r="E1" s="2" t="s">
        <v>68</v>
      </c>
      <c r="F1" s="2" t="s">
        <v>93</v>
      </c>
      <c r="G1" s="2" t="s">
        <v>94</v>
      </c>
      <c r="H1" s="2" t="s">
        <v>95</v>
      </c>
      <c r="I1" s="2" t="s">
        <v>71</v>
      </c>
      <c r="J1" s="2" t="s">
        <v>96</v>
      </c>
      <c r="K1" s="2" t="s">
        <v>97</v>
      </c>
    </row>
    <row r="2" spans="1:11" ht="15" x14ac:dyDescent="0.25">
      <c r="A2" s="2">
        <v>1</v>
      </c>
      <c r="B2" s="7">
        <v>46211</v>
      </c>
      <c r="C2" s="2" t="s">
        <v>98</v>
      </c>
      <c r="D2" s="2" t="s">
        <v>99</v>
      </c>
      <c r="E2" s="2" t="s">
        <v>100</v>
      </c>
      <c r="F2" s="2"/>
      <c r="G2" s="2"/>
      <c r="H2" s="2">
        <v>13</v>
      </c>
      <c r="I2" s="2"/>
      <c r="J2" s="2" t="s">
        <v>101</v>
      </c>
      <c r="K2" s="2" t="s">
        <v>102</v>
      </c>
    </row>
    <row r="3" spans="1:11" ht="15" x14ac:dyDescent="0.25">
      <c r="A3" s="2">
        <v>2</v>
      </c>
      <c r="B3" s="7">
        <v>46212</v>
      </c>
      <c r="C3" s="2" t="s">
        <v>103</v>
      </c>
      <c r="D3" s="2" t="s">
        <v>99</v>
      </c>
      <c r="E3" s="2" t="s">
        <v>100</v>
      </c>
      <c r="F3" s="2"/>
      <c r="G3" s="2" t="s">
        <v>82</v>
      </c>
      <c r="H3" s="2">
        <v>11</v>
      </c>
      <c r="I3" s="2"/>
      <c r="J3" s="2" t="s">
        <v>101</v>
      </c>
      <c r="K3" s="2"/>
    </row>
    <row r="4" spans="1:11" ht="15" x14ac:dyDescent="0.25">
      <c r="A4" s="2">
        <v>3</v>
      </c>
      <c r="B4" s="7">
        <v>46212</v>
      </c>
      <c r="C4" s="2" t="s">
        <v>104</v>
      </c>
      <c r="D4" s="2" t="s">
        <v>99</v>
      </c>
      <c r="E4" s="2" t="s">
        <v>100</v>
      </c>
      <c r="F4" s="2"/>
      <c r="G4" s="2" t="s">
        <v>82</v>
      </c>
      <c r="H4" s="2">
        <v>1</v>
      </c>
      <c r="I4" s="2"/>
      <c r="J4" s="2" t="s">
        <v>101</v>
      </c>
      <c r="K4" s="2" t="s">
        <v>105</v>
      </c>
    </row>
    <row r="5" spans="1:11" ht="15" x14ac:dyDescent="0.25">
      <c r="A5" s="2">
        <v>4</v>
      </c>
      <c r="B5" s="7">
        <v>46212</v>
      </c>
      <c r="C5" s="2" t="s">
        <v>106</v>
      </c>
      <c r="D5" s="2" t="s">
        <v>99</v>
      </c>
      <c r="E5" s="2" t="s">
        <v>100</v>
      </c>
      <c r="F5" s="2"/>
      <c r="G5" s="2" t="s">
        <v>84</v>
      </c>
      <c r="H5" s="2">
        <v>11</v>
      </c>
      <c r="I5" s="2"/>
      <c r="J5" s="2" t="s">
        <v>101</v>
      </c>
      <c r="K5" s="2"/>
    </row>
    <row r="6" spans="1:11" ht="15" x14ac:dyDescent="0.25">
      <c r="A6" s="2">
        <v>5</v>
      </c>
      <c r="B6" s="7">
        <v>46213</v>
      </c>
      <c r="C6" s="2" t="s">
        <v>86</v>
      </c>
      <c r="D6" s="2" t="s">
        <v>99</v>
      </c>
      <c r="E6" s="2" t="s">
        <v>100</v>
      </c>
      <c r="F6" s="2"/>
      <c r="G6" s="2" t="s">
        <v>85</v>
      </c>
      <c r="H6" s="2">
        <v>11</v>
      </c>
      <c r="I6" s="2"/>
      <c r="J6" s="2" t="s">
        <v>101</v>
      </c>
      <c r="K6" s="2"/>
    </row>
    <row r="7" spans="1:11" ht="15" x14ac:dyDescent="0.25">
      <c r="A7" s="2">
        <v>6</v>
      </c>
      <c r="B7" s="7">
        <v>46216</v>
      </c>
      <c r="C7" s="2" t="s">
        <v>107</v>
      </c>
      <c r="D7" s="2" t="s">
        <v>99</v>
      </c>
      <c r="E7" s="2" t="s">
        <v>100</v>
      </c>
      <c r="F7" s="2"/>
      <c r="G7" s="2" t="s">
        <v>86</v>
      </c>
      <c r="H7" s="2">
        <v>5</v>
      </c>
      <c r="I7" s="2" t="s">
        <v>108</v>
      </c>
      <c r="J7" s="2" t="s">
        <v>101</v>
      </c>
      <c r="K7" s="2"/>
    </row>
    <row r="8" spans="1:11" ht="15" x14ac:dyDescent="0.25">
      <c r="A8" s="2">
        <v>7</v>
      </c>
      <c r="B8" s="7">
        <v>46216</v>
      </c>
      <c r="C8" s="2" t="s">
        <v>107</v>
      </c>
      <c r="D8" s="2" t="s">
        <v>99</v>
      </c>
      <c r="E8" s="2" t="s">
        <v>100</v>
      </c>
      <c r="F8" s="2"/>
      <c r="G8" s="2" t="s">
        <v>86</v>
      </c>
      <c r="H8" s="2">
        <v>6</v>
      </c>
      <c r="I8" s="2" t="s">
        <v>109</v>
      </c>
      <c r="J8" s="2" t="s">
        <v>101</v>
      </c>
      <c r="K8" s="2"/>
    </row>
    <row r="9" spans="1:11" ht="15" x14ac:dyDescent="0.25">
      <c r="A9" s="2">
        <v>8</v>
      </c>
      <c r="B9" s="7">
        <v>46217</v>
      </c>
      <c r="C9" s="2" t="s">
        <v>110</v>
      </c>
      <c r="D9" s="2" t="s">
        <v>99</v>
      </c>
      <c r="E9" s="2" t="s">
        <v>100</v>
      </c>
      <c r="F9" s="2"/>
      <c r="G9" s="2" t="s">
        <v>82</v>
      </c>
      <c r="H9" s="2">
        <v>1</v>
      </c>
      <c r="I9" s="2"/>
      <c r="J9" s="2" t="s">
        <v>101</v>
      </c>
      <c r="K9" s="2" t="s">
        <v>111</v>
      </c>
    </row>
    <row r="10" spans="1:11" ht="15" x14ac:dyDescent="0.25">
      <c r="A10" s="2">
        <v>9</v>
      </c>
      <c r="B10" s="7">
        <v>46211</v>
      </c>
      <c r="C10" s="2" t="s">
        <v>98</v>
      </c>
      <c r="D10" s="2" t="s">
        <v>112</v>
      </c>
      <c r="E10" s="2" t="s">
        <v>113</v>
      </c>
      <c r="F10" s="2"/>
      <c r="G10" s="2"/>
      <c r="H10" s="2">
        <v>12</v>
      </c>
      <c r="I10" s="2"/>
      <c r="J10" s="2" t="s">
        <v>114</v>
      </c>
      <c r="K10" s="2" t="s">
        <v>115</v>
      </c>
    </row>
  </sheetData>
  <phoneticPr fontId="4"/>
  <dataValidations count="3">
    <dataValidation type="list" allowBlank="1" sqref="C2:C5000" xr:uid="{00000000-0002-0000-0400-000000000000}">
      <formula1>リスト_イベント種類</formula1>
    </dataValidation>
    <dataValidation type="list" allowBlank="1" sqref="D2:D5000" xr:uid="{00000000-0002-0000-0400-000001000000}">
      <formula1>品番一覧</formula1>
    </dataValidation>
    <dataValidation type="list" allowBlank="1" sqref="G2:G5000" xr:uid="{00000000-0002-0000-0400-000002000000}">
      <formula1>リスト_状態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2" customWidth="1"/>
    <col min="2" max="3" width="12" customWidth="1"/>
    <col min="4" max="4" width="14" customWidth="1"/>
    <col min="5" max="5" width="8" customWidth="1"/>
    <col min="6" max="6" width="12" customWidth="1"/>
    <col min="7" max="7" width="17" customWidth="1"/>
  </cols>
  <sheetData>
    <row r="1" spans="1:7" ht="15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116</v>
      </c>
      <c r="G1" s="2" t="s">
        <v>117</v>
      </c>
    </row>
    <row r="2" spans="1:7" ht="15" x14ac:dyDescent="0.25">
      <c r="A2" s="4" t="str">
        <f>IF(B2="","",B2&amp;"_"&amp;TEXT(C2,"yyyy-mm-dd"))</f>
        <v>PN-002_2026-07-13</v>
      </c>
      <c r="B2" s="2" t="s">
        <v>99</v>
      </c>
      <c r="C2" s="7">
        <v>46216</v>
      </c>
      <c r="D2" s="2" t="s">
        <v>108</v>
      </c>
      <c r="E2" s="2">
        <v>5</v>
      </c>
      <c r="F2" s="2" t="s">
        <v>118</v>
      </c>
      <c r="G2" s="8">
        <v>46212.375</v>
      </c>
    </row>
    <row r="3" spans="1:7" ht="15" x14ac:dyDescent="0.25">
      <c r="A3" s="4" t="str">
        <f>IF(B3="","",B3&amp;"_"&amp;TEXT(C3,"yyyy-mm-dd"))</f>
        <v>PN-002_2026-07-13</v>
      </c>
      <c r="B3" s="2" t="s">
        <v>99</v>
      </c>
      <c r="C3" s="7">
        <v>46216</v>
      </c>
      <c r="D3" s="2" t="s">
        <v>109</v>
      </c>
      <c r="E3" s="2">
        <v>6</v>
      </c>
      <c r="F3" s="2" t="s">
        <v>118</v>
      </c>
      <c r="G3" s="8">
        <v>46212.375</v>
      </c>
    </row>
    <row r="4" spans="1:7" ht="15" x14ac:dyDescent="0.25">
      <c r="A4" s="4" t="str">
        <f>IF(B4="","",B4&amp;"_"&amp;TEXT(C4,"yyyy-mm-dd"))</f>
        <v>PN-001_2026-07-20</v>
      </c>
      <c r="B4" s="2" t="s">
        <v>112</v>
      </c>
      <c r="C4" s="7">
        <v>46223</v>
      </c>
      <c r="D4" s="2"/>
      <c r="E4" s="2">
        <v>10</v>
      </c>
      <c r="F4" s="2" t="s">
        <v>118</v>
      </c>
      <c r="G4" s="8">
        <v>46212.375</v>
      </c>
    </row>
    <row r="5" spans="1:7" ht="15" x14ac:dyDescent="0.25">
      <c r="A5" s="4" t="str">
        <f>IF(B5="","",B5&amp;"_"&amp;TEXT(C5,"yyyy-mm-dd"))</f>
        <v>PN-003_2026-07-20</v>
      </c>
      <c r="B5" s="2" t="s">
        <v>119</v>
      </c>
      <c r="C5" s="7">
        <v>46223</v>
      </c>
      <c r="D5" s="2"/>
      <c r="E5" s="2">
        <v>8</v>
      </c>
      <c r="F5" s="2" t="s">
        <v>118</v>
      </c>
      <c r="G5" s="8">
        <v>46212.375</v>
      </c>
    </row>
  </sheetData>
  <phoneticPr fontId="4"/>
  <dataValidations count="2">
    <dataValidation type="list" allowBlank="1" sqref="B2:B2000" xr:uid="{00000000-0002-0000-0500-000000000000}">
      <formula1>品番一覧</formula1>
    </dataValidation>
    <dataValidation type="list" allowBlank="1" sqref="F2:F2000" xr:uid="{00000000-0002-0000-0500-000001000000}">
      <formula1>リスト_計画状態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" customWidth="1"/>
    <col min="2" max="2" width="36" customWidth="1"/>
    <col min="3" max="3" width="12" customWidth="1"/>
    <col min="4" max="4" width="30" customWidth="1"/>
  </cols>
  <sheetData>
    <row r="1" spans="1:4" ht="15" x14ac:dyDescent="0.25">
      <c r="A1" s="2" t="s">
        <v>69</v>
      </c>
      <c r="B1" s="2" t="s">
        <v>120</v>
      </c>
      <c r="C1" s="2" t="s">
        <v>121</v>
      </c>
      <c r="D1" s="2" t="s">
        <v>97</v>
      </c>
    </row>
    <row r="2" spans="1:4" ht="15" x14ac:dyDescent="0.25">
      <c r="A2" s="2" t="s">
        <v>112</v>
      </c>
      <c r="B2" s="2" t="s">
        <v>122</v>
      </c>
      <c r="C2" s="2" t="s">
        <v>123</v>
      </c>
      <c r="D2" s="2" t="s">
        <v>124</v>
      </c>
    </row>
    <row r="3" spans="1:4" ht="15" x14ac:dyDescent="0.25">
      <c r="A3" s="2" t="s">
        <v>99</v>
      </c>
      <c r="B3" s="2" t="s">
        <v>125</v>
      </c>
      <c r="C3" s="2" t="s">
        <v>126</v>
      </c>
      <c r="D3" s="2" t="s">
        <v>124</v>
      </c>
    </row>
    <row r="4" spans="1:4" ht="15" x14ac:dyDescent="0.25">
      <c r="A4" s="2" t="s">
        <v>119</v>
      </c>
      <c r="B4" s="2" t="s">
        <v>127</v>
      </c>
      <c r="C4" s="2" t="s">
        <v>128</v>
      </c>
      <c r="D4" s="2" t="s">
        <v>124</v>
      </c>
    </row>
    <row r="5" spans="1:4" ht="15" x14ac:dyDescent="0.25">
      <c r="A5" s="2" t="s">
        <v>129</v>
      </c>
      <c r="B5" s="2" t="s">
        <v>130</v>
      </c>
      <c r="C5" s="2" t="s">
        <v>131</v>
      </c>
      <c r="D5" s="2" t="s">
        <v>124</v>
      </c>
    </row>
  </sheetData>
  <phoneticPr fontId="4"/>
  <dataValidations count="1">
    <dataValidation type="list" allowBlank="1" sqref="C2:C500" xr:uid="{00000000-0002-0000-0600-000000000000}">
      <formula1>リスト_工程パターン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defaultRowHeight="13.5" x14ac:dyDescent="0.15"/>
  <cols>
    <col min="1" max="2" width="16" customWidth="1"/>
    <col min="3" max="4" width="12" customWidth="1"/>
    <col min="5" max="5" width="30" customWidth="1"/>
  </cols>
  <sheetData>
    <row r="1" spans="1:5" ht="15" x14ac:dyDescent="0.25">
      <c r="A1" s="3" t="s">
        <v>92</v>
      </c>
      <c r="B1" s="3" t="s">
        <v>132</v>
      </c>
      <c r="C1" s="3" t="s">
        <v>116</v>
      </c>
      <c r="D1" s="3" t="s">
        <v>121</v>
      </c>
      <c r="E1" s="3" t="s">
        <v>133</v>
      </c>
    </row>
    <row r="2" spans="1:5" ht="15" x14ac:dyDescent="0.25">
      <c r="A2" s="2" t="s">
        <v>98</v>
      </c>
      <c r="B2" s="2" t="s">
        <v>82</v>
      </c>
      <c r="C2" s="2" t="s">
        <v>118</v>
      </c>
      <c r="D2" s="2" t="s">
        <v>123</v>
      </c>
      <c r="E2" s="2" t="s">
        <v>134</v>
      </c>
    </row>
    <row r="3" spans="1:5" ht="15" x14ac:dyDescent="0.25">
      <c r="A3" s="2" t="s">
        <v>135</v>
      </c>
      <c r="B3" s="2" t="s">
        <v>83</v>
      </c>
      <c r="C3" s="2" t="s">
        <v>136</v>
      </c>
      <c r="D3" s="2" t="s">
        <v>126</v>
      </c>
      <c r="E3" s="2" t="s">
        <v>137</v>
      </c>
    </row>
    <row r="4" spans="1:5" ht="15" x14ac:dyDescent="0.25">
      <c r="A4" s="2" t="s">
        <v>103</v>
      </c>
      <c r="B4" s="2" t="s">
        <v>84</v>
      </c>
      <c r="D4" s="2" t="s">
        <v>128</v>
      </c>
      <c r="E4" s="2" t="s">
        <v>138</v>
      </c>
    </row>
    <row r="5" spans="1:5" ht="15" x14ac:dyDescent="0.25">
      <c r="A5" s="2" t="s">
        <v>106</v>
      </c>
      <c r="B5" s="2" t="s">
        <v>85</v>
      </c>
      <c r="D5" s="2" t="s">
        <v>131</v>
      </c>
      <c r="E5" s="2" t="s">
        <v>139</v>
      </c>
    </row>
    <row r="6" spans="1:5" ht="15" x14ac:dyDescent="0.25">
      <c r="A6" s="2" t="s">
        <v>86</v>
      </c>
      <c r="B6" s="2" t="s">
        <v>86</v>
      </c>
    </row>
    <row r="7" spans="1:5" ht="15" x14ac:dyDescent="0.25">
      <c r="A7" s="2" t="s">
        <v>107</v>
      </c>
      <c r="B7" s="2" t="s">
        <v>87</v>
      </c>
    </row>
    <row r="8" spans="1:5" ht="15" x14ac:dyDescent="0.25">
      <c r="A8" s="2" t="s">
        <v>104</v>
      </c>
    </row>
    <row r="9" spans="1:5" ht="15" x14ac:dyDescent="0.25">
      <c r="A9" s="2" t="s">
        <v>140</v>
      </c>
    </row>
    <row r="10" spans="1:5" ht="15" x14ac:dyDescent="0.25">
      <c r="A10" s="2" t="s">
        <v>141</v>
      </c>
    </row>
    <row r="11" spans="1:5" ht="15" x14ac:dyDescent="0.25">
      <c r="A11" s="2" t="s">
        <v>110</v>
      </c>
    </row>
    <row r="12" spans="1:5" ht="15" x14ac:dyDescent="0.25">
      <c r="A12" s="2" t="s">
        <v>142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4</vt:i4>
      </vt:variant>
    </vt:vector>
  </HeadingPairs>
  <TitlesOfParts>
    <vt:vector size="12" baseType="lpstr">
      <vt:lpstr>説明</vt:lpstr>
      <vt:lpstr>業務フロー</vt:lpstr>
      <vt:lpstr>V_充足確認</vt:lpstr>
      <vt:lpstr>V_在庫内訳</vt:lpstr>
      <vt:lpstr>T_台帳</vt:lpstr>
      <vt:lpstr>T_納期計画</vt:lpstr>
      <vt:lpstr>M_品番</vt:lpstr>
      <vt:lpstr>M_リスト</vt:lpstr>
      <vt:lpstr>リスト_イベント種類</vt:lpstr>
      <vt:lpstr>リスト_計画状態</vt:lpstr>
      <vt:lpstr>リスト_工程パターン</vt:lpstr>
      <vt:lpstr>リスト_状態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</dc:creator>
  <cp:lastModifiedBy>world hello</cp:lastModifiedBy>
  <dcterms:created xsi:type="dcterms:W3CDTF">2026-07-09T15:08:40Z</dcterms:created>
  <dcterms:modified xsi:type="dcterms:W3CDTF">2026-07-09T16:33:31Z</dcterms:modified>
</cp:coreProperties>
</file>